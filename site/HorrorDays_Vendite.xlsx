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'Storico'!$A$1:$G$165</definedName>
    <definedName name="_xlnm._FilterDatabase" localSheetId="8" hidden="1">'Registro vendite'!$A$1:$K$119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'Storico'!$H$2:$H$165</f>
            </numRef>
          </cat>
          <val>
            <numRef>
              <f>'Storico'!$C$2:$C$165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MAX(Storico!A2:A165)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8</v>
      </c>
      <c r="I14" s="11" t="n">
        <v>0</v>
      </c>
      <c r="J14" s="12" t="n">
        <v>192</v>
      </c>
      <c r="K14" s="12" t="n">
        <v>0</v>
      </c>
      <c r="L14" s="12" t="n">
        <v>174.56</v>
      </c>
      <c r="M14" s="12" t="n">
        <v>17.44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0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3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20261025_2215</t>
        </is>
      </c>
      <c r="B34" s="9" t="n">
        <v>46320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20261025_2315</t>
        </is>
      </c>
      <c r="B35" s="13" t="n">
        <v>46320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20261025_2359</t>
        </is>
      </c>
      <c r="B36" s="9" t="n">
        <v>46320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1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4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20261029_2359</t>
        </is>
      </c>
      <c r="B44" s="9" t="n">
        <v>46324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20261030_2015</t>
        </is>
      </c>
      <c r="B45" s="13" t="n">
        <v>46325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20261030_2115</t>
        </is>
      </c>
      <c r="B46" s="9" t="n">
        <v>46325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20261030_2215</t>
        </is>
      </c>
      <c r="B47" s="13" t="n">
        <v>46325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20261030_2315</t>
        </is>
      </c>
      <c r="B49" s="13" t="n">
        <v>46325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20261030_2359</t>
        </is>
      </c>
      <c r="B50" s="9" t="n">
        <v>46325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4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20261031_2015</t>
        </is>
      </c>
      <c r="B52" s="9" t="n">
        <v>46326</v>
      </c>
      <c r="C52" s="10" t="n">
        <v>0.84375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20261031_2115</t>
        </is>
      </c>
      <c r="B54" s="9" t="n">
        <v>46326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20261031_2215</t>
        </is>
      </c>
      <c r="B56" s="9" t="n">
        <v>46326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20261031_2315</t>
        </is>
      </c>
      <c r="B58" s="9" t="n">
        <v>46326</v>
      </c>
      <c r="C58" s="10" t="n">
        <v>0.96875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2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20261031_2359</t>
        </is>
      </c>
      <c r="B59" s="13" t="n">
        <v>46326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20261101_2015</t>
        </is>
      </c>
      <c r="B60" s="9" t="n">
        <v>46327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11/2026</t>
        </is>
      </c>
      <c r="O60" s="11">
        <f>IFERROR(INDEX(Tariffe!$D$2:$D$200,MATCH(E60,Tariffe!$A$2:$A$200,0))*1,0)</f>
        <v/>
      </c>
      <c r="P60" s="11">
        <f>H60*O60</f>
        <v/>
      </c>
    </row>
  </sheetData>
  <autoFilter ref="A1:P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</sheetData>
  <autoFilter ref="A1:G16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</sheetData>
  <autoFilter ref="A1:K1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13</v>
      </c>
      <c r="C8" s="11" t="n">
        <v>36</v>
      </c>
      <c r="D8" s="12" t="n">
        <v>432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13</v>
      </c>
      <c r="M8" s="11" t="n">
        <v>36</v>
      </c>
      <c r="N8" s="12" t="n">
        <v>432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2026-10-09T19:14:57Z</dcterms:created>
  <dcterms:modified xsi:type="dcterms:W3CDTF">2026-10-09T19:14:57Z</dcterms:modified>
</cp:coreProperties>
</file>