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'Vendite'!$A$1:$P$116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'Storico'!$A$1:$G$558</definedName>
    <definedName name="_xlnm._FilterDatabase" localSheetId="8" hidden="1">'Registro vendite'!$A$1:$K$543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'Storico'!$H$2:$H$558</f>
            </numRef>
          </cat>
          <val>
            <numRef>
              <f>'Storico'!$C$2:$C$558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22</v>
      </c>
      <c r="I13" s="15" t="n">
        <v>0</v>
      </c>
      <c r="J13" s="16" t="n">
        <v>528</v>
      </c>
      <c r="K13" s="16" t="n">
        <v>0</v>
      </c>
      <c r="L13" s="16" t="n">
        <v>480.04</v>
      </c>
      <c r="M13" s="16" t="n">
        <v>47.96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24</v>
      </c>
      <c r="I33" s="15" t="n">
        <v>0</v>
      </c>
      <c r="J33" s="16" t="n">
        <v>576</v>
      </c>
      <c r="K33" s="16" t="n">
        <v>0</v>
      </c>
      <c r="L33" s="16" t="n">
        <v>523.6799999999999</v>
      </c>
      <c r="M33" s="16" t="n">
        <v>52.32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</v>
      </c>
      <c r="I104" s="11" t="n">
        <v>0</v>
      </c>
      <c r="J104" s="12" t="n">
        <v>96</v>
      </c>
      <c r="K104" s="12" t="n">
        <v>0</v>
      </c>
      <c r="L104" s="12" t="n">
        <v>87.28</v>
      </c>
      <c r="M104" s="12" t="n">
        <v>8.720000000000001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20261101_2015</t>
        </is>
      </c>
      <c r="B105" s="13" t="n">
        <v>46327</v>
      </c>
      <c r="C105" s="14" t="n">
        <v>0.84375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</v>
      </c>
      <c r="I106" s="11" t="n">
        <v>0</v>
      </c>
      <c r="J106" s="12" t="n">
        <v>24</v>
      </c>
      <c r="K106" s="12" t="n">
        <v>0</v>
      </c>
      <c r="L106" s="12" t="n">
        <v>21.82</v>
      </c>
      <c r="M106" s="12" t="n">
        <v>2.18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2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20261101_2115</t>
        </is>
      </c>
      <c r="B108" s="9" t="n">
        <v>46327</v>
      </c>
      <c r="C108" s="10" t="n">
        <v>0.8854166666666666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3</v>
      </c>
      <c r="I109" s="15" t="n">
        <v>0</v>
      </c>
      <c r="J109" s="16" t="n">
        <v>72</v>
      </c>
      <c r="K109" s="16" t="n">
        <v>0</v>
      </c>
      <c r="L109" s="16" t="n">
        <v>65.45999999999999</v>
      </c>
      <c r="M109" s="16" t="n">
        <v>6.54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20261101_2215</t>
        </is>
      </c>
      <c r="B111" s="13" t="n">
        <v>46327</v>
      </c>
      <c r="C111" s="14" t="n">
        <v>0.9270833333333334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1</v>
      </c>
      <c r="I111" s="15" t="n">
        <v>0</v>
      </c>
      <c r="J111" s="16" t="n">
        <v>60</v>
      </c>
      <c r="K111" s="16" t="n">
        <v>0</v>
      </c>
      <c r="L111" s="16" t="n">
        <v>54.55</v>
      </c>
      <c r="M111" s="16" t="n">
        <v>5.45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4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20261101_2315</t>
        </is>
      </c>
      <c r="B113" s="13" t="n">
        <v>46327</v>
      </c>
      <c r="C113" s="14" t="n">
        <v>0.96875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20261101_2315</t>
        </is>
      </c>
      <c r="B114" s="9" t="n">
        <v>46327</v>
      </c>
      <c r="C114" s="10" t="n">
        <v>0.96875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20261101_2359</t>
        </is>
      </c>
      <c r="B115" s="13" t="n">
        <v>46327</v>
      </c>
      <c r="C115" s="14" t="n">
        <v>0.9993055555555556</v>
      </c>
      <c r="D115" s="23" t="inlineStr">
        <is>
          <t>UN Unico</t>
        </is>
      </c>
      <c r="E115" s="23" t="inlineStr">
        <is>
          <t>I5</t>
        </is>
      </c>
      <c r="F115" s="23">
        <f>IFERROR(INDEX(Tariffe!$B$2:$B$200,MATCH(E115,Tariffe!$A$2:$A$200,0)),"DA DEFINIRE")</f>
        <v/>
      </c>
      <c r="G115" s="16" t="n">
        <v>60</v>
      </c>
      <c r="H115" s="15" t="n">
        <v>1</v>
      </c>
      <c r="I115" s="15" t="n">
        <v>0</v>
      </c>
      <c r="J115" s="16" t="n">
        <v>60</v>
      </c>
      <c r="K115" s="16" t="n">
        <v>0</v>
      </c>
      <c r="L115" s="16" t="n">
        <v>54.55</v>
      </c>
      <c r="M115" s="16" t="n">
        <v>5.45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20261101_2359</t>
        </is>
      </c>
      <c r="B116" s="9" t="n">
        <v>46327</v>
      </c>
      <c r="C116" s="10" t="n">
        <v>0.9993055555555556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</sheetData>
  <autoFilter ref="A1:P1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</sheetData>
  <autoFilter ref="A1:G5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</sheetData>
  <autoFilter ref="A1:K5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85</v>
      </c>
      <c r="M7" s="11" t="n">
        <v>262</v>
      </c>
      <c r="N7" s="12" t="n">
        <v>3144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14</v>
      </c>
      <c r="C21" s="11" t="n">
        <v>41</v>
      </c>
      <c r="D21" s="12" t="n">
        <v>492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2026-10-22T18:29:10Z</dcterms:created>
  <dcterms:modified xsi:type="dcterms:W3CDTF">2026-10-22T18:29:10Z</dcterms:modified>
</cp:coreProperties>
</file>