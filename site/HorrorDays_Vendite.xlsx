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'Vendite'!$A$1:$P$97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'Storico'!$A$1:$G$435</definedName>
    <definedName name="_xlnm._FilterDatabase" localSheetId="8" hidden="1">'Registro vendite'!$A$1:$K$355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'Storico'!$H$2:$H$435</f>
            </numRef>
          </cat>
          <val>
            <numRef>
              <f>'Storico'!$C$2:$C$435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vendite'!$A$4:$A$17</f>
            </numRef>
          </cat>
          <val>
            <numRef>
              <f>'Picchi vendite'!$B$4:$B$17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MAX(Storico!A2:A435)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9</v>
      </c>
      <c r="I6" s="11" t="n">
        <v>1</v>
      </c>
      <c r="J6" s="12" t="n">
        <v>432</v>
      </c>
      <c r="K6" s="12" t="n">
        <v>0</v>
      </c>
      <c r="L6" s="12" t="n">
        <v>392.76</v>
      </c>
      <c r="M6" s="12" t="n">
        <v>39.24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7</v>
      </c>
      <c r="I7" s="15" t="n">
        <v>0</v>
      </c>
      <c r="J7" s="16" t="n">
        <v>252</v>
      </c>
      <c r="K7" s="16" t="n">
        <v>0</v>
      </c>
      <c r="L7" s="16" t="n">
        <v>229.11</v>
      </c>
      <c r="M7" s="16" t="n">
        <v>22.89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0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18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12</v>
      </c>
      <c r="I10" s="11" t="n">
        <v>0</v>
      </c>
      <c r="J10" s="12" t="n">
        <v>576</v>
      </c>
      <c r="K10" s="12" t="n">
        <v>0</v>
      </c>
      <c r="L10" s="12" t="n">
        <v>523.6799999999999</v>
      </c>
      <c r="M10" s="12" t="n">
        <v>52.32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5</v>
      </c>
      <c r="I12" s="11" t="n">
        <v>0</v>
      </c>
      <c r="J12" s="12" t="n">
        <v>300</v>
      </c>
      <c r="K12" s="12" t="n">
        <v>0</v>
      </c>
      <c r="L12" s="12" t="n">
        <v>272.75</v>
      </c>
      <c r="M12" s="12" t="n">
        <v>27.25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12</v>
      </c>
      <c r="I13" s="15" t="n">
        <v>0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14</v>
      </c>
      <c r="I17" s="15" t="n">
        <v>0</v>
      </c>
      <c r="J17" s="16" t="n">
        <v>336</v>
      </c>
      <c r="K17" s="16" t="n">
        <v>0</v>
      </c>
      <c r="L17" s="16" t="n">
        <v>305.48</v>
      </c>
      <c r="M17" s="16" t="n">
        <v>30.52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5</v>
      </c>
      <c r="I18" s="11" t="n">
        <v>0</v>
      </c>
      <c r="J18" s="12" t="n">
        <v>240</v>
      </c>
      <c r="K18" s="12" t="n">
        <v>0</v>
      </c>
      <c r="L18" s="12" t="n">
        <v>218.2</v>
      </c>
      <c r="M18" s="12" t="n">
        <v>21.8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1</v>
      </c>
      <c r="I19" s="15" t="n">
        <v>1</v>
      </c>
      <c r="J19" s="16" t="n">
        <v>36</v>
      </c>
      <c r="K19" s="16" t="n">
        <v>0</v>
      </c>
      <c r="L19" s="16" t="n">
        <v>32.73</v>
      </c>
      <c r="M19" s="16" t="n">
        <v>3.27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1</v>
      </c>
      <c r="I23" s="15" t="n">
        <v>0</v>
      </c>
      <c r="J23" s="16" t="n">
        <v>60</v>
      </c>
      <c r="K23" s="16" t="n">
        <v>0</v>
      </c>
      <c r="L23" s="16" t="n">
        <v>54.55</v>
      </c>
      <c r="M23" s="16" t="n">
        <v>5.45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3</v>
      </c>
      <c r="I24" s="11" t="n">
        <v>0</v>
      </c>
      <c r="J24" s="12" t="n">
        <v>72</v>
      </c>
      <c r="K24" s="12" t="n">
        <v>0</v>
      </c>
      <c r="L24" s="12" t="n">
        <v>65.45999999999999</v>
      </c>
      <c r="M24" s="12" t="n">
        <v>6.54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4</v>
      </c>
      <c r="I25" s="15" t="n">
        <v>0</v>
      </c>
      <c r="J25" s="16" t="n">
        <v>192</v>
      </c>
      <c r="K25" s="16" t="n">
        <v>0</v>
      </c>
      <c r="L25" s="16" t="n">
        <v>174.56</v>
      </c>
      <c r="M25" s="16" t="n">
        <v>17.44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4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8</v>
      </c>
      <c r="I28" s="11" t="n">
        <v>1</v>
      </c>
      <c r="J28" s="12" t="n">
        <v>192</v>
      </c>
      <c r="K28" s="12" t="n">
        <v>0</v>
      </c>
      <c r="L28" s="12" t="n">
        <v>174.56</v>
      </c>
      <c r="M28" s="12" t="n">
        <v>17.44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4</v>
      </c>
      <c r="I29" s="15" t="n">
        <v>0</v>
      </c>
      <c r="J29" s="16" t="n">
        <v>192</v>
      </c>
      <c r="K29" s="16" t="n">
        <v>0</v>
      </c>
      <c r="L29" s="16" t="n">
        <v>174.56</v>
      </c>
      <c r="M29" s="16" t="n">
        <v>17.44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I2</t>
        </is>
      </c>
      <c r="F30" s="22">
        <f>IFERROR(INDEX(Tariffe!$B$2:$B$200,MATCH(E30,Tariffe!$A$2:$A$200,0)),"DA DEFINIRE")</f>
        <v/>
      </c>
      <c r="G30" s="12" t="n">
        <v>36</v>
      </c>
      <c r="H30" s="11" t="n">
        <v>2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I5</t>
        </is>
      </c>
      <c r="F31" s="23">
        <f>IFERROR(INDEX(Tariffe!$B$2:$B$200,MATCH(E31,Tariffe!$A$2:$A$200,0)),"DA DEFINIRE")</f>
        <v/>
      </c>
      <c r="G31" s="16" t="n">
        <v>60</v>
      </c>
      <c r="H31" s="15" t="n">
        <v>2</v>
      </c>
      <c r="I31" s="15" t="n">
        <v>0</v>
      </c>
      <c r="J31" s="16" t="n">
        <v>120</v>
      </c>
      <c r="K31" s="16" t="n">
        <v>0</v>
      </c>
      <c r="L31" s="16" t="n">
        <v>109.1</v>
      </c>
      <c r="M31" s="16" t="n">
        <v>10.9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12</v>
      </c>
      <c r="I32" s="11" t="n">
        <v>0</v>
      </c>
      <c r="J32" s="12" t="n">
        <v>288</v>
      </c>
      <c r="K32" s="12" t="n">
        <v>0</v>
      </c>
      <c r="L32" s="12" t="n">
        <v>261.84</v>
      </c>
      <c r="M32" s="12" t="n">
        <v>26.16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3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2</v>
      </c>
      <c r="I34" s="11" t="n">
        <v>0</v>
      </c>
      <c r="J34" s="12" t="n">
        <v>72</v>
      </c>
      <c r="K34" s="12" t="n">
        <v>0</v>
      </c>
      <c r="L34" s="12" t="n">
        <v>65.45999999999999</v>
      </c>
      <c r="M34" s="12" t="n">
        <v>6.54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I5</t>
        </is>
      </c>
      <c r="F35" s="23">
        <f>IFERROR(INDEX(Tariffe!$B$2:$B$200,MATCH(E35,Tariffe!$A$2:$A$200,0)),"DA DEFINIRE")</f>
        <v/>
      </c>
      <c r="G35" s="16" t="n">
        <v>60</v>
      </c>
      <c r="H35" s="15" t="n">
        <v>5</v>
      </c>
      <c r="I35" s="15" t="n">
        <v>0</v>
      </c>
      <c r="J35" s="16" t="n">
        <v>300</v>
      </c>
      <c r="K35" s="16" t="n">
        <v>0</v>
      </c>
      <c r="L35" s="16" t="n">
        <v>272.75</v>
      </c>
      <c r="M35" s="16" t="n">
        <v>27.25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12</v>
      </c>
      <c r="I36" s="11" t="n">
        <v>0</v>
      </c>
      <c r="J36" s="12" t="n">
        <v>288</v>
      </c>
      <c r="K36" s="12" t="n">
        <v>0</v>
      </c>
      <c r="L36" s="12" t="n">
        <v>261.84</v>
      </c>
      <c r="M36" s="12" t="n">
        <v>26.16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4</v>
      </c>
      <c r="I37" s="15" t="n">
        <v>0</v>
      </c>
      <c r="J37" s="16" t="n">
        <v>192</v>
      </c>
      <c r="K37" s="16" t="n">
        <v>0</v>
      </c>
      <c r="L37" s="16" t="n">
        <v>174.56</v>
      </c>
      <c r="M37" s="16" t="n">
        <v>17.44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8</v>
      </c>
      <c r="I38" s="11" t="n">
        <v>0</v>
      </c>
      <c r="J38" s="12" t="n">
        <v>192</v>
      </c>
      <c r="K38" s="12" t="n">
        <v>0</v>
      </c>
      <c r="L38" s="12" t="n">
        <v>174.56</v>
      </c>
      <c r="M38" s="12" t="n">
        <v>17.44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3</v>
      </c>
      <c r="I39" s="15" t="n">
        <v>0</v>
      </c>
      <c r="J39" s="16" t="n">
        <v>144</v>
      </c>
      <c r="K39" s="16" t="n">
        <v>0</v>
      </c>
      <c r="L39" s="16" t="n">
        <v>130.92</v>
      </c>
      <c r="M39" s="16" t="n">
        <v>13.08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I2</t>
        </is>
      </c>
      <c r="F40" s="22">
        <f>IFERROR(INDEX(Tariffe!$B$2:$B$200,MATCH(E40,Tariffe!$A$2:$A$200,0)),"DA DEFINIRE")</f>
        <v/>
      </c>
      <c r="G40" s="12" t="n">
        <v>36</v>
      </c>
      <c r="H40" s="11" t="n">
        <v>1</v>
      </c>
      <c r="I40" s="11" t="n">
        <v>0</v>
      </c>
      <c r="J40" s="12" t="n">
        <v>36</v>
      </c>
      <c r="K40" s="12" t="n">
        <v>0</v>
      </c>
      <c r="L40" s="12" t="n">
        <v>32.73</v>
      </c>
      <c r="M40" s="12" t="n">
        <v>3.27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2</v>
      </c>
      <c r="I41" s="15" t="n">
        <v>0</v>
      </c>
      <c r="J41" s="16" t="n">
        <v>120</v>
      </c>
      <c r="K41" s="16" t="n">
        <v>0</v>
      </c>
      <c r="L41" s="16" t="n">
        <v>109.1</v>
      </c>
      <c r="M41" s="16" t="n">
        <v>10.9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2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5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1</v>
      </c>
      <c r="I44" s="11" t="n">
        <v>0</v>
      </c>
      <c r="J44" s="12" t="n">
        <v>60</v>
      </c>
      <c r="K44" s="12" t="n">
        <v>0</v>
      </c>
      <c r="L44" s="12" t="n">
        <v>54.55</v>
      </c>
      <c r="M44" s="12" t="n">
        <v>5.45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7</v>
      </c>
      <c r="I45" s="15" t="n">
        <v>0</v>
      </c>
      <c r="J45" s="16" t="n">
        <v>168</v>
      </c>
      <c r="K45" s="16" t="n">
        <v>0</v>
      </c>
      <c r="L45" s="16" t="n">
        <v>152.74</v>
      </c>
      <c r="M45" s="16" t="n">
        <v>15.26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6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3</v>
      </c>
      <c r="I49" s="15" t="n">
        <v>0</v>
      </c>
      <c r="J49" s="16" t="n">
        <v>144</v>
      </c>
      <c r="K49" s="16" t="n">
        <v>0</v>
      </c>
      <c r="L49" s="16" t="n">
        <v>130.92</v>
      </c>
      <c r="M49" s="16" t="n">
        <v>13.08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I2</t>
        </is>
      </c>
      <c r="F50" s="22">
        <f>IFERROR(INDEX(Tariffe!$B$2:$B$200,MATCH(E50,Tariffe!$A$2:$A$200,0)),"DA DEFINIRE")</f>
        <v/>
      </c>
      <c r="G50" s="12" t="n">
        <v>36</v>
      </c>
      <c r="H50" s="11" t="n">
        <v>2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2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20261025_2359</t>
        </is>
      </c>
      <c r="B53" s="13" t="n">
        <v>46320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3</v>
      </c>
      <c r="I53" s="15" t="n">
        <v>0</v>
      </c>
      <c r="J53" s="16" t="n">
        <v>72</v>
      </c>
      <c r="K53" s="16" t="n">
        <v>0</v>
      </c>
      <c r="L53" s="16" t="n">
        <v>65.45999999999999</v>
      </c>
      <c r="M53" s="16" t="n">
        <v>6.54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2</v>
      </c>
      <c r="I55" s="15" t="n">
        <v>0</v>
      </c>
      <c r="J55" s="16" t="n">
        <v>120</v>
      </c>
      <c r="K55" s="16" t="n">
        <v>0</v>
      </c>
      <c r="L55" s="16" t="n">
        <v>109.1</v>
      </c>
      <c r="M55" s="16" t="n">
        <v>10.9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20261029_2015</t>
        </is>
      </c>
      <c r="B56" s="9" t="n">
        <v>46324</v>
      </c>
      <c r="C56" s="10" t="n">
        <v>0.84375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20261029_2115</t>
        </is>
      </c>
      <c r="B57" s="13" t="n">
        <v>46324</v>
      </c>
      <c r="C57" s="14" t="n">
        <v>0.8854166666666666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1</v>
      </c>
      <c r="I57" s="15" t="n">
        <v>0</v>
      </c>
      <c r="J57" s="16" t="n">
        <v>60</v>
      </c>
      <c r="K57" s="16" t="n">
        <v>0</v>
      </c>
      <c r="L57" s="16" t="n">
        <v>54.55</v>
      </c>
      <c r="M57" s="16" t="n">
        <v>5.45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20261029_2115</t>
        </is>
      </c>
      <c r="B58" s="9" t="n">
        <v>46324</v>
      </c>
      <c r="C58" s="10" t="n">
        <v>0.8854166666666666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3</v>
      </c>
      <c r="I59" s="15" t="n">
        <v>0</v>
      </c>
      <c r="J59" s="16" t="n">
        <v>144</v>
      </c>
      <c r="K59" s="16" t="n">
        <v>0</v>
      </c>
      <c r="L59" s="16" t="n">
        <v>130.92</v>
      </c>
      <c r="M59" s="16" t="n">
        <v>13.08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2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20261029_2215</t>
        </is>
      </c>
      <c r="B61" s="13" t="n">
        <v>46324</v>
      </c>
      <c r="C61" s="14" t="n">
        <v>0.9270833333333334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5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6</v>
      </c>
      <c r="I62" s="11" t="n">
        <v>0</v>
      </c>
      <c r="J62" s="12" t="n">
        <v>288</v>
      </c>
      <c r="K62" s="12" t="n">
        <v>0</v>
      </c>
      <c r="L62" s="12" t="n">
        <v>261.84</v>
      </c>
      <c r="M62" s="12" t="n">
        <v>26.16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I2</t>
        </is>
      </c>
      <c r="F63" s="23">
        <f>IFERROR(INDEX(Tariffe!$B$2:$B$200,MATCH(E63,Tariffe!$A$2:$A$200,0)),"DA DEFINIRE")</f>
        <v/>
      </c>
      <c r="G63" s="16" t="n">
        <v>36</v>
      </c>
      <c r="H63" s="15" t="n">
        <v>1</v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I5</t>
        </is>
      </c>
      <c r="F64" s="22">
        <f>IFERROR(INDEX(Tariffe!$B$2:$B$200,MATCH(E64,Tariffe!$A$2:$A$200,0)),"DA DEFINIRE")</f>
        <v/>
      </c>
      <c r="G64" s="12" t="n">
        <v>60</v>
      </c>
      <c r="H64" s="11" t="n">
        <v>4</v>
      </c>
      <c r="I64" s="11" t="n">
        <v>0</v>
      </c>
      <c r="J64" s="12" t="n">
        <v>240</v>
      </c>
      <c r="K64" s="12" t="n">
        <v>0</v>
      </c>
      <c r="L64" s="12" t="n">
        <v>218.2</v>
      </c>
      <c r="M64" s="12" t="n">
        <v>21.8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20261029_2315</t>
        </is>
      </c>
      <c r="B65" s="13" t="n">
        <v>46324</v>
      </c>
      <c r="C65" s="14" t="n">
        <v>0.96875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3</v>
      </c>
      <c r="I65" s="15" t="n">
        <v>0</v>
      </c>
      <c r="J65" s="16" t="n">
        <v>72</v>
      </c>
      <c r="K65" s="16" t="n">
        <v>0</v>
      </c>
      <c r="L65" s="16" t="n">
        <v>65.45999999999999</v>
      </c>
      <c r="M65" s="16" t="n">
        <v>6.54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20261029_2359</t>
        </is>
      </c>
      <c r="B66" s="9" t="n">
        <v>46324</v>
      </c>
      <c r="C66" s="10" t="n">
        <v>0.9993055555555556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2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20261030_2015</t>
        </is>
      </c>
      <c r="B67" s="13" t="n">
        <v>46325</v>
      </c>
      <c r="C67" s="14" t="n">
        <v>0.84375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1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20261030_2015</t>
        </is>
      </c>
      <c r="B68" s="9" t="n">
        <v>46325</v>
      </c>
      <c r="C68" s="10" t="n">
        <v>0.84375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1</v>
      </c>
      <c r="I68" s="11" t="n">
        <v>0</v>
      </c>
      <c r="J68" s="12" t="n">
        <v>24</v>
      </c>
      <c r="K68" s="12" t="n">
        <v>0</v>
      </c>
      <c r="L68" s="12" t="n">
        <v>21.82</v>
      </c>
      <c r="M68" s="12" t="n">
        <v>2.18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20261030_2115</t>
        </is>
      </c>
      <c r="B69" s="13" t="n">
        <v>46325</v>
      </c>
      <c r="C69" s="14" t="n">
        <v>0.8854166666666666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20261030_2115</t>
        </is>
      </c>
      <c r="B70" s="9" t="n">
        <v>46325</v>
      </c>
      <c r="C70" s="10" t="n">
        <v>0.8854166666666666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20261030_2215</t>
        </is>
      </c>
      <c r="B71" s="13" t="n">
        <v>46325</v>
      </c>
      <c r="C71" s="14" t="n">
        <v>0.9270833333333334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7</v>
      </c>
      <c r="I71" s="15" t="n">
        <v>0</v>
      </c>
      <c r="J71" s="16" t="n">
        <v>336</v>
      </c>
      <c r="K71" s="16" t="n">
        <v>0</v>
      </c>
      <c r="L71" s="16" t="n">
        <v>305.48</v>
      </c>
      <c r="M71" s="16" t="n">
        <v>30.52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20261030_2215</t>
        </is>
      </c>
      <c r="B72" s="9" t="n">
        <v>46325</v>
      </c>
      <c r="C72" s="10" t="n">
        <v>0.9270833333333334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6</v>
      </c>
      <c r="I72" s="11" t="n">
        <v>3</v>
      </c>
      <c r="J72" s="12" t="n">
        <v>144</v>
      </c>
      <c r="K72" s="12" t="n">
        <v>0</v>
      </c>
      <c r="L72" s="12" t="n">
        <v>130.92</v>
      </c>
      <c r="M72" s="12" t="n">
        <v>13.08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4</v>
      </c>
      <c r="I73" s="15" t="n">
        <v>0</v>
      </c>
      <c r="J73" s="16" t="n">
        <v>192</v>
      </c>
      <c r="K73" s="16" t="n">
        <v>0</v>
      </c>
      <c r="L73" s="16" t="n">
        <v>174.56</v>
      </c>
      <c r="M73" s="16" t="n">
        <v>17.44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20261030_2315</t>
        </is>
      </c>
      <c r="B75" s="13" t="n">
        <v>46325</v>
      </c>
      <c r="C75" s="14" t="n">
        <v>0.96875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I5</t>
        </is>
      </c>
      <c r="F77" s="23">
        <f>IFERROR(INDEX(Tariffe!$B$2:$B$200,MATCH(E77,Tariffe!$A$2:$A$200,0)),"DA DEFINIRE")</f>
        <v/>
      </c>
      <c r="G77" s="16" t="n">
        <v>60</v>
      </c>
      <c r="H77" s="15" t="n">
        <v>1</v>
      </c>
      <c r="I77" s="15" t="n">
        <v>0</v>
      </c>
      <c r="J77" s="16" t="n">
        <v>60</v>
      </c>
      <c r="K77" s="16" t="n">
        <v>0</v>
      </c>
      <c r="L77" s="16" t="n">
        <v>54.55</v>
      </c>
      <c r="M77" s="16" t="n">
        <v>5.45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20261030_2359</t>
        </is>
      </c>
      <c r="B78" s="9" t="n">
        <v>46325</v>
      </c>
      <c r="C78" s="10" t="n">
        <v>0.9993055555555556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6</v>
      </c>
      <c r="I78" s="11" t="n">
        <v>0</v>
      </c>
      <c r="J78" s="12" t="n">
        <v>144</v>
      </c>
      <c r="K78" s="12" t="n">
        <v>0</v>
      </c>
      <c r="L78" s="12" t="n">
        <v>130.92</v>
      </c>
      <c r="M78" s="12" t="n">
        <v>13.08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20261031_2015</t>
        </is>
      </c>
      <c r="B79" s="13" t="n">
        <v>46326</v>
      </c>
      <c r="C79" s="14" t="n">
        <v>0.84375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1</v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20261031_2015</t>
        </is>
      </c>
      <c r="B80" s="9" t="n">
        <v>46326</v>
      </c>
      <c r="C80" s="10" t="n">
        <v>0.84375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3</v>
      </c>
      <c r="I80" s="11" t="n">
        <v>2</v>
      </c>
      <c r="J80" s="12" t="n">
        <v>180</v>
      </c>
      <c r="K80" s="12" t="n">
        <v>0</v>
      </c>
      <c r="L80" s="12" t="n">
        <v>163.65</v>
      </c>
      <c r="M80" s="12" t="n">
        <v>16.35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20261031_2015</t>
        </is>
      </c>
      <c r="B81" s="13" t="n">
        <v>46326</v>
      </c>
      <c r="C81" s="14" t="n">
        <v>0.84375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1</v>
      </c>
      <c r="I81" s="15" t="n">
        <v>0</v>
      </c>
      <c r="J81" s="16" t="n">
        <v>24</v>
      </c>
      <c r="K81" s="16" t="n">
        <v>0</v>
      </c>
      <c r="L81" s="16" t="n">
        <v>21.82</v>
      </c>
      <c r="M81" s="16" t="n">
        <v>2.18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20261031_2115</t>
        </is>
      </c>
      <c r="B82" s="9" t="n">
        <v>46326</v>
      </c>
      <c r="C82" s="10" t="n">
        <v>0.8854166666666666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5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20261031_2115</t>
        </is>
      </c>
      <c r="B83" s="13" t="n">
        <v>46326</v>
      </c>
      <c r="C83" s="14" t="n">
        <v>0.8854166666666666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20261031_2215</t>
        </is>
      </c>
      <c r="B84" s="9" t="n">
        <v>46326</v>
      </c>
      <c r="C84" s="10" t="n">
        <v>0.9270833333333334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5</v>
      </c>
      <c r="I84" s="11" t="n">
        <v>3</v>
      </c>
      <c r="J84" s="12" t="n">
        <v>240</v>
      </c>
      <c r="K84" s="12" t="n">
        <v>0</v>
      </c>
      <c r="L84" s="12" t="n">
        <v>218.2</v>
      </c>
      <c r="M84" s="12" t="n">
        <v>21.8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20261031_2215</t>
        </is>
      </c>
      <c r="B85" s="13" t="n">
        <v>46326</v>
      </c>
      <c r="C85" s="14" t="n">
        <v>0.9270833333333334</v>
      </c>
      <c r="D85" s="23" t="inlineStr">
        <is>
          <t>UN Unico</t>
        </is>
      </c>
      <c r="E85" s="23" t="inlineStr">
        <is>
          <t>I2</t>
        </is>
      </c>
      <c r="F85" s="23">
        <f>IFERROR(INDEX(Tariffe!$B$2:$B$200,MATCH(E85,Tariffe!$A$2:$A$200,0)),"DA DEFINIRE")</f>
        <v/>
      </c>
      <c r="G85" s="16" t="n">
        <v>36</v>
      </c>
      <c r="H85" s="15" t="n">
        <v>1</v>
      </c>
      <c r="I85" s="15" t="n">
        <v>0</v>
      </c>
      <c r="J85" s="16" t="n">
        <v>36</v>
      </c>
      <c r="K85" s="16" t="n">
        <v>0</v>
      </c>
      <c r="L85" s="16" t="n">
        <v>32.73</v>
      </c>
      <c r="M85" s="16" t="n">
        <v>3.27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20261031_2215</t>
        </is>
      </c>
      <c r="B86" s="9" t="n">
        <v>46326</v>
      </c>
      <c r="C86" s="10" t="n">
        <v>0.9270833333333334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11</v>
      </c>
      <c r="I86" s="11" t="n">
        <v>0</v>
      </c>
      <c r="J86" s="12" t="n">
        <v>264</v>
      </c>
      <c r="K86" s="12" t="n">
        <v>0</v>
      </c>
      <c r="L86" s="12" t="n">
        <v>240.02</v>
      </c>
      <c r="M86" s="12" t="n">
        <v>23.98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20261031_2315</t>
        </is>
      </c>
      <c r="B87" s="13" t="n">
        <v>46326</v>
      </c>
      <c r="C87" s="14" t="n">
        <v>0.96875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12</v>
      </c>
      <c r="I87" s="15" t="n">
        <v>0</v>
      </c>
      <c r="J87" s="16" t="n">
        <v>576</v>
      </c>
      <c r="K87" s="16" t="n">
        <v>0</v>
      </c>
      <c r="L87" s="16" t="n">
        <v>523.6799999999999</v>
      </c>
      <c r="M87" s="16" t="n">
        <v>52.32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20261031_2315</t>
        </is>
      </c>
      <c r="B88" s="9" t="n">
        <v>46326</v>
      </c>
      <c r="C88" s="10" t="n">
        <v>0.96875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12</v>
      </c>
      <c r="I88" s="11" t="n">
        <v>0</v>
      </c>
      <c r="J88" s="12" t="n">
        <v>288</v>
      </c>
      <c r="K88" s="12" t="n">
        <v>0</v>
      </c>
      <c r="L88" s="12" t="n">
        <v>261.84</v>
      </c>
      <c r="M88" s="12" t="n">
        <v>26.16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20261031_2359</t>
        </is>
      </c>
      <c r="B89" s="13" t="n">
        <v>46326</v>
      </c>
      <c r="C89" s="14" t="n">
        <v>0.9993055555555556</v>
      </c>
      <c r="D89" s="23" t="inlineStr">
        <is>
          <t>UN Unico</t>
        </is>
      </c>
      <c r="E89" s="23" t="inlineStr">
        <is>
          <t>I1</t>
        </is>
      </c>
      <c r="F89" s="23">
        <f>IFERROR(INDEX(Tariffe!$B$2:$B$200,MATCH(E89,Tariffe!$A$2:$A$200,0)),"DA DEFINIRE")</f>
        <v/>
      </c>
      <c r="G89" s="16" t="n">
        <v>48</v>
      </c>
      <c r="H89" s="15" t="n">
        <v>6</v>
      </c>
      <c r="I89" s="15" t="n">
        <v>0</v>
      </c>
      <c r="J89" s="16" t="n">
        <v>288</v>
      </c>
      <c r="K89" s="16" t="n">
        <v>0</v>
      </c>
      <c r="L89" s="16" t="n">
        <v>261.84</v>
      </c>
      <c r="M89" s="16" t="n">
        <v>26.16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20261031_2359</t>
        </is>
      </c>
      <c r="B90" s="9" t="n">
        <v>46326</v>
      </c>
      <c r="C90" s="10" t="n">
        <v>0.9993055555555556</v>
      </c>
      <c r="D90" s="22" t="inlineStr">
        <is>
          <t>UN Unico</t>
        </is>
      </c>
      <c r="E90" s="22" t="inlineStr">
        <is>
          <t>I5</t>
        </is>
      </c>
      <c r="F90" s="22">
        <f>IFERROR(INDEX(Tariffe!$B$2:$B$200,MATCH(E90,Tariffe!$A$2:$A$200,0)),"DA DEFINIRE")</f>
        <v/>
      </c>
      <c r="G90" s="12" t="n">
        <v>60</v>
      </c>
      <c r="H90" s="11" t="n">
        <v>1</v>
      </c>
      <c r="I90" s="11" t="n">
        <v>0</v>
      </c>
      <c r="J90" s="12" t="n">
        <v>60</v>
      </c>
      <c r="K90" s="12" t="n">
        <v>0</v>
      </c>
      <c r="L90" s="12" t="n">
        <v>54.55</v>
      </c>
      <c r="M90" s="12" t="n">
        <v>5.45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20261031_2359</t>
        </is>
      </c>
      <c r="B91" s="13" t="n">
        <v>46326</v>
      </c>
      <c r="C91" s="14" t="n">
        <v>0.9993055555555556</v>
      </c>
      <c r="D91" s="23" t="inlineStr">
        <is>
          <t>UN Unico</t>
        </is>
      </c>
      <c r="E91" s="23" t="inlineStr">
        <is>
          <t>I8</t>
        </is>
      </c>
      <c r="F91" s="23">
        <f>IFERROR(INDEX(Tariffe!$B$2:$B$200,MATCH(E91,Tariffe!$A$2:$A$200,0)),"DA DEFINIRE")</f>
        <v/>
      </c>
      <c r="G91" s="16" t="n">
        <v>24</v>
      </c>
      <c r="H91" s="15" t="n">
        <v>5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20261101_2015</t>
        </is>
      </c>
      <c r="B92" s="9" t="n">
        <v>46327</v>
      </c>
      <c r="C92" s="10" t="n">
        <v>0.84375</v>
      </c>
      <c r="D92" s="22" t="inlineStr">
        <is>
          <t>UN Unico</t>
        </is>
      </c>
      <c r="E92" s="22" t="inlineStr">
        <is>
          <t>I1</t>
        </is>
      </c>
      <c r="F92" s="22">
        <f>IFERROR(INDEX(Tariffe!$B$2:$B$200,MATCH(E92,Tariffe!$A$2:$A$200,0)),"DA DEFINIRE")</f>
        <v/>
      </c>
      <c r="G92" s="12" t="n">
        <v>48</v>
      </c>
      <c r="H92" s="11" t="n">
        <v>1</v>
      </c>
      <c r="I92" s="11" t="n">
        <v>0</v>
      </c>
      <c r="J92" s="12" t="n">
        <v>48</v>
      </c>
      <c r="K92" s="12" t="n">
        <v>0</v>
      </c>
      <c r="L92" s="12" t="n">
        <v>43.64</v>
      </c>
      <c r="M92" s="12" t="n">
        <v>4.36</v>
      </c>
      <c r="N92" s="22" t="inlineStr">
        <is>
          <t>11/2026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20261101_2115</t>
        </is>
      </c>
      <c r="B93" s="13" t="n">
        <v>46327</v>
      </c>
      <c r="C93" s="14" t="n">
        <v>0.8854166666666666</v>
      </c>
      <c r="D93" s="23" t="inlineStr">
        <is>
          <t>UN Unico</t>
        </is>
      </c>
      <c r="E93" s="23" t="inlineStr">
        <is>
          <t>I8</t>
        </is>
      </c>
      <c r="F93" s="23">
        <f>IFERROR(INDEX(Tariffe!$B$2:$B$200,MATCH(E93,Tariffe!$A$2:$A$200,0)),"DA DEFINIRE")</f>
        <v/>
      </c>
      <c r="G93" s="16" t="n">
        <v>24</v>
      </c>
      <c r="H93" s="15" t="n">
        <v>3</v>
      </c>
      <c r="I93" s="15" t="n">
        <v>0</v>
      </c>
      <c r="J93" s="16" t="n">
        <v>72</v>
      </c>
      <c r="K93" s="16" t="n">
        <v>0</v>
      </c>
      <c r="L93" s="16" t="n">
        <v>65.45999999999999</v>
      </c>
      <c r="M93" s="16" t="n">
        <v>6.54</v>
      </c>
      <c r="N93" s="23" t="inlineStr">
        <is>
          <t>11/2026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20261101_2215</t>
        </is>
      </c>
      <c r="B94" s="9" t="n">
        <v>46327</v>
      </c>
      <c r="C94" s="10" t="n">
        <v>0.9270833333333334</v>
      </c>
      <c r="D94" s="22" t="inlineStr">
        <is>
          <t>UN Unico</t>
        </is>
      </c>
      <c r="E94" s="22" t="inlineStr">
        <is>
          <t>I5</t>
        </is>
      </c>
      <c r="F94" s="22">
        <f>IFERROR(INDEX(Tariffe!$B$2:$B$200,MATCH(E94,Tariffe!$A$2:$A$200,0)),"DA DEFINIRE")</f>
        <v/>
      </c>
      <c r="G94" s="12" t="n">
        <v>60</v>
      </c>
      <c r="H94" s="11" t="n">
        <v>1</v>
      </c>
      <c r="I94" s="11" t="n">
        <v>0</v>
      </c>
      <c r="J94" s="12" t="n">
        <v>60</v>
      </c>
      <c r="K94" s="12" t="n">
        <v>0</v>
      </c>
      <c r="L94" s="12" t="n">
        <v>54.55</v>
      </c>
      <c r="M94" s="12" t="n">
        <v>5.45</v>
      </c>
      <c r="N94" s="22" t="inlineStr">
        <is>
          <t>11/2026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20261101_2215</t>
        </is>
      </c>
      <c r="B95" s="13" t="n">
        <v>46327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3</v>
      </c>
      <c r="I95" s="15" t="n">
        <v>0</v>
      </c>
      <c r="J95" s="16" t="n">
        <v>72</v>
      </c>
      <c r="K95" s="16" t="n">
        <v>0</v>
      </c>
      <c r="L95" s="16" t="n">
        <v>65.45999999999999</v>
      </c>
      <c r="M95" s="16" t="n">
        <v>6.54</v>
      </c>
      <c r="N95" s="23" t="inlineStr">
        <is>
          <t>11/2026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20261101_2315</t>
        </is>
      </c>
      <c r="B96" s="9" t="n">
        <v>46327</v>
      </c>
      <c r="C96" s="10" t="n">
        <v>0.96875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1</v>
      </c>
      <c r="I96" s="11" t="n">
        <v>0</v>
      </c>
      <c r="J96" s="12" t="n">
        <v>36</v>
      </c>
      <c r="K96" s="12" t="n">
        <v>0</v>
      </c>
      <c r="L96" s="12" t="n">
        <v>32.73</v>
      </c>
      <c r="M96" s="12" t="n">
        <v>3.27</v>
      </c>
      <c r="N96" s="22" t="inlineStr">
        <is>
          <t>11/2026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20261101_2359</t>
        </is>
      </c>
      <c r="B97" s="13" t="n">
        <v>46327</v>
      </c>
      <c r="C97" s="14" t="n">
        <v>0.9993055555555556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1</v>
      </c>
      <c r="I97" s="15" t="n">
        <v>0</v>
      </c>
      <c r="J97" s="16" t="n">
        <v>60</v>
      </c>
      <c r="K97" s="16" t="n">
        <v>0</v>
      </c>
      <c r="L97" s="16" t="n">
        <v>54.55</v>
      </c>
      <c r="M97" s="16" t="n">
        <v>5.45</v>
      </c>
      <c r="N97" s="23" t="inlineStr">
        <is>
          <t>11/2026</t>
        </is>
      </c>
      <c r="O97" s="15">
        <f>IFERROR(INDEX(Tariffe!$D$2:$D$200,MATCH(E97,Tariffe!$A$2:$A$200,0))*1,0)</f>
        <v/>
      </c>
      <c r="P97" s="15">
        <f>H97*O97</f>
        <v/>
      </c>
    </row>
  </sheetData>
  <autoFilter ref="A1:P9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</sheetData>
  <autoFilter ref="A1:G43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</sheetData>
  <autoFilter ref="A1:K35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38</v>
      </c>
      <c r="M10" s="11" t="n">
        <v>124</v>
      </c>
      <c r="N10" s="12" t="n">
        <v>1488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16</v>
      </c>
      <c r="H14" s="11" t="n">
        <v>54</v>
      </c>
      <c r="I14" s="12" t="n">
        <v>648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18</v>
      </c>
      <c r="H15" s="11" t="n">
        <v>56</v>
      </c>
      <c r="I15" s="12" t="n">
        <v>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23</v>
      </c>
      <c r="H16" s="11" t="n">
        <v>61</v>
      </c>
      <c r="I16" s="12" t="n">
        <v>732</v>
      </c>
    </row>
    <row r="17">
      <c r="A17" s="9" t="n">
        <v>46313</v>
      </c>
      <c r="B17" s="11" t="n">
        <v>17</v>
      </c>
      <c r="C17" s="11" t="n">
        <v>61</v>
      </c>
      <c r="D17" s="12" t="n">
        <v>732</v>
      </c>
      <c r="F17" s="38" t="inlineStr">
        <is>
          <t>13:00-14:00</t>
        </is>
      </c>
      <c r="G17" s="11" t="n">
        <v>17</v>
      </c>
      <c r="H17" s="11" t="n">
        <v>45</v>
      </c>
      <c r="I17" s="12" t="n">
        <v>540</v>
      </c>
    </row>
    <row r="18">
      <c r="F18" s="38" t="inlineStr">
        <is>
          <t>14:00-15:00</t>
        </is>
      </c>
      <c r="G18" s="11" t="n">
        <v>20</v>
      </c>
      <c r="H18" s="11" t="n">
        <v>62</v>
      </c>
      <c r="I18" s="12" t="n">
        <v>744</v>
      </c>
    </row>
    <row r="19">
      <c r="F19" s="38" t="inlineStr">
        <is>
          <t>15:00-16:00</t>
        </is>
      </c>
      <c r="G19" s="11" t="n">
        <v>17</v>
      </c>
      <c r="H19" s="11" t="n">
        <v>49</v>
      </c>
      <c r="I19" s="12" t="n">
        <v>588</v>
      </c>
    </row>
    <row r="20">
      <c r="F20" s="38" t="inlineStr">
        <is>
          <t>16:00-17:00</t>
        </is>
      </c>
      <c r="G20" s="11" t="n">
        <v>19</v>
      </c>
      <c r="H20" s="11" t="n">
        <v>51</v>
      </c>
      <c r="I20" s="12" t="n">
        <v>612</v>
      </c>
    </row>
    <row r="21">
      <c r="F21" s="38" t="inlineStr">
        <is>
          <t>17:00-18:00</t>
        </is>
      </c>
      <c r="G21" s="11" t="n">
        <v>19</v>
      </c>
      <c r="H21" s="11" t="n">
        <v>56</v>
      </c>
      <c r="I21" s="12" t="n">
        <v>672</v>
      </c>
    </row>
    <row r="22">
      <c r="F22" s="38" t="inlineStr">
        <is>
          <t>18:00-19:00</t>
        </is>
      </c>
      <c r="G22" s="11" t="n">
        <v>22</v>
      </c>
      <c r="H22" s="11" t="n">
        <v>59</v>
      </c>
      <c r="I22" s="12" t="n">
        <v>708</v>
      </c>
    </row>
    <row r="23">
      <c r="F23" s="38" t="inlineStr">
        <is>
          <t>19:00-20:00</t>
        </is>
      </c>
      <c r="G23" s="11" t="n">
        <v>33</v>
      </c>
      <c r="H23" s="11" t="n">
        <v>115</v>
      </c>
      <c r="I23" s="12" t="n">
        <v>1380</v>
      </c>
    </row>
    <row r="24">
      <c r="F24" s="38" t="inlineStr">
        <is>
          <t>20:00-21:00</t>
        </is>
      </c>
      <c r="G24" s="11" t="n">
        <v>36</v>
      </c>
      <c r="H24" s="11" t="n">
        <v>111</v>
      </c>
      <c r="I24" s="12" t="n">
        <v>1332</v>
      </c>
    </row>
    <row r="25">
      <c r="F25" s="38" t="inlineStr">
        <is>
          <t>21:00-22:00</t>
        </is>
      </c>
      <c r="G25" s="11" t="n">
        <v>35</v>
      </c>
      <c r="H25" s="11" t="n">
        <v>100</v>
      </c>
      <c r="I25" s="12" t="n">
        <v>1200</v>
      </c>
    </row>
    <row r="26">
      <c r="F26" s="38" t="inlineStr">
        <is>
          <t>22:00-23:00</t>
        </is>
      </c>
      <c r="G26" s="11" t="n">
        <v>55</v>
      </c>
      <c r="H26" s="11" t="n">
        <v>155</v>
      </c>
      <c r="I26" s="12" t="n">
        <v>1860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2026-10-18T12:17:45Z</dcterms:created>
  <dcterms:modified xsi:type="dcterms:W3CDTF">2026-10-18T12:17:45Z</dcterms:modified>
</cp:coreProperties>
</file>