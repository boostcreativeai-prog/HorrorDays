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'Storico'!$A$1:$G$336</definedName>
    <definedName name="_xlnm._FilterDatabase" localSheetId="8" hidden="1">'Registro vendite'!$A$1:$K$255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'Storico'!$H$2:$H$336</f>
            </numRef>
          </cat>
          <val>
            <numRef>
              <f>'Storico'!$C$2:$C$336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MAX(Storico!A2:A336)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6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5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2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I5</t>
        </is>
      </c>
      <c r="F47" s="23">
        <f>IFERROR(INDEX(Tariffe!$B$2:$B$200,MATCH(E47,Tariffe!$A$2:$A$200,0)),"DA DEFINIRE")</f>
        <v/>
      </c>
      <c r="G47" s="16" t="n">
        <v>60</v>
      </c>
      <c r="H47" s="15" t="n">
        <v>1</v>
      </c>
      <c r="I47" s="15" t="n">
        <v>0</v>
      </c>
      <c r="J47" s="16" t="n">
        <v>60</v>
      </c>
      <c r="K47" s="16" t="n">
        <v>0</v>
      </c>
      <c r="L47" s="16" t="n">
        <v>54.55</v>
      </c>
      <c r="M47" s="16" t="n">
        <v>5.45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20261025_2359</t>
        </is>
      </c>
      <c r="B48" s="9" t="n">
        <v>46320</v>
      </c>
      <c r="C48" s="10" t="n">
        <v>0.9993055555555556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3</v>
      </c>
      <c r="I48" s="11" t="n">
        <v>0</v>
      </c>
      <c r="J48" s="12" t="n">
        <v>72</v>
      </c>
      <c r="K48" s="12" t="n">
        <v>0</v>
      </c>
      <c r="L48" s="12" t="n">
        <v>65.45999999999999</v>
      </c>
      <c r="M48" s="12" t="n">
        <v>6.54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20261029_2115</t>
        </is>
      </c>
      <c r="B53" s="13" t="n">
        <v>46324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3</v>
      </c>
      <c r="I54" s="11" t="n">
        <v>0</v>
      </c>
      <c r="J54" s="12" t="n">
        <v>144</v>
      </c>
      <c r="K54" s="12" t="n">
        <v>0</v>
      </c>
      <c r="L54" s="12" t="n">
        <v>130.92</v>
      </c>
      <c r="M54" s="12" t="n">
        <v>13.08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2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4</v>
      </c>
      <c r="I57" s="15" t="n">
        <v>0</v>
      </c>
      <c r="J57" s="16" t="n">
        <v>192</v>
      </c>
      <c r="K57" s="16" t="n">
        <v>0</v>
      </c>
      <c r="L57" s="16" t="n">
        <v>174.56</v>
      </c>
      <c r="M57" s="16" t="n">
        <v>17.44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20261029_2315</t>
        </is>
      </c>
      <c r="B58" s="9" t="n">
        <v>46324</v>
      </c>
      <c r="C58" s="10" t="n">
        <v>0.96875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20261029_2359</t>
        </is>
      </c>
      <c r="B59" s="13" t="n">
        <v>46324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20261030_2015</t>
        </is>
      </c>
      <c r="B61" s="13" t="n">
        <v>46325</v>
      </c>
      <c r="C61" s="14" t="n">
        <v>0.84375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20261030_2115</t>
        </is>
      </c>
      <c r="B63" s="13" t="n">
        <v>46325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4</v>
      </c>
      <c r="I64" s="11" t="n">
        <v>0</v>
      </c>
      <c r="J64" s="12" t="n">
        <v>192</v>
      </c>
      <c r="K64" s="12" t="n">
        <v>0</v>
      </c>
      <c r="L64" s="12" t="n">
        <v>174.56</v>
      </c>
      <c r="M64" s="12" t="n">
        <v>17.44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20261030_2215</t>
        </is>
      </c>
      <c r="B65" s="13" t="n">
        <v>46325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3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3</v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1</v>
      </c>
      <c r="I67" s="15" t="n">
        <v>0</v>
      </c>
      <c r="J67" s="16" t="n">
        <v>60</v>
      </c>
      <c r="K67" s="16" t="n">
        <v>0</v>
      </c>
      <c r="L67" s="16" t="n">
        <v>54.55</v>
      </c>
      <c r="M67" s="16" t="n">
        <v>5.45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20261030_2359</t>
        </is>
      </c>
      <c r="B70" s="9" t="n">
        <v>46325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20261031_2015</t>
        </is>
      </c>
      <c r="B72" s="9" t="n">
        <v>46326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2</v>
      </c>
      <c r="I73" s="15" t="n">
        <v>0</v>
      </c>
      <c r="J73" s="16" t="n">
        <v>96</v>
      </c>
      <c r="K73" s="16" t="n">
        <v>0</v>
      </c>
      <c r="L73" s="16" t="n">
        <v>87.28</v>
      </c>
      <c r="M73" s="16" t="n">
        <v>8.720000000000001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20261031_2115</t>
        </is>
      </c>
      <c r="B74" s="9" t="n">
        <v>46326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5</v>
      </c>
      <c r="I74" s="11" t="n">
        <v>0</v>
      </c>
      <c r="J74" s="12" t="n">
        <v>120</v>
      </c>
      <c r="K74" s="12" t="n">
        <v>0</v>
      </c>
      <c r="L74" s="12" t="n">
        <v>109.1</v>
      </c>
      <c r="M74" s="12" t="n">
        <v>10.9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4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7</v>
      </c>
      <c r="I77" s="15" t="n">
        <v>0</v>
      </c>
      <c r="J77" s="16" t="n">
        <v>168</v>
      </c>
      <c r="K77" s="16" t="n">
        <v>0</v>
      </c>
      <c r="L77" s="16" t="n">
        <v>152.74</v>
      </c>
      <c r="M77" s="16" t="n">
        <v>15.26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9</v>
      </c>
      <c r="I78" s="11" t="n">
        <v>0</v>
      </c>
      <c r="J78" s="12" t="n">
        <v>432</v>
      </c>
      <c r="K78" s="12" t="n">
        <v>0</v>
      </c>
      <c r="L78" s="12" t="n">
        <v>392.76</v>
      </c>
      <c r="M78" s="12" t="n">
        <v>39.24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20261031_2315</t>
        </is>
      </c>
      <c r="B79" s="13" t="n">
        <v>46326</v>
      </c>
      <c r="C79" s="14" t="n">
        <v>0.96875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5</v>
      </c>
      <c r="I80" s="11" t="n">
        <v>0</v>
      </c>
      <c r="J80" s="12" t="n">
        <v>240</v>
      </c>
      <c r="K80" s="12" t="n">
        <v>0</v>
      </c>
      <c r="L80" s="12" t="n">
        <v>218.2</v>
      </c>
      <c r="M80" s="12" t="n">
        <v>21.8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20261031_2359</t>
        </is>
      </c>
      <c r="B81" s="13" t="n">
        <v>46326</v>
      </c>
      <c r="C81" s="14" t="n">
        <v>0.9993055555555556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20261101_2015</t>
        </is>
      </c>
      <c r="B82" s="9" t="n">
        <v>46327</v>
      </c>
      <c r="C82" s="10" t="n">
        <v>0.84375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20261101_2115</t>
        </is>
      </c>
      <c r="B83" s="13" t="n">
        <v>46327</v>
      </c>
      <c r="C83" s="14" t="n">
        <v>0.8854166666666666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3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20261101_2215</t>
        </is>
      </c>
      <c r="B85" s="13" t="n">
        <v>46327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2</v>
      </c>
      <c r="I85" s="15" t="n">
        <v>0</v>
      </c>
      <c r="J85" s="16" t="n">
        <v>48</v>
      </c>
      <c r="K85" s="16" t="n">
        <v>0</v>
      </c>
      <c r="L85" s="16" t="n">
        <v>43.64</v>
      </c>
      <c r="M85" s="16" t="n">
        <v>4.36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20261101_2359</t>
        </is>
      </c>
      <c r="B86" s="9" t="n">
        <v>46327</v>
      </c>
      <c r="C86" s="10" t="n">
        <v>0.9993055555555556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</sheetData>
  <autoFilter ref="A1:P8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</sheetData>
  <autoFilter ref="A1:G33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</sheetData>
  <autoFilter ref="A1:K25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47</v>
      </c>
      <c r="M7" s="11" t="n">
        <v>154</v>
      </c>
      <c r="N7" s="12" t="n">
        <v>1848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12</v>
      </c>
      <c r="C14" s="11" t="n">
        <v>41</v>
      </c>
      <c r="D14" s="12" t="n">
        <v>492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2026-10-15T13:39:50Z</dcterms:created>
  <dcterms:modified xsi:type="dcterms:W3CDTF">2026-10-15T13:39:50Z</dcterms:modified>
</cp:coreProperties>
</file>