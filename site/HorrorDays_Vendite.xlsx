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'Vendite'!$A$1:$R$161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'Storico'!$A$1:$G$912</definedName>
    <definedName name="_xlnm._FilterDatabase" localSheetId="8" hidden="1">'Registro vendite'!$A$1:$K$1727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'Storico'!$H$2:$H$912</f>
            </numRef>
          </cat>
          <val>
            <numRef>
              <f>'Storico'!$C$2:$C$912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816</v>
      </c>
      <c r="K126" s="12" t="n">
        <v>0</v>
      </c>
      <c r="L126" s="12" t="n">
        <v>741.88</v>
      </c>
      <c r="M126" s="12" t="n">
        <v>74.12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17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240</v>
      </c>
      <c r="K128" s="12" t="n">
        <v>0</v>
      </c>
      <c r="L128" s="12" t="n">
        <v>218.2</v>
      </c>
      <c r="M128" s="12" t="n">
        <v>21.8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432</v>
      </c>
      <c r="K129" s="16" t="n">
        <v>0</v>
      </c>
      <c r="L129" s="16" t="n">
        <v>392.76</v>
      </c>
      <c r="M129" s="16" t="n">
        <v>39.24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360</v>
      </c>
      <c r="K131" s="16" t="n">
        <v>0</v>
      </c>
      <c r="L131" s="16" t="n">
        <v>327.3</v>
      </c>
      <c r="M131" s="16" t="n">
        <v>32.7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480</v>
      </c>
      <c r="K132" s="12" t="n">
        <v>0</v>
      </c>
      <c r="L132" s="12" t="n">
        <v>436.4</v>
      </c>
      <c r="M132" s="12" t="n">
        <v>43.6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8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840</v>
      </c>
      <c r="K133" s="16" t="n">
        <v>0</v>
      </c>
      <c r="L133" s="16" t="n">
        <v>763.7</v>
      </c>
      <c r="M133" s="16" t="n">
        <v>76.3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35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840</v>
      </c>
      <c r="K149" s="16" t="n">
        <v>0</v>
      </c>
      <c r="L149" s="16" t="n">
        <v>763.7</v>
      </c>
      <c r="M149" s="16" t="n">
        <v>76.3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48</v>
      </c>
      <c r="K150" s="12" t="n">
        <v>0</v>
      </c>
      <c r="L150" s="12" t="n">
        <v>43.64</v>
      </c>
      <c r="M150" s="12" t="n">
        <v>4.36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20261102_2115</t>
        </is>
      </c>
      <c r="B152" s="9" t="n">
        <v>46328</v>
      </c>
      <c r="C152" s="10" t="n">
        <v>0.8854166666666666</v>
      </c>
      <c r="D152" s="22" t="inlineStr">
        <is>
          <t>UN Unico</t>
        </is>
      </c>
      <c r="E152" s="22" t="inlineStr">
        <is>
          <t>I2 36€</t>
        </is>
      </c>
      <c r="F152" s="22">
        <f>IFERROR(INDEX(Tariffe!$B$2:$B$200,MATCH(E152,Tariffe!$A$2:$A$200,0)),"DA DEFINIRE")</f>
        <v/>
      </c>
      <c r="G152" s="12" t="n">
        <v>36</v>
      </c>
      <c r="H152" s="11">
        <f>Q152*R152</f>
        <v/>
      </c>
      <c r="I152" s="11" t="n">
        <v>0</v>
      </c>
      <c r="J152" s="12" t="n">
        <v>36</v>
      </c>
      <c r="K152" s="12" t="n">
        <v>0</v>
      </c>
      <c r="L152" s="12" t="n">
        <v>32.73</v>
      </c>
      <c r="M152" s="12" t="n">
        <v>3.27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20261102_2115</t>
        </is>
      </c>
      <c r="B153" s="13" t="n">
        <v>46328</v>
      </c>
      <c r="C153" s="14" t="n">
        <v>0.8854166666666666</v>
      </c>
      <c r="D153" s="23" t="inlineStr">
        <is>
          <t>UN Unico</t>
        </is>
      </c>
      <c r="E153" s="23" t="inlineStr">
        <is>
          <t>I5 60€</t>
        </is>
      </c>
      <c r="F153" s="23">
        <f>IFERROR(INDEX(Tariffe!$B$2:$B$200,MATCH(E153,Tariffe!$A$2:$A$200,0)),"DA DEFINIRE")</f>
        <v/>
      </c>
      <c r="G153" s="16" t="n">
        <v>60</v>
      </c>
      <c r="H153" s="15">
        <f>Q153*R153</f>
        <v/>
      </c>
      <c r="I153" s="15" t="n">
        <v>0</v>
      </c>
      <c r="J153" s="16" t="n">
        <v>60</v>
      </c>
      <c r="K153" s="16" t="n">
        <v>0</v>
      </c>
      <c r="L153" s="16" t="n">
        <v>54.55</v>
      </c>
      <c r="M153" s="16" t="n">
        <v>5.45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20261102_2115</t>
        </is>
      </c>
      <c r="B154" s="9" t="n">
        <v>46328</v>
      </c>
      <c r="C154" s="10" t="n">
        <v>0.8854166666666666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96</v>
      </c>
      <c r="K154" s="12" t="n">
        <v>0</v>
      </c>
      <c r="L154" s="12" t="n">
        <v>87.28</v>
      </c>
      <c r="M154" s="12" t="n">
        <v>8.720000000000001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4</v>
      </c>
      <c r="R154" s="11">
        <f>IFERROR(INDEX(Tariffe!$E$2:$E$200,MATCH(E154,Tariffe!$A$2:$A$200,0))*1,1)</f>
        <v/>
      </c>
    </row>
    <row r="155">
      <c r="A155" s="23" t="inlineStr">
        <is>
          <t>20261102_2215</t>
        </is>
      </c>
      <c r="B155" s="13" t="n">
        <v>46328</v>
      </c>
      <c r="C155" s="14" t="n">
        <v>0.9270833333333334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96</v>
      </c>
      <c r="K155" s="16" t="n">
        <v>0</v>
      </c>
      <c r="L155" s="16" t="n">
        <v>87.28</v>
      </c>
      <c r="M155" s="16" t="n">
        <v>8.720000000000001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2</v>
      </c>
      <c r="R155" s="15">
        <f>IFERROR(INDEX(Tariffe!$E$2:$E$200,MATCH(E155,Tariffe!$A$2:$A$200,0))*1,1)</f>
        <v/>
      </c>
    </row>
    <row r="156">
      <c r="A156" s="22" t="inlineStr">
        <is>
          <t>20261102_2215</t>
        </is>
      </c>
      <c r="B156" s="9" t="n">
        <v>46328</v>
      </c>
      <c r="C156" s="10" t="n">
        <v>0.9270833333333334</v>
      </c>
      <c r="D156" s="22" t="inlineStr">
        <is>
          <t>UN Unico</t>
        </is>
      </c>
      <c r="E156" s="22" t="inlineStr">
        <is>
          <t>I2 36€</t>
        </is>
      </c>
      <c r="F156" s="22">
        <f>IFERROR(INDEX(Tariffe!$B$2:$B$200,MATCH(E156,Tariffe!$A$2:$A$200,0)),"DA DEFINIRE")</f>
        <v/>
      </c>
      <c r="G156" s="12" t="n">
        <v>36</v>
      </c>
      <c r="H156" s="11">
        <f>Q156*R156</f>
        <v/>
      </c>
      <c r="I156" s="11" t="n">
        <v>0</v>
      </c>
      <c r="J156" s="12" t="n">
        <v>72</v>
      </c>
      <c r="K156" s="12" t="n">
        <v>0</v>
      </c>
      <c r="L156" s="12" t="n">
        <v>65.45999999999999</v>
      </c>
      <c r="M156" s="12" t="n">
        <v>6.54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2</v>
      </c>
      <c r="R156" s="11">
        <f>IFERROR(INDEX(Tariffe!$E$2:$E$200,MATCH(E156,Tariffe!$A$2:$A$200,0))*1,1)</f>
        <v/>
      </c>
    </row>
    <row r="157">
      <c r="A157" s="23" t="inlineStr">
        <is>
          <t>20261102_2215</t>
        </is>
      </c>
      <c r="B157" s="13" t="n">
        <v>46328</v>
      </c>
      <c r="C157" s="14" t="n">
        <v>0.9270833333333334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48</v>
      </c>
      <c r="K157" s="16" t="n">
        <v>0</v>
      </c>
      <c r="L157" s="16" t="n">
        <v>43.64</v>
      </c>
      <c r="M157" s="16" t="n">
        <v>4.36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2</v>
      </c>
      <c r="R157" s="15">
        <f>IFERROR(INDEX(Tariffe!$E$2:$E$200,MATCH(E157,Tariffe!$A$2:$A$200,0))*1,1)</f>
        <v/>
      </c>
    </row>
    <row r="158">
      <c r="A158" s="22" t="inlineStr">
        <is>
          <t>20261102_2315</t>
        </is>
      </c>
      <c r="B158" s="9" t="n">
        <v>46328</v>
      </c>
      <c r="C158" s="10" t="n">
        <v>0.96875</v>
      </c>
      <c r="D158" s="22" t="inlineStr">
        <is>
          <t>UN Unico</t>
        </is>
      </c>
      <c r="E158" s="22" t="inlineStr">
        <is>
          <t>I1 48€</t>
        </is>
      </c>
      <c r="F158" s="22">
        <f>IFERROR(INDEX(Tariffe!$B$2:$B$200,MATCH(E158,Tariffe!$A$2:$A$200,0)),"DA DEFINIRE")</f>
        <v/>
      </c>
      <c r="G158" s="12" t="n">
        <v>48</v>
      </c>
      <c r="H158" s="11">
        <f>Q158*R158</f>
        <v/>
      </c>
      <c r="I158" s="11" t="n">
        <v>0</v>
      </c>
      <c r="J158" s="12" t="n">
        <v>48</v>
      </c>
      <c r="K158" s="12" t="n">
        <v>0</v>
      </c>
      <c r="L158" s="12" t="n">
        <v>43.64</v>
      </c>
      <c r="M158" s="12" t="n">
        <v>4.36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1</v>
      </c>
      <c r="R158" s="11">
        <f>IFERROR(INDEX(Tariffe!$E$2:$E$200,MATCH(E158,Tariffe!$A$2:$A$200,0))*1,1)</f>
        <v/>
      </c>
    </row>
    <row r="159">
      <c r="A159" s="23" t="inlineStr">
        <is>
          <t>20261102_2315</t>
        </is>
      </c>
      <c r="B159" s="13" t="n">
        <v>46328</v>
      </c>
      <c r="C159" s="14" t="n">
        <v>0.96875</v>
      </c>
      <c r="D159" s="23" t="inlineStr">
        <is>
          <t>UN Unico</t>
        </is>
      </c>
      <c r="E159" s="23" t="inlineStr">
        <is>
          <t>I8 24€</t>
        </is>
      </c>
      <c r="F159" s="23">
        <f>IFERROR(INDEX(Tariffe!$B$2:$B$200,MATCH(E159,Tariffe!$A$2:$A$200,0)),"DA DEFINIRE")</f>
        <v/>
      </c>
      <c r="G159" s="16" t="n">
        <v>24</v>
      </c>
      <c r="H159" s="15">
        <f>Q159*R159</f>
        <v/>
      </c>
      <c r="I159" s="15" t="n">
        <v>0</v>
      </c>
      <c r="J159" s="16" t="n">
        <v>48</v>
      </c>
      <c r="K159" s="16" t="n">
        <v>0</v>
      </c>
      <c r="L159" s="16" t="n">
        <v>43.64</v>
      </c>
      <c r="M159" s="16" t="n">
        <v>4.36</v>
      </c>
      <c r="N159" s="23" t="inlineStr">
        <is>
          <t>11/2026</t>
        </is>
      </c>
      <c r="O159" s="15">
        <f>IFERROR(INDEX(Tariffe!$D$2:$D$200,MATCH(E159,Tariffe!$A$2:$A$200,0))*1,0)</f>
        <v/>
      </c>
      <c r="P159" s="15">
        <f>Q159*O159</f>
        <v/>
      </c>
      <c r="Q159" s="15" t="n">
        <v>2</v>
      </c>
      <c r="R159" s="15">
        <f>IFERROR(INDEX(Tariffe!$E$2:$E$200,MATCH(E159,Tariffe!$A$2:$A$200,0))*1,1)</f>
        <v/>
      </c>
    </row>
    <row r="160">
      <c r="A160" s="22" t="inlineStr">
        <is>
          <t>20261102_2359</t>
        </is>
      </c>
      <c r="B160" s="9" t="n">
        <v>46328</v>
      </c>
      <c r="C160" s="10" t="n">
        <v>0.9993055555555556</v>
      </c>
      <c r="D160" s="22" t="inlineStr">
        <is>
          <t>UN Unico</t>
        </is>
      </c>
      <c r="E160" s="22" t="inlineStr">
        <is>
          <t>I1 48€</t>
        </is>
      </c>
      <c r="F160" s="22">
        <f>IFERROR(INDEX(Tariffe!$B$2:$B$200,MATCH(E160,Tariffe!$A$2:$A$200,0)),"DA DEFINIRE")</f>
        <v/>
      </c>
      <c r="G160" s="12" t="n">
        <v>48</v>
      </c>
      <c r="H160" s="11">
        <f>Q160*R160</f>
        <v/>
      </c>
      <c r="I160" s="11" t="n">
        <v>0</v>
      </c>
      <c r="J160" s="12" t="n">
        <v>48</v>
      </c>
      <c r="K160" s="12" t="n">
        <v>0</v>
      </c>
      <c r="L160" s="12" t="n">
        <v>43.64</v>
      </c>
      <c r="M160" s="12" t="n">
        <v>4.36</v>
      </c>
      <c r="N160" s="22" t="inlineStr">
        <is>
          <t>11/2026</t>
        </is>
      </c>
      <c r="O160" s="11">
        <f>IFERROR(INDEX(Tariffe!$D$2:$D$200,MATCH(E160,Tariffe!$A$2:$A$200,0))*1,0)</f>
        <v/>
      </c>
      <c r="P160" s="11">
        <f>Q160*O160</f>
        <v/>
      </c>
      <c r="Q160" s="11" t="n">
        <v>1</v>
      </c>
      <c r="R160" s="11">
        <f>IFERROR(INDEX(Tariffe!$E$2:$E$200,MATCH(E160,Tariffe!$A$2:$A$200,0))*1,1)</f>
        <v/>
      </c>
    </row>
    <row r="161">
      <c r="A161" s="23" t="inlineStr">
        <is>
          <t>20261102_2359</t>
        </is>
      </c>
      <c r="B161" s="13" t="n">
        <v>46328</v>
      </c>
      <c r="C161" s="14" t="n">
        <v>0.9993055555555556</v>
      </c>
      <c r="D161" s="23" t="inlineStr">
        <is>
          <t>UN Unico</t>
        </is>
      </c>
      <c r="E161" s="23" t="inlineStr">
        <is>
          <t>I8 24€</t>
        </is>
      </c>
      <c r="F161" s="23">
        <f>IFERROR(INDEX(Tariffe!$B$2:$B$200,MATCH(E161,Tariffe!$A$2:$A$200,0)),"DA DEFINIRE")</f>
        <v/>
      </c>
      <c r="G161" s="16" t="n">
        <v>24</v>
      </c>
      <c r="H161" s="15">
        <f>Q161*R161</f>
        <v/>
      </c>
      <c r="I161" s="15" t="n">
        <v>0</v>
      </c>
      <c r="J161" s="16" t="n">
        <v>24</v>
      </c>
      <c r="K161" s="16" t="n">
        <v>0</v>
      </c>
      <c r="L161" s="16" t="n">
        <v>21.82</v>
      </c>
      <c r="M161" s="16" t="n">
        <v>2.18</v>
      </c>
      <c r="N161" s="23" t="inlineStr">
        <is>
          <t>11/2026</t>
        </is>
      </c>
      <c r="O161" s="15">
        <f>IFERROR(INDEX(Tariffe!$D$2:$D$200,MATCH(E161,Tariffe!$A$2:$A$200,0))*1,0)</f>
        <v/>
      </c>
      <c r="P161" s="15">
        <f>Q161*O161</f>
        <v/>
      </c>
      <c r="Q161" s="15" t="n">
        <v>1</v>
      </c>
      <c r="R161" s="15">
        <f>IFERROR(INDEX(Tariffe!$E$2:$E$200,MATCH(E161,Tariffe!$A$2:$A$200,0))*1,1)</f>
        <v/>
      </c>
    </row>
  </sheetData>
  <autoFilter ref="A1:R1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  <row r="910">
      <c r="A910" s="30" t="n">
        <v>46326.51388888889</v>
      </c>
      <c r="B910" s="11" t="n">
        <v>2708</v>
      </c>
      <c r="C910" s="11" t="n">
        <v>8549</v>
      </c>
      <c r="D910" s="12" t="n">
        <v>102588</v>
      </c>
      <c r="E910" s="31">
        <f>B910-B909</f>
        <v/>
      </c>
      <c r="F910" s="31">
        <f>C910-C909</f>
        <v/>
      </c>
      <c r="G910" s="32">
        <f>D910-D909</f>
        <v/>
      </c>
      <c r="H910">
        <f>TEXT(A910,"DD/MM HH:MM")</f>
        <v/>
      </c>
    </row>
    <row r="911">
      <c r="A911" s="33" t="n">
        <v>46326.57361111111</v>
      </c>
      <c r="B911" s="15" t="n">
        <v>2718</v>
      </c>
      <c r="C911" s="15" t="n">
        <v>8578</v>
      </c>
      <c r="D911" s="16" t="n">
        <v>102936</v>
      </c>
      <c r="E911" s="34">
        <f>B911-B910</f>
        <v/>
      </c>
      <c r="F911" s="34">
        <f>C911-C910</f>
        <v/>
      </c>
      <c r="G911" s="35">
        <f>D911-D910</f>
        <v/>
      </c>
      <c r="H911">
        <f>TEXT(A911,"DD/MM HH:MM")</f>
        <v/>
      </c>
    </row>
    <row r="912">
      <c r="A912" s="30" t="n">
        <v>46326.60069444445</v>
      </c>
      <c r="B912" s="11" t="n">
        <v>2728</v>
      </c>
      <c r="C912" s="11" t="n">
        <v>8609</v>
      </c>
      <c r="D912" s="12" t="n">
        <v>103308</v>
      </c>
      <c r="E912" s="31">
        <f>B912-B911</f>
        <v/>
      </c>
      <c r="F912" s="31">
        <f>C912-C911</f>
        <v/>
      </c>
      <c r="G912" s="32">
        <f>D912-D911</f>
        <v/>
      </c>
      <c r="H912">
        <f>TEXT(A912,"DD/MM HH:MM")</f>
        <v/>
      </c>
    </row>
  </sheetData>
  <autoFilter ref="A1:G9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  <row r="1717">
      <c r="A1717" s="33" t="n">
        <v>46326.49097222222</v>
      </c>
      <c r="B1717" s="33" t="n">
        <v>46326.51388888889</v>
      </c>
      <c r="C1717" s="13" t="n">
        <v>46327</v>
      </c>
      <c r="D1717" s="14" t="n">
        <v>0.84375</v>
      </c>
      <c r="E1717" s="37" t="n">
        <v>1</v>
      </c>
      <c r="F1717" s="37" t="n">
        <v>0</v>
      </c>
      <c r="G1717" s="37" t="n">
        <v>0</v>
      </c>
      <c r="H1717" s="37" t="n">
        <v>0</v>
      </c>
      <c r="I1717" s="37" t="n">
        <v>1</v>
      </c>
      <c r="J1717" s="37" t="n">
        <v>5</v>
      </c>
      <c r="K1717" s="16" t="n">
        <v>60</v>
      </c>
    </row>
    <row r="1718">
      <c r="A1718" s="30" t="n">
        <v>46326.49097222222</v>
      </c>
      <c r="B1718" s="30" t="n">
        <v>46326.51388888889</v>
      </c>
      <c r="C1718" s="9" t="n">
        <v>46328</v>
      </c>
      <c r="D1718" s="10" t="n">
        <v>0.8854166666666666</v>
      </c>
      <c r="E1718" s="36" t="n">
        <v>1</v>
      </c>
      <c r="F1718" s="36" t="n">
        <v>0</v>
      </c>
      <c r="G1718" s="36" t="n">
        <v>0</v>
      </c>
      <c r="H1718" s="36" t="n">
        <v>0</v>
      </c>
      <c r="I1718" s="36" t="n">
        <v>1</v>
      </c>
      <c r="J1718" s="36" t="n">
        <v>5</v>
      </c>
      <c r="K1718" s="12" t="n">
        <v>60</v>
      </c>
    </row>
    <row r="1719">
      <c r="A1719" s="33" t="n">
        <v>46326.49097222222</v>
      </c>
      <c r="B1719" s="33" t="n">
        <v>46326.51388888889</v>
      </c>
      <c r="C1719" s="13" t="n">
        <v>46328</v>
      </c>
      <c r="D1719" s="14" t="n">
        <v>0.96875</v>
      </c>
      <c r="E1719" s="37" t="n">
        <v>1</v>
      </c>
      <c r="F1719" s="37" t="n">
        <v>1</v>
      </c>
      <c r="G1719" s="37" t="n">
        <v>0</v>
      </c>
      <c r="H1719" s="37" t="n">
        <v>0</v>
      </c>
      <c r="I1719" s="37" t="n">
        <v>0</v>
      </c>
      <c r="J1719" s="37" t="n">
        <v>2</v>
      </c>
      <c r="K1719" s="16" t="n">
        <v>24</v>
      </c>
    </row>
    <row r="1720">
      <c r="A1720" s="30" t="n">
        <v>46326.51388888889</v>
      </c>
      <c r="B1720" s="30" t="n">
        <v>46326.57361111111</v>
      </c>
      <c r="C1720" s="9" t="n">
        <v>46327</v>
      </c>
      <c r="D1720" s="10" t="n">
        <v>0.8020833333333334</v>
      </c>
      <c r="E1720" s="36" t="n">
        <v>2</v>
      </c>
      <c r="F1720" s="36" t="n">
        <v>0</v>
      </c>
      <c r="G1720" s="36" t="n">
        <v>0</v>
      </c>
      <c r="H1720" s="36" t="n">
        <v>1</v>
      </c>
      <c r="I1720" s="36" t="n">
        <v>1</v>
      </c>
      <c r="J1720" s="36" t="n">
        <v>9</v>
      </c>
      <c r="K1720" s="12" t="n">
        <v>108</v>
      </c>
    </row>
    <row r="1721">
      <c r="A1721" s="33" t="n">
        <v>46326.51388888889</v>
      </c>
      <c r="B1721" s="33" t="n">
        <v>46326.57361111111</v>
      </c>
      <c r="C1721" s="13" t="n">
        <v>46327</v>
      </c>
      <c r="D1721" s="14" t="n">
        <v>0.84375</v>
      </c>
      <c r="E1721" s="37" t="n">
        <v>3</v>
      </c>
      <c r="F1721" s="37" t="n">
        <v>2</v>
      </c>
      <c r="G1721" s="37" t="n">
        <v>1</v>
      </c>
      <c r="H1721" s="37" t="n">
        <v>0</v>
      </c>
      <c r="I1721" s="37" t="n">
        <v>0</v>
      </c>
      <c r="J1721" s="37" t="n">
        <v>7</v>
      </c>
      <c r="K1721" s="16" t="n">
        <v>84</v>
      </c>
    </row>
    <row r="1722">
      <c r="A1722" s="30" t="n">
        <v>46326.51388888889</v>
      </c>
      <c r="B1722" s="30" t="n">
        <v>46326.57361111111</v>
      </c>
      <c r="C1722" s="9" t="n">
        <v>46327</v>
      </c>
      <c r="D1722" s="10" t="n">
        <v>0.9993055555555556</v>
      </c>
      <c r="E1722" s="36" t="n">
        <v>1</v>
      </c>
      <c r="F1722" s="36" t="n">
        <v>1</v>
      </c>
      <c r="G1722" s="36" t="n">
        <v>0</v>
      </c>
      <c r="H1722" s="36" t="n">
        <v>0</v>
      </c>
      <c r="I1722" s="36" t="n">
        <v>0</v>
      </c>
      <c r="J1722" s="36" t="n">
        <v>2</v>
      </c>
      <c r="K1722" s="12" t="n">
        <v>24</v>
      </c>
    </row>
    <row r="1723">
      <c r="A1723" s="33" t="n">
        <v>46326.51388888889</v>
      </c>
      <c r="B1723" s="33" t="n">
        <v>46326.57361111111</v>
      </c>
      <c r="C1723" s="13" t="n">
        <v>46328</v>
      </c>
      <c r="D1723" s="14" t="n">
        <v>0.8854166666666666</v>
      </c>
      <c r="E1723" s="37" t="n">
        <v>2</v>
      </c>
      <c r="F1723" s="37" t="n">
        <v>1</v>
      </c>
      <c r="G1723" s="37" t="n">
        <v>0</v>
      </c>
      <c r="H1723" s="37" t="n">
        <v>1</v>
      </c>
      <c r="I1723" s="37" t="n">
        <v>0</v>
      </c>
      <c r="J1723" s="37" t="n">
        <v>6</v>
      </c>
      <c r="K1723" s="16" t="n">
        <v>72</v>
      </c>
    </row>
    <row r="1724">
      <c r="A1724" s="30" t="n">
        <v>46326.51388888889</v>
      </c>
      <c r="B1724" s="30" t="n">
        <v>46326.57361111111</v>
      </c>
      <c r="C1724" s="9" t="n">
        <v>46328</v>
      </c>
      <c r="D1724" s="10" t="n">
        <v>0.9270833333333334</v>
      </c>
      <c r="E1724" s="36" t="n">
        <v>2</v>
      </c>
      <c r="F1724" s="36" t="n">
        <v>1</v>
      </c>
      <c r="G1724" s="36" t="n">
        <v>1</v>
      </c>
      <c r="H1724" s="36" t="n">
        <v>0</v>
      </c>
      <c r="I1724" s="36" t="n">
        <v>0</v>
      </c>
      <c r="J1724" s="36" t="n">
        <v>5</v>
      </c>
      <c r="K1724" s="12" t="n">
        <v>60</v>
      </c>
    </row>
    <row r="1725">
      <c r="A1725" s="33" t="n">
        <v>46326.57361111111</v>
      </c>
      <c r="B1725" s="33" t="n">
        <v>46326.60069444445</v>
      </c>
      <c r="C1725" s="13" t="n">
        <v>46327</v>
      </c>
      <c r="D1725" s="14" t="n">
        <v>0.8020833333333334</v>
      </c>
      <c r="E1725" s="37" t="n">
        <v>8</v>
      </c>
      <c r="F1725" s="37" t="n">
        <v>2</v>
      </c>
      <c r="G1725" s="37" t="n">
        <v>2</v>
      </c>
      <c r="H1725" s="37" t="n">
        <v>4</v>
      </c>
      <c r="I1725" s="37" t="n">
        <v>0</v>
      </c>
      <c r="J1725" s="37" t="n">
        <v>26</v>
      </c>
      <c r="K1725" s="16" t="n">
        <v>312</v>
      </c>
    </row>
    <row r="1726">
      <c r="A1726" s="30" t="n">
        <v>46326.57361111111</v>
      </c>
      <c r="B1726" s="30" t="n">
        <v>46326.60069444445</v>
      </c>
      <c r="C1726" s="9" t="n">
        <v>46328</v>
      </c>
      <c r="D1726" s="10" t="n">
        <v>0.84375</v>
      </c>
      <c r="E1726" s="36" t="n">
        <v>1</v>
      </c>
      <c r="F1726" s="36" t="n">
        <v>1</v>
      </c>
      <c r="G1726" s="36" t="n">
        <v>0</v>
      </c>
      <c r="H1726" s="36" t="n">
        <v>0</v>
      </c>
      <c r="I1726" s="36" t="n">
        <v>0</v>
      </c>
      <c r="J1726" s="36" t="n">
        <v>2</v>
      </c>
      <c r="K1726" s="12" t="n">
        <v>24</v>
      </c>
    </row>
    <row r="1727">
      <c r="A1727" s="33" t="n">
        <v>46326.57361111111</v>
      </c>
      <c r="B1727" s="33" t="n">
        <v>46326.60069444445</v>
      </c>
      <c r="C1727" s="13" t="n">
        <v>46328</v>
      </c>
      <c r="D1727" s="14" t="n">
        <v>0.8854166666666666</v>
      </c>
      <c r="E1727" s="37" t="n">
        <v>1</v>
      </c>
      <c r="F1727" s="37" t="n">
        <v>0</v>
      </c>
      <c r="G1727" s="37" t="n">
        <v>1</v>
      </c>
      <c r="H1727" s="37" t="n">
        <v>0</v>
      </c>
      <c r="I1727" s="37" t="n">
        <v>0</v>
      </c>
      <c r="J1727" s="37" t="n">
        <v>3</v>
      </c>
      <c r="K1727" s="16" t="n">
        <v>36</v>
      </c>
    </row>
  </sheetData>
  <autoFilter ref="A1:K17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364</v>
      </c>
      <c r="M9" s="11" t="n">
        <v>1111</v>
      </c>
      <c r="N9" s="12" t="n">
        <v>13332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116</v>
      </c>
      <c r="H16" s="11" t="n">
        <v>360</v>
      </c>
      <c r="I16" s="12" t="n">
        <v>4320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161</v>
      </c>
      <c r="H17" s="11" t="n">
        <v>503</v>
      </c>
      <c r="I17" s="12" t="n">
        <v>6036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218</v>
      </c>
      <c r="H18" s="11" t="n">
        <v>700</v>
      </c>
      <c r="I18" s="12" t="n">
        <v>8400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51</v>
      </c>
      <c r="C30" s="11" t="n">
        <v>156</v>
      </c>
      <c r="D30" s="12" t="n">
        <v>1872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2026-10-31T13:25:51Z</dcterms:created>
  <dcterms:modified xsi:type="dcterms:W3CDTF">2026-10-31T13:25:52Z</dcterms:modified>
</cp:coreProperties>
</file>