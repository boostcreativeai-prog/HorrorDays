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'Storico'!$A$1:$G$779</definedName>
    <definedName name="_xlnm._FilterDatabase" localSheetId="8" hidden="1">'Registro vendite'!$A$1:$K$1278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'Storico'!$H$2:$H$779</f>
            </numRef>
          </cat>
          <val>
            <numRef>
              <f>'Storico'!$C$2:$C$779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432</v>
      </c>
      <c r="K69" s="16" t="n">
        <v>0</v>
      </c>
      <c r="L69" s="16" t="n">
        <v>392.76</v>
      </c>
      <c r="M69" s="16" t="n">
        <v>39.24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18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744</v>
      </c>
      <c r="K73" s="16" t="n">
        <v>0</v>
      </c>
      <c r="L73" s="16" t="n">
        <v>676.42</v>
      </c>
      <c r="M73" s="16" t="n">
        <v>67.58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31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912</v>
      </c>
      <c r="K74" s="12" t="n">
        <v>0</v>
      </c>
      <c r="L74" s="12" t="n">
        <v>829.16</v>
      </c>
      <c r="M74" s="12" t="n">
        <v>82.84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19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4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720</v>
      </c>
      <c r="K76" s="12" t="n">
        <v>0</v>
      </c>
      <c r="L76" s="12" t="n">
        <v>654.6</v>
      </c>
      <c r="M76" s="12" t="n">
        <v>65.40000000000001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12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18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264</v>
      </c>
      <c r="K80" s="12" t="n">
        <v>0</v>
      </c>
      <c r="L80" s="12" t="n">
        <v>240.02</v>
      </c>
      <c r="M80" s="12" t="n">
        <v>23.98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6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384</v>
      </c>
      <c r="K86" s="12" t="n">
        <v>0</v>
      </c>
      <c r="L86" s="12" t="n">
        <v>349.12</v>
      </c>
      <c r="M86" s="12" t="n">
        <v>34.88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16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1488</v>
      </c>
      <c r="K87" s="16" t="n">
        <v>0</v>
      </c>
      <c r="L87" s="16" t="n">
        <v>1352.84</v>
      </c>
      <c r="M87" s="16" t="n">
        <v>135.16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31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420</v>
      </c>
      <c r="K89" s="16" t="n">
        <v>0</v>
      </c>
      <c r="L89" s="16" t="n">
        <v>381.85</v>
      </c>
      <c r="M89" s="16" t="n">
        <v>38.15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768</v>
      </c>
      <c r="K91" s="16" t="n">
        <v>0</v>
      </c>
      <c r="L91" s="16" t="n">
        <v>698.24</v>
      </c>
      <c r="M91" s="16" t="n">
        <v>69.76000000000001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16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108</v>
      </c>
      <c r="K92" s="12" t="n">
        <v>0</v>
      </c>
      <c r="L92" s="12" t="n">
        <v>98.19</v>
      </c>
      <c r="M92" s="12" t="n">
        <v>9.81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15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576</v>
      </c>
      <c r="K99" s="16" t="n">
        <v>0</v>
      </c>
      <c r="L99" s="16" t="n">
        <v>523.6799999999999</v>
      </c>
      <c r="M99" s="16" t="n">
        <v>52.32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12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2</v>
      </c>
      <c r="J101" s="16" t="n">
        <v>240</v>
      </c>
      <c r="K101" s="16" t="n">
        <v>0</v>
      </c>
      <c r="L101" s="16" t="n">
        <v>218.2</v>
      </c>
      <c r="M101" s="16" t="n">
        <v>21.8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4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264</v>
      </c>
      <c r="K102" s="12" t="n">
        <v>0</v>
      </c>
      <c r="L102" s="12" t="n">
        <v>240.02</v>
      </c>
      <c r="M102" s="12" t="n">
        <v>23.98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1440</v>
      </c>
      <c r="K103" s="16" t="n">
        <v>0</v>
      </c>
      <c r="L103" s="16" t="n">
        <v>1309.2</v>
      </c>
      <c r="M103" s="16" t="n">
        <v>130.8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30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216</v>
      </c>
      <c r="K104" s="12" t="n">
        <v>0</v>
      </c>
      <c r="L104" s="12" t="n">
        <v>196.38</v>
      </c>
      <c r="M104" s="12" t="n">
        <v>19.62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6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360</v>
      </c>
      <c r="K105" s="16" t="n">
        <v>0</v>
      </c>
      <c r="L105" s="16" t="n">
        <v>327.3</v>
      </c>
      <c r="M105" s="16" t="n">
        <v>32.7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6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888</v>
      </c>
      <c r="K106" s="12" t="n">
        <v>0</v>
      </c>
      <c r="L106" s="12" t="n">
        <v>807.34</v>
      </c>
      <c r="M106" s="12" t="n">
        <v>80.66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37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3</v>
      </c>
      <c r="J107" s="16" t="n">
        <v>1296</v>
      </c>
      <c r="K107" s="16" t="n">
        <v>0</v>
      </c>
      <c r="L107" s="16" t="n">
        <v>1178.28</v>
      </c>
      <c r="M107" s="16" t="n">
        <v>117.72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27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5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1056</v>
      </c>
      <c r="K110" s="12" t="n">
        <v>0</v>
      </c>
      <c r="L110" s="12" t="n">
        <v>960.08</v>
      </c>
      <c r="M110" s="12" t="n">
        <v>95.92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44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1968</v>
      </c>
      <c r="K111" s="16" t="n">
        <v>0</v>
      </c>
      <c r="L111" s="16" t="n">
        <v>1789.24</v>
      </c>
      <c r="M111" s="16" t="n">
        <v>178.76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41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108</v>
      </c>
      <c r="K112" s="12" t="n">
        <v>0</v>
      </c>
      <c r="L112" s="12" t="n">
        <v>98.19</v>
      </c>
      <c r="M112" s="12" t="n">
        <v>9.81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300</v>
      </c>
      <c r="K113" s="16" t="n">
        <v>0</v>
      </c>
      <c r="L113" s="16" t="n">
        <v>272.75</v>
      </c>
      <c r="M113" s="16" t="n">
        <v>27.25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744</v>
      </c>
      <c r="K114" s="12" t="n">
        <v>0</v>
      </c>
      <c r="L114" s="12" t="n">
        <v>676.42</v>
      </c>
      <c r="M114" s="12" t="n">
        <v>67.58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2256</v>
      </c>
      <c r="K115" s="16" t="n">
        <v>0</v>
      </c>
      <c r="L115" s="16" t="n">
        <v>2051.08</v>
      </c>
      <c r="M115" s="16" t="n">
        <v>204.92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47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648</v>
      </c>
      <c r="K118" s="12" t="n">
        <v>0</v>
      </c>
      <c r="L118" s="12" t="n">
        <v>589.14</v>
      </c>
      <c r="M118" s="12" t="n">
        <v>58.86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27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336</v>
      </c>
      <c r="K119" s="16" t="n">
        <v>0</v>
      </c>
      <c r="L119" s="16" t="n">
        <v>305.48</v>
      </c>
      <c r="M119" s="16" t="n">
        <v>30.52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7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120</v>
      </c>
      <c r="K121" s="16" t="n">
        <v>0</v>
      </c>
      <c r="L121" s="16" t="n">
        <v>109.1</v>
      </c>
      <c r="M121" s="16" t="n">
        <v>10.9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288</v>
      </c>
      <c r="K123" s="16" t="n">
        <v>0</v>
      </c>
      <c r="L123" s="16" t="n">
        <v>261.84</v>
      </c>
      <c r="M123" s="16" t="n">
        <v>26.16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6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144</v>
      </c>
      <c r="K124" s="12" t="n">
        <v>0</v>
      </c>
      <c r="L124" s="12" t="n">
        <v>130.92</v>
      </c>
      <c r="M124" s="12" t="n">
        <v>13.08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4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264</v>
      </c>
      <c r="K126" s="12" t="n">
        <v>0</v>
      </c>
      <c r="L126" s="12" t="n">
        <v>240.02</v>
      </c>
      <c r="M126" s="12" t="n">
        <v>23.98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I1 48€</t>
        </is>
      </c>
      <c r="F127" s="23">
        <f>IFERROR(INDEX(Tariffe!$B$2:$B$200,MATCH(E127,Tariffe!$A$2:$A$200,0)),"DA DEFINIRE")</f>
        <v/>
      </c>
      <c r="G127" s="16" t="n">
        <v>48</v>
      </c>
      <c r="H127" s="15">
        <f>Q127*R127</f>
        <v/>
      </c>
      <c r="I127" s="15" t="n">
        <v>0</v>
      </c>
      <c r="J127" s="16" t="n">
        <v>528</v>
      </c>
      <c r="K127" s="16" t="n">
        <v>0</v>
      </c>
      <c r="L127" s="16" t="n">
        <v>480.04</v>
      </c>
      <c r="M127" s="16" t="n">
        <v>47.96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108</v>
      </c>
      <c r="K128" s="12" t="n">
        <v>0</v>
      </c>
      <c r="L128" s="12" t="n">
        <v>98.19</v>
      </c>
      <c r="M128" s="12" t="n">
        <v>9.81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I5 60€</t>
        </is>
      </c>
      <c r="F129" s="23">
        <f>IFERROR(INDEX(Tariffe!$B$2:$B$200,MATCH(E129,Tariffe!$A$2:$A$200,0)),"DA DEFINIRE")</f>
        <v/>
      </c>
      <c r="G129" s="16" t="n">
        <v>60</v>
      </c>
      <c r="H129" s="15">
        <f>Q129*R129</f>
        <v/>
      </c>
      <c r="I129" s="15" t="n">
        <v>0</v>
      </c>
      <c r="J129" s="16" t="n">
        <v>60</v>
      </c>
      <c r="K129" s="16" t="n">
        <v>0</v>
      </c>
      <c r="L129" s="16" t="n">
        <v>54.55</v>
      </c>
      <c r="M129" s="16" t="n">
        <v>5.45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360</v>
      </c>
      <c r="K130" s="12" t="n">
        <v>0</v>
      </c>
      <c r="L130" s="12" t="n">
        <v>327.3</v>
      </c>
      <c r="M130" s="12" t="n">
        <v>32.7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15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I1 48€</t>
        </is>
      </c>
      <c r="F131" s="23">
        <f>IFERROR(INDEX(Tariffe!$B$2:$B$200,MATCH(E131,Tariffe!$A$2:$A$200,0)),"DA DEFINIRE")</f>
        <v/>
      </c>
      <c r="G131" s="16" t="n">
        <v>48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I2 36€</t>
        </is>
      </c>
      <c r="F132" s="22">
        <f>IFERROR(INDEX(Tariffe!$B$2:$B$200,MATCH(E132,Tariffe!$A$2:$A$200,0)),"DA DEFINIRE")</f>
        <v/>
      </c>
      <c r="G132" s="12" t="n">
        <v>36</v>
      </c>
      <c r="H132" s="11">
        <f>Q132*R132</f>
        <v/>
      </c>
      <c r="I132" s="11" t="n">
        <v>0</v>
      </c>
      <c r="J132" s="12" t="n">
        <v>72</v>
      </c>
      <c r="K132" s="12" t="n">
        <v>0</v>
      </c>
      <c r="L132" s="12" t="n">
        <v>65.45999999999999</v>
      </c>
      <c r="M132" s="12" t="n">
        <v>6.54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48</v>
      </c>
      <c r="K134" s="12" t="n">
        <v>0</v>
      </c>
      <c r="L134" s="12" t="n">
        <v>43.64</v>
      </c>
      <c r="M134" s="12" t="n">
        <v>4.36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I1 48€</t>
        </is>
      </c>
      <c r="F135" s="23">
        <f>IFERROR(INDEX(Tariffe!$B$2:$B$200,MATCH(E135,Tariffe!$A$2:$A$200,0)),"DA DEFINIRE")</f>
        <v/>
      </c>
      <c r="G135" s="16" t="n">
        <v>48</v>
      </c>
      <c r="H135" s="15">
        <f>Q135*R135</f>
        <v/>
      </c>
      <c r="I135" s="15" t="n">
        <v>0</v>
      </c>
      <c r="J135" s="16" t="n">
        <v>48</v>
      </c>
      <c r="K135" s="16" t="n">
        <v>0</v>
      </c>
      <c r="L135" s="16" t="n">
        <v>43.64</v>
      </c>
      <c r="M135" s="16" t="n">
        <v>4.36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20261101_2359</t>
        </is>
      </c>
      <c r="B136" s="9" t="n">
        <v>46327</v>
      </c>
      <c r="C136" s="10" t="n">
        <v>0.9993055555555556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60</v>
      </c>
      <c r="K136" s="12" t="n">
        <v>0</v>
      </c>
      <c r="L136" s="12" t="n">
        <v>54.55</v>
      </c>
      <c r="M136" s="12" t="n">
        <v>5.45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  <row r="137">
      <c r="A137" s="23" t="inlineStr">
        <is>
          <t>20261101_2359</t>
        </is>
      </c>
      <c r="B137" s="13" t="n">
        <v>46327</v>
      </c>
      <c r="C137" s="14" t="n">
        <v>0.9993055555555556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24</v>
      </c>
      <c r="K137" s="16" t="n">
        <v>0</v>
      </c>
      <c r="L137" s="16" t="n">
        <v>21.82</v>
      </c>
      <c r="M137" s="16" t="n">
        <v>2.18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20261102_2015</t>
        </is>
      </c>
      <c r="B138" s="9" t="n">
        <v>46328</v>
      </c>
      <c r="C138" s="10" t="n">
        <v>0.84375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30</v>
      </c>
      <c r="K138" s="12" t="n">
        <v>0</v>
      </c>
      <c r="L138" s="12" t="n">
        <v>27.28</v>
      </c>
      <c r="M138" s="12" t="n">
        <v>2.72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</v>
      </c>
      <c r="R138" s="11">
        <f>IFERROR(INDEX(Tariffe!$E$2:$E$200,MATCH(E138,Tariffe!$A$2:$A$200,0))*1,1)</f>
        <v/>
      </c>
    </row>
    <row r="139">
      <c r="A139" s="23" t="inlineStr">
        <is>
          <t>20261102_2215</t>
        </is>
      </c>
      <c r="B139" s="13" t="n">
        <v>46328</v>
      </c>
      <c r="C139" s="14" t="n">
        <v>0.9270833333333334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90</v>
      </c>
      <c r="K139" s="16" t="n">
        <v>0</v>
      </c>
      <c r="L139" s="16" t="n">
        <v>81.84</v>
      </c>
      <c r="M139" s="16" t="n">
        <v>8.16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6</v>
      </c>
      <c r="R139" s="15">
        <f>IFERROR(INDEX(Tariffe!$E$2:$E$200,MATCH(E139,Tariffe!$A$2:$A$200,0))*1,1)</f>
        <v/>
      </c>
    </row>
    <row r="140">
      <c r="A140" s="22" t="inlineStr">
        <is>
          <t>20261102_2315</t>
        </is>
      </c>
      <c r="B140" s="9" t="n">
        <v>46328</v>
      </c>
      <c r="C140" s="10" t="n">
        <v>0.96875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45</v>
      </c>
      <c r="K140" s="12" t="n">
        <v>0</v>
      </c>
      <c r="L140" s="12" t="n">
        <v>40.92</v>
      </c>
      <c r="M140" s="12" t="n">
        <v>4.08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20261102_2359</t>
        </is>
      </c>
      <c r="B141" s="13" t="n">
        <v>46328</v>
      </c>
      <c r="C141" s="14" t="n">
        <v>0.9993055555555556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15</v>
      </c>
      <c r="K141" s="16" t="n">
        <v>0</v>
      </c>
      <c r="L141" s="16" t="n">
        <v>13.64</v>
      </c>
      <c r="M141" s="16" t="n">
        <v>1.36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</sheetData>
  <autoFilter ref="A1:R1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</sheetData>
  <autoFilter ref="A1:G77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</sheetData>
  <autoFilter ref="A1:K127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258</v>
      </c>
      <c r="M5" s="11" t="n">
        <v>811</v>
      </c>
      <c r="N5" s="12" t="n">
        <v>9732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160</v>
      </c>
      <c r="C26" s="11" t="n">
        <v>522</v>
      </c>
      <c r="D26" s="12" t="n">
        <v>6264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2026-10-27T17:54:36Z</dcterms:created>
  <dcterms:modified xsi:type="dcterms:W3CDTF">2026-10-27T17:54:37Z</dcterms:modified>
</cp:coreProperties>
</file>