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'Vendite'!$A$1:$R$158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'Storico'!$A$1:$G$909</definedName>
    <definedName name="_xlnm._FilterDatabase" localSheetId="8" hidden="1">'Registro vendite'!$A$1:$K$1716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'Storico'!$H$2:$H$909</f>
            </numRef>
          </cat>
          <val>
            <numRef>
              <f>'Storico'!$C$2:$C$909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vendite'!$A$4:$A$30</f>
            </numRef>
          </cat>
          <val>
            <numRef>
              <f>'Picchi vendite'!$B$4:$B$30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MAX(Storico!A2:A909)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576</v>
      </c>
      <c r="K126" s="12" t="n">
        <v>0</v>
      </c>
      <c r="L126" s="12" t="n">
        <v>523.6799999999999</v>
      </c>
      <c r="M126" s="12" t="n">
        <v>52.32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108</v>
      </c>
      <c r="K127" s="16" t="n">
        <v>0</v>
      </c>
      <c r="L127" s="16" t="n">
        <v>98.19</v>
      </c>
      <c r="M127" s="16" t="n">
        <v>9.81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3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384</v>
      </c>
      <c r="K129" s="16" t="n">
        <v>0</v>
      </c>
      <c r="L129" s="16" t="n">
        <v>349.12</v>
      </c>
      <c r="M129" s="16" t="n">
        <v>34.88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16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1296</v>
      </c>
      <c r="K130" s="12" t="n">
        <v>0</v>
      </c>
      <c r="L130" s="12" t="n">
        <v>1178.28</v>
      </c>
      <c r="M130" s="12" t="n">
        <v>117.72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27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324</v>
      </c>
      <c r="K131" s="16" t="n">
        <v>0</v>
      </c>
      <c r="L131" s="16" t="n">
        <v>294.57</v>
      </c>
      <c r="M131" s="16" t="n">
        <v>29.43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9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792</v>
      </c>
      <c r="K133" s="16" t="n">
        <v>0</v>
      </c>
      <c r="L133" s="16" t="n">
        <v>720.0599999999999</v>
      </c>
      <c r="M133" s="16" t="n">
        <v>71.94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33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1</v>
      </c>
      <c r="J134" s="12" t="n">
        <v>1248</v>
      </c>
      <c r="K134" s="12" t="n">
        <v>0</v>
      </c>
      <c r="L134" s="12" t="n">
        <v>1134.64</v>
      </c>
      <c r="M134" s="12" t="n">
        <v>113.36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816</v>
      </c>
      <c r="K137" s="16" t="n">
        <v>0</v>
      </c>
      <c r="L137" s="16" t="n">
        <v>741.88</v>
      </c>
      <c r="M137" s="16" t="n">
        <v>74.12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34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1392</v>
      </c>
      <c r="K146" s="12" t="n">
        <v>0</v>
      </c>
      <c r="L146" s="12" t="n">
        <v>1265.56</v>
      </c>
      <c r="M146" s="12" t="n">
        <v>126.44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29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216</v>
      </c>
      <c r="K147" s="16" t="n">
        <v>0</v>
      </c>
      <c r="L147" s="16" t="n">
        <v>196.38</v>
      </c>
      <c r="M147" s="16" t="n">
        <v>19.62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6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600</v>
      </c>
      <c r="K148" s="12" t="n">
        <v>0</v>
      </c>
      <c r="L148" s="12" t="n">
        <v>545.5</v>
      </c>
      <c r="M148" s="12" t="n">
        <v>54.5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10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816</v>
      </c>
      <c r="K149" s="16" t="n">
        <v>0</v>
      </c>
      <c r="L149" s="16" t="n">
        <v>741.88</v>
      </c>
      <c r="M149" s="16" t="n">
        <v>74.12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34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20261102_2115</t>
        </is>
      </c>
      <c r="B151" s="13" t="n">
        <v>46328</v>
      </c>
      <c r="C151" s="14" t="n">
        <v>0.8854166666666666</v>
      </c>
      <c r="D151" s="23" t="inlineStr">
        <is>
          <t>UN Unico</t>
        </is>
      </c>
      <c r="E151" s="23" t="inlineStr">
        <is>
          <t>I8 24€</t>
        </is>
      </c>
      <c r="F151" s="23">
        <f>IFERROR(INDEX(Tariffe!$B$2:$B$200,MATCH(E151,Tariffe!$A$2:$A$200,0)),"DA DEFINIRE")</f>
        <v/>
      </c>
      <c r="G151" s="16" t="n">
        <v>24</v>
      </c>
      <c r="H151" s="15">
        <f>Q151*R151</f>
        <v/>
      </c>
      <c r="I151" s="15" t="n">
        <v>0</v>
      </c>
      <c r="J151" s="16" t="n">
        <v>72</v>
      </c>
      <c r="K151" s="16" t="n">
        <v>0</v>
      </c>
      <c r="L151" s="16" t="n">
        <v>65.45999999999999</v>
      </c>
      <c r="M151" s="16" t="n">
        <v>6.54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20261102_2215</t>
        </is>
      </c>
      <c r="B152" s="9" t="n">
        <v>46328</v>
      </c>
      <c r="C152" s="10" t="n">
        <v>0.9270833333333334</v>
      </c>
      <c r="D152" s="22" t="inlineStr">
        <is>
          <t>UN Unico</t>
        </is>
      </c>
      <c r="E152" s="22" t="inlineStr">
        <is>
          <t>I1 48€</t>
        </is>
      </c>
      <c r="F152" s="22">
        <f>IFERROR(INDEX(Tariffe!$B$2:$B$200,MATCH(E152,Tariffe!$A$2:$A$200,0)),"DA DEFINIRE")</f>
        <v/>
      </c>
      <c r="G152" s="12" t="n">
        <v>48</v>
      </c>
      <c r="H152" s="11">
        <f>Q152*R152</f>
        <v/>
      </c>
      <c r="I152" s="11" t="n">
        <v>0</v>
      </c>
      <c r="J152" s="12" t="n">
        <v>96</v>
      </c>
      <c r="K152" s="12" t="n">
        <v>0</v>
      </c>
      <c r="L152" s="12" t="n">
        <v>87.28</v>
      </c>
      <c r="M152" s="12" t="n">
        <v>8.720000000000001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2</v>
      </c>
      <c r="R152" s="11">
        <f>IFERROR(INDEX(Tariffe!$E$2:$E$200,MATCH(E152,Tariffe!$A$2:$A$200,0))*1,1)</f>
        <v/>
      </c>
    </row>
    <row r="153">
      <c r="A153" s="23" t="inlineStr">
        <is>
          <t>20261102_2215</t>
        </is>
      </c>
      <c r="B153" s="13" t="n">
        <v>46328</v>
      </c>
      <c r="C153" s="14" t="n">
        <v>0.9270833333333334</v>
      </c>
      <c r="D153" s="23" t="inlineStr">
        <is>
          <t>UN Unico</t>
        </is>
      </c>
      <c r="E153" s="23" t="inlineStr">
        <is>
          <t>I2 36€</t>
        </is>
      </c>
      <c r="F153" s="23">
        <f>IFERROR(INDEX(Tariffe!$B$2:$B$200,MATCH(E153,Tariffe!$A$2:$A$200,0)),"DA DEFINIRE")</f>
        <v/>
      </c>
      <c r="G153" s="16" t="n">
        <v>36</v>
      </c>
      <c r="H153" s="15">
        <f>Q153*R153</f>
        <v/>
      </c>
      <c r="I153" s="15" t="n">
        <v>0</v>
      </c>
      <c r="J153" s="16" t="n">
        <v>36</v>
      </c>
      <c r="K153" s="16" t="n">
        <v>0</v>
      </c>
      <c r="L153" s="16" t="n">
        <v>32.73</v>
      </c>
      <c r="M153" s="16" t="n">
        <v>3.27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  <row r="154">
      <c r="A154" s="22" t="inlineStr">
        <is>
          <t>20261102_2215</t>
        </is>
      </c>
      <c r="B154" s="9" t="n">
        <v>46328</v>
      </c>
      <c r="C154" s="10" t="n">
        <v>0.9270833333333334</v>
      </c>
      <c r="D154" s="22" t="inlineStr">
        <is>
          <t>UN Unico</t>
        </is>
      </c>
      <c r="E154" s="22" t="inlineStr">
        <is>
          <t>I8 24€</t>
        </is>
      </c>
      <c r="F154" s="22">
        <f>IFERROR(INDEX(Tariffe!$B$2:$B$200,MATCH(E154,Tariffe!$A$2:$A$200,0)),"DA DEFINIRE")</f>
        <v/>
      </c>
      <c r="G154" s="12" t="n">
        <v>24</v>
      </c>
      <c r="H154" s="11">
        <f>Q154*R154</f>
        <v/>
      </c>
      <c r="I154" s="11" t="n">
        <v>0</v>
      </c>
      <c r="J154" s="12" t="n">
        <v>24</v>
      </c>
      <c r="K154" s="12" t="n">
        <v>0</v>
      </c>
      <c r="L154" s="12" t="n">
        <v>21.82</v>
      </c>
      <c r="M154" s="12" t="n">
        <v>2.18</v>
      </c>
      <c r="N154" s="22" t="inlineStr">
        <is>
          <t>11/2026</t>
        </is>
      </c>
      <c r="O154" s="11">
        <f>IFERROR(INDEX(Tariffe!$D$2:$D$200,MATCH(E154,Tariffe!$A$2:$A$200,0))*1,0)</f>
        <v/>
      </c>
      <c r="P154" s="11">
        <f>Q154*O154</f>
        <v/>
      </c>
      <c r="Q154" s="11" t="n">
        <v>1</v>
      </c>
      <c r="R154" s="11">
        <f>IFERROR(INDEX(Tariffe!$E$2:$E$200,MATCH(E154,Tariffe!$A$2:$A$200,0))*1,1)</f>
        <v/>
      </c>
    </row>
    <row r="155">
      <c r="A155" s="23" t="inlineStr">
        <is>
          <t>20261102_2315</t>
        </is>
      </c>
      <c r="B155" s="13" t="n">
        <v>46328</v>
      </c>
      <c r="C155" s="14" t="n">
        <v>0.96875</v>
      </c>
      <c r="D155" s="23" t="inlineStr">
        <is>
          <t>UN Unico</t>
        </is>
      </c>
      <c r="E155" s="23" t="inlineStr">
        <is>
          <t>I1 48€</t>
        </is>
      </c>
      <c r="F155" s="23">
        <f>IFERROR(INDEX(Tariffe!$B$2:$B$200,MATCH(E155,Tariffe!$A$2:$A$200,0)),"DA DEFINIRE")</f>
        <v/>
      </c>
      <c r="G155" s="16" t="n">
        <v>48</v>
      </c>
      <c r="H155" s="15">
        <f>Q155*R155</f>
        <v/>
      </c>
      <c r="I155" s="15" t="n">
        <v>0</v>
      </c>
      <c r="J155" s="16" t="n">
        <v>48</v>
      </c>
      <c r="K155" s="16" t="n">
        <v>0</v>
      </c>
      <c r="L155" s="16" t="n">
        <v>43.64</v>
      </c>
      <c r="M155" s="16" t="n">
        <v>4.36</v>
      </c>
      <c r="N155" s="23" t="inlineStr">
        <is>
          <t>11/2026</t>
        </is>
      </c>
      <c r="O155" s="15">
        <f>IFERROR(INDEX(Tariffe!$D$2:$D$200,MATCH(E155,Tariffe!$A$2:$A$200,0))*1,0)</f>
        <v/>
      </c>
      <c r="P155" s="15">
        <f>Q155*O155</f>
        <v/>
      </c>
      <c r="Q155" s="15" t="n">
        <v>1</v>
      </c>
      <c r="R155" s="15">
        <f>IFERROR(INDEX(Tariffe!$E$2:$E$200,MATCH(E155,Tariffe!$A$2:$A$200,0))*1,1)</f>
        <v/>
      </c>
    </row>
    <row r="156">
      <c r="A156" s="22" t="inlineStr">
        <is>
          <t>20261102_2315</t>
        </is>
      </c>
      <c r="B156" s="9" t="n">
        <v>46328</v>
      </c>
      <c r="C156" s="10" t="n">
        <v>0.96875</v>
      </c>
      <c r="D156" s="22" t="inlineStr">
        <is>
          <t>UN Unico</t>
        </is>
      </c>
      <c r="E156" s="22" t="inlineStr">
        <is>
          <t>I8 24€</t>
        </is>
      </c>
      <c r="F156" s="22">
        <f>IFERROR(INDEX(Tariffe!$B$2:$B$200,MATCH(E156,Tariffe!$A$2:$A$200,0)),"DA DEFINIRE")</f>
        <v/>
      </c>
      <c r="G156" s="12" t="n">
        <v>24</v>
      </c>
      <c r="H156" s="11">
        <f>Q156*R156</f>
        <v/>
      </c>
      <c r="I156" s="11" t="n">
        <v>0</v>
      </c>
      <c r="J156" s="12" t="n">
        <v>24</v>
      </c>
      <c r="K156" s="12" t="n">
        <v>0</v>
      </c>
      <c r="L156" s="12" t="n">
        <v>21.82</v>
      </c>
      <c r="M156" s="12" t="n">
        <v>2.18</v>
      </c>
      <c r="N156" s="22" t="inlineStr">
        <is>
          <t>11/2026</t>
        </is>
      </c>
      <c r="O156" s="11">
        <f>IFERROR(INDEX(Tariffe!$D$2:$D$200,MATCH(E156,Tariffe!$A$2:$A$200,0))*1,0)</f>
        <v/>
      </c>
      <c r="P156" s="11">
        <f>Q156*O156</f>
        <v/>
      </c>
      <c r="Q156" s="11" t="n">
        <v>1</v>
      </c>
      <c r="R156" s="11">
        <f>IFERROR(INDEX(Tariffe!$E$2:$E$200,MATCH(E156,Tariffe!$A$2:$A$200,0))*1,1)</f>
        <v/>
      </c>
    </row>
    <row r="157">
      <c r="A157" s="23" t="inlineStr">
        <is>
          <t>20261102_2359</t>
        </is>
      </c>
      <c r="B157" s="13" t="n">
        <v>46328</v>
      </c>
      <c r="C157" s="14" t="n">
        <v>0.9993055555555556</v>
      </c>
      <c r="D157" s="23" t="inlineStr">
        <is>
          <t>UN Unico</t>
        </is>
      </c>
      <c r="E157" s="23" t="inlineStr">
        <is>
          <t>I1 48€</t>
        </is>
      </c>
      <c r="F157" s="23">
        <f>IFERROR(INDEX(Tariffe!$B$2:$B$200,MATCH(E157,Tariffe!$A$2:$A$200,0)),"DA DEFINIRE")</f>
        <v/>
      </c>
      <c r="G157" s="16" t="n">
        <v>48</v>
      </c>
      <c r="H157" s="15">
        <f>Q157*R157</f>
        <v/>
      </c>
      <c r="I157" s="15" t="n">
        <v>0</v>
      </c>
      <c r="J157" s="16" t="n">
        <v>48</v>
      </c>
      <c r="K157" s="16" t="n">
        <v>0</v>
      </c>
      <c r="L157" s="16" t="n">
        <v>43.64</v>
      </c>
      <c r="M157" s="16" t="n">
        <v>4.36</v>
      </c>
      <c r="N157" s="23" t="inlineStr">
        <is>
          <t>11/2026</t>
        </is>
      </c>
      <c r="O157" s="15">
        <f>IFERROR(INDEX(Tariffe!$D$2:$D$200,MATCH(E157,Tariffe!$A$2:$A$200,0))*1,0)</f>
        <v/>
      </c>
      <c r="P157" s="15">
        <f>Q157*O157</f>
        <v/>
      </c>
      <c r="Q157" s="15" t="n">
        <v>1</v>
      </c>
      <c r="R157" s="15">
        <f>IFERROR(INDEX(Tariffe!$E$2:$E$200,MATCH(E157,Tariffe!$A$2:$A$200,0))*1,1)</f>
        <v/>
      </c>
    </row>
    <row r="158">
      <c r="A158" s="22" t="inlineStr">
        <is>
          <t>20261102_2359</t>
        </is>
      </c>
      <c r="B158" s="9" t="n">
        <v>46328</v>
      </c>
      <c r="C158" s="10" t="n">
        <v>0.9993055555555556</v>
      </c>
      <c r="D158" s="22" t="inlineStr">
        <is>
          <t>UN Unico</t>
        </is>
      </c>
      <c r="E158" s="22" t="inlineStr">
        <is>
          <t>I8 24€</t>
        </is>
      </c>
      <c r="F158" s="22">
        <f>IFERROR(INDEX(Tariffe!$B$2:$B$200,MATCH(E158,Tariffe!$A$2:$A$200,0)),"DA DEFINIRE")</f>
        <v/>
      </c>
      <c r="G158" s="12" t="n">
        <v>24</v>
      </c>
      <c r="H158" s="11">
        <f>Q158*R158</f>
        <v/>
      </c>
      <c r="I158" s="11" t="n">
        <v>0</v>
      </c>
      <c r="J158" s="12" t="n">
        <v>24</v>
      </c>
      <c r="K158" s="12" t="n">
        <v>0</v>
      </c>
      <c r="L158" s="12" t="n">
        <v>21.82</v>
      </c>
      <c r="M158" s="12" t="n">
        <v>2.18</v>
      </c>
      <c r="N158" s="22" t="inlineStr">
        <is>
          <t>11/2026</t>
        </is>
      </c>
      <c r="O158" s="11">
        <f>IFERROR(INDEX(Tariffe!$D$2:$D$200,MATCH(E158,Tariffe!$A$2:$A$200,0))*1,0)</f>
        <v/>
      </c>
      <c r="P158" s="11">
        <f>Q158*O158</f>
        <v/>
      </c>
      <c r="Q158" s="11" t="n">
        <v>1</v>
      </c>
      <c r="R158" s="11">
        <f>IFERROR(INDEX(Tariffe!$E$2:$E$200,MATCH(E158,Tariffe!$A$2:$A$200,0))*1,1)</f>
        <v/>
      </c>
    </row>
  </sheetData>
  <autoFilter ref="A1:R1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  <row r="901">
      <c r="A901" s="33" t="n">
        <v>46325.94444444445</v>
      </c>
      <c r="B901" s="15" t="n">
        <v>2665</v>
      </c>
      <c r="C901" s="15" t="n">
        <v>8417</v>
      </c>
      <c r="D901" s="16" t="n">
        <v>101004</v>
      </c>
      <c r="E901" s="34">
        <f>B901-B900</f>
        <v/>
      </c>
      <c r="F901" s="34">
        <f>C901-C900</f>
        <v/>
      </c>
      <c r="G901" s="35">
        <f>D901-D900</f>
        <v/>
      </c>
      <c r="H901">
        <f>TEXT(A901,"DD/MM HH:MM")</f>
        <v/>
      </c>
    </row>
    <row r="902">
      <c r="A902" s="30" t="n">
        <v>46325.94791666666</v>
      </c>
      <c r="B902" s="11" t="n">
        <v>2665</v>
      </c>
      <c r="C902" s="11" t="n">
        <v>8417</v>
      </c>
      <c r="D902" s="12" t="n">
        <v>101004</v>
      </c>
      <c r="E902" s="31">
        <f>B902-B901</f>
        <v/>
      </c>
      <c r="F902" s="31">
        <f>C902-C901</f>
        <v/>
      </c>
      <c r="G902" s="32">
        <f>D902-D901</f>
        <v/>
      </c>
      <c r="H902">
        <f>TEXT(A902,"DD/MM HH:MM")</f>
        <v/>
      </c>
    </row>
    <row r="903">
      <c r="A903" s="33" t="n">
        <v>46325.97152777778</v>
      </c>
      <c r="B903" s="15" t="n">
        <v>2673</v>
      </c>
      <c r="C903" s="15" t="n">
        <v>8439</v>
      </c>
      <c r="D903" s="16" t="n">
        <v>101268</v>
      </c>
      <c r="E903" s="34">
        <f>B903-B902</f>
        <v/>
      </c>
      <c r="F903" s="34">
        <f>C903-C902</f>
        <v/>
      </c>
      <c r="G903" s="35">
        <f>D903-D902</f>
        <v/>
      </c>
      <c r="H903">
        <f>TEXT(A903,"DD/MM HH:MM")</f>
        <v/>
      </c>
    </row>
    <row r="904">
      <c r="A904" s="30" t="n">
        <v>46326.00347222222</v>
      </c>
      <c r="B904" s="11" t="n">
        <v>2677</v>
      </c>
      <c r="C904" s="11" t="n">
        <v>8453</v>
      </c>
      <c r="D904" s="12" t="n">
        <v>101436</v>
      </c>
      <c r="E904" s="31">
        <f>B904-B903</f>
        <v/>
      </c>
      <c r="F904" s="31">
        <f>C904-C903</f>
        <v/>
      </c>
      <c r="G904" s="32">
        <f>D904-D903</f>
        <v/>
      </c>
      <c r="H904">
        <f>TEXT(A904,"DD/MM HH:MM")</f>
        <v/>
      </c>
    </row>
    <row r="905">
      <c r="A905" s="33" t="n">
        <v>46326.04652777778</v>
      </c>
      <c r="B905" s="15" t="n">
        <v>2685</v>
      </c>
      <c r="C905" s="15" t="n">
        <v>8481</v>
      </c>
      <c r="D905" s="16" t="n">
        <v>101772</v>
      </c>
      <c r="E905" s="34">
        <f>B905-B904</f>
        <v/>
      </c>
      <c r="F905" s="34">
        <f>C905-C904</f>
        <v/>
      </c>
      <c r="G905" s="35">
        <f>D905-D904</f>
        <v/>
      </c>
      <c r="H905">
        <f>TEXT(A905,"DD/MM HH:MM")</f>
        <v/>
      </c>
    </row>
    <row r="906">
      <c r="A906" s="30" t="n">
        <v>46326.06527777778</v>
      </c>
      <c r="B906" s="11" t="n">
        <v>2685</v>
      </c>
      <c r="C906" s="11" t="n">
        <v>8481</v>
      </c>
      <c r="D906" s="12" t="n">
        <v>101772</v>
      </c>
      <c r="E906" s="31">
        <f>B906-B905</f>
        <v/>
      </c>
      <c r="F906" s="31">
        <f>C906-C905</f>
        <v/>
      </c>
      <c r="G906" s="32">
        <f>D906-D905</f>
        <v/>
      </c>
      <c r="H906">
        <f>TEXT(A906,"DD/MM HH:MM")</f>
        <v/>
      </c>
    </row>
    <row r="907">
      <c r="A907" s="33" t="n">
        <v>46326.10972222222</v>
      </c>
      <c r="B907" s="15" t="n">
        <v>2688</v>
      </c>
      <c r="C907" s="15" t="n">
        <v>8492</v>
      </c>
      <c r="D907" s="16" t="n">
        <v>101904</v>
      </c>
      <c r="E907" s="34">
        <f>B907-B906</f>
        <v/>
      </c>
      <c r="F907" s="34">
        <f>C907-C906</f>
        <v/>
      </c>
      <c r="G907" s="35">
        <f>D907-D906</f>
        <v/>
      </c>
      <c r="H907">
        <f>TEXT(A907,"DD/MM HH:MM")</f>
        <v/>
      </c>
    </row>
    <row r="908">
      <c r="A908" s="30" t="n">
        <v>46326.32569444444</v>
      </c>
      <c r="B908" s="11" t="n">
        <v>2689</v>
      </c>
      <c r="C908" s="11" t="n">
        <v>8496</v>
      </c>
      <c r="D908" s="12" t="n">
        <v>101952</v>
      </c>
      <c r="E908" s="31">
        <f>B908-B907</f>
        <v/>
      </c>
      <c r="F908" s="31">
        <f>C908-C907</f>
        <v/>
      </c>
      <c r="G908" s="32">
        <f>D908-D907</f>
        <v/>
      </c>
      <c r="H908">
        <f>TEXT(A908,"DD/MM HH:MM")</f>
        <v/>
      </c>
    </row>
    <row r="909">
      <c r="A909" s="33" t="n">
        <v>46326.49097222222</v>
      </c>
      <c r="B909" s="15" t="n">
        <v>2705</v>
      </c>
      <c r="C909" s="15" t="n">
        <v>8537</v>
      </c>
      <c r="D909" s="16" t="n">
        <v>102444</v>
      </c>
      <c r="E909" s="34">
        <f>B909-B908</f>
        <v/>
      </c>
      <c r="F909" s="34">
        <f>C909-C908</f>
        <v/>
      </c>
      <c r="G909" s="35">
        <f>D909-D908</f>
        <v/>
      </c>
      <c r="H909">
        <f>TEXT(A909,"DD/MM HH:MM")</f>
        <v/>
      </c>
    </row>
  </sheetData>
  <autoFilter ref="A1:G90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  <row r="1694">
      <c r="A1694" s="30" t="n">
        <v>46325.9</v>
      </c>
      <c r="B1694" s="30" t="n">
        <v>46325.94444444445</v>
      </c>
      <c r="C1694" s="9" t="n">
        <v>46327</v>
      </c>
      <c r="D1694" s="10" t="n">
        <v>0.84375</v>
      </c>
      <c r="E1694" s="36" t="n">
        <v>7</v>
      </c>
      <c r="F1694" s="36" t="n">
        <v>2</v>
      </c>
      <c r="G1694" s="36" t="n">
        <v>2</v>
      </c>
      <c r="H1694" s="36" t="n">
        <v>3</v>
      </c>
      <c r="I1694" s="36" t="n">
        <v>0</v>
      </c>
      <c r="J1694" s="36" t="n">
        <v>22</v>
      </c>
      <c r="K1694" s="12" t="n">
        <v>264</v>
      </c>
    </row>
    <row r="1695">
      <c r="A1695" s="33" t="n">
        <v>46325.9</v>
      </c>
      <c r="B1695" s="33" t="n">
        <v>46325.94444444445</v>
      </c>
      <c r="C1695" s="13" t="n">
        <v>46327</v>
      </c>
      <c r="D1695" s="14" t="n">
        <v>0.9993055555555556</v>
      </c>
      <c r="E1695" s="37" t="n">
        <v>4</v>
      </c>
      <c r="F1695" s="37" t="n">
        <v>1</v>
      </c>
      <c r="G1695" s="37" t="n">
        <v>1</v>
      </c>
      <c r="H1695" s="37" t="n">
        <v>2</v>
      </c>
      <c r="I1695" s="37" t="n">
        <v>0</v>
      </c>
      <c r="J1695" s="37" t="n">
        <v>13</v>
      </c>
      <c r="K1695" s="16" t="n">
        <v>156</v>
      </c>
    </row>
    <row r="1696">
      <c r="A1696" s="30" t="n">
        <v>46325.9</v>
      </c>
      <c r="B1696" s="30" t="n">
        <v>46325.94444444445</v>
      </c>
      <c r="C1696" s="9" t="n">
        <v>46328</v>
      </c>
      <c r="D1696" s="10" t="n">
        <v>0.9993055555555556</v>
      </c>
      <c r="E1696" s="36" t="n">
        <v>2</v>
      </c>
      <c r="F1696" s="36" t="n">
        <v>1</v>
      </c>
      <c r="G1696" s="36" t="n">
        <v>0</v>
      </c>
      <c r="H1696" s="36" t="n">
        <v>1</v>
      </c>
      <c r="I1696" s="36" t="n">
        <v>0</v>
      </c>
      <c r="J1696" s="36" t="n">
        <v>6</v>
      </c>
      <c r="K1696" s="12" t="n">
        <v>72</v>
      </c>
    </row>
    <row r="1697">
      <c r="A1697" s="33" t="n">
        <v>46325.94791666666</v>
      </c>
      <c r="B1697" s="33" t="n">
        <v>46325.97152777778</v>
      </c>
      <c r="C1697" s="13" t="n">
        <v>46327</v>
      </c>
      <c r="D1697" s="14" t="n">
        <v>0.8020833333333334</v>
      </c>
      <c r="E1697" s="37" t="n">
        <v>4</v>
      </c>
      <c r="F1697" s="37" t="n">
        <v>3</v>
      </c>
      <c r="G1697" s="37" t="n">
        <v>1</v>
      </c>
      <c r="H1697" s="37" t="n">
        <v>0</v>
      </c>
      <c r="I1697" s="37" t="n">
        <v>0</v>
      </c>
      <c r="J1697" s="37" t="n">
        <v>9</v>
      </c>
      <c r="K1697" s="16" t="n">
        <v>108</v>
      </c>
    </row>
    <row r="1698">
      <c r="A1698" s="30" t="n">
        <v>46325.94791666666</v>
      </c>
      <c r="B1698" s="30" t="n">
        <v>46325.97152777778</v>
      </c>
      <c r="C1698" s="9" t="n">
        <v>46327</v>
      </c>
      <c r="D1698" s="10" t="n">
        <v>0.84375</v>
      </c>
      <c r="E1698" s="36" t="n">
        <v>1</v>
      </c>
      <c r="F1698" s="36" t="n">
        <v>1</v>
      </c>
      <c r="G1698" s="36" t="n">
        <v>0</v>
      </c>
      <c r="H1698" s="36" t="n">
        <v>0</v>
      </c>
      <c r="I1698" s="36" t="n">
        <v>0</v>
      </c>
      <c r="J1698" s="36" t="n">
        <v>2</v>
      </c>
      <c r="K1698" s="12" t="n">
        <v>24</v>
      </c>
    </row>
    <row r="1699">
      <c r="A1699" s="33" t="n">
        <v>46325.94791666666</v>
      </c>
      <c r="B1699" s="33" t="n">
        <v>46325.97152777778</v>
      </c>
      <c r="C1699" s="13" t="n">
        <v>46327</v>
      </c>
      <c r="D1699" s="14" t="n">
        <v>0.9993055555555556</v>
      </c>
      <c r="E1699" s="37" t="n">
        <v>2</v>
      </c>
      <c r="F1699" s="37" t="n">
        <v>1</v>
      </c>
      <c r="G1699" s="37" t="n">
        <v>0</v>
      </c>
      <c r="H1699" s="37" t="n">
        <v>0</v>
      </c>
      <c r="I1699" s="37" t="n">
        <v>1</v>
      </c>
      <c r="J1699" s="37" t="n">
        <v>7</v>
      </c>
      <c r="K1699" s="16" t="n">
        <v>84</v>
      </c>
    </row>
    <row r="1700">
      <c r="A1700" s="30" t="n">
        <v>46325.94791666666</v>
      </c>
      <c r="B1700" s="30" t="n">
        <v>46325.97152777778</v>
      </c>
      <c r="C1700" s="9" t="n">
        <v>46328</v>
      </c>
      <c r="D1700" s="10" t="n">
        <v>0.9270833333333334</v>
      </c>
      <c r="E1700" s="36" t="n">
        <v>1</v>
      </c>
      <c r="F1700" s="36" t="n">
        <v>0</v>
      </c>
      <c r="G1700" s="36" t="n">
        <v>0</v>
      </c>
      <c r="H1700" s="36" t="n">
        <v>1</v>
      </c>
      <c r="I1700" s="36" t="n">
        <v>0</v>
      </c>
      <c r="J1700" s="36" t="n">
        <v>4</v>
      </c>
      <c r="K1700" s="12" t="n">
        <v>48</v>
      </c>
    </row>
    <row r="1701">
      <c r="A1701" s="33" t="n">
        <v>46325.97152777778</v>
      </c>
      <c r="B1701" s="33" t="n">
        <v>46326.00347222222</v>
      </c>
      <c r="C1701" s="13" t="n">
        <v>46327</v>
      </c>
      <c r="D1701" s="14" t="n">
        <v>0.84375</v>
      </c>
      <c r="E1701" s="37" t="n">
        <v>1</v>
      </c>
      <c r="F1701" s="37" t="n">
        <v>0</v>
      </c>
      <c r="G1701" s="37" t="n">
        <v>0</v>
      </c>
      <c r="H1701" s="37" t="n">
        <v>1</v>
      </c>
      <c r="I1701" s="37" t="n">
        <v>0</v>
      </c>
      <c r="J1701" s="37" t="n">
        <v>4</v>
      </c>
      <c r="K1701" s="16" t="n">
        <v>48</v>
      </c>
    </row>
    <row r="1702">
      <c r="A1702" s="30" t="n">
        <v>46325.97152777778</v>
      </c>
      <c r="B1702" s="30" t="n">
        <v>46326.00347222222</v>
      </c>
      <c r="C1702" s="9" t="n">
        <v>46327</v>
      </c>
      <c r="D1702" s="10" t="n">
        <v>0.9993055555555556</v>
      </c>
      <c r="E1702" s="36" t="n">
        <v>2</v>
      </c>
      <c r="F1702" s="36" t="n">
        <v>0</v>
      </c>
      <c r="G1702" s="36" t="n">
        <v>0</v>
      </c>
      <c r="H1702" s="36" t="n">
        <v>2</v>
      </c>
      <c r="I1702" s="36" t="n">
        <v>0</v>
      </c>
      <c r="J1702" s="36" t="n">
        <v>8</v>
      </c>
      <c r="K1702" s="12" t="n">
        <v>96</v>
      </c>
    </row>
    <row r="1703">
      <c r="A1703" s="33" t="n">
        <v>46325.97152777778</v>
      </c>
      <c r="B1703" s="33" t="n">
        <v>46326.00347222222</v>
      </c>
      <c r="C1703" s="13" t="n">
        <v>46328</v>
      </c>
      <c r="D1703" s="14" t="n">
        <v>0.8854166666666666</v>
      </c>
      <c r="E1703" s="37" t="n">
        <v>1</v>
      </c>
      <c r="F1703" s="37" t="n">
        <v>1</v>
      </c>
      <c r="G1703" s="37" t="n">
        <v>0</v>
      </c>
      <c r="H1703" s="37" t="n">
        <v>0</v>
      </c>
      <c r="I1703" s="37" t="n">
        <v>0</v>
      </c>
      <c r="J1703" s="37" t="n">
        <v>2</v>
      </c>
      <c r="K1703" s="16" t="n">
        <v>24</v>
      </c>
    </row>
    <row r="1704">
      <c r="A1704" s="30" t="n">
        <v>46326.00347222222</v>
      </c>
      <c r="B1704" s="30" t="n">
        <v>46326.04652777778</v>
      </c>
      <c r="C1704" s="9" t="n">
        <v>46327</v>
      </c>
      <c r="D1704" s="10" t="n">
        <v>0.84375</v>
      </c>
      <c r="E1704" s="36" t="n">
        <v>3</v>
      </c>
      <c r="F1704" s="36" t="n">
        <v>2</v>
      </c>
      <c r="G1704" s="36" t="n">
        <v>0</v>
      </c>
      <c r="H1704" s="36" t="n">
        <v>1</v>
      </c>
      <c r="I1704" s="36" t="n">
        <v>0</v>
      </c>
      <c r="J1704" s="36" t="n">
        <v>8</v>
      </c>
      <c r="K1704" s="12" t="n">
        <v>96</v>
      </c>
    </row>
    <row r="1705">
      <c r="A1705" s="33" t="n">
        <v>46326.00347222222</v>
      </c>
      <c r="B1705" s="33" t="n">
        <v>46326.04652777778</v>
      </c>
      <c r="C1705" s="13" t="n">
        <v>46327</v>
      </c>
      <c r="D1705" s="14" t="n">
        <v>0.9993055555555556</v>
      </c>
      <c r="E1705" s="37" t="n">
        <v>3</v>
      </c>
      <c r="F1705" s="37" t="n">
        <v>0</v>
      </c>
      <c r="G1705" s="37" t="n">
        <v>0</v>
      </c>
      <c r="H1705" s="37" t="n">
        <v>0</v>
      </c>
      <c r="I1705" s="37" t="n">
        <v>3</v>
      </c>
      <c r="J1705" s="37" t="n">
        <v>15</v>
      </c>
      <c r="K1705" s="16" t="n">
        <v>180</v>
      </c>
    </row>
    <row r="1706">
      <c r="A1706" s="30" t="n">
        <v>46326.00347222222</v>
      </c>
      <c r="B1706" s="30" t="n">
        <v>46326.04652777778</v>
      </c>
      <c r="C1706" s="9" t="n">
        <v>46328</v>
      </c>
      <c r="D1706" s="10" t="n">
        <v>0.9270833333333334</v>
      </c>
      <c r="E1706" s="36" t="n">
        <v>2</v>
      </c>
      <c r="F1706" s="36" t="n">
        <v>1</v>
      </c>
      <c r="G1706" s="36" t="n">
        <v>1</v>
      </c>
      <c r="H1706" s="36" t="n">
        <v>0</v>
      </c>
      <c r="I1706" s="36" t="n">
        <v>0</v>
      </c>
      <c r="J1706" s="36" t="n">
        <v>5</v>
      </c>
      <c r="K1706" s="12" t="n">
        <v>60</v>
      </c>
    </row>
    <row r="1707">
      <c r="A1707" s="33" t="n">
        <v>46326.04652777778</v>
      </c>
      <c r="B1707" s="33" t="n">
        <v>46326.06527777778</v>
      </c>
      <c r="C1707" s="13" t="n">
        <v>46327</v>
      </c>
      <c r="D1707" s="14" t="n">
        <v>0.8854166666666666</v>
      </c>
      <c r="E1707" s="37" t="n">
        <v>-1</v>
      </c>
      <c r="F1707" s="37" t="n">
        <v>0</v>
      </c>
      <c r="G1707" s="37" t="n">
        <v>0</v>
      </c>
      <c r="H1707" s="37" t="n">
        <v>-1</v>
      </c>
      <c r="I1707" s="37" t="n">
        <v>0</v>
      </c>
      <c r="J1707" s="37" t="n">
        <v>-4</v>
      </c>
      <c r="K1707" s="16" t="n">
        <v>-48</v>
      </c>
    </row>
    <row r="1708">
      <c r="A1708" s="30" t="n">
        <v>46326.04652777778</v>
      </c>
      <c r="B1708" s="30" t="n">
        <v>46326.06527777778</v>
      </c>
      <c r="C1708" s="9" t="n">
        <v>46327</v>
      </c>
      <c r="D1708" s="10" t="n">
        <v>0.9993055555555556</v>
      </c>
      <c r="E1708" s="36" t="n">
        <v>1</v>
      </c>
      <c r="F1708" s="36" t="n">
        <v>0</v>
      </c>
      <c r="G1708" s="36" t="n">
        <v>0</v>
      </c>
      <c r="H1708" s="36" t="n">
        <v>1</v>
      </c>
      <c r="I1708" s="36" t="n">
        <v>0</v>
      </c>
      <c r="J1708" s="36" t="n">
        <v>4</v>
      </c>
      <c r="K1708" s="12" t="n">
        <v>48</v>
      </c>
    </row>
    <row r="1709">
      <c r="A1709" s="33" t="n">
        <v>46326.06527777778</v>
      </c>
      <c r="B1709" s="33" t="n">
        <v>46326.10972222222</v>
      </c>
      <c r="C1709" s="13" t="n">
        <v>46327</v>
      </c>
      <c r="D1709" s="14" t="n">
        <v>0.8020833333333334</v>
      </c>
      <c r="E1709" s="37" t="n">
        <v>1</v>
      </c>
      <c r="F1709" s="37" t="n">
        <v>0</v>
      </c>
      <c r="G1709" s="37" t="n">
        <v>0</v>
      </c>
      <c r="H1709" s="37" t="n">
        <v>1</v>
      </c>
      <c r="I1709" s="37" t="n">
        <v>0</v>
      </c>
      <c r="J1709" s="37" t="n">
        <v>4</v>
      </c>
      <c r="K1709" s="16" t="n">
        <v>48</v>
      </c>
    </row>
    <row r="1710">
      <c r="A1710" s="30" t="n">
        <v>46326.06527777778</v>
      </c>
      <c r="B1710" s="30" t="n">
        <v>46326.10972222222</v>
      </c>
      <c r="C1710" s="9" t="n">
        <v>46327</v>
      </c>
      <c r="D1710" s="10" t="n">
        <v>0.8854166666666666</v>
      </c>
      <c r="E1710" s="36" t="n">
        <v>1</v>
      </c>
      <c r="F1710" s="36" t="n">
        <v>1</v>
      </c>
      <c r="G1710" s="36" t="n">
        <v>0</v>
      </c>
      <c r="H1710" s="36" t="n">
        <v>0</v>
      </c>
      <c r="I1710" s="36" t="n">
        <v>0</v>
      </c>
      <c r="J1710" s="36" t="n">
        <v>2</v>
      </c>
      <c r="K1710" s="12" t="n">
        <v>24</v>
      </c>
    </row>
    <row r="1711">
      <c r="A1711" s="33" t="n">
        <v>46326.06527777778</v>
      </c>
      <c r="B1711" s="33" t="n">
        <v>46326.10972222222</v>
      </c>
      <c r="C1711" s="13" t="n">
        <v>46327</v>
      </c>
      <c r="D1711" s="14" t="n">
        <v>0.9993055555555556</v>
      </c>
      <c r="E1711" s="37" t="n">
        <v>1</v>
      </c>
      <c r="F1711" s="37" t="n">
        <v>0</v>
      </c>
      <c r="G1711" s="37" t="n">
        <v>0</v>
      </c>
      <c r="H1711" s="37" t="n">
        <v>0</v>
      </c>
      <c r="I1711" s="37" t="n">
        <v>1</v>
      </c>
      <c r="J1711" s="37" t="n">
        <v>5</v>
      </c>
      <c r="K1711" s="16" t="n">
        <v>60</v>
      </c>
    </row>
    <row r="1712">
      <c r="A1712" s="30" t="n">
        <v>46326.10972222222</v>
      </c>
      <c r="B1712" s="30" t="n">
        <v>46326.32569444444</v>
      </c>
      <c r="C1712" s="9" t="n">
        <v>46327</v>
      </c>
      <c r="D1712" s="10" t="n">
        <v>0.84375</v>
      </c>
      <c r="E1712" s="36" t="n">
        <v>1</v>
      </c>
      <c r="F1712" s="36" t="n">
        <v>0</v>
      </c>
      <c r="G1712" s="36" t="n">
        <v>0</v>
      </c>
      <c r="H1712" s="36" t="n">
        <v>1</v>
      </c>
      <c r="I1712" s="36" t="n">
        <v>0</v>
      </c>
      <c r="J1712" s="36" t="n">
        <v>4</v>
      </c>
      <c r="K1712" s="12" t="n">
        <v>48</v>
      </c>
    </row>
    <row r="1713">
      <c r="A1713" s="33" t="n">
        <v>46326.32569444444</v>
      </c>
      <c r="B1713" s="33" t="n">
        <v>46326.49097222222</v>
      </c>
      <c r="C1713" s="13" t="n">
        <v>46327</v>
      </c>
      <c r="D1713" s="14" t="n">
        <v>0.84375</v>
      </c>
      <c r="E1713" s="37" t="n">
        <v>6</v>
      </c>
      <c r="F1713" s="37" t="n">
        <v>3</v>
      </c>
      <c r="G1713" s="37" t="n">
        <v>0</v>
      </c>
      <c r="H1713" s="37" t="n">
        <v>3</v>
      </c>
      <c r="I1713" s="37" t="n">
        <v>0</v>
      </c>
      <c r="J1713" s="37" t="n">
        <v>18</v>
      </c>
      <c r="K1713" s="16" t="n">
        <v>216</v>
      </c>
    </row>
    <row r="1714">
      <c r="A1714" s="30" t="n">
        <v>46326.32569444444</v>
      </c>
      <c r="B1714" s="30" t="n">
        <v>46326.49097222222</v>
      </c>
      <c r="C1714" s="9" t="n">
        <v>46327</v>
      </c>
      <c r="D1714" s="10" t="n">
        <v>0.9993055555555556</v>
      </c>
      <c r="E1714" s="36" t="n">
        <v>7</v>
      </c>
      <c r="F1714" s="36" t="n">
        <v>6</v>
      </c>
      <c r="G1714" s="36" t="n">
        <v>0</v>
      </c>
      <c r="H1714" s="36" t="n">
        <v>0</v>
      </c>
      <c r="I1714" s="36" t="n">
        <v>1</v>
      </c>
      <c r="J1714" s="36" t="n">
        <v>17</v>
      </c>
      <c r="K1714" s="12" t="n">
        <v>204</v>
      </c>
    </row>
    <row r="1715">
      <c r="A1715" s="33" t="n">
        <v>46326.32569444444</v>
      </c>
      <c r="B1715" s="33" t="n">
        <v>46326.49097222222</v>
      </c>
      <c r="C1715" s="13" t="n">
        <v>46328</v>
      </c>
      <c r="D1715" s="14" t="n">
        <v>0.8854166666666666</v>
      </c>
      <c r="E1715" s="37" t="n">
        <v>2</v>
      </c>
      <c r="F1715" s="37" t="n">
        <v>2</v>
      </c>
      <c r="G1715" s="37" t="n">
        <v>0</v>
      </c>
      <c r="H1715" s="37" t="n">
        <v>0</v>
      </c>
      <c r="I1715" s="37" t="n">
        <v>0</v>
      </c>
      <c r="J1715" s="37" t="n">
        <v>4</v>
      </c>
      <c r="K1715" s="16" t="n">
        <v>48</v>
      </c>
    </row>
    <row r="1716">
      <c r="A1716" s="30" t="n">
        <v>46326.32569444444</v>
      </c>
      <c r="B1716" s="30" t="n">
        <v>46326.49097222222</v>
      </c>
      <c r="C1716" s="9" t="n">
        <v>46328</v>
      </c>
      <c r="D1716" s="10" t="n">
        <v>0.96875</v>
      </c>
      <c r="E1716" s="36" t="n">
        <v>1</v>
      </c>
      <c r="F1716" s="36" t="n">
        <v>1</v>
      </c>
      <c r="G1716" s="36" t="n">
        <v>0</v>
      </c>
      <c r="H1716" s="36" t="n">
        <v>0</v>
      </c>
      <c r="I1716" s="36" t="n">
        <v>0</v>
      </c>
      <c r="J1716" s="36" t="n">
        <v>2</v>
      </c>
      <c r="K1716" s="12" t="n">
        <v>24</v>
      </c>
    </row>
  </sheetData>
  <autoFilter ref="A1:K17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66</v>
      </c>
      <c r="H4" s="11" t="n">
        <v>230</v>
      </c>
      <c r="I4" s="12" t="n">
        <v>2760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8</v>
      </c>
      <c r="H6" s="11" t="n">
        <v>28</v>
      </c>
      <c r="I6" s="12" t="n">
        <v>336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377</v>
      </c>
      <c r="M8" s="11" t="n">
        <v>1146</v>
      </c>
      <c r="N8" s="12" t="n">
        <v>13752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2</v>
      </c>
      <c r="H9" s="11" t="n">
        <v>9</v>
      </c>
      <c r="I9" s="12" t="n">
        <v>108</v>
      </c>
      <c r="K9" s="38" t="inlineStr">
        <is>
          <t>Sabato</t>
        </is>
      </c>
      <c r="L9" s="11" t="n">
        <v>341</v>
      </c>
      <c r="M9" s="11" t="n">
        <v>1039</v>
      </c>
      <c r="N9" s="12" t="n">
        <v>12468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61</v>
      </c>
      <c r="H13" s="11" t="n">
        <v>176</v>
      </c>
      <c r="I13" s="12" t="n">
        <v>2112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225</v>
      </c>
      <c r="H26" s="11" t="n">
        <v>714</v>
      </c>
      <c r="I26" s="12" t="n">
        <v>8568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146</v>
      </c>
      <c r="H27" s="11" t="n">
        <v>486</v>
      </c>
      <c r="I27" s="12" t="n">
        <v>5832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171</v>
      </c>
      <c r="C29" s="11" t="n">
        <v>525</v>
      </c>
      <c r="D29" s="12" t="n">
        <v>6300</v>
      </c>
    </row>
    <row r="30">
      <c r="A30" s="9" t="n">
        <v>46326</v>
      </c>
      <c r="B30" s="11" t="n">
        <v>28</v>
      </c>
      <c r="C30" s="11" t="n">
        <v>84</v>
      </c>
      <c r="D30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2026-10-31T10:47:58Z</dcterms:created>
  <dcterms:modified xsi:type="dcterms:W3CDTF">2026-10-31T10:47:59Z</dcterms:modified>
</cp:coreProperties>
</file>