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'Vendite'!$A$1:$P$120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'Storico'!$A$1:$G$596</definedName>
    <definedName name="_xlnm._FilterDatabase" localSheetId="8" hidden="1">'Registro vendite'!$A$1:$K$654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'Storico'!$H$2:$H$596</f>
            </numRef>
          </cat>
          <val>
            <numRef>
              <f>'Storico'!$C$2:$C$596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MAX(Storico!A2:A596)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3</v>
      </c>
      <c r="I23" s="15" t="n">
        <v>0</v>
      </c>
      <c r="J23" s="16" t="n">
        <v>108</v>
      </c>
      <c r="K23" s="16" t="n">
        <v>0</v>
      </c>
      <c r="L23" s="16" t="n">
        <v>98.19</v>
      </c>
      <c r="M23" s="16" t="n">
        <v>9.81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6</v>
      </c>
      <c r="I26" s="11" t="n">
        <v>0</v>
      </c>
      <c r="J26" s="12" t="n">
        <v>288</v>
      </c>
      <c r="K26" s="12" t="n">
        <v>0</v>
      </c>
      <c r="L26" s="12" t="n">
        <v>261.84</v>
      </c>
      <c r="M26" s="12" t="n">
        <v>26.16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3</v>
      </c>
      <c r="I27" s="15" t="n">
        <v>0</v>
      </c>
      <c r="J27" s="16" t="n">
        <v>108</v>
      </c>
      <c r="K27" s="16" t="n">
        <v>0</v>
      </c>
      <c r="L27" s="16" t="n">
        <v>98.19</v>
      </c>
      <c r="M27" s="16" t="n">
        <v>9.81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4</v>
      </c>
      <c r="I28" s="11" t="n">
        <v>4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16</v>
      </c>
      <c r="I29" s="15" t="n">
        <v>1</v>
      </c>
      <c r="J29" s="16" t="n">
        <v>384</v>
      </c>
      <c r="K29" s="16" t="n">
        <v>0</v>
      </c>
      <c r="L29" s="16" t="n">
        <v>349.12</v>
      </c>
      <c r="M29" s="16" t="n">
        <v>34.88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8</v>
      </c>
      <c r="I30" s="11" t="n">
        <v>0</v>
      </c>
      <c r="J30" s="12" t="n">
        <v>384</v>
      </c>
      <c r="K30" s="12" t="n">
        <v>0</v>
      </c>
      <c r="L30" s="12" t="n">
        <v>349.12</v>
      </c>
      <c r="M30" s="12" t="n">
        <v>34.88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3</v>
      </c>
      <c r="I31" s="15" t="n">
        <v>0</v>
      </c>
      <c r="J31" s="16" t="n">
        <v>108</v>
      </c>
      <c r="K31" s="16" t="n">
        <v>0</v>
      </c>
      <c r="L31" s="16" t="n">
        <v>98.19</v>
      </c>
      <c r="M31" s="16" t="n">
        <v>9.81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30</v>
      </c>
      <c r="I33" s="15" t="n">
        <v>0</v>
      </c>
      <c r="J33" s="16" t="n">
        <v>720</v>
      </c>
      <c r="K33" s="16" t="n">
        <v>0</v>
      </c>
      <c r="L33" s="16" t="n">
        <v>654.6</v>
      </c>
      <c r="M33" s="16" t="n">
        <v>65.40000000000001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9</v>
      </c>
      <c r="I34" s="11" t="n">
        <v>0</v>
      </c>
      <c r="J34" s="12" t="n">
        <v>432</v>
      </c>
      <c r="K34" s="12" t="n">
        <v>0</v>
      </c>
      <c r="L34" s="12" t="n">
        <v>392.76</v>
      </c>
      <c r="M34" s="12" t="n">
        <v>39.24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22</v>
      </c>
      <c r="I37" s="15" t="n">
        <v>0</v>
      </c>
      <c r="J37" s="16" t="n">
        <v>528</v>
      </c>
      <c r="K37" s="16" t="n">
        <v>0</v>
      </c>
      <c r="L37" s="16" t="n">
        <v>480.04</v>
      </c>
      <c r="M37" s="16" t="n">
        <v>47.96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12</v>
      </c>
      <c r="I38" s="11" t="n">
        <v>0</v>
      </c>
      <c r="J38" s="12" t="n">
        <v>576</v>
      </c>
      <c r="K38" s="12" t="n">
        <v>0</v>
      </c>
      <c r="L38" s="12" t="n">
        <v>523.6799999999999</v>
      </c>
      <c r="M38" s="12" t="n">
        <v>52.32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2</v>
      </c>
      <c r="I39" s="15" t="n">
        <v>0</v>
      </c>
      <c r="J39" s="16" t="n">
        <v>120</v>
      </c>
      <c r="K39" s="16" t="n">
        <v>0</v>
      </c>
      <c r="L39" s="16" t="n">
        <v>109.1</v>
      </c>
      <c r="M39" s="16" t="n">
        <v>10.9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13</v>
      </c>
      <c r="I40" s="11" t="n">
        <v>0</v>
      </c>
      <c r="J40" s="12" t="n">
        <v>312</v>
      </c>
      <c r="K40" s="12" t="n">
        <v>0</v>
      </c>
      <c r="L40" s="12" t="n">
        <v>283.66</v>
      </c>
      <c r="M40" s="12" t="n">
        <v>28.34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4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13</v>
      </c>
      <c r="I45" s="15" t="n">
        <v>0</v>
      </c>
      <c r="J45" s="16" t="n">
        <v>624</v>
      </c>
      <c r="K45" s="16" t="n">
        <v>0</v>
      </c>
      <c r="L45" s="16" t="n">
        <v>567.3200000000001</v>
      </c>
      <c r="M45" s="16" t="n">
        <v>56.68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4</v>
      </c>
      <c r="I46" s="11" t="n">
        <v>0</v>
      </c>
      <c r="J46" s="12" t="n">
        <v>240</v>
      </c>
      <c r="K46" s="12" t="n">
        <v>0</v>
      </c>
      <c r="L46" s="12" t="n">
        <v>218.2</v>
      </c>
      <c r="M46" s="12" t="n">
        <v>21.8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12</v>
      </c>
      <c r="I47" s="15" t="n">
        <v>0</v>
      </c>
      <c r="J47" s="16" t="n">
        <v>288</v>
      </c>
      <c r="K47" s="16" t="n">
        <v>0</v>
      </c>
      <c r="L47" s="16" t="n">
        <v>261.84</v>
      </c>
      <c r="M47" s="16" t="n">
        <v>26.16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2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13</v>
      </c>
      <c r="I51" s="15" t="n">
        <v>0</v>
      </c>
      <c r="J51" s="16" t="n">
        <v>312</v>
      </c>
      <c r="K51" s="16" t="n">
        <v>0</v>
      </c>
      <c r="L51" s="16" t="n">
        <v>283.66</v>
      </c>
      <c r="M51" s="16" t="n">
        <v>28.34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8</v>
      </c>
      <c r="I52" s="11" t="n">
        <v>0</v>
      </c>
      <c r="J52" s="12" t="n">
        <v>384</v>
      </c>
      <c r="K52" s="12" t="n">
        <v>0</v>
      </c>
      <c r="L52" s="12" t="n">
        <v>349.12</v>
      </c>
      <c r="M52" s="12" t="n">
        <v>34.88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4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12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9</v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7</v>
      </c>
      <c r="I95" s="15" t="n">
        <v>3</v>
      </c>
      <c r="J95" s="16" t="n">
        <v>336</v>
      </c>
      <c r="K95" s="16" t="n">
        <v>0</v>
      </c>
      <c r="L95" s="16" t="n">
        <v>305.48</v>
      </c>
      <c r="M95" s="16" t="n">
        <v>30.52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3</v>
      </c>
      <c r="I96" s="11" t="n">
        <v>0</v>
      </c>
      <c r="J96" s="12" t="n">
        <v>108</v>
      </c>
      <c r="K96" s="12" t="n">
        <v>0</v>
      </c>
      <c r="L96" s="12" t="n">
        <v>98.19</v>
      </c>
      <c r="M96" s="12" t="n">
        <v>9.81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17</v>
      </c>
      <c r="I98" s="11" t="n">
        <v>0</v>
      </c>
      <c r="J98" s="12" t="n">
        <v>816</v>
      </c>
      <c r="K98" s="12" t="n">
        <v>0</v>
      </c>
      <c r="L98" s="12" t="n">
        <v>741.88</v>
      </c>
      <c r="M98" s="12" t="n">
        <v>74.12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2</v>
      </c>
      <c r="I99" s="15" t="n">
        <v>0</v>
      </c>
      <c r="J99" s="16" t="n">
        <v>72</v>
      </c>
      <c r="K99" s="16" t="n">
        <v>0</v>
      </c>
      <c r="L99" s="16" t="n">
        <v>65.45999999999999</v>
      </c>
      <c r="M99" s="16" t="n">
        <v>6.54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16</v>
      </c>
      <c r="I101" s="15" t="n">
        <v>0</v>
      </c>
      <c r="J101" s="16" t="n">
        <v>384</v>
      </c>
      <c r="K101" s="16" t="n">
        <v>0</v>
      </c>
      <c r="L101" s="16" t="n">
        <v>349.12</v>
      </c>
      <c r="M101" s="16" t="n">
        <v>34.88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13</v>
      </c>
      <c r="I102" s="11" t="n">
        <v>0</v>
      </c>
      <c r="J102" s="12" t="n">
        <v>624</v>
      </c>
      <c r="K102" s="12" t="n">
        <v>0</v>
      </c>
      <c r="L102" s="12" t="n">
        <v>567.3200000000001</v>
      </c>
      <c r="M102" s="12" t="n">
        <v>56.68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3</v>
      </c>
      <c r="I109" s="15" t="n">
        <v>0</v>
      </c>
      <c r="J109" s="16" t="n">
        <v>144</v>
      </c>
      <c r="K109" s="16" t="n">
        <v>0</v>
      </c>
      <c r="L109" s="16" t="n">
        <v>130.92</v>
      </c>
      <c r="M109" s="16" t="n">
        <v>13.08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2</v>
      </c>
      <c r="I110" s="11" t="n">
        <v>0</v>
      </c>
      <c r="J110" s="12" t="n">
        <v>72</v>
      </c>
      <c r="K110" s="12" t="n">
        <v>0</v>
      </c>
      <c r="L110" s="12" t="n">
        <v>65.45999999999999</v>
      </c>
      <c r="M110" s="12" t="n">
        <v>6.54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2</v>
      </c>
      <c r="I116" s="11" t="n">
        <v>0</v>
      </c>
      <c r="J116" s="12" t="n">
        <v>48</v>
      </c>
      <c r="K116" s="12" t="n">
        <v>0</v>
      </c>
      <c r="L116" s="12" t="n">
        <v>43.64</v>
      </c>
      <c r="M116" s="12" t="n">
        <v>4.36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20261102_2215</t>
        </is>
      </c>
      <c r="B119" s="13" t="n">
        <v>46328</v>
      </c>
      <c r="C119" s="14" t="n">
        <v>0.9270833333333334</v>
      </c>
      <c r="D119" s="23" t="inlineStr">
        <is>
          <t>UN Unico</t>
        </is>
      </c>
      <c r="E119" s="23" t="inlineStr">
        <is>
          <t>I1</t>
        </is>
      </c>
      <c r="F119" s="23">
        <f>IFERROR(INDEX(Tariffe!$B$2:$B$200,MATCH(E119,Tariffe!$A$2:$A$200,0)),"DA DEFINIRE")</f>
        <v/>
      </c>
      <c r="G119" s="16" t="n">
        <v>15</v>
      </c>
      <c r="H119" s="15" t="n">
        <v>3</v>
      </c>
      <c r="I119" s="15" t="n">
        <v>0</v>
      </c>
      <c r="J119" s="16" t="n">
        <v>45</v>
      </c>
      <c r="K119" s="16" t="n">
        <v>0</v>
      </c>
      <c r="L119" s="16" t="n">
        <v>40.92</v>
      </c>
      <c r="M119" s="16" t="n">
        <v>4.08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20261102_2315</t>
        </is>
      </c>
      <c r="B120" s="9" t="n">
        <v>46328</v>
      </c>
      <c r="C120" s="10" t="n">
        <v>0.96875</v>
      </c>
      <c r="D120" s="22" t="inlineStr">
        <is>
          <t>UN Unico</t>
        </is>
      </c>
      <c r="E120" s="22" t="inlineStr">
        <is>
          <t>I1</t>
        </is>
      </c>
      <c r="F120" s="22">
        <f>IFERROR(INDEX(Tariffe!$B$2:$B$200,MATCH(E120,Tariffe!$A$2:$A$200,0)),"DA DEFINIRE")</f>
        <v/>
      </c>
      <c r="G120" s="12" t="n">
        <v>15</v>
      </c>
      <c r="H120" s="11" t="n">
        <v>2</v>
      </c>
      <c r="I120" s="11" t="n">
        <v>0</v>
      </c>
      <c r="J120" s="12" t="n">
        <v>30</v>
      </c>
      <c r="K120" s="12" t="n">
        <v>0</v>
      </c>
      <c r="L120" s="12" t="n">
        <v>27.28</v>
      </c>
      <c r="M120" s="12" t="n">
        <v>2.72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</sheetData>
  <autoFilter ref="A1:P1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</sheetData>
  <autoFilter ref="A1:G59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</sheetData>
  <autoFilter ref="A1:K65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64</v>
      </c>
      <c r="M9" s="11" t="n">
        <v>193</v>
      </c>
      <c r="N9" s="12" t="n">
        <v>2316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14</v>
      </c>
      <c r="H13" s="11" t="n">
        <v>45</v>
      </c>
      <c r="I13" s="12" t="n">
        <v>540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31</v>
      </c>
      <c r="H14" s="11" t="n">
        <v>94</v>
      </c>
      <c r="I14" s="12" t="n">
        <v>1128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34</v>
      </c>
      <c r="H15" s="11" t="n">
        <v>96</v>
      </c>
      <c r="I15" s="12" t="n">
        <v>1152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25</v>
      </c>
      <c r="H17" s="11" t="n">
        <v>70</v>
      </c>
      <c r="I17" s="12" t="n">
        <v>840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56</v>
      </c>
      <c r="H18" s="11" t="n">
        <v>176</v>
      </c>
      <c r="I18" s="12" t="n">
        <v>2112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36</v>
      </c>
      <c r="H19" s="11" t="n">
        <v>105</v>
      </c>
      <c r="I19" s="12" t="n">
        <v>1260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49</v>
      </c>
      <c r="H20" s="11" t="n">
        <v>145</v>
      </c>
      <c r="I20" s="12" t="n">
        <v>1740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33</v>
      </c>
      <c r="H21" s="11" t="n">
        <v>92</v>
      </c>
      <c r="I21" s="12" t="n">
        <v>1104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70</v>
      </c>
      <c r="H22" s="11" t="n">
        <v>197</v>
      </c>
      <c r="I22" s="12" t="n">
        <v>2364</v>
      </c>
    </row>
    <row r="23">
      <c r="A23" s="9" t="n">
        <v>46319</v>
      </c>
      <c r="B23" s="11" t="n">
        <v>7</v>
      </c>
      <c r="C23" s="11" t="n">
        <v>26</v>
      </c>
      <c r="D23" s="12" t="n">
        <v>312</v>
      </c>
      <c r="F23" s="38" t="inlineStr">
        <is>
          <t>19:00-20:00</t>
        </is>
      </c>
      <c r="G23" s="11" t="n">
        <v>67</v>
      </c>
      <c r="H23" s="11" t="n">
        <v>221</v>
      </c>
      <c r="I23" s="12" t="n">
        <v>2652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2026-10-23T22:56:44Z</dcterms:created>
  <dcterms:modified xsi:type="dcterms:W3CDTF">2026-10-23T22:56:44Z</dcterms:modified>
</cp:coreProperties>
</file>