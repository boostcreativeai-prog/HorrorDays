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'Spettacoli'!$A$1:$R$48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'Storico'!$A$1:$G$894</definedName>
    <definedName name="_xlnm._FilterDatabase" localSheetId="8" hidden="1">'Registro vendite'!$A$1:$K$1696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'Storico'!$H$2:$H$894</f>
            </numRef>
          </cat>
          <val>
            <numRef>
              <f>'Storico'!$C$2:$C$894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INDEX(Spettacoli!$B$2:$B$48,MATCH(LARGE(Spettacoli!$R$2:$R$48,1),Spettacoli!$R$2:$R$48,0))</f>
        <v/>
      </c>
      <c r="L6" s="10">
        <f>INDEX(Spettacoli!$D$2:$D$48,MATCH(LARGE(Spettacoli!$R$2:$R$48,1),Spettacoli!$R$2:$R$48,0))</f>
        <v/>
      </c>
      <c r="M6" s="11">
        <f>INDEX(Spettacoli!$F$2:$F$48,MATCH(LARGE(Spettacoli!$R$2:$R$48,1),Spettacoli!$R$2:$R$48,0))</f>
        <v/>
      </c>
      <c r="N6" s="11">
        <f>INDEX(Spettacoli!$G$2:$G$48,MATCH(LARGE(Spettacoli!$R$2:$R$48,1),Spettacoli!$R$2:$R$48,0))</f>
        <v/>
      </c>
      <c r="O6" s="12">
        <f>INDEX(Spettacoli!$M$2:$M$48,MATCH(LARGE(Spettacoli!$R$2:$R$48,1),Spettacoli!$R$2:$R$48,0))</f>
        <v/>
      </c>
    </row>
    <row r="7">
      <c r="K7" s="13">
        <f>INDEX(Spettacoli!$B$2:$B$48,MATCH(LARGE(Spettacoli!$R$2:$R$48,2),Spettacoli!$R$2:$R$48,0))</f>
        <v/>
      </c>
      <c r="L7" s="14">
        <f>INDEX(Spettacoli!$D$2:$D$48,MATCH(LARGE(Spettacoli!$R$2:$R$48,2),Spettacoli!$R$2:$R$48,0))</f>
        <v/>
      </c>
      <c r="M7" s="15">
        <f>INDEX(Spettacoli!$F$2:$F$48,MATCH(LARGE(Spettacoli!$R$2:$R$48,2),Spettacoli!$R$2:$R$48,0))</f>
        <v/>
      </c>
      <c r="N7" s="15">
        <f>INDEX(Spettacoli!$G$2:$G$48,MATCH(LARGE(Spettacoli!$R$2:$R$48,2),Spettacoli!$R$2:$R$48,0))</f>
        <v/>
      </c>
      <c r="O7" s="16">
        <f>INDEX(Spettacoli!$M$2:$M$48,MATCH(LARGE(Spettacoli!$R$2:$R$48,2),Spettacoli!$R$2:$R$48,0))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INDEX(Spettacoli!$B$2:$B$48,MATCH(LARGE(Spettacoli!$R$2:$R$48,3),Spettacoli!$R$2:$R$48,0))</f>
        <v/>
      </c>
      <c r="L8" s="10">
        <f>INDEX(Spettacoli!$D$2:$D$48,MATCH(LARGE(Spettacoli!$R$2:$R$48,3),Spettacoli!$R$2:$R$48,0))</f>
        <v/>
      </c>
      <c r="M8" s="11">
        <f>INDEX(Spettacoli!$F$2:$F$48,MATCH(LARGE(Spettacoli!$R$2:$R$48,3),Spettacoli!$R$2:$R$48,0))</f>
        <v/>
      </c>
      <c r="N8" s="11">
        <f>INDEX(Spettacoli!$G$2:$G$48,MATCH(LARGE(Spettacoli!$R$2:$R$48,3),Spettacoli!$R$2:$R$48,0))</f>
        <v/>
      </c>
      <c r="O8" s="12">
        <f>INDEX(Spettacoli!$M$2:$M$48,MATCH(LARGE(Spettacoli!$R$2:$R$48,3),Spettacoli!$R$2:$R$48,0))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IF(SUM(Spettacoli!E2:E48)&gt;0,SUM(Spettacoli!F2:F48)/SUM(Spettacoli!E2:E48),0)</f>
        <v/>
      </c>
      <c r="F9" s="5" t="n"/>
      <c r="H9" s="19">
        <f>COUNTIF(Spettacoli!$Q$2:$Q$48,"Venduto")&amp;" / "&amp;COUNTA(Spettacoli!A2:A48)</f>
        <v/>
      </c>
      <c r="I9" s="5" t="n"/>
      <c r="K9" s="13">
        <f>INDEX(Spettacoli!$B$2:$B$48,MATCH(LARGE(Spettacoli!$R$2:$R$48,4),Spettacoli!$R$2:$R$48,0))</f>
        <v/>
      </c>
      <c r="L9" s="14">
        <f>INDEX(Spettacoli!$D$2:$D$48,MATCH(LARGE(Spettacoli!$R$2:$R$48,4),Spettacoli!$R$2:$R$48,0))</f>
        <v/>
      </c>
      <c r="M9" s="15">
        <f>INDEX(Spettacoli!$F$2:$F$48,MATCH(LARGE(Spettacoli!$R$2:$R$48,4),Spettacoli!$R$2:$R$48,0))</f>
        <v/>
      </c>
      <c r="N9" s="15">
        <f>INDEX(Spettacoli!$G$2:$G$48,MATCH(LARGE(Spettacoli!$R$2:$R$48,4),Spettacoli!$R$2:$R$48,0))</f>
        <v/>
      </c>
      <c r="O9" s="16">
        <f>INDEX(Spettacoli!$M$2:$M$48,MATCH(LARGE(Spettacoli!$R$2:$R$48,4),Spettacoli!$R$2:$R$48,0))</f>
        <v/>
      </c>
    </row>
    <row r="10">
      <c r="K10" s="9">
        <f>INDEX(Spettacoli!$B$2:$B$48,MATCH(LARGE(Spettacoli!$R$2:$R$48,5),Spettacoli!$R$2:$R$48,0))</f>
        <v/>
      </c>
      <c r="L10" s="10">
        <f>INDEX(Spettacoli!$D$2:$D$48,MATCH(LARGE(Spettacoli!$R$2:$R$48,5),Spettacoli!$R$2:$R$48,0))</f>
        <v/>
      </c>
      <c r="M10" s="11">
        <f>INDEX(Spettacoli!$F$2:$F$48,MATCH(LARGE(Spettacoli!$R$2:$R$48,5),Spettacoli!$R$2:$R$48,0))</f>
        <v/>
      </c>
      <c r="N10" s="11">
        <f>INDEX(Spettacoli!$G$2:$G$48,MATCH(LARGE(Spettacoli!$R$2:$R$48,5),Spettacoli!$R$2:$R$48,0))</f>
        <v/>
      </c>
      <c r="O10" s="12">
        <f>INDEX(Spettacoli!$M$2:$M$48,MATCH(LARGE(Spettacoli!$R$2:$R$48,5),Spettacoli!$R$2:$R$48,0))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IF(F2&gt;0,"Venduto",IF(M2&gt;0,"Botteghino","Zero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IF(F3&gt;0,"Venduto",IF(M3&gt;0,"Botteghino","Zero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IF(F4&gt;0,"Venduto",IF(M4&gt;0,"Botteghino","Zero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IF(F5&gt;0,"Venduto",IF(M5&gt;0,"Botteghino","Zero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IF(F6&gt;0,"Venduto",IF(M6&gt;0,"Botteghino","Zero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IF(F7&gt;0,"Venduto",IF(M7&gt;0,"Botteghino","Zero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IF(F8&gt;0,"Venduto",IF(M8&gt;0,"Botteghino","Zero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IF(F9&gt;0,"Venduto",IF(M9&gt;0,"Botteghino","Zero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IF(F10&gt;0,"Venduto",IF(M10&gt;0,"Botteghino","Zero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IF(F11&gt;0,"Venduto",IF(M11&gt;0,"Botteghino","Zero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IF(F12&gt;0,"Venduto",IF(M12&gt;0,"Botteghino","Zero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IF(F13&gt;0,"Venduto",IF(M13&gt;0,"Botteghino","Zero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IF(F14&gt;0,"Venduto",IF(M14&gt;0,"Botteghino","Zero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IF(F15&gt;0,"Venduto",IF(M15&gt;0,"Botteghino","Zero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IF(F16&gt;0,"Venduto",IF(M16&gt;0,"Botteghino","Zero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IF(F17&gt;0,"Venduto",IF(M17&gt;0,"Botteghino","Zero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IF(F18&gt;0,"Venduto",IF(M18&gt;0,"Botteghino","Zero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IF(F19&gt;0,"Venduto",IF(M19&gt;0,"Botteghino","Zero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IF(F20&gt;0,"Venduto",IF(M20&gt;0,"Botteghino","Zero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IF(F21&gt;0,"Venduto",IF(M21&gt;0,"Botteghino","Zero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IF(F22&gt;0,"Venduto",IF(M22&gt;0,"Botteghino","Zero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IF(F23&gt;0,"Venduto",IF(M23&gt;0,"Botteghino","Zero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IF(F24&gt;0,"Venduto",IF(M24&gt;0,"Botteghino","Zero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IF(F25&gt;0,"Venduto",IF(M25&gt;0,"Botteghino","Zero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IF(F26&gt;0,"Venduto",IF(M26&gt;0,"Botteghino","Zero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IF(F27&gt;0,"Venduto",IF(M27&gt;0,"Botteghino","Zero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IF(F28&gt;0,"Venduto",IF(M28&gt;0,"Botteghino","Zero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IF(F29&gt;0,"Venduto",IF(M29&gt;0,"Botteghino","Zero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IF(F30&gt;0,"Venduto",IF(M30&gt;0,"Botteghino","Zero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IF(F31&gt;0,"Venduto",IF(M31&gt;0,"Botteghino","Zero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IF(F32&gt;0,"Venduto",IF(M32&gt;0,"Botteghino","Zero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IF(F33&gt;0,"Venduto",IF(M33&gt;0,"Botteghino","Zero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IF(F34&gt;0,"Venduto",IF(M34&gt;0,"Botteghino","Zero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IF(F35&gt;0,"Venduto",IF(M35&gt;0,"Botteghino","Zero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IF(F36&gt;0,"Venduto",IF(M36&gt;0,"Botteghino","Zero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IF(F37&gt;0,"Venduto",IF(M37&gt;0,"Botteghino","Zero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IF(F38&gt;0,"Venduto",IF(M38&gt;0,"Botteghino","Zero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IF(F39&gt;0,"Venduto",IF(M39&gt;0,"Botteghino","Zero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IF(F40&gt;0,"Venduto",IF(M40&gt;0,"Botteghino","Zero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IF(F41&gt;0,"Venduto",IF(M41&gt;0,"Botteghino","Zero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IF(F42&gt;0,"Venduto",IF(M42&gt;0,"Botteghino","Zero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IF(F43&gt;0,"Venduto",IF(M43&gt;0,"Botteghino","Zero vendite"))</f>
        <v/>
      </c>
      <c r="R43" s="23">
        <f>F43+M43/100000+(1000-ROW())/100000000</f>
        <v/>
      </c>
    </row>
    <row r="44">
      <c r="A44" s="22" t="inlineStr">
        <is>
          <t>20261109_2015</t>
        </is>
      </c>
      <c r="B44" s="9" t="n">
        <v>46335</v>
      </c>
      <c r="C44" s="22">
        <f>CHOOSE(WEEKDAY(B44,2),"Lunedì","Martedì","Mercoledì","Giovedì","Venerdì","Sabato","Domenica")</f>
        <v/>
      </c>
      <c r="D44" s="10" t="n">
        <v>0.84375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IF(F44&gt;0,"Venduto",IF(M44&gt;0,"Botteghino","Zero vendite"))</f>
        <v/>
      </c>
      <c r="R44" s="22">
        <f>F44+M44/100000+(1000-ROW())/100000000</f>
        <v/>
      </c>
    </row>
    <row r="45">
      <c r="A45" s="23" t="inlineStr">
        <is>
          <t>20261109_2115</t>
        </is>
      </c>
      <c r="B45" s="13" t="n">
        <v>46335</v>
      </c>
      <c r="C45" s="23">
        <f>CHOOSE(WEEKDAY(B45,2),"Lunedì","Martedì","Mercoledì","Giovedì","Venerdì","Sabato","Domenica")</f>
        <v/>
      </c>
      <c r="D45" s="14" t="n">
        <v>0.8854166666666666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IF(F45&gt;0,"Venduto",IF(M45&gt;0,"Botteghino","Zero vendite"))</f>
        <v/>
      </c>
      <c r="R45" s="23">
        <f>F45+M45/100000+(1000-ROW())/100000000</f>
        <v/>
      </c>
    </row>
    <row r="46">
      <c r="A46" s="22" t="inlineStr">
        <is>
          <t>20261109_2215</t>
        </is>
      </c>
      <c r="B46" s="9" t="n">
        <v>46335</v>
      </c>
      <c r="C46" s="22">
        <f>CHOOSE(WEEKDAY(B46,2),"Lunedì","Martedì","Mercoledì","Giovedì","Venerdì","Sabato","Domenica")</f>
        <v/>
      </c>
      <c r="D46" s="10" t="n">
        <v>0.9270833333333334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IF(F46&gt;0,"Venduto",IF(M46&gt;0,"Botteghino","Zero vendite"))</f>
        <v/>
      </c>
      <c r="R46" s="22">
        <f>F46+M46/100000+(1000-ROW())/100000000</f>
        <v/>
      </c>
    </row>
    <row r="47">
      <c r="A47" s="23" t="inlineStr">
        <is>
          <t>20261109_2315</t>
        </is>
      </c>
      <c r="B47" s="13" t="n">
        <v>46335</v>
      </c>
      <c r="C47" s="23">
        <f>CHOOSE(WEEKDAY(B47,2),"Lunedì","Martedì","Mercoledì","Giovedì","Venerdì","Sabato","Domenica")</f>
        <v/>
      </c>
      <c r="D47" s="14" t="n">
        <v>0.96875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IF(F47&gt;0,"Venduto",IF(M47&gt;0,"Botteghino","Zero vendite"))</f>
        <v/>
      </c>
      <c r="R47" s="23">
        <f>F47+M47/100000+(1000-ROW())/100000000</f>
        <v/>
      </c>
    </row>
    <row r="48">
      <c r="A48" s="22" t="inlineStr">
        <is>
          <t>20261109_2359</t>
        </is>
      </c>
      <c r="B48" s="9" t="n">
        <v>46335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IF(F48&gt;0,"Venduto",IF(M48&gt;0,"Botteghino","Zero vendite"))</f>
        <v/>
      </c>
      <c r="R48" s="22">
        <f>F48+M48/100000+(1000-ROW())/100000000</f>
        <v/>
      </c>
    </row>
  </sheetData>
  <autoFilter ref="A1:R48"/>
  <conditionalFormatting sqref="Q2:Q48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552</v>
      </c>
      <c r="K133" s="16" t="n">
        <v>0</v>
      </c>
      <c r="L133" s="16" t="n">
        <v>501.86</v>
      </c>
      <c r="M133" s="16" t="n">
        <v>50.14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1104</v>
      </c>
      <c r="K146" s="12" t="n">
        <v>0</v>
      </c>
      <c r="L146" s="12" t="n">
        <v>1003.72</v>
      </c>
      <c r="M146" s="12" t="n">
        <v>100.28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23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8296</v>
      </c>
      <c r="D890" s="12" t="n">
        <v>99594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8336</v>
      </c>
      <c r="D891" s="16" t="n">
        <v>100074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8340</v>
      </c>
      <c r="D892" s="12" t="n">
        <v>100122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8355</v>
      </c>
      <c r="D893" s="16" t="n">
        <v>100302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8355</v>
      </c>
      <c r="D894" s="12" t="n">
        <v>100302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</sheetData>
  <autoFilter ref="A1:G8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0.9993055555555556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0.9993055555555556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  <row r="1689">
      <c r="A1689" s="33" t="n">
        <v>46325.7875</v>
      </c>
      <c r="B1689" s="33" t="n">
        <v>46325.79791666667</v>
      </c>
      <c r="C1689" s="13" t="n">
        <v>46327</v>
      </c>
      <c r="D1689" s="14" t="n">
        <v>0.9993055555555556</v>
      </c>
      <c r="E1689" s="37" t="n">
        <v>1</v>
      </c>
      <c r="F1689" s="37" t="n">
        <v>0</v>
      </c>
      <c r="G1689" s="37" t="n">
        <v>0</v>
      </c>
      <c r="H1689" s="37" t="n">
        <v>0</v>
      </c>
      <c r="I1689" s="37" t="n">
        <v>1</v>
      </c>
      <c r="J1689" s="37" t="n">
        <v>5</v>
      </c>
      <c r="K1689" s="16" t="n">
        <v>60</v>
      </c>
    </row>
    <row r="1690">
      <c r="A1690" s="30" t="n">
        <v>46325.79791666667</v>
      </c>
      <c r="B1690" s="30" t="n">
        <v>46325.84236111111</v>
      </c>
      <c r="C1690" s="9" t="n">
        <v>46327</v>
      </c>
      <c r="D1690" s="10" t="n">
        <v>0.8020833333333334</v>
      </c>
      <c r="E1690" s="36" t="n">
        <v>2</v>
      </c>
      <c r="F1690" s="36" t="n">
        <v>2</v>
      </c>
      <c r="G1690" s="36" t="n">
        <v>0</v>
      </c>
      <c r="H1690" s="36" t="n">
        <v>0</v>
      </c>
      <c r="I1690" s="36" t="n">
        <v>0</v>
      </c>
      <c r="J1690" s="36" t="n">
        <v>4</v>
      </c>
      <c r="K1690" s="12" t="n">
        <v>48</v>
      </c>
    </row>
    <row r="1691">
      <c r="A1691" s="33" t="n">
        <v>46325.79791666667</v>
      </c>
      <c r="B1691" s="33" t="n">
        <v>46325.84236111111</v>
      </c>
      <c r="C1691" s="13" t="n">
        <v>46327</v>
      </c>
      <c r="D1691" s="14" t="n">
        <v>0.84375</v>
      </c>
      <c r="E1691" s="37" t="n">
        <v>7</v>
      </c>
      <c r="F1691" s="37" t="n">
        <v>3</v>
      </c>
      <c r="G1691" s="37" t="n">
        <v>0</v>
      </c>
      <c r="H1691" s="37" t="n">
        <v>2</v>
      </c>
      <c r="I1691" s="37" t="n">
        <v>2</v>
      </c>
      <c r="J1691" s="37" t="n">
        <v>24</v>
      </c>
      <c r="K1691" s="16" t="n">
        <v>288</v>
      </c>
    </row>
    <row r="1692">
      <c r="A1692" s="30" t="n">
        <v>46325.79791666667</v>
      </c>
      <c r="B1692" s="30" t="n">
        <v>46325.84236111111</v>
      </c>
      <c r="C1692" s="9" t="n">
        <v>46327</v>
      </c>
      <c r="D1692" s="10" t="n">
        <v>0.9993055555555556</v>
      </c>
      <c r="E1692" s="36" t="n">
        <v>3</v>
      </c>
      <c r="F1692" s="36" t="n">
        <v>0</v>
      </c>
      <c r="G1692" s="36" t="n">
        <v>0</v>
      </c>
      <c r="H1692" s="36" t="n">
        <v>3</v>
      </c>
      <c r="I1692" s="36" t="n">
        <v>0</v>
      </c>
      <c r="J1692" s="36" t="n">
        <v>12</v>
      </c>
      <c r="K1692" s="12" t="n">
        <v>144</v>
      </c>
    </row>
    <row r="1693">
      <c r="A1693" s="33" t="n">
        <v>46325.84236111111</v>
      </c>
      <c r="B1693" s="33" t="n">
        <v>46325.84722222222</v>
      </c>
      <c r="C1693" s="13" t="n">
        <v>46327</v>
      </c>
      <c r="D1693" s="14" t="n">
        <v>0.8020833333333334</v>
      </c>
      <c r="E1693" s="37" t="n">
        <v>1</v>
      </c>
      <c r="F1693" s="37" t="n">
        <v>0</v>
      </c>
      <c r="G1693" s="37" t="n">
        <v>0</v>
      </c>
      <c r="H1693" s="37" t="n">
        <v>1</v>
      </c>
      <c r="I1693" s="37" t="n">
        <v>0</v>
      </c>
      <c r="J1693" s="37" t="n">
        <v>4</v>
      </c>
      <c r="K1693" s="16" t="n">
        <v>48</v>
      </c>
    </row>
    <row r="1694">
      <c r="A1694" s="30" t="n">
        <v>46325.84722222222</v>
      </c>
      <c r="B1694" s="30" t="n">
        <v>46325.86875</v>
      </c>
      <c r="C1694" s="9" t="n">
        <v>46327</v>
      </c>
      <c r="D1694" s="10" t="n">
        <v>0.8020833333333334</v>
      </c>
      <c r="E1694" s="36" t="n">
        <v>1</v>
      </c>
      <c r="F1694" s="36" t="n">
        <v>1</v>
      </c>
      <c r="G1694" s="36" t="n">
        <v>0</v>
      </c>
      <c r="H1694" s="36" t="n">
        <v>0</v>
      </c>
      <c r="I1694" s="36" t="n">
        <v>0</v>
      </c>
      <c r="J1694" s="36" t="n">
        <v>2</v>
      </c>
      <c r="K1694" s="12" t="n">
        <v>24</v>
      </c>
    </row>
    <row r="1695">
      <c r="A1695" s="33" t="n">
        <v>46325.84722222222</v>
      </c>
      <c r="B1695" s="33" t="n">
        <v>46325.86875</v>
      </c>
      <c r="C1695" s="13" t="n">
        <v>46327</v>
      </c>
      <c r="D1695" s="14" t="n">
        <v>0.84375</v>
      </c>
      <c r="E1695" s="37" t="n">
        <v>1</v>
      </c>
      <c r="F1695" s="37" t="n">
        <v>1</v>
      </c>
      <c r="G1695" s="37" t="n">
        <v>0</v>
      </c>
      <c r="H1695" s="37" t="n">
        <v>0</v>
      </c>
      <c r="I1695" s="37" t="n">
        <v>0</v>
      </c>
      <c r="J1695" s="37" t="n">
        <v>2</v>
      </c>
      <c r="K1695" s="16" t="n">
        <v>24</v>
      </c>
    </row>
    <row r="1696">
      <c r="A1696" s="30" t="n">
        <v>46325.84722222222</v>
      </c>
      <c r="B1696" s="30" t="n">
        <v>46325.86875</v>
      </c>
      <c r="C1696" s="9" t="n">
        <v>46327</v>
      </c>
      <c r="D1696" s="10" t="n">
        <v>0.9993055555555556</v>
      </c>
      <c r="E1696" s="36" t="n">
        <v>3</v>
      </c>
      <c r="F1696" s="36" t="n">
        <v>0</v>
      </c>
      <c r="G1696" s="36" t="n">
        <v>1</v>
      </c>
      <c r="H1696" s="36" t="n">
        <v>2</v>
      </c>
      <c r="I1696" s="36" t="n">
        <v>0</v>
      </c>
      <c r="J1696" s="36" t="n">
        <v>11</v>
      </c>
      <c r="K1696" s="12" t="n">
        <v>132</v>
      </c>
    </row>
  </sheetData>
  <autoFilter ref="A1:K16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341</v>
      </c>
      <c r="M8" s="11" t="n">
        <v>1039</v>
      </c>
      <c r="N8" s="12" t="n">
        <v>12483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152</v>
      </c>
      <c r="H24" s="11" t="n">
        <v>477</v>
      </c>
      <c r="I24" s="12" t="n">
        <v>5730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135</v>
      </c>
      <c r="C29" s="11" t="n">
        <v>413</v>
      </c>
      <c r="D29" s="12" t="n">
        <v>4956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2026-10-30T19:54:28Z</dcterms:created>
  <dcterms:modified xsi:type="dcterms:W3CDTF">2026-10-30T19:54:29Z</dcterms:modified>
</cp:coreProperties>
</file>