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'Vendite'!$A$1:$R$138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'Storico'!$A$1:$G$766</definedName>
    <definedName name="_xlnm._FilterDatabase" localSheetId="8" hidden="1">'Registro vendite'!$A$1:$K$1210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'Storico'!$H$2:$H$766</f>
            </numRef>
          </cat>
          <val>
            <numRef>
              <f>'Storico'!$C$2:$C$766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vendite'!$A$4:$A$26</f>
            </numRef>
          </cat>
          <val>
            <numRef>
              <f>'Picchi vendite'!$B$4:$B$26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MAX(Storico!A2:A766)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144</v>
      </c>
      <c r="K64" s="12" t="n">
        <v>0</v>
      </c>
      <c r="L64" s="12" t="n">
        <v>130.92</v>
      </c>
      <c r="M64" s="12" t="n">
        <v>13.08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6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384</v>
      </c>
      <c r="K65" s="16" t="n">
        <v>0</v>
      </c>
      <c r="L65" s="16" t="n">
        <v>349.12</v>
      </c>
      <c r="M65" s="16" t="n">
        <v>34.88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8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360</v>
      </c>
      <c r="K66" s="12" t="n">
        <v>0</v>
      </c>
      <c r="L66" s="12" t="n">
        <v>327.3</v>
      </c>
      <c r="M66" s="12" t="n">
        <v>32.7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10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180</v>
      </c>
      <c r="K67" s="16" t="n">
        <v>0</v>
      </c>
      <c r="L67" s="16" t="n">
        <v>163.65</v>
      </c>
      <c r="M67" s="16" t="n">
        <v>16.35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3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408</v>
      </c>
      <c r="K68" s="12" t="n">
        <v>0</v>
      </c>
      <c r="L68" s="12" t="n">
        <v>370.94</v>
      </c>
      <c r="M68" s="12" t="n">
        <v>37.06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17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1008</v>
      </c>
      <c r="K69" s="16" t="n">
        <v>0</v>
      </c>
      <c r="L69" s="16" t="n">
        <v>916.4400000000001</v>
      </c>
      <c r="M69" s="16" t="n">
        <v>91.56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21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288</v>
      </c>
      <c r="K70" s="12" t="n">
        <v>0</v>
      </c>
      <c r="L70" s="12" t="n">
        <v>261.84</v>
      </c>
      <c r="M70" s="12" t="n">
        <v>26.16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8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480</v>
      </c>
      <c r="K71" s="16" t="n">
        <v>0</v>
      </c>
      <c r="L71" s="16" t="n">
        <v>436.4</v>
      </c>
      <c r="M71" s="16" t="n">
        <v>43.6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8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672</v>
      </c>
      <c r="K72" s="12" t="n">
        <v>0</v>
      </c>
      <c r="L72" s="12" t="n">
        <v>610.96</v>
      </c>
      <c r="M72" s="12" t="n">
        <v>61.04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28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720</v>
      </c>
      <c r="K73" s="16" t="n">
        <v>0</v>
      </c>
      <c r="L73" s="16" t="n">
        <v>654.6</v>
      </c>
      <c r="M73" s="16" t="n">
        <v>65.40000000000001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15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1</v>
      </c>
      <c r="J75" s="16" t="n">
        <v>600</v>
      </c>
      <c r="K75" s="16" t="n">
        <v>0</v>
      </c>
      <c r="L75" s="16" t="n">
        <v>545.5</v>
      </c>
      <c r="M75" s="16" t="n">
        <v>54.5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10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336</v>
      </c>
      <c r="K76" s="12" t="n">
        <v>0</v>
      </c>
      <c r="L76" s="12" t="n">
        <v>305.48</v>
      </c>
      <c r="M76" s="12" t="n">
        <v>30.52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14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2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4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120</v>
      </c>
      <c r="K78" s="12" t="n">
        <v>0</v>
      </c>
      <c r="L78" s="12" t="n">
        <v>109.1</v>
      </c>
      <c r="M78" s="12" t="n">
        <v>10.9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10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192</v>
      </c>
      <c r="K82" s="12" t="n">
        <v>0</v>
      </c>
      <c r="L82" s="12" t="n">
        <v>174.56</v>
      </c>
      <c r="M82" s="12" t="n">
        <v>17.44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4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36</v>
      </c>
      <c r="K83" s="16" t="n">
        <v>0</v>
      </c>
      <c r="L83" s="16" t="n">
        <v>32.73</v>
      </c>
      <c r="M83" s="16" t="n">
        <v>3.27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120</v>
      </c>
      <c r="K84" s="12" t="n">
        <v>0</v>
      </c>
      <c r="L84" s="12" t="n">
        <v>109.1</v>
      </c>
      <c r="M84" s="12" t="n">
        <v>10.9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2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312</v>
      </c>
      <c r="K85" s="16" t="n">
        <v>0</v>
      </c>
      <c r="L85" s="16" t="n">
        <v>283.66</v>
      </c>
      <c r="M85" s="16" t="n">
        <v>28.34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13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1248</v>
      </c>
      <c r="K86" s="12" t="n">
        <v>0</v>
      </c>
      <c r="L86" s="12" t="n">
        <v>1134.64</v>
      </c>
      <c r="M86" s="12" t="n">
        <v>113.36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26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108</v>
      </c>
      <c r="K87" s="16" t="n">
        <v>0</v>
      </c>
      <c r="L87" s="16" t="n">
        <v>98.19</v>
      </c>
      <c r="M87" s="16" t="n">
        <v>9.81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300</v>
      </c>
      <c r="K88" s="12" t="n">
        <v>0</v>
      </c>
      <c r="L88" s="12" t="n">
        <v>272.75</v>
      </c>
      <c r="M88" s="12" t="n">
        <v>27.25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5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3</v>
      </c>
      <c r="J89" s="16" t="n">
        <v>672</v>
      </c>
      <c r="K89" s="16" t="n">
        <v>0</v>
      </c>
      <c r="L89" s="16" t="n">
        <v>610.96</v>
      </c>
      <c r="M89" s="16" t="n">
        <v>61.04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28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672</v>
      </c>
      <c r="K90" s="12" t="n">
        <v>0</v>
      </c>
      <c r="L90" s="12" t="n">
        <v>610.96</v>
      </c>
      <c r="M90" s="12" t="n">
        <v>61.04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72</v>
      </c>
      <c r="K91" s="16" t="n">
        <v>0</v>
      </c>
      <c r="L91" s="16" t="n">
        <v>65.45999999999999</v>
      </c>
      <c r="M91" s="16" t="n">
        <v>6.54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300</v>
      </c>
      <c r="K92" s="12" t="n">
        <v>0</v>
      </c>
      <c r="L92" s="12" t="n">
        <v>272.75</v>
      </c>
      <c r="M92" s="12" t="n">
        <v>27.25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5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0</v>
      </c>
      <c r="J93" s="16" t="n">
        <v>336</v>
      </c>
      <c r="K93" s="16" t="n">
        <v>0</v>
      </c>
      <c r="L93" s="16" t="n">
        <v>305.48</v>
      </c>
      <c r="M93" s="16" t="n">
        <v>30.52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14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0</v>
      </c>
      <c r="J95" s="16" t="n">
        <v>300</v>
      </c>
      <c r="K95" s="16" t="n">
        <v>0</v>
      </c>
      <c r="L95" s="16" t="n">
        <v>272.75</v>
      </c>
      <c r="M95" s="16" t="n">
        <v>27.25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5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312</v>
      </c>
      <c r="K96" s="12" t="n">
        <v>0</v>
      </c>
      <c r="L96" s="12" t="n">
        <v>283.66</v>
      </c>
      <c r="M96" s="12" t="n">
        <v>28.34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528</v>
      </c>
      <c r="K97" s="16" t="n">
        <v>0</v>
      </c>
      <c r="L97" s="16" t="n">
        <v>480.04</v>
      </c>
      <c r="M97" s="16" t="n">
        <v>47.96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11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108</v>
      </c>
      <c r="K98" s="12" t="n">
        <v>0</v>
      </c>
      <c r="L98" s="12" t="n">
        <v>98.19</v>
      </c>
      <c r="M98" s="12" t="n">
        <v>9.81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2</v>
      </c>
      <c r="J99" s="16" t="n">
        <v>240</v>
      </c>
      <c r="K99" s="16" t="n">
        <v>0</v>
      </c>
      <c r="L99" s="16" t="n">
        <v>218.2</v>
      </c>
      <c r="M99" s="16" t="n">
        <v>21.8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4</v>
      </c>
      <c r="R99" s="15">
        <f>IFERROR(INDEX(Tariffe!$E$2:$E$200,MATCH(E99,Tariffe!$A$2:$A$200,0))*1,1)</f>
        <v/>
      </c>
    </row>
    <row r="100">
      <c r="A100" s="22" t="inlineStr">
        <is>
          <t>20261031_2015</t>
        </is>
      </c>
      <c r="B100" s="9" t="n">
        <v>46326</v>
      </c>
      <c r="C100" s="10" t="n">
        <v>0.84375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0</v>
      </c>
      <c r="J101" s="16" t="n">
        <v>1104</v>
      </c>
      <c r="K101" s="16" t="n">
        <v>0</v>
      </c>
      <c r="L101" s="16" t="n">
        <v>1003.72</v>
      </c>
      <c r="M101" s="16" t="n">
        <v>100.28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23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6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180</v>
      </c>
      <c r="K103" s="16" t="n">
        <v>0</v>
      </c>
      <c r="L103" s="16" t="n">
        <v>163.65</v>
      </c>
      <c r="M103" s="16" t="n">
        <v>16.35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</v>
      </c>
      <c r="R103" s="15">
        <f>IFERROR(INDEX(Tariffe!$E$2:$E$200,MATCH(E103,Tariffe!$A$2:$A$200,0))*1,1)</f>
        <v/>
      </c>
    </row>
    <row r="104">
      <c r="A104" s="22" t="inlineStr">
        <is>
          <t>20261031_2115</t>
        </is>
      </c>
      <c r="B104" s="9" t="n">
        <v>46326</v>
      </c>
      <c r="C104" s="10" t="n">
        <v>0.8854166666666666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528</v>
      </c>
      <c r="K104" s="12" t="n">
        <v>0</v>
      </c>
      <c r="L104" s="12" t="n">
        <v>480.04</v>
      </c>
      <c r="M104" s="12" t="n">
        <v>47.96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22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3</v>
      </c>
      <c r="J105" s="16" t="n">
        <v>1296</v>
      </c>
      <c r="K105" s="16" t="n">
        <v>0</v>
      </c>
      <c r="L105" s="16" t="n">
        <v>1178.28</v>
      </c>
      <c r="M105" s="16" t="n">
        <v>117.72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27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180</v>
      </c>
      <c r="K106" s="12" t="n">
        <v>0</v>
      </c>
      <c r="L106" s="12" t="n">
        <v>163.65</v>
      </c>
      <c r="M106" s="12" t="n">
        <v>16.35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5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240</v>
      </c>
      <c r="K107" s="16" t="n">
        <v>0</v>
      </c>
      <c r="L107" s="16" t="n">
        <v>218.2</v>
      </c>
      <c r="M107" s="16" t="n">
        <v>21.8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</v>
      </c>
      <c r="R107" s="15">
        <f>IFERROR(INDEX(Tariffe!$E$2:$E$200,MATCH(E107,Tariffe!$A$2:$A$200,0))*1,1)</f>
        <v/>
      </c>
    </row>
    <row r="108">
      <c r="A108" s="22" t="inlineStr">
        <is>
          <t>20261031_2215</t>
        </is>
      </c>
      <c r="B108" s="9" t="n">
        <v>46326</v>
      </c>
      <c r="C108" s="10" t="n">
        <v>0.9270833333333334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1056</v>
      </c>
      <c r="K108" s="12" t="n">
        <v>0</v>
      </c>
      <c r="L108" s="12" t="n">
        <v>960.08</v>
      </c>
      <c r="M108" s="12" t="n">
        <v>95.92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44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1968</v>
      </c>
      <c r="K109" s="16" t="n">
        <v>0</v>
      </c>
      <c r="L109" s="16" t="n">
        <v>1789.24</v>
      </c>
      <c r="M109" s="16" t="n">
        <v>178.76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41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108</v>
      </c>
      <c r="K110" s="12" t="n">
        <v>0</v>
      </c>
      <c r="L110" s="12" t="n">
        <v>98.19</v>
      </c>
      <c r="M110" s="12" t="n">
        <v>9.81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300</v>
      </c>
      <c r="K111" s="16" t="n">
        <v>0</v>
      </c>
      <c r="L111" s="16" t="n">
        <v>272.75</v>
      </c>
      <c r="M111" s="16" t="n">
        <v>27.25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5</v>
      </c>
      <c r="R111" s="15">
        <f>IFERROR(INDEX(Tariffe!$E$2:$E$200,MATCH(E111,Tariffe!$A$2:$A$200,0))*1,1)</f>
        <v/>
      </c>
    </row>
    <row r="112">
      <c r="A112" s="22" t="inlineStr">
        <is>
          <t>20261031_2315</t>
        </is>
      </c>
      <c r="B112" s="9" t="n">
        <v>46326</v>
      </c>
      <c r="C112" s="10" t="n">
        <v>0.96875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744</v>
      </c>
      <c r="K112" s="12" t="n">
        <v>0</v>
      </c>
      <c r="L112" s="12" t="n">
        <v>676.42</v>
      </c>
      <c r="M112" s="12" t="n">
        <v>67.58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31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2016</v>
      </c>
      <c r="K113" s="16" t="n">
        <v>0</v>
      </c>
      <c r="L113" s="16" t="n">
        <v>1832.88</v>
      </c>
      <c r="M113" s="16" t="n">
        <v>183.12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42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I5 60€</t>
        </is>
      </c>
      <c r="F115" s="23">
        <f>IFERROR(INDEX(Tariffe!$B$2:$B$200,MATCH(E115,Tariffe!$A$2:$A$200,0)),"DA DEFINIRE")</f>
        <v/>
      </c>
      <c r="G115" s="16" t="n">
        <v>60</v>
      </c>
      <c r="H115" s="15">
        <f>Q115*R115</f>
        <v/>
      </c>
      <c r="I115" s="15" t="n">
        <v>0</v>
      </c>
      <c r="J115" s="16" t="n">
        <v>300</v>
      </c>
      <c r="K115" s="16" t="n">
        <v>0</v>
      </c>
      <c r="L115" s="16" t="n">
        <v>272.75</v>
      </c>
      <c r="M115" s="16" t="n">
        <v>27.25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20261031_2359</t>
        </is>
      </c>
      <c r="B116" s="9" t="n">
        <v>46326</v>
      </c>
      <c r="C116" s="10" t="n">
        <v>0.9993055555555556</v>
      </c>
      <c r="D116" s="22" t="inlineStr">
        <is>
          <t>UN Unico</t>
        </is>
      </c>
      <c r="E116" s="22" t="inlineStr">
        <is>
          <t>I8 24€</t>
        </is>
      </c>
      <c r="F116" s="22">
        <f>IFERROR(INDEX(Tariffe!$B$2:$B$200,MATCH(E116,Tariffe!$A$2:$A$200,0)),"DA DEFINIRE")</f>
        <v/>
      </c>
      <c r="G116" s="12" t="n">
        <v>24</v>
      </c>
      <c r="H116" s="11">
        <f>Q116*R116</f>
        <v/>
      </c>
      <c r="I116" s="11" t="n">
        <v>0</v>
      </c>
      <c r="J116" s="12" t="n">
        <v>648</v>
      </c>
      <c r="K116" s="12" t="n">
        <v>0</v>
      </c>
      <c r="L116" s="12" t="n">
        <v>589.14</v>
      </c>
      <c r="M116" s="12" t="n">
        <v>58.86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27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I1 48€</t>
        </is>
      </c>
      <c r="F117" s="23">
        <f>IFERROR(INDEX(Tariffe!$B$2:$B$200,MATCH(E117,Tariffe!$A$2:$A$200,0)),"DA DEFINIRE")</f>
        <v/>
      </c>
      <c r="G117" s="16" t="n">
        <v>48</v>
      </c>
      <c r="H117" s="15">
        <f>Q117*R117</f>
        <v/>
      </c>
      <c r="I117" s="15" t="n">
        <v>0</v>
      </c>
      <c r="J117" s="16" t="n">
        <v>288</v>
      </c>
      <c r="K117" s="16" t="n">
        <v>0</v>
      </c>
      <c r="L117" s="16" t="n">
        <v>261.84</v>
      </c>
      <c r="M117" s="16" t="n">
        <v>26.16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6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I2 36€</t>
        </is>
      </c>
      <c r="F118" s="22">
        <f>IFERROR(INDEX(Tariffe!$B$2:$B$200,MATCH(E118,Tariffe!$A$2:$A$200,0)),"DA DEFINIRE")</f>
        <v/>
      </c>
      <c r="G118" s="12" t="n">
        <v>36</v>
      </c>
      <c r="H118" s="11">
        <f>Q118*R118</f>
        <v/>
      </c>
      <c r="I118" s="11" t="n">
        <v>0</v>
      </c>
      <c r="J118" s="12" t="n">
        <v>36</v>
      </c>
      <c r="K118" s="12" t="n">
        <v>0</v>
      </c>
      <c r="L118" s="12" t="n">
        <v>32.73</v>
      </c>
      <c r="M118" s="12" t="n">
        <v>3.27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I5 60€</t>
        </is>
      </c>
      <c r="F119" s="23">
        <f>IFERROR(INDEX(Tariffe!$B$2:$B$200,MATCH(E119,Tariffe!$A$2:$A$200,0)),"DA DEFINIRE")</f>
        <v/>
      </c>
      <c r="G119" s="16" t="n">
        <v>60</v>
      </c>
      <c r="H119" s="15">
        <f>Q119*R119</f>
        <v/>
      </c>
      <c r="I119" s="15" t="n">
        <v>0</v>
      </c>
      <c r="J119" s="16" t="n">
        <v>60</v>
      </c>
      <c r="K119" s="16" t="n">
        <v>0</v>
      </c>
      <c r="L119" s="16" t="n">
        <v>54.55</v>
      </c>
      <c r="M119" s="16" t="n">
        <v>5.45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20261101_2015</t>
        </is>
      </c>
      <c r="B120" s="9" t="n">
        <v>46327</v>
      </c>
      <c r="C120" s="10" t="n">
        <v>0.84375</v>
      </c>
      <c r="D120" s="22" t="inlineStr">
        <is>
          <t>UN Unico</t>
        </is>
      </c>
      <c r="E120" s="22" t="inlineStr">
        <is>
          <t>I8 24€</t>
        </is>
      </c>
      <c r="F120" s="22">
        <f>IFERROR(INDEX(Tariffe!$B$2:$B$200,MATCH(E120,Tariffe!$A$2:$A$200,0)),"DA DEFINIRE")</f>
        <v/>
      </c>
      <c r="G120" s="12" t="n">
        <v>24</v>
      </c>
      <c r="H120" s="11">
        <f>Q120*R120</f>
        <v/>
      </c>
      <c r="I120" s="11" t="n">
        <v>0</v>
      </c>
      <c r="J120" s="12" t="n">
        <v>120</v>
      </c>
      <c r="K120" s="12" t="n">
        <v>0</v>
      </c>
      <c r="L120" s="12" t="n">
        <v>109.1</v>
      </c>
      <c r="M120" s="12" t="n">
        <v>10.9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I1 48€</t>
        </is>
      </c>
      <c r="F121" s="23">
        <f>IFERROR(INDEX(Tariffe!$B$2:$B$200,MATCH(E121,Tariffe!$A$2:$A$200,0)),"DA DEFINIRE")</f>
        <v/>
      </c>
      <c r="G121" s="16" t="n">
        <v>48</v>
      </c>
      <c r="H121" s="15">
        <f>Q121*R121</f>
        <v/>
      </c>
      <c r="I121" s="15" t="n">
        <v>0</v>
      </c>
      <c r="J121" s="16" t="n">
        <v>240</v>
      </c>
      <c r="K121" s="16" t="n">
        <v>0</v>
      </c>
      <c r="L121" s="16" t="n">
        <v>218.2</v>
      </c>
      <c r="M121" s="16" t="n">
        <v>21.8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I2 36€</t>
        </is>
      </c>
      <c r="F122" s="22">
        <f>IFERROR(INDEX(Tariffe!$B$2:$B$200,MATCH(E122,Tariffe!$A$2:$A$200,0)),"DA DEFINIRE")</f>
        <v/>
      </c>
      <c r="G122" s="12" t="n">
        <v>36</v>
      </c>
      <c r="H122" s="11">
        <f>Q122*R122</f>
        <v/>
      </c>
      <c r="I122" s="11" t="n">
        <v>0</v>
      </c>
      <c r="J122" s="12" t="n">
        <v>144</v>
      </c>
      <c r="K122" s="12" t="n">
        <v>0</v>
      </c>
      <c r="L122" s="12" t="n">
        <v>130.92</v>
      </c>
      <c r="M122" s="12" t="n">
        <v>13.08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I5 60€</t>
        </is>
      </c>
      <c r="F123" s="23">
        <f>IFERROR(INDEX(Tariffe!$B$2:$B$200,MATCH(E123,Tariffe!$A$2:$A$200,0)),"DA DEFINIRE")</f>
        <v/>
      </c>
      <c r="G123" s="16" t="n">
        <v>60</v>
      </c>
      <c r="H123" s="15">
        <f>Q123*R123</f>
        <v/>
      </c>
      <c r="I123" s="15" t="n">
        <v>0</v>
      </c>
      <c r="J123" s="16" t="n">
        <v>60</v>
      </c>
      <c r="K123" s="16" t="n">
        <v>0</v>
      </c>
      <c r="L123" s="16" t="n">
        <v>54.55</v>
      </c>
      <c r="M123" s="16" t="n">
        <v>5.45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20261101_2115</t>
        </is>
      </c>
      <c r="B124" s="9" t="n">
        <v>46327</v>
      </c>
      <c r="C124" s="10" t="n">
        <v>0.8854166666666666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264</v>
      </c>
      <c r="K124" s="12" t="n">
        <v>0</v>
      </c>
      <c r="L124" s="12" t="n">
        <v>240.02</v>
      </c>
      <c r="M124" s="12" t="n">
        <v>23.98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11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I1 48€</t>
        </is>
      </c>
      <c r="F125" s="23">
        <f>IFERROR(INDEX(Tariffe!$B$2:$B$200,MATCH(E125,Tariffe!$A$2:$A$200,0)),"DA DEFINIRE")</f>
        <v/>
      </c>
      <c r="G125" s="16" t="n">
        <v>48</v>
      </c>
      <c r="H125" s="15">
        <f>Q125*R125</f>
        <v/>
      </c>
      <c r="I125" s="15" t="n">
        <v>0</v>
      </c>
      <c r="J125" s="16" t="n">
        <v>432</v>
      </c>
      <c r="K125" s="16" t="n">
        <v>0</v>
      </c>
      <c r="L125" s="16" t="n">
        <v>392.76</v>
      </c>
      <c r="M125" s="16" t="n">
        <v>39.24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9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I2 36€</t>
        </is>
      </c>
      <c r="F126" s="22">
        <f>IFERROR(INDEX(Tariffe!$B$2:$B$200,MATCH(E126,Tariffe!$A$2:$A$200,0)),"DA DEFINIRE")</f>
        <v/>
      </c>
      <c r="G126" s="12" t="n">
        <v>36</v>
      </c>
      <c r="H126" s="11">
        <f>Q126*R126</f>
        <v/>
      </c>
      <c r="I126" s="11" t="n">
        <v>0</v>
      </c>
      <c r="J126" s="12" t="n">
        <v>108</v>
      </c>
      <c r="K126" s="12" t="n">
        <v>0</v>
      </c>
      <c r="L126" s="12" t="n">
        <v>98.19</v>
      </c>
      <c r="M126" s="12" t="n">
        <v>9.81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3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I5 60€</t>
        </is>
      </c>
      <c r="F127" s="23">
        <f>IFERROR(INDEX(Tariffe!$B$2:$B$200,MATCH(E127,Tariffe!$A$2:$A$200,0)),"DA DEFINIRE")</f>
        <v/>
      </c>
      <c r="G127" s="16" t="n">
        <v>60</v>
      </c>
      <c r="H127" s="15">
        <f>Q127*R127</f>
        <v/>
      </c>
      <c r="I127" s="15" t="n">
        <v>0</v>
      </c>
      <c r="J127" s="16" t="n">
        <v>60</v>
      </c>
      <c r="K127" s="16" t="n">
        <v>0</v>
      </c>
      <c r="L127" s="16" t="n">
        <v>54.55</v>
      </c>
      <c r="M127" s="16" t="n">
        <v>5.45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</v>
      </c>
      <c r="R127" s="15">
        <f>IFERROR(INDEX(Tariffe!$E$2:$E$200,MATCH(E127,Tariffe!$A$2:$A$200,0))*1,1)</f>
        <v/>
      </c>
    </row>
    <row r="128">
      <c r="A128" s="22" t="inlineStr">
        <is>
          <t>20261101_2215</t>
        </is>
      </c>
      <c r="B128" s="9" t="n">
        <v>46327</v>
      </c>
      <c r="C128" s="10" t="n">
        <v>0.9270833333333334</v>
      </c>
      <c r="D128" s="22" t="inlineStr">
        <is>
          <t>UN Unico</t>
        </is>
      </c>
      <c r="E128" s="22" t="inlineStr">
        <is>
          <t>I8 24€</t>
        </is>
      </c>
      <c r="F128" s="22">
        <f>IFERROR(INDEX(Tariffe!$B$2:$B$200,MATCH(E128,Tariffe!$A$2:$A$200,0)),"DA DEFINIRE")</f>
        <v/>
      </c>
      <c r="G128" s="12" t="n">
        <v>24</v>
      </c>
      <c r="H128" s="11">
        <f>Q128*R128</f>
        <v/>
      </c>
      <c r="I128" s="11" t="n">
        <v>0</v>
      </c>
      <c r="J128" s="12" t="n">
        <v>312</v>
      </c>
      <c r="K128" s="12" t="n">
        <v>0</v>
      </c>
      <c r="L128" s="12" t="n">
        <v>283.66</v>
      </c>
      <c r="M128" s="12" t="n">
        <v>28.34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13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I1 48€</t>
        </is>
      </c>
      <c r="F129" s="23">
        <f>IFERROR(INDEX(Tariffe!$B$2:$B$200,MATCH(E129,Tariffe!$A$2:$A$200,0)),"DA DEFINIRE")</f>
        <v/>
      </c>
      <c r="G129" s="16" t="n">
        <v>48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</v>
      </c>
      <c r="R129" s="15">
        <f>IFERROR(INDEX(Tariffe!$E$2:$E$200,MATCH(E129,Tariffe!$A$2:$A$200,0))*1,1)</f>
        <v/>
      </c>
    </row>
    <row r="130">
      <c r="A130" s="22" t="inlineStr">
        <is>
          <t>20261101_2315</t>
        </is>
      </c>
      <c r="B130" s="9" t="n">
        <v>46327</v>
      </c>
      <c r="C130" s="10" t="n">
        <v>0.96875</v>
      </c>
      <c r="D130" s="22" t="inlineStr">
        <is>
          <t>UN Unico</t>
        </is>
      </c>
      <c r="E130" s="22" t="inlineStr">
        <is>
          <t>I2 36€</t>
        </is>
      </c>
      <c r="F130" s="22">
        <f>IFERROR(INDEX(Tariffe!$B$2:$B$200,MATCH(E130,Tariffe!$A$2:$A$200,0)),"DA DEFINIRE")</f>
        <v/>
      </c>
      <c r="G130" s="12" t="n">
        <v>36</v>
      </c>
      <c r="H130" s="11">
        <f>Q130*R130</f>
        <v/>
      </c>
      <c r="I130" s="11" t="n">
        <v>0</v>
      </c>
      <c r="J130" s="12" t="n">
        <v>72</v>
      </c>
      <c r="K130" s="12" t="n">
        <v>0</v>
      </c>
      <c r="L130" s="12" t="n">
        <v>65.45999999999999</v>
      </c>
      <c r="M130" s="12" t="n">
        <v>6.54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2</v>
      </c>
      <c r="R130" s="11">
        <f>IFERROR(INDEX(Tariffe!$E$2:$E$200,MATCH(E130,Tariffe!$A$2:$A$200,0))*1,1)</f>
        <v/>
      </c>
    </row>
    <row r="131">
      <c r="A131" s="23" t="inlineStr">
        <is>
          <t>20261101_2315</t>
        </is>
      </c>
      <c r="B131" s="13" t="n">
        <v>46327</v>
      </c>
      <c r="C131" s="14" t="n">
        <v>0.96875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48</v>
      </c>
      <c r="K131" s="16" t="n">
        <v>0</v>
      </c>
      <c r="L131" s="16" t="n">
        <v>43.64</v>
      </c>
      <c r="M131" s="16" t="n">
        <v>4.36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2</v>
      </c>
      <c r="R131" s="15">
        <f>IFERROR(INDEX(Tariffe!$E$2:$E$200,MATCH(E131,Tariffe!$A$2:$A$200,0))*1,1)</f>
        <v/>
      </c>
    </row>
    <row r="132">
      <c r="A132" s="22" t="inlineStr">
        <is>
          <t>20261101_2359</t>
        </is>
      </c>
      <c r="B132" s="9" t="n">
        <v>46327</v>
      </c>
      <c r="C132" s="10" t="n">
        <v>0.9993055555555556</v>
      </c>
      <c r="D132" s="22" t="inlineStr">
        <is>
          <t>UN Unico</t>
        </is>
      </c>
      <c r="E132" s="22" t="inlineStr">
        <is>
          <t>I1 48€</t>
        </is>
      </c>
      <c r="F132" s="22">
        <f>IFERROR(INDEX(Tariffe!$B$2:$B$200,MATCH(E132,Tariffe!$A$2:$A$200,0)),"DA DEFINIRE")</f>
        <v/>
      </c>
      <c r="G132" s="12" t="n">
        <v>48</v>
      </c>
      <c r="H132" s="11">
        <f>Q132*R132</f>
        <v/>
      </c>
      <c r="I132" s="11" t="n">
        <v>0</v>
      </c>
      <c r="J132" s="12" t="n">
        <v>48</v>
      </c>
      <c r="K132" s="12" t="n">
        <v>0</v>
      </c>
      <c r="L132" s="12" t="n">
        <v>43.64</v>
      </c>
      <c r="M132" s="12" t="n">
        <v>4.36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1</v>
      </c>
      <c r="R132" s="11">
        <f>IFERROR(INDEX(Tariffe!$E$2:$E$200,MATCH(E132,Tariffe!$A$2:$A$200,0))*1,1)</f>
        <v/>
      </c>
    </row>
    <row r="133">
      <c r="A133" s="23" t="inlineStr">
        <is>
          <t>20261101_2359</t>
        </is>
      </c>
      <c r="B133" s="13" t="n">
        <v>46327</v>
      </c>
      <c r="C133" s="14" t="n">
        <v>0.9993055555555556</v>
      </c>
      <c r="D133" s="23" t="inlineStr">
        <is>
          <t>UN Unico</t>
        </is>
      </c>
      <c r="E133" s="23" t="inlineStr">
        <is>
          <t>I5 60€</t>
        </is>
      </c>
      <c r="F133" s="23">
        <f>IFERROR(INDEX(Tariffe!$B$2:$B$200,MATCH(E133,Tariffe!$A$2:$A$200,0)),"DA DEFINIRE")</f>
        <v/>
      </c>
      <c r="G133" s="16" t="n">
        <v>60</v>
      </c>
      <c r="H133" s="15">
        <f>Q133*R133</f>
        <v/>
      </c>
      <c r="I133" s="15" t="n">
        <v>0</v>
      </c>
      <c r="J133" s="16" t="n">
        <v>60</v>
      </c>
      <c r="K133" s="16" t="n">
        <v>0</v>
      </c>
      <c r="L133" s="16" t="n">
        <v>54.55</v>
      </c>
      <c r="M133" s="16" t="n">
        <v>5.45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</v>
      </c>
      <c r="R133" s="15">
        <f>IFERROR(INDEX(Tariffe!$E$2:$E$200,MATCH(E133,Tariffe!$A$2:$A$200,0))*1,1)</f>
        <v/>
      </c>
    </row>
    <row r="134">
      <c r="A134" s="22" t="inlineStr">
        <is>
          <t>20261101_2359</t>
        </is>
      </c>
      <c r="B134" s="9" t="n">
        <v>46327</v>
      </c>
      <c r="C134" s="10" t="n">
        <v>0.9993055555555556</v>
      </c>
      <c r="D134" s="22" t="inlineStr">
        <is>
          <t>UN Unico</t>
        </is>
      </c>
      <c r="E134" s="22" t="inlineStr">
        <is>
          <t>I8 24€</t>
        </is>
      </c>
      <c r="F134" s="22">
        <f>IFERROR(INDEX(Tariffe!$B$2:$B$200,MATCH(E134,Tariffe!$A$2:$A$200,0)),"DA DEFINIRE")</f>
        <v/>
      </c>
      <c r="G134" s="12" t="n">
        <v>24</v>
      </c>
      <c r="H134" s="11">
        <f>Q134*R134</f>
        <v/>
      </c>
      <c r="I134" s="11" t="n">
        <v>0</v>
      </c>
      <c r="J134" s="12" t="n">
        <v>24</v>
      </c>
      <c r="K134" s="12" t="n">
        <v>0</v>
      </c>
      <c r="L134" s="12" t="n">
        <v>21.82</v>
      </c>
      <c r="M134" s="12" t="n">
        <v>2.18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1</v>
      </c>
      <c r="R134" s="11">
        <f>IFERROR(INDEX(Tariffe!$E$2:$E$200,MATCH(E134,Tariffe!$A$2:$A$200,0))*1,1)</f>
        <v/>
      </c>
    </row>
    <row r="135">
      <c r="A135" s="23" t="inlineStr">
        <is>
          <t>20261102_2015</t>
        </is>
      </c>
      <c r="B135" s="13" t="n">
        <v>46328</v>
      </c>
      <c r="C135" s="14" t="n">
        <v>0.84375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30</v>
      </c>
      <c r="K135" s="16" t="n">
        <v>0</v>
      </c>
      <c r="L135" s="16" t="n">
        <v>27.28</v>
      </c>
      <c r="M135" s="16" t="n">
        <v>2.72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2</v>
      </c>
      <c r="R135" s="15">
        <f>IFERROR(INDEX(Tariffe!$E$2:$E$200,MATCH(E135,Tariffe!$A$2:$A$200,0))*1,1)</f>
        <v/>
      </c>
    </row>
    <row r="136">
      <c r="A136" s="22" t="inlineStr">
        <is>
          <t>20261102_2215</t>
        </is>
      </c>
      <c r="B136" s="9" t="n">
        <v>46328</v>
      </c>
      <c r="C136" s="10" t="n">
        <v>0.9270833333333334</v>
      </c>
      <c r="D136" s="22" t="inlineStr">
        <is>
          <t>UN Unico</t>
        </is>
      </c>
      <c r="E136" s="22" t="inlineStr">
        <is>
          <t>I1 15€</t>
        </is>
      </c>
      <c r="F136" s="22">
        <f>IFERROR(INDEX(Tariffe!$B$2:$B$200,MATCH(E136,Tariffe!$A$2:$A$200,0)),"DA DEFINIRE")</f>
        <v/>
      </c>
      <c r="G136" s="12" t="n">
        <v>15</v>
      </c>
      <c r="H136" s="11">
        <f>Q136*R136</f>
        <v/>
      </c>
      <c r="I136" s="11" t="n">
        <v>0</v>
      </c>
      <c r="J136" s="12" t="n">
        <v>90</v>
      </c>
      <c r="K136" s="12" t="n">
        <v>0</v>
      </c>
      <c r="L136" s="12" t="n">
        <v>81.84</v>
      </c>
      <c r="M136" s="12" t="n">
        <v>8.16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6</v>
      </c>
      <c r="R136" s="11">
        <f>IFERROR(INDEX(Tariffe!$E$2:$E$200,MATCH(E136,Tariffe!$A$2:$A$200,0))*1,1)</f>
        <v/>
      </c>
    </row>
    <row r="137">
      <c r="A137" s="23" t="inlineStr">
        <is>
          <t>20261102_2315</t>
        </is>
      </c>
      <c r="B137" s="13" t="n">
        <v>46328</v>
      </c>
      <c r="C137" s="14" t="n">
        <v>0.96875</v>
      </c>
      <c r="D137" s="23" t="inlineStr">
        <is>
          <t>UN Unico</t>
        </is>
      </c>
      <c r="E137" s="23" t="inlineStr">
        <is>
          <t>I1 15€</t>
        </is>
      </c>
      <c r="F137" s="23">
        <f>IFERROR(INDEX(Tariffe!$B$2:$B$200,MATCH(E137,Tariffe!$A$2:$A$200,0)),"DA DEFINIRE")</f>
        <v/>
      </c>
      <c r="G137" s="16" t="n">
        <v>15</v>
      </c>
      <c r="H137" s="15">
        <f>Q137*R137</f>
        <v/>
      </c>
      <c r="I137" s="15" t="n">
        <v>0</v>
      </c>
      <c r="J137" s="16" t="n">
        <v>45</v>
      </c>
      <c r="K137" s="16" t="n">
        <v>0</v>
      </c>
      <c r="L137" s="16" t="n">
        <v>40.92</v>
      </c>
      <c r="M137" s="16" t="n">
        <v>4.08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</v>
      </c>
      <c r="R137" s="15">
        <f>IFERROR(INDEX(Tariffe!$E$2:$E$200,MATCH(E137,Tariffe!$A$2:$A$200,0))*1,1)</f>
        <v/>
      </c>
    </row>
    <row r="138">
      <c r="A138" s="22" t="inlineStr">
        <is>
          <t>20261102_2359</t>
        </is>
      </c>
      <c r="B138" s="9" t="n">
        <v>46328</v>
      </c>
      <c r="C138" s="10" t="n">
        <v>0.9993055555555556</v>
      </c>
      <c r="D138" s="22" t="inlineStr">
        <is>
          <t>UN Unico</t>
        </is>
      </c>
      <c r="E138" s="22" t="inlineStr">
        <is>
          <t>I1 15€</t>
        </is>
      </c>
      <c r="F138" s="22">
        <f>IFERROR(INDEX(Tariffe!$B$2:$B$200,MATCH(E138,Tariffe!$A$2:$A$200,0)),"DA DEFINIRE")</f>
        <v/>
      </c>
      <c r="G138" s="12" t="n">
        <v>15</v>
      </c>
      <c r="H138" s="11">
        <f>Q138*R138</f>
        <v/>
      </c>
      <c r="I138" s="11" t="n">
        <v>0</v>
      </c>
      <c r="J138" s="12" t="n">
        <v>15</v>
      </c>
      <c r="K138" s="12" t="n">
        <v>0</v>
      </c>
      <c r="L138" s="12" t="n">
        <v>13.64</v>
      </c>
      <c r="M138" s="12" t="n">
        <v>1.36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1</v>
      </c>
      <c r="R138" s="11">
        <f>IFERROR(INDEX(Tariffe!$E$2:$E$200,MATCH(E138,Tariffe!$A$2:$A$200,0))*1,1)</f>
        <v/>
      </c>
    </row>
  </sheetData>
  <autoFilter ref="A1:R13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</sheetData>
  <autoFilter ref="A1:G76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</sheetData>
  <autoFilter ref="A1:K12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43</v>
      </c>
      <c r="H4" s="11" t="n">
        <v>147</v>
      </c>
      <c r="I4" s="12" t="n">
        <v>1764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24</v>
      </c>
      <c r="H5" s="11" t="n">
        <v>73</v>
      </c>
      <c r="I5" s="12" t="n">
        <v>876</v>
      </c>
      <c r="K5" s="38" t="inlineStr">
        <is>
          <t>Martedì</t>
        </is>
      </c>
      <c r="L5" s="11" t="n">
        <v>142</v>
      </c>
      <c r="M5" s="11" t="n">
        <v>435</v>
      </c>
      <c r="N5" s="12" t="n">
        <v>5220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15</v>
      </c>
      <c r="H12" s="11" t="n">
        <v>40</v>
      </c>
      <c r="I12" s="12" t="n">
        <v>480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33</v>
      </c>
      <c r="H13" s="11" t="n">
        <v>101</v>
      </c>
      <c r="I13" s="12" t="n">
        <v>1212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54</v>
      </c>
      <c r="H14" s="11" t="n">
        <v>167</v>
      </c>
      <c r="I14" s="12" t="n">
        <v>2004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75</v>
      </c>
      <c r="H15" s="11" t="n">
        <v>233</v>
      </c>
      <c r="I15" s="12" t="n">
        <v>2796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66</v>
      </c>
      <c r="H16" s="11" t="n">
        <v>202</v>
      </c>
      <c r="I16" s="12" t="n">
        <v>2424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164</v>
      </c>
      <c r="H23" s="11" t="n">
        <v>495</v>
      </c>
      <c r="I23" s="12" t="n">
        <v>5940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96</v>
      </c>
      <c r="H24" s="11" t="n">
        <v>285</v>
      </c>
      <c r="I24" s="12" t="n">
        <v>3426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174</v>
      </c>
      <c r="H25" s="11" t="n">
        <v>534</v>
      </c>
      <c r="I25" s="12" t="n">
        <v>6417</v>
      </c>
    </row>
    <row r="26">
      <c r="A26" s="9" t="n">
        <v>46322</v>
      </c>
      <c r="B26" s="11" t="n">
        <v>44</v>
      </c>
      <c r="C26" s="11" t="n">
        <v>146</v>
      </c>
      <c r="D26" s="12" t="n">
        <v>1752</v>
      </c>
      <c r="F26" s="38" t="inlineStr">
        <is>
          <t>22:00-23:00</t>
        </is>
      </c>
      <c r="G26" s="11" t="n">
        <v>154</v>
      </c>
      <c r="H26" s="11" t="n">
        <v>479</v>
      </c>
      <c r="I26" s="12" t="n">
        <v>5760</v>
      </c>
    </row>
    <row r="27">
      <c r="F27" s="38" t="inlineStr">
        <is>
          <t>23:00-00:00</t>
        </is>
      </c>
      <c r="G27" s="11" t="n">
        <v>68</v>
      </c>
      <c r="H27" s="11" t="n">
        <v>236</v>
      </c>
      <c r="I27" s="1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2026-10-27T11:30:53Z</dcterms:created>
  <dcterms:modified xsi:type="dcterms:W3CDTF">2026-10-27T11:30:54Z</dcterms:modified>
</cp:coreProperties>
</file>