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'Vendite'!$A$1:$P$114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'Storico'!$A$1:$G$534</definedName>
    <definedName name="_xlnm._FilterDatabase" localSheetId="8" hidden="1">'Registro vendite'!$A$1:$K$530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'Storico'!$H$2:$H$534</f>
            </numRef>
          </cat>
          <val>
            <numRef>
              <f>'Storico'!$C$2:$C$534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vendite'!$A$4:$A$20</f>
            </numRef>
          </cat>
          <val>
            <numRef>
              <f>'Picchi vendite'!$B$4:$B$20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MAX(Storico!A2:A534)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11</v>
      </c>
      <c r="I5" s="15" t="n">
        <v>0</v>
      </c>
      <c r="J5" s="16" t="n">
        <v>264</v>
      </c>
      <c r="K5" s="16" t="n">
        <v>0</v>
      </c>
      <c r="L5" s="16" t="n">
        <v>240.02</v>
      </c>
      <c r="M5" s="16" t="n">
        <v>23.98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18</v>
      </c>
      <c r="I6" s="11" t="n">
        <v>1</v>
      </c>
      <c r="J6" s="12" t="n">
        <v>864</v>
      </c>
      <c r="K6" s="12" t="n">
        <v>0</v>
      </c>
      <c r="L6" s="12" t="n">
        <v>785.52</v>
      </c>
      <c r="M6" s="12" t="n">
        <v>78.48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17</v>
      </c>
      <c r="I10" s="11" t="n">
        <v>0</v>
      </c>
      <c r="J10" s="12" t="n">
        <v>816</v>
      </c>
      <c r="K10" s="12" t="n">
        <v>0</v>
      </c>
      <c r="L10" s="12" t="n">
        <v>741.88</v>
      </c>
      <c r="M10" s="12" t="n">
        <v>74.12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20</v>
      </c>
      <c r="I13" s="15" t="n">
        <v>0</v>
      </c>
      <c r="J13" s="16" t="n">
        <v>480</v>
      </c>
      <c r="K13" s="16" t="n">
        <v>0</v>
      </c>
      <c r="L13" s="16" t="n">
        <v>436.4</v>
      </c>
      <c r="M13" s="16" t="n">
        <v>43.6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21</v>
      </c>
      <c r="I17" s="15" t="n">
        <v>0</v>
      </c>
      <c r="J17" s="16" t="n">
        <v>504</v>
      </c>
      <c r="K17" s="16" t="n">
        <v>0</v>
      </c>
      <c r="L17" s="16" t="n">
        <v>458.22</v>
      </c>
      <c r="M17" s="16" t="n">
        <v>45.78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7</v>
      </c>
      <c r="I21" s="15" t="n">
        <v>0</v>
      </c>
      <c r="J21" s="16" t="n">
        <v>168</v>
      </c>
      <c r="K21" s="16" t="n">
        <v>0</v>
      </c>
      <c r="L21" s="16" t="n">
        <v>152.74</v>
      </c>
      <c r="M21" s="16" t="n">
        <v>15.26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15</v>
      </c>
      <c r="I29" s="15" t="n">
        <v>1</v>
      </c>
      <c r="J29" s="16" t="n">
        <v>360</v>
      </c>
      <c r="K29" s="16" t="n">
        <v>0</v>
      </c>
      <c r="L29" s="16" t="n">
        <v>327.3</v>
      </c>
      <c r="M29" s="16" t="n">
        <v>32.7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22</v>
      </c>
      <c r="I33" s="15" t="n">
        <v>0</v>
      </c>
      <c r="J33" s="16" t="n">
        <v>528</v>
      </c>
      <c r="K33" s="16" t="n">
        <v>0</v>
      </c>
      <c r="L33" s="16" t="n">
        <v>480.04</v>
      </c>
      <c r="M33" s="16" t="n">
        <v>47.96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6</v>
      </c>
      <c r="I34" s="11" t="n">
        <v>0</v>
      </c>
      <c r="J34" s="12" t="n">
        <v>288</v>
      </c>
      <c r="K34" s="12" t="n">
        <v>0</v>
      </c>
      <c r="L34" s="12" t="n">
        <v>261.84</v>
      </c>
      <c r="M34" s="12" t="n">
        <v>26.16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19</v>
      </c>
      <c r="I37" s="15" t="n">
        <v>0</v>
      </c>
      <c r="J37" s="16" t="n">
        <v>456</v>
      </c>
      <c r="K37" s="16" t="n">
        <v>0</v>
      </c>
      <c r="L37" s="16" t="n">
        <v>414.58</v>
      </c>
      <c r="M37" s="16" t="n">
        <v>41.42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8</v>
      </c>
      <c r="I38" s="11" t="n">
        <v>0</v>
      </c>
      <c r="J38" s="12" t="n">
        <v>384</v>
      </c>
      <c r="K38" s="12" t="n">
        <v>0</v>
      </c>
      <c r="L38" s="12" t="n">
        <v>349.12</v>
      </c>
      <c r="M38" s="12" t="n">
        <v>34.88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1</v>
      </c>
      <c r="I39" s="15" t="n">
        <v>0</v>
      </c>
      <c r="J39" s="16" t="n">
        <v>60</v>
      </c>
      <c r="K39" s="16" t="n">
        <v>0</v>
      </c>
      <c r="L39" s="16" t="n">
        <v>54.55</v>
      </c>
      <c r="M39" s="16" t="n">
        <v>5.45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10</v>
      </c>
      <c r="I40" s="11" t="n">
        <v>0</v>
      </c>
      <c r="J40" s="12" t="n">
        <v>240</v>
      </c>
      <c r="K40" s="12" t="n">
        <v>0</v>
      </c>
      <c r="L40" s="12" t="n">
        <v>218.2</v>
      </c>
      <c r="M40" s="12" t="n">
        <v>21.8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3</v>
      </c>
      <c r="I43" s="15" t="n">
        <v>0</v>
      </c>
      <c r="J43" s="16" t="n">
        <v>180</v>
      </c>
      <c r="K43" s="16" t="n">
        <v>0</v>
      </c>
      <c r="L43" s="16" t="n">
        <v>163.65</v>
      </c>
      <c r="M43" s="16" t="n">
        <v>16.35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3</v>
      </c>
      <c r="I44" s="11" t="n">
        <v>0</v>
      </c>
      <c r="J44" s="12" t="n">
        <v>72</v>
      </c>
      <c r="K44" s="12" t="n">
        <v>0</v>
      </c>
      <c r="L44" s="12" t="n">
        <v>65.45999999999999</v>
      </c>
      <c r="M44" s="12" t="n">
        <v>6.54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7</v>
      </c>
      <c r="I45" s="15" t="n">
        <v>0</v>
      </c>
      <c r="J45" s="16" t="n">
        <v>336</v>
      </c>
      <c r="K45" s="16" t="n">
        <v>0</v>
      </c>
      <c r="L45" s="16" t="n">
        <v>305.48</v>
      </c>
      <c r="M45" s="16" t="n">
        <v>30.52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3</v>
      </c>
      <c r="I46" s="11" t="n">
        <v>0</v>
      </c>
      <c r="J46" s="12" t="n">
        <v>180</v>
      </c>
      <c r="K46" s="12" t="n">
        <v>0</v>
      </c>
      <c r="L46" s="12" t="n">
        <v>163.65</v>
      </c>
      <c r="M46" s="12" t="n">
        <v>16.35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11</v>
      </c>
      <c r="I47" s="15" t="n">
        <v>0</v>
      </c>
      <c r="J47" s="16" t="n">
        <v>264</v>
      </c>
      <c r="K47" s="16" t="n">
        <v>0</v>
      </c>
      <c r="L47" s="16" t="n">
        <v>240.02</v>
      </c>
      <c r="M47" s="16" t="n">
        <v>23.98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2</v>
      </c>
      <c r="I48" s="11" t="n">
        <v>0</v>
      </c>
      <c r="J48" s="12" t="n">
        <v>96</v>
      </c>
      <c r="K48" s="12" t="n">
        <v>0</v>
      </c>
      <c r="L48" s="12" t="n">
        <v>87.28</v>
      </c>
      <c r="M48" s="12" t="n">
        <v>8.720000000000001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1</v>
      </c>
      <c r="I49" s="15" t="n">
        <v>0</v>
      </c>
      <c r="J49" s="16" t="n">
        <v>36</v>
      </c>
      <c r="K49" s="16" t="n">
        <v>0</v>
      </c>
      <c r="L49" s="16" t="n">
        <v>32.73</v>
      </c>
      <c r="M49" s="16" t="n">
        <v>3.27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11</v>
      </c>
      <c r="I50" s="11" t="n">
        <v>0</v>
      </c>
      <c r="J50" s="12" t="n">
        <v>264</v>
      </c>
      <c r="K50" s="12" t="n">
        <v>0</v>
      </c>
      <c r="L50" s="12" t="n">
        <v>240.02</v>
      </c>
      <c r="M50" s="12" t="n">
        <v>23.98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6</v>
      </c>
      <c r="I51" s="15" t="n">
        <v>0</v>
      </c>
      <c r="J51" s="16" t="n">
        <v>288</v>
      </c>
      <c r="K51" s="16" t="n">
        <v>0</v>
      </c>
      <c r="L51" s="16" t="n">
        <v>261.84</v>
      </c>
      <c r="M51" s="16" t="n">
        <v>26.16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I2</t>
        </is>
      </c>
      <c r="F52" s="22">
        <f>IFERROR(INDEX(Tariffe!$B$2:$B$200,MATCH(E52,Tariffe!$A$2:$A$200,0)),"DA DEFINIRE")</f>
        <v/>
      </c>
      <c r="G52" s="12" t="n">
        <v>36</v>
      </c>
      <c r="H52" s="11" t="n">
        <v>3</v>
      </c>
      <c r="I52" s="11" t="n">
        <v>0</v>
      </c>
      <c r="J52" s="12" t="n">
        <v>108</v>
      </c>
      <c r="K52" s="12" t="n">
        <v>0</v>
      </c>
      <c r="L52" s="12" t="n">
        <v>98.19</v>
      </c>
      <c r="M52" s="12" t="n">
        <v>9.81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1</v>
      </c>
      <c r="I54" s="11" t="n">
        <v>0</v>
      </c>
      <c r="J54" s="12" t="n">
        <v>48</v>
      </c>
      <c r="K54" s="12" t="n">
        <v>0</v>
      </c>
      <c r="L54" s="12" t="n">
        <v>43.64</v>
      </c>
      <c r="M54" s="12" t="n">
        <v>4.36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3</v>
      </c>
      <c r="I56" s="11" t="n">
        <v>0</v>
      </c>
      <c r="J56" s="12" t="n">
        <v>72</v>
      </c>
      <c r="K56" s="12" t="n">
        <v>0</v>
      </c>
      <c r="L56" s="12" t="n">
        <v>65.45999999999999</v>
      </c>
      <c r="M56" s="12" t="n">
        <v>6.54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2</v>
      </c>
      <c r="I59" s="15" t="n">
        <v>0</v>
      </c>
      <c r="J59" s="16" t="n">
        <v>48</v>
      </c>
      <c r="K59" s="16" t="n">
        <v>0</v>
      </c>
      <c r="L59" s="16" t="n">
        <v>43.64</v>
      </c>
      <c r="M59" s="16" t="n">
        <v>4.36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2</v>
      </c>
      <c r="I60" s="11" t="n">
        <v>0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I5</t>
        </is>
      </c>
      <c r="F61" s="23">
        <f>IFERROR(INDEX(Tariffe!$B$2:$B$200,MATCH(E61,Tariffe!$A$2:$A$200,0)),"DA DEFINIRE")</f>
        <v/>
      </c>
      <c r="G61" s="16" t="n">
        <v>60</v>
      </c>
      <c r="H61" s="15" t="n">
        <v>2</v>
      </c>
      <c r="I61" s="15" t="n">
        <v>0</v>
      </c>
      <c r="J61" s="16" t="n">
        <v>120</v>
      </c>
      <c r="K61" s="16" t="n">
        <v>0</v>
      </c>
      <c r="L61" s="16" t="n">
        <v>109.1</v>
      </c>
      <c r="M61" s="16" t="n">
        <v>10.9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1</v>
      </c>
      <c r="I62" s="11" t="n">
        <v>0</v>
      </c>
      <c r="J62" s="12" t="n">
        <v>24</v>
      </c>
      <c r="K62" s="12" t="n">
        <v>0</v>
      </c>
      <c r="L62" s="12" t="n">
        <v>21.82</v>
      </c>
      <c r="M62" s="12" t="n">
        <v>2.18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6</v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I2</t>
        </is>
      </c>
      <c r="F64" s="22">
        <f>IFERROR(INDEX(Tariffe!$B$2:$B$200,MATCH(E64,Tariffe!$A$2:$A$200,0)),"DA DEFINIRE")</f>
        <v/>
      </c>
      <c r="G64" s="12" t="n">
        <v>36</v>
      </c>
      <c r="H64" s="11" t="n">
        <v>4</v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10</v>
      </c>
      <c r="I65" s="15" t="n">
        <v>0</v>
      </c>
      <c r="J65" s="16" t="n">
        <v>240</v>
      </c>
      <c r="K65" s="16" t="n">
        <v>0</v>
      </c>
      <c r="L65" s="16" t="n">
        <v>218.2</v>
      </c>
      <c r="M65" s="16" t="n">
        <v>21.8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6</v>
      </c>
      <c r="I66" s="11" t="n">
        <v>0</v>
      </c>
      <c r="J66" s="12" t="n">
        <v>288</v>
      </c>
      <c r="K66" s="12" t="n">
        <v>0</v>
      </c>
      <c r="L66" s="12" t="n">
        <v>261.84</v>
      </c>
      <c r="M66" s="12" t="n">
        <v>26.16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I2</t>
        </is>
      </c>
      <c r="F67" s="23">
        <f>IFERROR(INDEX(Tariffe!$B$2:$B$200,MATCH(E67,Tariffe!$A$2:$A$200,0)),"DA DEFINIRE")</f>
        <v/>
      </c>
      <c r="G67" s="16" t="n">
        <v>36</v>
      </c>
      <c r="H67" s="15" t="n">
        <v>1</v>
      </c>
      <c r="I67" s="15" t="n">
        <v>0</v>
      </c>
      <c r="J67" s="16" t="n">
        <v>36</v>
      </c>
      <c r="K67" s="16" t="n">
        <v>0</v>
      </c>
      <c r="L67" s="16" t="n">
        <v>32.73</v>
      </c>
      <c r="M67" s="16" t="n">
        <v>3.27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I5</t>
        </is>
      </c>
      <c r="F68" s="22">
        <f>IFERROR(INDEX(Tariffe!$B$2:$B$200,MATCH(E68,Tariffe!$A$2:$A$200,0)),"DA DEFINIRE")</f>
        <v/>
      </c>
      <c r="G68" s="12" t="n">
        <v>60</v>
      </c>
      <c r="H68" s="11" t="n">
        <v>4</v>
      </c>
      <c r="I68" s="11" t="n">
        <v>0</v>
      </c>
      <c r="J68" s="12" t="n">
        <v>240</v>
      </c>
      <c r="K68" s="12" t="n">
        <v>0</v>
      </c>
      <c r="L68" s="12" t="n">
        <v>218.2</v>
      </c>
      <c r="M68" s="12" t="n">
        <v>21.8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1</v>
      </c>
      <c r="I70" s="11" t="n">
        <v>0</v>
      </c>
      <c r="J70" s="12" t="n">
        <v>48</v>
      </c>
      <c r="K70" s="12" t="n">
        <v>0</v>
      </c>
      <c r="L70" s="12" t="n">
        <v>43.64</v>
      </c>
      <c r="M70" s="12" t="n">
        <v>4.36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I8</t>
        </is>
      </c>
      <c r="F71" s="23">
        <f>IFERROR(INDEX(Tariffe!$B$2:$B$200,MATCH(E71,Tariffe!$A$2:$A$200,0)),"DA DEFINIRE")</f>
        <v/>
      </c>
      <c r="G71" s="16" t="n">
        <v>24</v>
      </c>
      <c r="H71" s="15" t="n">
        <v>3</v>
      </c>
      <c r="I71" s="15" t="n">
        <v>0</v>
      </c>
      <c r="J71" s="16" t="n">
        <v>72</v>
      </c>
      <c r="K71" s="16" t="n">
        <v>0</v>
      </c>
      <c r="L71" s="16" t="n">
        <v>65.45999999999999</v>
      </c>
      <c r="M71" s="16" t="n">
        <v>6.54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I1</t>
        </is>
      </c>
      <c r="F72" s="22">
        <f>IFERROR(INDEX(Tariffe!$B$2:$B$200,MATCH(E72,Tariffe!$A$2:$A$200,0)),"DA DEFINIRE")</f>
        <v/>
      </c>
      <c r="G72" s="12" t="n">
        <v>48</v>
      </c>
      <c r="H72" s="11" t="n">
        <v>1</v>
      </c>
      <c r="I72" s="11" t="n">
        <v>0</v>
      </c>
      <c r="J72" s="12" t="n">
        <v>48</v>
      </c>
      <c r="K72" s="12" t="n">
        <v>0</v>
      </c>
      <c r="L72" s="12" t="n">
        <v>43.64</v>
      </c>
      <c r="M72" s="12" t="n">
        <v>4.36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I8</t>
        </is>
      </c>
      <c r="F73" s="23">
        <f>IFERROR(INDEX(Tariffe!$B$2:$B$200,MATCH(E73,Tariffe!$A$2:$A$200,0)),"DA DEFINIRE")</f>
        <v/>
      </c>
      <c r="G73" s="16" t="n">
        <v>24</v>
      </c>
      <c r="H73" s="15" t="n">
        <v>2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I1</t>
        </is>
      </c>
      <c r="F74" s="22">
        <f>IFERROR(INDEX(Tariffe!$B$2:$B$200,MATCH(E74,Tariffe!$A$2:$A$200,0)),"DA DEFINIRE")</f>
        <v/>
      </c>
      <c r="G74" s="12" t="n">
        <v>48</v>
      </c>
      <c r="H74" s="11" t="n">
        <v>1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I8</t>
        </is>
      </c>
      <c r="F75" s="23">
        <f>IFERROR(INDEX(Tariffe!$B$2:$B$200,MATCH(E75,Tariffe!$A$2:$A$200,0)),"DA DEFINIRE")</f>
        <v/>
      </c>
      <c r="G75" s="16" t="n">
        <v>24</v>
      </c>
      <c r="H75" s="15" t="n">
        <v>4</v>
      </c>
      <c r="I75" s="15" t="n">
        <v>0</v>
      </c>
      <c r="J75" s="16" t="n">
        <v>96</v>
      </c>
      <c r="K75" s="16" t="n">
        <v>0</v>
      </c>
      <c r="L75" s="16" t="n">
        <v>87.28</v>
      </c>
      <c r="M75" s="16" t="n">
        <v>8.720000000000001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I1</t>
        </is>
      </c>
      <c r="F76" s="22">
        <f>IFERROR(INDEX(Tariffe!$B$2:$B$200,MATCH(E76,Tariffe!$A$2:$A$200,0)),"DA DEFINIRE")</f>
        <v/>
      </c>
      <c r="G76" s="12" t="n">
        <v>48</v>
      </c>
      <c r="H76" s="11" t="n">
        <v>8</v>
      </c>
      <c r="I76" s="11" t="n">
        <v>0</v>
      </c>
      <c r="J76" s="12" t="n">
        <v>384</v>
      </c>
      <c r="K76" s="12" t="n">
        <v>0</v>
      </c>
      <c r="L76" s="12" t="n">
        <v>349.12</v>
      </c>
      <c r="M76" s="12" t="n">
        <v>34.88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I2</t>
        </is>
      </c>
      <c r="F77" s="23">
        <f>IFERROR(INDEX(Tariffe!$B$2:$B$200,MATCH(E77,Tariffe!$A$2:$A$200,0)),"DA DEFINIRE")</f>
        <v/>
      </c>
      <c r="G77" s="16" t="n">
        <v>36</v>
      </c>
      <c r="H77" s="15" t="n">
        <v>2</v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10</v>
      </c>
      <c r="I78" s="11" t="n">
        <v>3</v>
      </c>
      <c r="J78" s="12" t="n">
        <v>240</v>
      </c>
      <c r="K78" s="12" t="n">
        <v>0</v>
      </c>
      <c r="L78" s="12" t="n">
        <v>218.2</v>
      </c>
      <c r="M78" s="12" t="n">
        <v>21.8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I1</t>
        </is>
      </c>
      <c r="F79" s="23">
        <f>IFERROR(INDEX(Tariffe!$B$2:$B$200,MATCH(E79,Tariffe!$A$2:$A$200,0)),"DA DEFINIRE")</f>
        <v/>
      </c>
      <c r="G79" s="16" t="n">
        <v>48</v>
      </c>
      <c r="H79" s="15" t="n">
        <v>4</v>
      </c>
      <c r="I79" s="15" t="n">
        <v>0</v>
      </c>
      <c r="J79" s="16" t="n">
        <v>192</v>
      </c>
      <c r="K79" s="16" t="n">
        <v>0</v>
      </c>
      <c r="L79" s="16" t="n">
        <v>174.56</v>
      </c>
      <c r="M79" s="16" t="n">
        <v>17.44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I2</t>
        </is>
      </c>
      <c r="F80" s="22">
        <f>IFERROR(INDEX(Tariffe!$B$2:$B$200,MATCH(E80,Tariffe!$A$2:$A$200,0)),"DA DEFINIRE")</f>
        <v/>
      </c>
      <c r="G80" s="12" t="n">
        <v>36</v>
      </c>
      <c r="H80" s="11" t="n">
        <v>1</v>
      </c>
      <c r="I80" s="11" t="n">
        <v>0</v>
      </c>
      <c r="J80" s="12" t="n">
        <v>36</v>
      </c>
      <c r="K80" s="12" t="n">
        <v>0</v>
      </c>
      <c r="L80" s="12" t="n">
        <v>32.73</v>
      </c>
      <c r="M80" s="12" t="n">
        <v>3.27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I8</t>
        </is>
      </c>
      <c r="F82" s="22">
        <f>IFERROR(INDEX(Tariffe!$B$2:$B$200,MATCH(E82,Tariffe!$A$2:$A$200,0)),"DA DEFINIRE")</f>
        <v/>
      </c>
      <c r="G82" s="12" t="n">
        <v>24</v>
      </c>
      <c r="H82" s="11" t="n">
        <v>4</v>
      </c>
      <c r="I82" s="11" t="n">
        <v>0</v>
      </c>
      <c r="J82" s="12" t="n">
        <v>96</v>
      </c>
      <c r="K82" s="12" t="n">
        <v>0</v>
      </c>
      <c r="L82" s="12" t="n">
        <v>87.28</v>
      </c>
      <c r="M82" s="12" t="n">
        <v>8.720000000000001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I1</t>
        </is>
      </c>
      <c r="F83" s="23">
        <f>IFERROR(INDEX(Tariffe!$B$2:$B$200,MATCH(E83,Tariffe!$A$2:$A$200,0)),"DA DEFINIRE")</f>
        <v/>
      </c>
      <c r="G83" s="16" t="n">
        <v>48</v>
      </c>
      <c r="H83" s="15" t="n">
        <v>1</v>
      </c>
      <c r="I83" s="15" t="n">
        <v>0</v>
      </c>
      <c r="J83" s="16" t="n">
        <v>48</v>
      </c>
      <c r="K83" s="16" t="n">
        <v>0</v>
      </c>
      <c r="L83" s="16" t="n">
        <v>43.64</v>
      </c>
      <c r="M83" s="16" t="n">
        <v>4.36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7</v>
      </c>
      <c r="I85" s="15" t="n">
        <v>0</v>
      </c>
      <c r="J85" s="16" t="n">
        <v>168</v>
      </c>
      <c r="K85" s="16" t="n">
        <v>0</v>
      </c>
      <c r="L85" s="16" t="n">
        <v>152.74</v>
      </c>
      <c r="M85" s="16" t="n">
        <v>15.26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I1</t>
        </is>
      </c>
      <c r="F86" s="22">
        <f>IFERROR(INDEX(Tariffe!$B$2:$B$200,MATCH(E86,Tariffe!$A$2:$A$200,0)),"DA DEFINIRE")</f>
        <v/>
      </c>
      <c r="G86" s="12" t="n">
        <v>48</v>
      </c>
      <c r="H86" s="11" t="n">
        <v>4</v>
      </c>
      <c r="I86" s="11" t="n">
        <v>0</v>
      </c>
      <c r="J86" s="12" t="n">
        <v>192</v>
      </c>
      <c r="K86" s="12" t="n">
        <v>0</v>
      </c>
      <c r="L86" s="12" t="n">
        <v>174.56</v>
      </c>
      <c r="M86" s="12" t="n">
        <v>17.44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I2</t>
        </is>
      </c>
      <c r="F87" s="23">
        <f>IFERROR(INDEX(Tariffe!$B$2:$B$200,MATCH(E87,Tariffe!$A$2:$A$200,0)),"DA DEFINIRE")</f>
        <v/>
      </c>
      <c r="G87" s="16" t="n">
        <v>36</v>
      </c>
      <c r="H87" s="15" t="n">
        <v>1</v>
      </c>
      <c r="I87" s="15" t="n">
        <v>0</v>
      </c>
      <c r="J87" s="16" t="n">
        <v>36</v>
      </c>
      <c r="K87" s="16" t="n">
        <v>0</v>
      </c>
      <c r="L87" s="16" t="n">
        <v>32.73</v>
      </c>
      <c r="M87" s="16" t="n">
        <v>3.27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I5</t>
        </is>
      </c>
      <c r="F88" s="22">
        <f>IFERROR(INDEX(Tariffe!$B$2:$B$200,MATCH(E88,Tariffe!$A$2:$A$200,0)),"DA DEFINIRE")</f>
        <v/>
      </c>
      <c r="G88" s="12" t="n">
        <v>60</v>
      </c>
      <c r="H88" s="11" t="n">
        <v>3</v>
      </c>
      <c r="I88" s="11" t="n">
        <v>2</v>
      </c>
      <c r="J88" s="12" t="n">
        <v>180</v>
      </c>
      <c r="K88" s="12" t="n">
        <v>0</v>
      </c>
      <c r="L88" s="12" t="n">
        <v>163.65</v>
      </c>
      <c r="M88" s="12" t="n">
        <v>16.35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I8</t>
        </is>
      </c>
      <c r="F89" s="23">
        <f>IFERROR(INDEX(Tariffe!$B$2:$B$200,MATCH(E89,Tariffe!$A$2:$A$200,0)),"DA DEFINIRE")</f>
        <v/>
      </c>
      <c r="G89" s="16" t="n">
        <v>24</v>
      </c>
      <c r="H89" s="15" t="n">
        <v>2</v>
      </c>
      <c r="I89" s="15" t="n">
        <v>0</v>
      </c>
      <c r="J89" s="16" t="n">
        <v>48</v>
      </c>
      <c r="K89" s="16" t="n">
        <v>0</v>
      </c>
      <c r="L89" s="16" t="n">
        <v>43.64</v>
      </c>
      <c r="M89" s="16" t="n">
        <v>4.36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I1</t>
        </is>
      </c>
      <c r="F90" s="22">
        <f>IFERROR(INDEX(Tariffe!$B$2:$B$200,MATCH(E90,Tariffe!$A$2:$A$200,0)),"DA DEFINIRE")</f>
        <v/>
      </c>
      <c r="G90" s="12" t="n">
        <v>48</v>
      </c>
      <c r="H90" s="11" t="n">
        <v>8</v>
      </c>
      <c r="I90" s="11" t="n">
        <v>0</v>
      </c>
      <c r="J90" s="12" t="n">
        <v>384</v>
      </c>
      <c r="K90" s="12" t="n">
        <v>0</v>
      </c>
      <c r="L90" s="12" t="n">
        <v>349.12</v>
      </c>
      <c r="M90" s="12" t="n">
        <v>34.88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I5</t>
        </is>
      </c>
      <c r="F91" s="23">
        <f>IFERROR(INDEX(Tariffe!$B$2:$B$200,MATCH(E91,Tariffe!$A$2:$A$200,0)),"DA DEFINIRE")</f>
        <v/>
      </c>
      <c r="G91" s="16" t="n">
        <v>60</v>
      </c>
      <c r="H91" s="15" t="n">
        <v>2</v>
      </c>
      <c r="I91" s="15" t="n">
        <v>0</v>
      </c>
      <c r="J91" s="16" t="n">
        <v>120</v>
      </c>
      <c r="K91" s="16" t="n">
        <v>0</v>
      </c>
      <c r="L91" s="16" t="n">
        <v>109.1</v>
      </c>
      <c r="M91" s="16" t="n">
        <v>10.9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I8</t>
        </is>
      </c>
      <c r="F92" s="22">
        <f>IFERROR(INDEX(Tariffe!$B$2:$B$200,MATCH(E92,Tariffe!$A$2:$A$200,0)),"DA DEFINIRE")</f>
        <v/>
      </c>
      <c r="G92" s="12" t="n">
        <v>24</v>
      </c>
      <c r="H92" s="11" t="n">
        <v>6</v>
      </c>
      <c r="I92" s="11" t="n">
        <v>0</v>
      </c>
      <c r="J92" s="12" t="n">
        <v>144</v>
      </c>
      <c r="K92" s="12" t="n">
        <v>0</v>
      </c>
      <c r="L92" s="12" t="n">
        <v>130.92</v>
      </c>
      <c r="M92" s="12" t="n">
        <v>13.08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I1</t>
        </is>
      </c>
      <c r="F93" s="23">
        <f>IFERROR(INDEX(Tariffe!$B$2:$B$200,MATCH(E93,Tariffe!$A$2:$A$200,0)),"DA DEFINIRE")</f>
        <v/>
      </c>
      <c r="G93" s="16" t="n">
        <v>48</v>
      </c>
      <c r="H93" s="15" t="n">
        <v>6</v>
      </c>
      <c r="I93" s="15" t="n">
        <v>3</v>
      </c>
      <c r="J93" s="16" t="n">
        <v>288</v>
      </c>
      <c r="K93" s="16" t="n">
        <v>0</v>
      </c>
      <c r="L93" s="16" t="n">
        <v>261.84</v>
      </c>
      <c r="M93" s="16" t="n">
        <v>26.16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20261031_2215</t>
        </is>
      </c>
      <c r="B94" s="9" t="n">
        <v>46326</v>
      </c>
      <c r="C94" s="10" t="n">
        <v>0.9270833333333334</v>
      </c>
      <c r="D94" s="22" t="inlineStr">
        <is>
          <t>UN Unico</t>
        </is>
      </c>
      <c r="E94" s="22" t="inlineStr">
        <is>
          <t>I2</t>
        </is>
      </c>
      <c r="F94" s="22">
        <f>IFERROR(INDEX(Tariffe!$B$2:$B$200,MATCH(E94,Tariffe!$A$2:$A$200,0)),"DA DEFINIRE")</f>
        <v/>
      </c>
      <c r="G94" s="12" t="n">
        <v>36</v>
      </c>
      <c r="H94" s="11" t="n">
        <v>2</v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I8</t>
        </is>
      </c>
      <c r="F95" s="23">
        <f>IFERROR(INDEX(Tariffe!$B$2:$B$200,MATCH(E95,Tariffe!$A$2:$A$200,0)),"DA DEFINIRE")</f>
        <v/>
      </c>
      <c r="G95" s="16" t="n">
        <v>24</v>
      </c>
      <c r="H95" s="15" t="n">
        <v>20</v>
      </c>
      <c r="I95" s="15" t="n">
        <v>0</v>
      </c>
      <c r="J95" s="16" t="n">
        <v>480</v>
      </c>
      <c r="K95" s="16" t="n">
        <v>0</v>
      </c>
      <c r="L95" s="16" t="n">
        <v>436.4</v>
      </c>
      <c r="M95" s="16" t="n">
        <v>43.6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I1</t>
        </is>
      </c>
      <c r="F96" s="22">
        <f>IFERROR(INDEX(Tariffe!$B$2:$B$200,MATCH(E96,Tariffe!$A$2:$A$200,0)),"DA DEFINIRE")</f>
        <v/>
      </c>
      <c r="G96" s="12" t="n">
        <v>48</v>
      </c>
      <c r="H96" s="11" t="n">
        <v>15</v>
      </c>
      <c r="I96" s="11" t="n">
        <v>0</v>
      </c>
      <c r="J96" s="12" t="n">
        <v>720</v>
      </c>
      <c r="K96" s="12" t="n">
        <v>0</v>
      </c>
      <c r="L96" s="12" t="n">
        <v>654.6</v>
      </c>
      <c r="M96" s="12" t="n">
        <v>65.40000000000001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20261031_2315</t>
        </is>
      </c>
      <c r="B97" s="13" t="n">
        <v>46326</v>
      </c>
      <c r="C97" s="14" t="n">
        <v>0.96875</v>
      </c>
      <c r="D97" s="23" t="inlineStr">
        <is>
          <t>UN Unico</t>
        </is>
      </c>
      <c r="E97" s="23" t="inlineStr">
        <is>
          <t>I2</t>
        </is>
      </c>
      <c r="F97" s="23">
        <f>IFERROR(INDEX(Tariffe!$B$2:$B$200,MATCH(E97,Tariffe!$A$2:$A$200,0)),"DA DEFINIRE")</f>
        <v/>
      </c>
      <c r="G97" s="16" t="n">
        <v>36</v>
      </c>
      <c r="H97" s="15" t="n">
        <v>1</v>
      </c>
      <c r="I97" s="15" t="n">
        <v>0</v>
      </c>
      <c r="J97" s="16" t="n">
        <v>36</v>
      </c>
      <c r="K97" s="16" t="n">
        <v>0</v>
      </c>
      <c r="L97" s="16" t="n">
        <v>32.73</v>
      </c>
      <c r="M97" s="16" t="n">
        <v>3.27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I5</t>
        </is>
      </c>
      <c r="F98" s="22">
        <f>IFERROR(INDEX(Tariffe!$B$2:$B$200,MATCH(E98,Tariffe!$A$2:$A$200,0)),"DA DEFINIRE")</f>
        <v/>
      </c>
      <c r="G98" s="12" t="n">
        <v>60</v>
      </c>
      <c r="H98" s="11" t="n">
        <v>3</v>
      </c>
      <c r="I98" s="11" t="n">
        <v>0</v>
      </c>
      <c r="J98" s="12" t="n">
        <v>180</v>
      </c>
      <c r="K98" s="12" t="n">
        <v>0</v>
      </c>
      <c r="L98" s="12" t="n">
        <v>163.65</v>
      </c>
      <c r="M98" s="12" t="n">
        <v>16.35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I8</t>
        </is>
      </c>
      <c r="F99" s="23">
        <f>IFERROR(INDEX(Tariffe!$B$2:$B$200,MATCH(E99,Tariffe!$A$2:$A$200,0)),"DA DEFINIRE")</f>
        <v/>
      </c>
      <c r="G99" s="16" t="n">
        <v>24</v>
      </c>
      <c r="H99" s="15" t="n">
        <v>15</v>
      </c>
      <c r="I99" s="15" t="n">
        <v>0</v>
      </c>
      <c r="J99" s="16" t="n">
        <v>360</v>
      </c>
      <c r="K99" s="16" t="n">
        <v>0</v>
      </c>
      <c r="L99" s="16" t="n">
        <v>327.3</v>
      </c>
      <c r="M99" s="16" t="n">
        <v>32.7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I1</t>
        </is>
      </c>
      <c r="F100" s="22">
        <f>IFERROR(INDEX(Tariffe!$B$2:$B$200,MATCH(E100,Tariffe!$A$2:$A$200,0)),"DA DEFINIRE")</f>
        <v/>
      </c>
      <c r="G100" s="12" t="n">
        <v>48</v>
      </c>
      <c r="H100" s="11" t="n">
        <v>8</v>
      </c>
      <c r="I100" s="11" t="n">
        <v>0</v>
      </c>
      <c r="J100" s="12" t="n">
        <v>384</v>
      </c>
      <c r="K100" s="12" t="n">
        <v>0</v>
      </c>
      <c r="L100" s="12" t="n">
        <v>349.12</v>
      </c>
      <c r="M100" s="12" t="n">
        <v>34.88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20261031_2359</t>
        </is>
      </c>
      <c r="B101" s="13" t="n">
        <v>46326</v>
      </c>
      <c r="C101" s="14" t="n">
        <v>0.9993055555555556</v>
      </c>
      <c r="D101" s="23" t="inlineStr">
        <is>
          <t>UN Unico</t>
        </is>
      </c>
      <c r="E101" s="23" t="inlineStr">
        <is>
          <t>I2</t>
        </is>
      </c>
      <c r="F101" s="23">
        <f>IFERROR(INDEX(Tariffe!$B$2:$B$200,MATCH(E101,Tariffe!$A$2:$A$200,0)),"DA DEFINIRE")</f>
        <v/>
      </c>
      <c r="G101" s="16" t="n">
        <v>36</v>
      </c>
      <c r="H101" s="15" t="n">
        <v>1</v>
      </c>
      <c r="I101" s="15" t="n">
        <v>0</v>
      </c>
      <c r="J101" s="16" t="n">
        <v>36</v>
      </c>
      <c r="K101" s="16" t="n">
        <v>0</v>
      </c>
      <c r="L101" s="16" t="n">
        <v>32.73</v>
      </c>
      <c r="M101" s="16" t="n">
        <v>3.27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I5</t>
        </is>
      </c>
      <c r="F102" s="22">
        <f>IFERROR(INDEX(Tariffe!$B$2:$B$200,MATCH(E102,Tariffe!$A$2:$A$200,0)),"DA DEFINIRE")</f>
        <v/>
      </c>
      <c r="G102" s="12" t="n">
        <v>60</v>
      </c>
      <c r="H102" s="11" t="n">
        <v>2</v>
      </c>
      <c r="I102" s="11" t="n">
        <v>0</v>
      </c>
      <c r="J102" s="12" t="n">
        <v>120</v>
      </c>
      <c r="K102" s="12" t="n">
        <v>0</v>
      </c>
      <c r="L102" s="12" t="n">
        <v>109.1</v>
      </c>
      <c r="M102" s="12" t="n">
        <v>10.9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I8</t>
        </is>
      </c>
      <c r="F103" s="23">
        <f>IFERROR(INDEX(Tariffe!$B$2:$B$200,MATCH(E103,Tariffe!$A$2:$A$200,0)),"DA DEFINIRE")</f>
        <v/>
      </c>
      <c r="G103" s="16" t="n">
        <v>24</v>
      </c>
      <c r="H103" s="15" t="n">
        <v>7</v>
      </c>
      <c r="I103" s="15" t="n">
        <v>0</v>
      </c>
      <c r="J103" s="16" t="n">
        <v>168</v>
      </c>
      <c r="K103" s="16" t="n">
        <v>0</v>
      </c>
      <c r="L103" s="16" t="n">
        <v>152.74</v>
      </c>
      <c r="M103" s="16" t="n">
        <v>15.26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20261101_2015</t>
        </is>
      </c>
      <c r="B104" s="9" t="n">
        <v>46327</v>
      </c>
      <c r="C104" s="10" t="n">
        <v>0.84375</v>
      </c>
      <c r="D104" s="22" t="inlineStr">
        <is>
          <t>UN Unico</t>
        </is>
      </c>
      <c r="E104" s="22" t="inlineStr">
        <is>
          <t>I1</t>
        </is>
      </c>
      <c r="F104" s="22">
        <f>IFERROR(INDEX(Tariffe!$B$2:$B$200,MATCH(E104,Tariffe!$A$2:$A$200,0)),"DA DEFINIRE")</f>
        <v/>
      </c>
      <c r="G104" s="12" t="n">
        <v>48</v>
      </c>
      <c r="H104" s="11" t="n">
        <v>1</v>
      </c>
      <c r="I104" s="11" t="n">
        <v>0</v>
      </c>
      <c r="J104" s="12" t="n">
        <v>48</v>
      </c>
      <c r="K104" s="12" t="n">
        <v>0</v>
      </c>
      <c r="L104" s="12" t="n">
        <v>43.64</v>
      </c>
      <c r="M104" s="12" t="n">
        <v>4.36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20261101_2115</t>
        </is>
      </c>
      <c r="B105" s="13" t="n">
        <v>46327</v>
      </c>
      <c r="C105" s="14" t="n">
        <v>0.8854166666666666</v>
      </c>
      <c r="D105" s="23" t="inlineStr">
        <is>
          <t>UN Unico</t>
        </is>
      </c>
      <c r="E105" s="23" t="inlineStr">
        <is>
          <t>I1</t>
        </is>
      </c>
      <c r="F105" s="23">
        <f>IFERROR(INDEX(Tariffe!$B$2:$B$200,MATCH(E105,Tariffe!$A$2:$A$200,0)),"DA DEFINIRE")</f>
        <v/>
      </c>
      <c r="G105" s="16" t="n">
        <v>48</v>
      </c>
      <c r="H105" s="15" t="n">
        <v>2</v>
      </c>
      <c r="I105" s="15" t="n">
        <v>0</v>
      </c>
      <c r="J105" s="16" t="n">
        <v>96</v>
      </c>
      <c r="K105" s="16" t="n">
        <v>0</v>
      </c>
      <c r="L105" s="16" t="n">
        <v>87.28</v>
      </c>
      <c r="M105" s="16" t="n">
        <v>8.720000000000001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20261101_2115</t>
        </is>
      </c>
      <c r="B106" s="9" t="n">
        <v>46327</v>
      </c>
      <c r="C106" s="10" t="n">
        <v>0.8854166666666666</v>
      </c>
      <c r="D106" s="22" t="inlineStr">
        <is>
          <t>UN Unico</t>
        </is>
      </c>
      <c r="E106" s="22" t="inlineStr">
        <is>
          <t>I2</t>
        </is>
      </c>
      <c r="F106" s="22">
        <f>IFERROR(INDEX(Tariffe!$B$2:$B$200,MATCH(E106,Tariffe!$A$2:$A$200,0)),"DA DEFINIRE")</f>
        <v/>
      </c>
      <c r="G106" s="12" t="n">
        <v>36</v>
      </c>
      <c r="H106" s="11" t="n">
        <v>1</v>
      </c>
      <c r="I106" s="11" t="n">
        <v>0</v>
      </c>
      <c r="J106" s="12" t="n">
        <v>36</v>
      </c>
      <c r="K106" s="12" t="n">
        <v>0</v>
      </c>
      <c r="L106" s="12" t="n">
        <v>32.73</v>
      </c>
      <c r="M106" s="12" t="n">
        <v>3.27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20261101_2115</t>
        </is>
      </c>
      <c r="B107" s="13" t="n">
        <v>46327</v>
      </c>
      <c r="C107" s="14" t="n">
        <v>0.8854166666666666</v>
      </c>
      <c r="D107" s="23" t="inlineStr">
        <is>
          <t>UN Unico</t>
        </is>
      </c>
      <c r="E107" s="23" t="inlineStr">
        <is>
          <t>I8</t>
        </is>
      </c>
      <c r="F107" s="23">
        <f>IFERROR(INDEX(Tariffe!$B$2:$B$200,MATCH(E107,Tariffe!$A$2:$A$200,0)),"DA DEFINIRE")</f>
        <v/>
      </c>
      <c r="G107" s="16" t="n">
        <v>24</v>
      </c>
      <c r="H107" s="15" t="n">
        <v>3</v>
      </c>
      <c r="I107" s="15" t="n">
        <v>0</v>
      </c>
      <c r="J107" s="16" t="n">
        <v>72</v>
      </c>
      <c r="K107" s="16" t="n">
        <v>0</v>
      </c>
      <c r="L107" s="16" t="n">
        <v>65.45999999999999</v>
      </c>
      <c r="M107" s="16" t="n">
        <v>6.54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20261101_2215</t>
        </is>
      </c>
      <c r="B108" s="9" t="n">
        <v>46327</v>
      </c>
      <c r="C108" s="10" t="n">
        <v>0.9270833333333334</v>
      </c>
      <c r="D108" s="22" t="inlineStr">
        <is>
          <t>UN Unico</t>
        </is>
      </c>
      <c r="E108" s="22" t="inlineStr">
        <is>
          <t>I2</t>
        </is>
      </c>
      <c r="F108" s="22">
        <f>IFERROR(INDEX(Tariffe!$B$2:$B$200,MATCH(E108,Tariffe!$A$2:$A$200,0)),"DA DEFINIRE")</f>
        <v/>
      </c>
      <c r="G108" s="12" t="n">
        <v>36</v>
      </c>
      <c r="H108" s="11" t="n">
        <v>1</v>
      </c>
      <c r="I108" s="11" t="n">
        <v>0</v>
      </c>
      <c r="J108" s="12" t="n">
        <v>36</v>
      </c>
      <c r="K108" s="12" t="n">
        <v>0</v>
      </c>
      <c r="L108" s="12" t="n">
        <v>32.73</v>
      </c>
      <c r="M108" s="12" t="n">
        <v>3.27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20261101_2215</t>
        </is>
      </c>
      <c r="B109" s="13" t="n">
        <v>46327</v>
      </c>
      <c r="C109" s="14" t="n">
        <v>0.9270833333333334</v>
      </c>
      <c r="D109" s="23" t="inlineStr">
        <is>
          <t>UN Unico</t>
        </is>
      </c>
      <c r="E109" s="23" t="inlineStr">
        <is>
          <t>I5</t>
        </is>
      </c>
      <c r="F109" s="23">
        <f>IFERROR(INDEX(Tariffe!$B$2:$B$200,MATCH(E109,Tariffe!$A$2:$A$200,0)),"DA DEFINIRE")</f>
        <v/>
      </c>
      <c r="G109" s="16" t="n">
        <v>60</v>
      </c>
      <c r="H109" s="15" t="n">
        <v>1</v>
      </c>
      <c r="I109" s="15" t="n">
        <v>0</v>
      </c>
      <c r="J109" s="16" t="n">
        <v>60</v>
      </c>
      <c r="K109" s="16" t="n">
        <v>0</v>
      </c>
      <c r="L109" s="16" t="n">
        <v>54.55</v>
      </c>
      <c r="M109" s="16" t="n">
        <v>5.45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20261101_2215</t>
        </is>
      </c>
      <c r="B110" s="9" t="n">
        <v>46327</v>
      </c>
      <c r="C110" s="10" t="n">
        <v>0.9270833333333334</v>
      </c>
      <c r="D110" s="22" t="inlineStr">
        <is>
          <t>UN Unico</t>
        </is>
      </c>
      <c r="E110" s="22" t="inlineStr">
        <is>
          <t>I8</t>
        </is>
      </c>
      <c r="F110" s="22">
        <f>IFERROR(INDEX(Tariffe!$B$2:$B$200,MATCH(E110,Tariffe!$A$2:$A$200,0)),"DA DEFINIRE")</f>
        <v/>
      </c>
      <c r="G110" s="12" t="n">
        <v>24</v>
      </c>
      <c r="H110" s="11" t="n">
        <v>4</v>
      </c>
      <c r="I110" s="11" t="n">
        <v>0</v>
      </c>
      <c r="J110" s="12" t="n">
        <v>96</v>
      </c>
      <c r="K110" s="12" t="n">
        <v>0</v>
      </c>
      <c r="L110" s="12" t="n">
        <v>87.28</v>
      </c>
      <c r="M110" s="12" t="n">
        <v>8.720000000000001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20261101_2315</t>
        </is>
      </c>
      <c r="B111" s="13" t="n">
        <v>46327</v>
      </c>
      <c r="C111" s="14" t="n">
        <v>0.96875</v>
      </c>
      <c r="D111" s="23" t="inlineStr">
        <is>
          <t>UN Unico</t>
        </is>
      </c>
      <c r="E111" s="23" t="inlineStr">
        <is>
          <t>I2</t>
        </is>
      </c>
      <c r="F111" s="23">
        <f>IFERROR(INDEX(Tariffe!$B$2:$B$200,MATCH(E111,Tariffe!$A$2:$A$200,0)),"DA DEFINIRE")</f>
        <v/>
      </c>
      <c r="G111" s="16" t="n">
        <v>36</v>
      </c>
      <c r="H111" s="15" t="n">
        <v>1</v>
      </c>
      <c r="I111" s="15" t="n">
        <v>0</v>
      </c>
      <c r="J111" s="16" t="n">
        <v>36</v>
      </c>
      <c r="K111" s="16" t="n">
        <v>0</v>
      </c>
      <c r="L111" s="16" t="n">
        <v>32.73</v>
      </c>
      <c r="M111" s="16" t="n">
        <v>3.27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20261101_2315</t>
        </is>
      </c>
      <c r="B112" s="9" t="n">
        <v>46327</v>
      </c>
      <c r="C112" s="10" t="n">
        <v>0.96875</v>
      </c>
      <c r="D112" s="22" t="inlineStr">
        <is>
          <t>UN Unico</t>
        </is>
      </c>
      <c r="E112" s="22" t="inlineStr">
        <is>
          <t>I8</t>
        </is>
      </c>
      <c r="F112" s="22">
        <f>IFERROR(INDEX(Tariffe!$B$2:$B$200,MATCH(E112,Tariffe!$A$2:$A$200,0)),"DA DEFINIRE")</f>
        <v/>
      </c>
      <c r="G112" s="12" t="n">
        <v>24</v>
      </c>
      <c r="H112" s="11" t="n">
        <v>1</v>
      </c>
      <c r="I112" s="11" t="n">
        <v>0</v>
      </c>
      <c r="J112" s="12" t="n">
        <v>24</v>
      </c>
      <c r="K112" s="12" t="n">
        <v>0</v>
      </c>
      <c r="L112" s="12" t="n">
        <v>21.82</v>
      </c>
      <c r="M112" s="12" t="n">
        <v>2.18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20261101_2359</t>
        </is>
      </c>
      <c r="B113" s="13" t="n">
        <v>46327</v>
      </c>
      <c r="C113" s="14" t="n">
        <v>0.9993055555555556</v>
      </c>
      <c r="D113" s="23" t="inlineStr">
        <is>
          <t>UN Unico</t>
        </is>
      </c>
      <c r="E113" s="23" t="inlineStr">
        <is>
          <t>I5</t>
        </is>
      </c>
      <c r="F113" s="23">
        <f>IFERROR(INDEX(Tariffe!$B$2:$B$200,MATCH(E113,Tariffe!$A$2:$A$200,0)),"DA DEFINIRE")</f>
        <v/>
      </c>
      <c r="G113" s="16" t="n">
        <v>60</v>
      </c>
      <c r="H113" s="15" t="n">
        <v>1</v>
      </c>
      <c r="I113" s="15" t="n">
        <v>0</v>
      </c>
      <c r="J113" s="16" t="n">
        <v>60</v>
      </c>
      <c r="K113" s="16" t="n">
        <v>0</v>
      </c>
      <c r="L113" s="16" t="n">
        <v>54.55</v>
      </c>
      <c r="M113" s="16" t="n">
        <v>5.45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20261101_2359</t>
        </is>
      </c>
      <c r="B114" s="9" t="n">
        <v>46327</v>
      </c>
      <c r="C114" s="10" t="n">
        <v>0.9993055555555556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1</v>
      </c>
      <c r="I114" s="11" t="n">
        <v>0</v>
      </c>
      <c r="J114" s="12" t="n">
        <v>24</v>
      </c>
      <c r="K114" s="12" t="n">
        <v>0</v>
      </c>
      <c r="L114" s="12" t="n">
        <v>21.82</v>
      </c>
      <c r="M114" s="12" t="n">
        <v>2.18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</sheetData>
  <autoFilter ref="A1:P11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</sheetData>
  <autoFilter ref="A1:G53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</sheetData>
  <autoFilter ref="A1:K53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16</v>
      </c>
      <c r="H4" s="11" t="n">
        <v>58</v>
      </c>
      <c r="I4" s="12" t="n">
        <v>696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6</v>
      </c>
      <c r="H5" s="11" t="n">
        <v>14</v>
      </c>
      <c r="I5" s="12" t="n">
        <v>168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5</v>
      </c>
      <c r="H12" s="11" t="n">
        <v>13</v>
      </c>
      <c r="I12" s="12" t="n">
        <v>156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13</v>
      </c>
      <c r="H13" s="11" t="n">
        <v>43</v>
      </c>
      <c r="I13" s="12" t="n">
        <v>516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25</v>
      </c>
      <c r="H14" s="11" t="n">
        <v>74</v>
      </c>
      <c r="I14" s="12" t="n">
        <v>888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24</v>
      </c>
      <c r="H15" s="11" t="n">
        <v>70</v>
      </c>
      <c r="I15" s="12" t="n">
        <v>840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32</v>
      </c>
      <c r="H16" s="11" t="n">
        <v>87</v>
      </c>
      <c r="I16" s="12" t="n">
        <v>1044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45</v>
      </c>
      <c r="H18" s="11" t="n">
        <v>140</v>
      </c>
      <c r="I18" s="12" t="n">
        <v>1680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28</v>
      </c>
      <c r="H19" s="11" t="n">
        <v>80</v>
      </c>
      <c r="I19" s="12" t="n">
        <v>960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39</v>
      </c>
      <c r="H20" s="11" t="n">
        <v>116</v>
      </c>
      <c r="I20" s="12" t="n">
        <v>1392</v>
      </c>
    </row>
    <row r="21">
      <c r="F21" s="38" t="inlineStr">
        <is>
          <t>17:00-18:00</t>
        </is>
      </c>
      <c r="G21" s="11" t="n">
        <v>25</v>
      </c>
      <c r="H21" s="11" t="n">
        <v>72</v>
      </c>
      <c r="I21" s="12" t="n">
        <v>864</v>
      </c>
    </row>
    <row r="22">
      <c r="F22" s="38" t="inlineStr">
        <is>
          <t>18:00-19:00</t>
        </is>
      </c>
      <c r="G22" s="11" t="n">
        <v>40</v>
      </c>
      <c r="H22" s="11" t="n">
        <v>112</v>
      </c>
      <c r="I22" s="12" t="n">
        <v>1344</v>
      </c>
    </row>
    <row r="23">
      <c r="F23" s="38" t="inlineStr">
        <is>
          <t>19:00-20:00</t>
        </is>
      </c>
      <c r="G23" s="11" t="n">
        <v>48</v>
      </c>
      <c r="H23" s="11" t="n">
        <v>160</v>
      </c>
      <c r="I23" s="12" t="n">
        <v>1920</v>
      </c>
    </row>
    <row r="24">
      <c r="F24" s="38" t="inlineStr">
        <is>
          <t>20:00-21:00</t>
        </is>
      </c>
      <c r="G24" s="11" t="n">
        <v>47</v>
      </c>
      <c r="H24" s="11" t="n">
        <v>140</v>
      </c>
      <c r="I24" s="12" t="n">
        <v>1680</v>
      </c>
    </row>
    <row r="25">
      <c r="F25" s="38" t="inlineStr">
        <is>
          <t>21:00-22:00</t>
        </is>
      </c>
      <c r="G25" s="11" t="n">
        <v>60</v>
      </c>
      <c r="H25" s="11" t="n">
        <v>178</v>
      </c>
      <c r="I25" s="12" t="n">
        <v>2136</v>
      </c>
    </row>
    <row r="26">
      <c r="F26" s="38" t="inlineStr">
        <is>
          <t>22:00-23:00</t>
        </is>
      </c>
      <c r="G26" s="11" t="n">
        <v>74</v>
      </c>
      <c r="H26" s="11" t="n">
        <v>224</v>
      </c>
      <c r="I26" s="12" t="n">
        <v>2688</v>
      </c>
    </row>
    <row r="27">
      <c r="F27" s="38" t="inlineStr">
        <is>
          <t>23:00-00:00</t>
        </is>
      </c>
      <c r="G27" s="11" t="n">
        <v>26</v>
      </c>
      <c r="H27" s="11" t="n">
        <v>84</v>
      </c>
      <c r="I27" s="12" t="n">
        <v>1008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2026-10-21T22:26:59Z</dcterms:created>
  <dcterms:modified xsi:type="dcterms:W3CDTF">2026-10-21T22:27:00Z</dcterms:modified>
</cp:coreProperties>
</file>