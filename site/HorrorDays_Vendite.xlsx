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'Vendite'!$A$1:$P$24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'Storico'!$A$1:$G$27</definedName>
    <definedName name="_xlnm._FilterDatabase" localSheetId="8" hidden="1">'Registro vendite'!$A$1:$K$28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'Storico'!$H$2:$H$27</f>
            </numRef>
          </cat>
          <val>
            <numRef>
              <f>'Storico'!$C$2:$C$27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20261023_2358</t>
        </is>
      </c>
      <c r="B10" s="9" t="n">
        <v>46318</v>
      </c>
      <c r="C10" s="10" t="n">
        <v>0.9986111111111111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20261024_2115</t>
        </is>
      </c>
      <c r="B11" s="13" t="n">
        <v>46319</v>
      </c>
      <c r="C11" s="14" t="n">
        <v>0.8854166666666666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1</v>
      </c>
      <c r="I11" s="15" t="n">
        <v>0</v>
      </c>
      <c r="J11" s="16" t="n">
        <v>24</v>
      </c>
      <c r="K11" s="16" t="n">
        <v>0</v>
      </c>
      <c r="L11" s="16" t="n">
        <v>21.82</v>
      </c>
      <c r="M11" s="16" t="n">
        <v>2.18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20261024_2215</t>
        </is>
      </c>
      <c r="B12" s="9" t="n">
        <v>46319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20261024_2315</t>
        </is>
      </c>
      <c r="B13" s="13" t="n">
        <v>46319</v>
      </c>
      <c r="C13" s="14" t="n">
        <v>0.96875</v>
      </c>
      <c r="D13" s="23" t="inlineStr">
        <is>
          <t>UN Unico</t>
        </is>
      </c>
      <c r="E13" s="23" t="inlineStr">
        <is>
          <t>I2</t>
        </is>
      </c>
      <c r="F13" s="23">
        <f>IFERROR(INDEX(Tariffe!$B$2:$B$200,MATCH(E13,Tariffe!$A$2:$A$200,0)),"DA DEFINIRE")</f>
        <v/>
      </c>
      <c r="G13" s="16" t="n">
        <v>36</v>
      </c>
      <c r="H13" s="15" t="n">
        <v>1</v>
      </c>
      <c r="I13" s="15" t="n">
        <v>0</v>
      </c>
      <c r="J13" s="16" t="n">
        <v>36</v>
      </c>
      <c r="K13" s="16" t="n">
        <v>0</v>
      </c>
      <c r="L13" s="16" t="n">
        <v>32.73</v>
      </c>
      <c r="M13" s="16" t="n">
        <v>3.27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20261024_2315</t>
        </is>
      </c>
      <c r="B14" s="9" t="n">
        <v>46319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20261024_2359</t>
        </is>
      </c>
      <c r="B15" s="13" t="n">
        <v>46319</v>
      </c>
      <c r="C15" s="14" t="n">
        <v>0.9993055555555556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20261025_2115</t>
        </is>
      </c>
      <c r="B16" s="9" t="n">
        <v>46320</v>
      </c>
      <c r="C16" s="10" t="n">
        <v>0.8854166666666666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20261025_2215</t>
        </is>
      </c>
      <c r="B17" s="13" t="n">
        <v>46320</v>
      </c>
      <c r="C17" s="14" t="n">
        <v>0.9270833333333334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20261029_2215</t>
        </is>
      </c>
      <c r="B18" s="9" t="n">
        <v>46324</v>
      </c>
      <c r="C18" s="10" t="n">
        <v>0.9270833333333334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20261029_2215</t>
        </is>
      </c>
      <c r="B19" s="13" t="n">
        <v>46324</v>
      </c>
      <c r="C19" s="14" t="n">
        <v>0.9270833333333334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20261029_2359</t>
        </is>
      </c>
      <c r="B20" s="9" t="n">
        <v>46324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20261030_2215</t>
        </is>
      </c>
      <c r="B21" s="13" t="n">
        <v>46325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20261030_2315</t>
        </is>
      </c>
      <c r="B22" s="9" t="n">
        <v>46325</v>
      </c>
      <c r="C22" s="10" t="n">
        <v>0.96875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20261030_2359</t>
        </is>
      </c>
      <c r="B23" s="13" t="n">
        <v>46325</v>
      </c>
      <c r="C23" s="14" t="n">
        <v>0.9993055555555556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20261031_2359</t>
        </is>
      </c>
      <c r="B24" s="9" t="n">
        <v>46326</v>
      </c>
      <c r="C24" s="10" t="n">
        <v>0.9993055555555556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</sheetData>
  <autoFilter ref="A1:P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</sheetData>
  <autoFilter ref="A1:G2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</sheetData>
  <autoFilter ref="A1:K2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4</v>
      </c>
      <c r="C5" s="11" t="n">
        <v>10</v>
      </c>
      <c r="D5" s="12" t="n">
        <v>120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4</v>
      </c>
      <c r="M5" s="11" t="n">
        <v>10</v>
      </c>
      <c r="N5" s="12" t="n">
        <v>120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2026-10-06T07:17:29Z</dcterms:created>
  <dcterms:modified xsi:type="dcterms:W3CDTF">2026-10-06T07:17:29Z</dcterms:modified>
</cp:coreProperties>
</file>