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'Vendite'!$A$1:$R$157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'Storico'!$A$1:$G$907</definedName>
    <definedName name="_xlnm._FilterDatabase" localSheetId="8" hidden="1">'Registro vendite'!$A$1:$K$1711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'Storico'!$H$2:$H$907</f>
            </numRef>
          </cat>
          <val>
            <numRef>
              <f>'Storico'!$C$2:$C$907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576</v>
      </c>
      <c r="K126" s="12" t="n">
        <v>0</v>
      </c>
      <c r="L126" s="12" t="n">
        <v>523.6799999999999</v>
      </c>
      <c r="M126" s="12" t="n">
        <v>52.32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1104</v>
      </c>
      <c r="K130" s="12" t="n">
        <v>0</v>
      </c>
      <c r="L130" s="12" t="n">
        <v>1003.72</v>
      </c>
      <c r="M130" s="12" t="n">
        <v>100.28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720</v>
      </c>
      <c r="K133" s="16" t="n">
        <v>0</v>
      </c>
      <c r="L133" s="16" t="n">
        <v>654.6</v>
      </c>
      <c r="M133" s="16" t="n">
        <v>65.40000000000001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30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540</v>
      </c>
      <c r="K148" s="12" t="n">
        <v>0</v>
      </c>
      <c r="L148" s="12" t="n">
        <v>490.95</v>
      </c>
      <c r="M148" s="12" t="n">
        <v>49.05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9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672</v>
      </c>
      <c r="K149" s="16" t="n">
        <v>0</v>
      </c>
      <c r="L149" s="16" t="n">
        <v>610.96</v>
      </c>
      <c r="M149" s="16" t="n">
        <v>61.04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24</v>
      </c>
      <c r="K151" s="16" t="n">
        <v>0</v>
      </c>
      <c r="L151" s="16" t="n">
        <v>21.82</v>
      </c>
      <c r="M151" s="16" t="n">
        <v>2.18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20261102_2215</t>
        </is>
      </c>
      <c r="B152" s="9" t="n">
        <v>46328</v>
      </c>
      <c r="C152" s="10" t="n">
        <v>0.9270833333333334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96</v>
      </c>
      <c r="K152" s="12" t="n">
        <v>0</v>
      </c>
      <c r="L152" s="12" t="n">
        <v>87.28</v>
      </c>
      <c r="M152" s="12" t="n">
        <v>8.720000000000001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2</v>
      </c>
      <c r="R152" s="11">
        <f>IFERROR(INDEX(Tariffe!$E$2:$E$200,MATCH(E152,Tariffe!$A$2:$A$200,0))*1,1)</f>
        <v/>
      </c>
    </row>
    <row r="153">
      <c r="A153" s="23" t="inlineStr">
        <is>
          <t>20261102_2215</t>
        </is>
      </c>
      <c r="B153" s="13" t="n">
        <v>46328</v>
      </c>
      <c r="C153" s="14" t="n">
        <v>0.9270833333333334</v>
      </c>
      <c r="D153" s="23" t="inlineStr">
        <is>
          <t>UN Unico</t>
        </is>
      </c>
      <c r="E153" s="23" t="inlineStr">
        <is>
          <t>I2 36€</t>
        </is>
      </c>
      <c r="F153" s="23">
        <f>IFERROR(INDEX(Tariffe!$B$2:$B$200,MATCH(E153,Tariffe!$A$2:$A$200,0)),"DA DEFINIRE")</f>
        <v/>
      </c>
      <c r="G153" s="16" t="n">
        <v>36</v>
      </c>
      <c r="H153" s="15">
        <f>Q153*R153</f>
        <v/>
      </c>
      <c r="I153" s="15" t="n">
        <v>0</v>
      </c>
      <c r="J153" s="16" t="n">
        <v>36</v>
      </c>
      <c r="K153" s="16" t="n">
        <v>0</v>
      </c>
      <c r="L153" s="16" t="n">
        <v>32.73</v>
      </c>
      <c r="M153" s="16" t="n">
        <v>3.27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20261102_2315</t>
        </is>
      </c>
      <c r="B155" s="13" t="n">
        <v>46328</v>
      </c>
      <c r="C155" s="14" t="n">
        <v>0.96875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48</v>
      </c>
      <c r="K155" s="16" t="n">
        <v>0</v>
      </c>
      <c r="L155" s="16" t="n">
        <v>43.64</v>
      </c>
      <c r="M155" s="16" t="n">
        <v>4.36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  <row r="156">
      <c r="A156" s="22" t="inlineStr">
        <is>
          <t>20261102_2359</t>
        </is>
      </c>
      <c r="B156" s="9" t="n">
        <v>46328</v>
      </c>
      <c r="C156" s="10" t="n">
        <v>0.9993055555555556</v>
      </c>
      <c r="D156" s="22" t="inlineStr">
        <is>
          <t>UN Unico</t>
        </is>
      </c>
      <c r="E156" s="22" t="inlineStr">
        <is>
          <t>I1 48€</t>
        </is>
      </c>
      <c r="F156" s="22">
        <f>IFERROR(INDEX(Tariffe!$B$2:$B$200,MATCH(E156,Tariffe!$A$2:$A$200,0)),"DA DEFINIRE")</f>
        <v/>
      </c>
      <c r="G156" s="12" t="n">
        <v>48</v>
      </c>
      <c r="H156" s="11">
        <f>Q156*R156</f>
        <v/>
      </c>
      <c r="I156" s="11" t="n">
        <v>0</v>
      </c>
      <c r="J156" s="12" t="n">
        <v>48</v>
      </c>
      <c r="K156" s="12" t="n">
        <v>0</v>
      </c>
      <c r="L156" s="12" t="n">
        <v>43.64</v>
      </c>
      <c r="M156" s="12" t="n">
        <v>4.36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1</v>
      </c>
      <c r="R156" s="11">
        <f>IFERROR(INDEX(Tariffe!$E$2:$E$200,MATCH(E156,Tariffe!$A$2:$A$200,0))*1,1)</f>
        <v/>
      </c>
    </row>
    <row r="157">
      <c r="A157" s="23" t="inlineStr">
        <is>
          <t>20261102_2359</t>
        </is>
      </c>
      <c r="B157" s="13" t="n">
        <v>46328</v>
      </c>
      <c r="C157" s="14" t="n">
        <v>0.9993055555555556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24</v>
      </c>
      <c r="K157" s="16" t="n">
        <v>0</v>
      </c>
      <c r="L157" s="16" t="n">
        <v>21.82</v>
      </c>
      <c r="M157" s="16" t="n">
        <v>2.18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1</v>
      </c>
      <c r="R157" s="15">
        <f>IFERROR(INDEX(Tariffe!$E$2:$E$200,MATCH(E157,Tariffe!$A$2:$A$200,0))*1,1)</f>
        <v/>
      </c>
    </row>
  </sheetData>
  <autoFilter ref="A1:R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</sheetData>
  <autoFilter ref="A1:G9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</sheetData>
  <autoFilter ref="A1:K17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324</v>
      </c>
      <c r="M9" s="11" t="n">
        <v>994</v>
      </c>
      <c r="N9" s="12" t="n">
        <v>11928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11</v>
      </c>
      <c r="C30" s="11" t="n">
        <v>39</v>
      </c>
      <c r="D30" s="12" t="n">
        <v>468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2026-10-31T01:38:42Z</dcterms:created>
  <dcterms:modified xsi:type="dcterms:W3CDTF">2026-10-31T01:38:43Z</dcterms:modified>
</cp:coreProperties>
</file>