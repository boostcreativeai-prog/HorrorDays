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'Storico'!$A$1:$G$617</definedName>
    <definedName name="_xlnm._FilterDatabase" localSheetId="8" hidden="1">'Registro vendite'!$A$1:$K$688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'Storico'!$H$2:$H$617</f>
            </numRef>
          </cat>
          <val>
            <numRef>
              <f>'Storico'!$C$2:$C$617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17</v>
      </c>
      <c r="I29" s="15" t="n">
        <v>1</v>
      </c>
      <c r="J29" s="16" t="n">
        <v>408</v>
      </c>
      <c r="K29" s="16" t="n">
        <v>0</v>
      </c>
      <c r="L29" s="16" t="n">
        <v>370.94</v>
      </c>
      <c r="M29" s="16" t="n">
        <v>37.06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10</v>
      </c>
      <c r="I30" s="11" t="n">
        <v>0</v>
      </c>
      <c r="J30" s="12" t="n">
        <v>480</v>
      </c>
      <c r="K30" s="12" t="n">
        <v>0</v>
      </c>
      <c r="L30" s="12" t="n">
        <v>436.4</v>
      </c>
      <c r="M30" s="12" t="n">
        <v>43.6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5</v>
      </c>
      <c r="I31" s="15" t="n">
        <v>0</v>
      </c>
      <c r="J31" s="16" t="n">
        <v>180</v>
      </c>
      <c r="K31" s="16" t="n">
        <v>0</v>
      </c>
      <c r="L31" s="16" t="n">
        <v>163.65</v>
      </c>
      <c r="M31" s="16" t="n">
        <v>16.35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33</v>
      </c>
      <c r="I33" s="15" t="n">
        <v>0</v>
      </c>
      <c r="J33" s="16" t="n">
        <v>792</v>
      </c>
      <c r="K33" s="16" t="n">
        <v>0</v>
      </c>
      <c r="L33" s="16" t="n">
        <v>720.0599999999999</v>
      </c>
      <c r="M33" s="16" t="n">
        <v>71.94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10</v>
      </c>
      <c r="I34" s="11" t="n">
        <v>1</v>
      </c>
      <c r="J34" s="12" t="n">
        <v>480</v>
      </c>
      <c r="K34" s="12" t="n">
        <v>0</v>
      </c>
      <c r="L34" s="12" t="n">
        <v>436.4</v>
      </c>
      <c r="M34" s="12" t="n">
        <v>43.6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6</v>
      </c>
      <c r="I36" s="11" t="n">
        <v>0</v>
      </c>
      <c r="J36" s="12" t="n">
        <v>360</v>
      </c>
      <c r="K36" s="12" t="n">
        <v>0</v>
      </c>
      <c r="L36" s="12" t="n">
        <v>327.3</v>
      </c>
      <c r="M36" s="12" t="n">
        <v>32.7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30</v>
      </c>
      <c r="I37" s="15" t="n">
        <v>0</v>
      </c>
      <c r="J37" s="16" t="n">
        <v>720</v>
      </c>
      <c r="K37" s="16" t="n">
        <v>0</v>
      </c>
      <c r="L37" s="16" t="n">
        <v>654.6</v>
      </c>
      <c r="M37" s="16" t="n">
        <v>65.40000000000001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16</v>
      </c>
      <c r="I38" s="11" t="n">
        <v>0</v>
      </c>
      <c r="J38" s="12" t="n">
        <v>768</v>
      </c>
      <c r="K38" s="12" t="n">
        <v>0</v>
      </c>
      <c r="L38" s="12" t="n">
        <v>698.24</v>
      </c>
      <c r="M38" s="12" t="n">
        <v>69.76000000000001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5</v>
      </c>
      <c r="I39" s="15" t="n">
        <v>0</v>
      </c>
      <c r="J39" s="16" t="n">
        <v>300</v>
      </c>
      <c r="K39" s="16" t="n">
        <v>0</v>
      </c>
      <c r="L39" s="16" t="n">
        <v>272.75</v>
      </c>
      <c r="M39" s="16" t="n">
        <v>27.25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15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4</v>
      </c>
      <c r="I41" s="15" t="n">
        <v>0</v>
      </c>
      <c r="J41" s="16" t="n">
        <v>192</v>
      </c>
      <c r="K41" s="16" t="n">
        <v>0</v>
      </c>
      <c r="L41" s="16" t="n">
        <v>174.56</v>
      </c>
      <c r="M41" s="16" t="n">
        <v>17.44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6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14</v>
      </c>
      <c r="I45" s="15" t="n">
        <v>0</v>
      </c>
      <c r="J45" s="16" t="n">
        <v>672</v>
      </c>
      <c r="K45" s="16" t="n">
        <v>0</v>
      </c>
      <c r="L45" s="16" t="n">
        <v>610.96</v>
      </c>
      <c r="M45" s="16" t="n">
        <v>61.04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4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14</v>
      </c>
      <c r="I48" s="11" t="n">
        <v>0</v>
      </c>
      <c r="J48" s="12" t="n">
        <v>336</v>
      </c>
      <c r="K48" s="12" t="n">
        <v>0</v>
      </c>
      <c r="L48" s="12" t="n">
        <v>305.48</v>
      </c>
      <c r="M48" s="12" t="n">
        <v>30.52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2</v>
      </c>
      <c r="I51" s="15" t="n">
        <v>0</v>
      </c>
      <c r="J51" s="16" t="n">
        <v>120</v>
      </c>
      <c r="K51" s="16" t="n">
        <v>0</v>
      </c>
      <c r="L51" s="16" t="n">
        <v>109.1</v>
      </c>
      <c r="M51" s="16" t="n">
        <v>10.9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13</v>
      </c>
      <c r="I52" s="11" t="n">
        <v>0</v>
      </c>
      <c r="J52" s="12" t="n">
        <v>312</v>
      </c>
      <c r="K52" s="12" t="n">
        <v>0</v>
      </c>
      <c r="L52" s="12" t="n">
        <v>283.66</v>
      </c>
      <c r="M52" s="12" t="n">
        <v>28.34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8</v>
      </c>
      <c r="I53" s="15" t="n">
        <v>0</v>
      </c>
      <c r="J53" s="16" t="n">
        <v>384</v>
      </c>
      <c r="K53" s="16" t="n">
        <v>0</v>
      </c>
      <c r="L53" s="16" t="n">
        <v>349.12</v>
      </c>
      <c r="M53" s="16" t="n">
        <v>34.88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4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3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3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7</v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4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13</v>
      </c>
      <c r="I67" s="15" t="n">
        <v>0</v>
      </c>
      <c r="J67" s="16" t="n">
        <v>312</v>
      </c>
      <c r="K67" s="16" t="n">
        <v>0</v>
      </c>
      <c r="L67" s="16" t="n">
        <v>283.66</v>
      </c>
      <c r="M67" s="16" t="n">
        <v>28.34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6</v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4</v>
      </c>
      <c r="I70" s="11" t="n">
        <v>0</v>
      </c>
      <c r="J70" s="12" t="n">
        <v>240</v>
      </c>
      <c r="K70" s="12" t="n">
        <v>0</v>
      </c>
      <c r="L70" s="12" t="n">
        <v>218.2</v>
      </c>
      <c r="M70" s="12" t="n">
        <v>21.8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20261029_2359</t>
        </is>
      </c>
      <c r="B73" s="13" t="n">
        <v>46324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3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20261030_2015</t>
        </is>
      </c>
      <c r="B75" s="13" t="n">
        <v>46325</v>
      </c>
      <c r="C75" s="14" t="n">
        <v>0.84375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2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20261030_2115</t>
        </is>
      </c>
      <c r="B77" s="13" t="n">
        <v>46325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4</v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2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2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10</v>
      </c>
      <c r="I81" s="15" t="n">
        <v>3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4</v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1</v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6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</v>
      </c>
      <c r="I86" s="11" t="n">
        <v>0</v>
      </c>
      <c r="J86" s="12" t="n">
        <v>48</v>
      </c>
      <c r="K86" s="12" t="n">
        <v>0</v>
      </c>
      <c r="L86" s="12" t="n">
        <v>43.64</v>
      </c>
      <c r="M86" s="12" t="n">
        <v>4.36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20261030_2359</t>
        </is>
      </c>
      <c r="B87" s="13" t="n">
        <v>46325</v>
      </c>
      <c r="C87" s="14" t="n">
        <v>0.9993055555555556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4</v>
      </c>
      <c r="I89" s="15" t="n">
        <v>0</v>
      </c>
      <c r="J89" s="16" t="n">
        <v>192</v>
      </c>
      <c r="K89" s="16" t="n">
        <v>0</v>
      </c>
      <c r="L89" s="16" t="n">
        <v>174.56</v>
      </c>
      <c r="M89" s="16" t="n">
        <v>17.44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I2</t>
        </is>
      </c>
      <c r="F90" s="22">
        <f>IFERROR(INDEX(Tariffe!$B$2:$B$200,MATCH(E90,Tariffe!$A$2:$A$200,0)),"DA DEFINIRE")</f>
        <v/>
      </c>
      <c r="G90" s="12" t="n">
        <v>36</v>
      </c>
      <c r="H90" s="11" t="n">
        <v>1</v>
      </c>
      <c r="I90" s="11" t="n">
        <v>0</v>
      </c>
      <c r="J90" s="12" t="n">
        <v>36</v>
      </c>
      <c r="K90" s="12" t="n">
        <v>0</v>
      </c>
      <c r="L90" s="12" t="n">
        <v>32.73</v>
      </c>
      <c r="M90" s="12" t="n">
        <v>3.27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3</v>
      </c>
      <c r="I91" s="15" t="n">
        <v>2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2</v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9</v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2</v>
      </c>
      <c r="I95" s="15" t="n">
        <v>0</v>
      </c>
      <c r="J95" s="16" t="n">
        <v>120</v>
      </c>
      <c r="K95" s="16" t="n">
        <v>0</v>
      </c>
      <c r="L95" s="16" t="n">
        <v>109.1</v>
      </c>
      <c r="M95" s="16" t="n">
        <v>10.9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6</v>
      </c>
      <c r="I96" s="11" t="n">
        <v>0</v>
      </c>
      <c r="J96" s="12" t="n">
        <v>144</v>
      </c>
      <c r="K96" s="12" t="n">
        <v>0</v>
      </c>
      <c r="L96" s="12" t="n">
        <v>130.92</v>
      </c>
      <c r="M96" s="12" t="n">
        <v>13.08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7</v>
      </c>
      <c r="I97" s="15" t="n">
        <v>3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20261031_2215</t>
        </is>
      </c>
      <c r="B98" s="9" t="n">
        <v>46326</v>
      </c>
      <c r="C98" s="10" t="n">
        <v>0.9270833333333334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3</v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21</v>
      </c>
      <c r="I99" s="15" t="n">
        <v>0</v>
      </c>
      <c r="J99" s="16" t="n">
        <v>504</v>
      </c>
      <c r="K99" s="16" t="n">
        <v>0</v>
      </c>
      <c r="L99" s="16" t="n">
        <v>458.22</v>
      </c>
      <c r="M99" s="16" t="n">
        <v>45.78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17</v>
      </c>
      <c r="I100" s="11" t="n">
        <v>0</v>
      </c>
      <c r="J100" s="12" t="n">
        <v>816</v>
      </c>
      <c r="K100" s="12" t="n">
        <v>0</v>
      </c>
      <c r="L100" s="12" t="n">
        <v>741.88</v>
      </c>
      <c r="M100" s="12" t="n">
        <v>74.12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2</v>
      </c>
      <c r="I101" s="15" t="n">
        <v>0</v>
      </c>
      <c r="J101" s="16" t="n">
        <v>72</v>
      </c>
      <c r="K101" s="16" t="n">
        <v>0</v>
      </c>
      <c r="L101" s="16" t="n">
        <v>65.45999999999999</v>
      </c>
      <c r="M101" s="16" t="n">
        <v>6.54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3</v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17</v>
      </c>
      <c r="I103" s="15" t="n">
        <v>0</v>
      </c>
      <c r="J103" s="16" t="n">
        <v>408</v>
      </c>
      <c r="K103" s="16" t="n">
        <v>0</v>
      </c>
      <c r="L103" s="16" t="n">
        <v>370.94</v>
      </c>
      <c r="M103" s="16" t="n">
        <v>37.06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13</v>
      </c>
      <c r="I104" s="11" t="n">
        <v>0</v>
      </c>
      <c r="J104" s="12" t="n">
        <v>624</v>
      </c>
      <c r="K104" s="12" t="n">
        <v>0</v>
      </c>
      <c r="L104" s="12" t="n">
        <v>567.3200000000001</v>
      </c>
      <c r="M104" s="12" t="n">
        <v>56.68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2</v>
      </c>
      <c r="I106" s="11" t="n">
        <v>0</v>
      </c>
      <c r="J106" s="12" t="n">
        <v>120</v>
      </c>
      <c r="K106" s="12" t="n">
        <v>0</v>
      </c>
      <c r="L106" s="12" t="n">
        <v>109.1</v>
      </c>
      <c r="M106" s="12" t="n">
        <v>10.9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9</v>
      </c>
      <c r="I107" s="15" t="n">
        <v>0</v>
      </c>
      <c r="J107" s="16" t="n">
        <v>216</v>
      </c>
      <c r="K107" s="16" t="n">
        <v>0</v>
      </c>
      <c r="L107" s="16" t="n">
        <v>196.38</v>
      </c>
      <c r="M107" s="16" t="n">
        <v>19.62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2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20261101_2015</t>
        </is>
      </c>
      <c r="B109" s="13" t="n">
        <v>46327</v>
      </c>
      <c r="C109" s="14" t="n">
        <v>0.84375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20261101_2015</t>
        </is>
      </c>
      <c r="B110" s="9" t="n">
        <v>46327</v>
      </c>
      <c r="C110" s="10" t="n">
        <v>0.84375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2</v>
      </c>
      <c r="I110" s="11" t="n">
        <v>0</v>
      </c>
      <c r="J110" s="12" t="n">
        <v>48</v>
      </c>
      <c r="K110" s="12" t="n">
        <v>0</v>
      </c>
      <c r="L110" s="12" t="n">
        <v>43.64</v>
      </c>
      <c r="M110" s="12" t="n">
        <v>4.36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3</v>
      </c>
      <c r="I111" s="15" t="n">
        <v>0</v>
      </c>
      <c r="J111" s="16" t="n">
        <v>144</v>
      </c>
      <c r="K111" s="16" t="n">
        <v>0</v>
      </c>
      <c r="L111" s="16" t="n">
        <v>130.92</v>
      </c>
      <c r="M111" s="16" t="n">
        <v>13.08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20261101_2115</t>
        </is>
      </c>
      <c r="B112" s="9" t="n">
        <v>46327</v>
      </c>
      <c r="C112" s="10" t="n">
        <v>0.8854166666666666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2</v>
      </c>
      <c r="I112" s="11" t="n">
        <v>0</v>
      </c>
      <c r="J112" s="12" t="n">
        <v>72</v>
      </c>
      <c r="K112" s="12" t="n">
        <v>0</v>
      </c>
      <c r="L112" s="12" t="n">
        <v>65.45999999999999</v>
      </c>
      <c r="M112" s="12" t="n">
        <v>6.54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20261101_2115</t>
        </is>
      </c>
      <c r="B113" s="13" t="n">
        <v>46327</v>
      </c>
      <c r="C113" s="14" t="n">
        <v>0.8854166666666666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3</v>
      </c>
      <c r="I113" s="15" t="n">
        <v>0</v>
      </c>
      <c r="J113" s="16" t="n">
        <v>72</v>
      </c>
      <c r="K113" s="16" t="n">
        <v>0</v>
      </c>
      <c r="L113" s="16" t="n">
        <v>65.45999999999999</v>
      </c>
      <c r="M113" s="16" t="n">
        <v>6.54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20261101_2215</t>
        </is>
      </c>
      <c r="B115" s="13" t="n">
        <v>46327</v>
      </c>
      <c r="C115" s="14" t="n">
        <v>0.9270833333333334</v>
      </c>
      <c r="D115" s="23" t="inlineStr">
        <is>
          <t>UN Unico</t>
        </is>
      </c>
      <c r="E115" s="23" t="inlineStr">
        <is>
          <t>I5</t>
        </is>
      </c>
      <c r="F115" s="23">
        <f>IFERROR(INDEX(Tariffe!$B$2:$B$200,MATCH(E115,Tariffe!$A$2:$A$200,0)),"DA DEFINIRE")</f>
        <v/>
      </c>
      <c r="G115" s="16" t="n">
        <v>60</v>
      </c>
      <c r="H115" s="15" t="n">
        <v>1</v>
      </c>
      <c r="I115" s="15" t="n">
        <v>0</v>
      </c>
      <c r="J115" s="16" t="n">
        <v>60</v>
      </c>
      <c r="K115" s="16" t="n">
        <v>0</v>
      </c>
      <c r="L115" s="16" t="n">
        <v>54.55</v>
      </c>
      <c r="M115" s="16" t="n">
        <v>5.45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20261101_2215</t>
        </is>
      </c>
      <c r="B116" s="9" t="n">
        <v>46327</v>
      </c>
      <c r="C116" s="10" t="n">
        <v>0.9270833333333334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4</v>
      </c>
      <c r="I116" s="11" t="n">
        <v>0</v>
      </c>
      <c r="J116" s="12" t="n">
        <v>96</v>
      </c>
      <c r="K116" s="12" t="n">
        <v>0</v>
      </c>
      <c r="L116" s="12" t="n">
        <v>87.28</v>
      </c>
      <c r="M116" s="12" t="n">
        <v>8.720000000000001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20261101_2315</t>
        </is>
      </c>
      <c r="B117" s="13" t="n">
        <v>46327</v>
      </c>
      <c r="C117" s="14" t="n">
        <v>0.96875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20261101_2315</t>
        </is>
      </c>
      <c r="B118" s="9" t="n">
        <v>46327</v>
      </c>
      <c r="C118" s="10" t="n">
        <v>0.96875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2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20261101_2359</t>
        </is>
      </c>
      <c r="B119" s="13" t="n">
        <v>46327</v>
      </c>
      <c r="C119" s="14" t="n">
        <v>0.9993055555555556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20261101_2359</t>
        </is>
      </c>
      <c r="B120" s="9" t="n">
        <v>46327</v>
      </c>
      <c r="C120" s="10" t="n">
        <v>0.9993055555555556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1</v>
      </c>
      <c r="I120" s="11" t="n">
        <v>0</v>
      </c>
      <c r="J120" s="12" t="n">
        <v>24</v>
      </c>
      <c r="K120" s="12" t="n">
        <v>0</v>
      </c>
      <c r="L120" s="12" t="n">
        <v>21.82</v>
      </c>
      <c r="M120" s="12" t="n">
        <v>2.18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20261102_2215</t>
        </is>
      </c>
      <c r="B121" s="13" t="n">
        <v>46328</v>
      </c>
      <c r="C121" s="14" t="n">
        <v>0.9270833333333334</v>
      </c>
      <c r="D121" s="23" t="inlineStr">
        <is>
          <t>UN Unico</t>
        </is>
      </c>
      <c r="E121" s="23" t="inlineStr">
        <is>
          <t>I1</t>
        </is>
      </c>
      <c r="F121" s="23">
        <f>IFERROR(INDEX(Tariffe!$B$2:$B$200,MATCH(E121,Tariffe!$A$2:$A$200,0)),"DA DEFINIRE")</f>
        <v/>
      </c>
      <c r="G121" s="16" t="n">
        <v>15</v>
      </c>
      <c r="H121" s="15" t="n">
        <v>3</v>
      </c>
      <c r="I121" s="15" t="n">
        <v>0</v>
      </c>
      <c r="J121" s="16" t="n">
        <v>45</v>
      </c>
      <c r="K121" s="16" t="n">
        <v>0</v>
      </c>
      <c r="L121" s="16" t="n">
        <v>40.92</v>
      </c>
      <c r="M121" s="16" t="n">
        <v>4.08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20261102_2315</t>
        </is>
      </c>
      <c r="B122" s="9" t="n">
        <v>46328</v>
      </c>
      <c r="C122" s="10" t="n">
        <v>0.96875</v>
      </c>
      <c r="D122" s="22" t="inlineStr">
        <is>
          <t>UN Unico</t>
        </is>
      </c>
      <c r="E122" s="22" t="inlineStr">
        <is>
          <t>I1</t>
        </is>
      </c>
      <c r="F122" s="22">
        <f>IFERROR(INDEX(Tariffe!$B$2:$B$200,MATCH(E122,Tariffe!$A$2:$A$200,0)),"DA DEFINIRE")</f>
        <v/>
      </c>
      <c r="G122" s="12" t="n">
        <v>15</v>
      </c>
      <c r="H122" s="11" t="n">
        <v>2</v>
      </c>
      <c r="I122" s="11" t="n">
        <v>0</v>
      </c>
      <c r="J122" s="12" t="n">
        <v>30</v>
      </c>
      <c r="K122" s="12" t="n">
        <v>0</v>
      </c>
      <c r="L122" s="12" t="n">
        <v>27.28</v>
      </c>
      <c r="M122" s="12" t="n">
        <v>2.72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</sheetData>
  <autoFilter ref="A1:P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</sheetData>
  <autoFilter ref="A1:G6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</sheetData>
  <autoFilter ref="A1:K68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114</v>
      </c>
      <c r="M9" s="11" t="n">
        <v>340</v>
      </c>
      <c r="N9" s="12" t="n">
        <v>4080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60</v>
      </c>
      <c r="H18" s="11" t="n">
        <v>189</v>
      </c>
      <c r="I18" s="12" t="n">
        <v>2268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57</v>
      </c>
      <c r="C23" s="11" t="n">
        <v>173</v>
      </c>
      <c r="D23" s="12" t="n">
        <v>2076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2026-10-24T12:27:25Z</dcterms:created>
  <dcterms:modified xsi:type="dcterms:W3CDTF">2026-10-24T12:27:26Z</dcterms:modified>
</cp:coreProperties>
</file>