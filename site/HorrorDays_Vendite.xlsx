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'Storico'!$A$1:$G$404</definedName>
    <definedName name="_xlnm._FilterDatabase" localSheetId="8" hidden="1">'Registro vendite'!$A$1:$K$318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'Storico'!$H$2:$H$404</f>
            </numRef>
          </cat>
          <val>
            <numRef>
              <f>'Storico'!$C$2:$C$404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vendite'!$A$4:$A$16</f>
            </numRef>
          </cat>
          <val>
            <numRef>
              <f>'Picchi vendite'!$B$4:$B$16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MAX(Storico!A2:A404)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4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6</v>
      </c>
      <c r="I6" s="11" t="n">
        <v>0</v>
      </c>
      <c r="J6" s="12" t="n">
        <v>216</v>
      </c>
      <c r="K6" s="12" t="n">
        <v>0</v>
      </c>
      <c r="L6" s="12" t="n">
        <v>196.38</v>
      </c>
      <c r="M6" s="12" t="n">
        <v>19.62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11</v>
      </c>
      <c r="I9" s="15" t="n">
        <v>0</v>
      </c>
      <c r="J9" s="16" t="n">
        <v>528</v>
      </c>
      <c r="K9" s="16" t="n">
        <v>0</v>
      </c>
      <c r="L9" s="16" t="n">
        <v>480.04</v>
      </c>
      <c r="M9" s="16" t="n">
        <v>47.96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4</v>
      </c>
      <c r="I11" s="15" t="n">
        <v>0</v>
      </c>
      <c r="J11" s="16" t="n">
        <v>240</v>
      </c>
      <c r="K11" s="16" t="n">
        <v>0</v>
      </c>
      <c r="L11" s="16" t="n">
        <v>218.2</v>
      </c>
      <c r="M11" s="16" t="n">
        <v>21.8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13</v>
      </c>
      <c r="I16" s="11" t="n">
        <v>0</v>
      </c>
      <c r="J16" s="12" t="n">
        <v>312</v>
      </c>
      <c r="K16" s="12" t="n">
        <v>0</v>
      </c>
      <c r="L16" s="12" t="n">
        <v>283.66</v>
      </c>
      <c r="M16" s="12" t="n">
        <v>28.34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5</v>
      </c>
      <c r="I17" s="15" t="n">
        <v>0</v>
      </c>
      <c r="J17" s="16" t="n">
        <v>240</v>
      </c>
      <c r="K17" s="16" t="n">
        <v>0</v>
      </c>
      <c r="L17" s="16" t="n">
        <v>218.2</v>
      </c>
      <c r="M17" s="16" t="n">
        <v>21.8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I5</t>
        </is>
      </c>
      <c r="F21" s="23">
        <f>IFERROR(INDEX(Tariffe!$B$2:$B$200,MATCH(E21,Tariffe!$A$2:$A$200,0)),"DA DEFINIRE")</f>
        <v/>
      </c>
      <c r="G21" s="16" t="n">
        <v>60</v>
      </c>
      <c r="H21" s="15" t="n">
        <v>1</v>
      </c>
      <c r="I21" s="15" t="n">
        <v>0</v>
      </c>
      <c r="J21" s="16" t="n">
        <v>60</v>
      </c>
      <c r="K21" s="16" t="n">
        <v>0</v>
      </c>
      <c r="L21" s="16" t="n">
        <v>54.55</v>
      </c>
      <c r="M21" s="16" t="n">
        <v>5.45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3</v>
      </c>
      <c r="I22" s="11" t="n">
        <v>0</v>
      </c>
      <c r="J22" s="12" t="n">
        <v>72</v>
      </c>
      <c r="K22" s="12" t="n">
        <v>0</v>
      </c>
      <c r="L22" s="12" t="n">
        <v>65.45999999999999</v>
      </c>
      <c r="M22" s="12" t="n">
        <v>6.54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I1</t>
        </is>
      </c>
      <c r="F23" s="23">
        <f>IFERROR(INDEX(Tariffe!$B$2:$B$200,MATCH(E23,Tariffe!$A$2:$A$200,0)),"DA DEFINIRE")</f>
        <v/>
      </c>
      <c r="G23" s="16" t="n">
        <v>48</v>
      </c>
      <c r="H23" s="15" t="n">
        <v>4</v>
      </c>
      <c r="I23" s="15" t="n">
        <v>0</v>
      </c>
      <c r="J23" s="16" t="n">
        <v>192</v>
      </c>
      <c r="K23" s="16" t="n">
        <v>0</v>
      </c>
      <c r="L23" s="16" t="n">
        <v>174.56</v>
      </c>
      <c r="M23" s="16" t="n">
        <v>17.44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1</v>
      </c>
      <c r="I25" s="15" t="n">
        <v>0</v>
      </c>
      <c r="J25" s="16" t="n">
        <v>60</v>
      </c>
      <c r="K25" s="16" t="n">
        <v>0</v>
      </c>
      <c r="L25" s="16" t="n">
        <v>54.55</v>
      </c>
      <c r="M25" s="16" t="n">
        <v>5.45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7</v>
      </c>
      <c r="I26" s="11" t="n">
        <v>0</v>
      </c>
      <c r="J26" s="12" t="n">
        <v>168</v>
      </c>
      <c r="K26" s="12" t="n">
        <v>0</v>
      </c>
      <c r="L26" s="12" t="n">
        <v>152.74</v>
      </c>
      <c r="M26" s="12" t="n">
        <v>15.26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4</v>
      </c>
      <c r="I27" s="15" t="n">
        <v>0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2</v>
      </c>
      <c r="I28" s="11" t="n">
        <v>0</v>
      </c>
      <c r="J28" s="12" t="n">
        <v>72</v>
      </c>
      <c r="K28" s="12" t="n">
        <v>0</v>
      </c>
      <c r="L28" s="12" t="n">
        <v>65.45999999999999</v>
      </c>
      <c r="M28" s="12" t="n">
        <v>6.54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2</v>
      </c>
      <c r="I29" s="15" t="n">
        <v>0</v>
      </c>
      <c r="J29" s="16" t="n">
        <v>120</v>
      </c>
      <c r="K29" s="16" t="n">
        <v>0</v>
      </c>
      <c r="L29" s="16" t="n">
        <v>109.1</v>
      </c>
      <c r="M29" s="16" t="n">
        <v>10.9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12</v>
      </c>
      <c r="I30" s="11" t="n">
        <v>0</v>
      </c>
      <c r="J30" s="12" t="n">
        <v>288</v>
      </c>
      <c r="K30" s="12" t="n">
        <v>0</v>
      </c>
      <c r="L30" s="12" t="n">
        <v>261.84</v>
      </c>
      <c r="M30" s="12" t="n">
        <v>26.16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2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I5</t>
        </is>
      </c>
      <c r="F33" s="23">
        <f>IFERROR(INDEX(Tariffe!$B$2:$B$200,MATCH(E33,Tariffe!$A$2:$A$200,0)),"DA DEFINIRE")</f>
        <v/>
      </c>
      <c r="G33" s="16" t="n">
        <v>60</v>
      </c>
      <c r="H33" s="15" t="n">
        <v>5</v>
      </c>
      <c r="I33" s="15" t="n">
        <v>0</v>
      </c>
      <c r="J33" s="16" t="n">
        <v>300</v>
      </c>
      <c r="K33" s="16" t="n">
        <v>0</v>
      </c>
      <c r="L33" s="16" t="n">
        <v>272.75</v>
      </c>
      <c r="M33" s="16" t="n">
        <v>27.25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11</v>
      </c>
      <c r="I34" s="11" t="n">
        <v>0</v>
      </c>
      <c r="J34" s="12" t="n">
        <v>264</v>
      </c>
      <c r="K34" s="12" t="n">
        <v>0</v>
      </c>
      <c r="L34" s="12" t="n">
        <v>240.02</v>
      </c>
      <c r="M34" s="12" t="n">
        <v>23.98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I1</t>
        </is>
      </c>
      <c r="F35" s="23">
        <f>IFERROR(INDEX(Tariffe!$B$2:$B$200,MATCH(E35,Tariffe!$A$2:$A$200,0)),"DA DEFINIRE")</f>
        <v/>
      </c>
      <c r="G35" s="16" t="n">
        <v>48</v>
      </c>
      <c r="H35" s="15" t="n">
        <v>4</v>
      </c>
      <c r="I35" s="15" t="n">
        <v>0</v>
      </c>
      <c r="J35" s="16" t="n">
        <v>192</v>
      </c>
      <c r="K35" s="16" t="n">
        <v>0</v>
      </c>
      <c r="L35" s="16" t="n">
        <v>174.56</v>
      </c>
      <c r="M35" s="16" t="n">
        <v>17.44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5</v>
      </c>
      <c r="I36" s="11" t="n">
        <v>0</v>
      </c>
      <c r="J36" s="12" t="n">
        <v>120</v>
      </c>
      <c r="K36" s="12" t="n">
        <v>0</v>
      </c>
      <c r="L36" s="12" t="n">
        <v>109.1</v>
      </c>
      <c r="M36" s="12" t="n">
        <v>10.9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3</v>
      </c>
      <c r="I37" s="15" t="n">
        <v>0</v>
      </c>
      <c r="J37" s="16" t="n">
        <v>144</v>
      </c>
      <c r="K37" s="16" t="n">
        <v>0</v>
      </c>
      <c r="L37" s="16" t="n">
        <v>130.92</v>
      </c>
      <c r="M37" s="16" t="n">
        <v>13.08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I2</t>
        </is>
      </c>
      <c r="F38" s="22">
        <f>IFERROR(INDEX(Tariffe!$B$2:$B$200,MATCH(E38,Tariffe!$A$2:$A$200,0)),"DA DEFINIRE")</f>
        <v/>
      </c>
      <c r="G38" s="12" t="n">
        <v>36</v>
      </c>
      <c r="H38" s="11" t="n">
        <v>1</v>
      </c>
      <c r="I38" s="11" t="n">
        <v>0</v>
      </c>
      <c r="J38" s="12" t="n">
        <v>36</v>
      </c>
      <c r="K38" s="12" t="n">
        <v>0</v>
      </c>
      <c r="L38" s="12" t="n">
        <v>32.73</v>
      </c>
      <c r="M38" s="12" t="n">
        <v>3.27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2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7</v>
      </c>
      <c r="I43" s="15" t="n">
        <v>0</v>
      </c>
      <c r="J43" s="16" t="n">
        <v>168</v>
      </c>
      <c r="K43" s="16" t="n">
        <v>0</v>
      </c>
      <c r="L43" s="16" t="n">
        <v>152.74</v>
      </c>
      <c r="M43" s="16" t="n">
        <v>15.26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I2</t>
        </is>
      </c>
      <c r="F45" s="23">
        <f>IFERROR(INDEX(Tariffe!$B$2:$B$200,MATCH(E45,Tariffe!$A$2:$A$200,0)),"DA DEFINIRE")</f>
        <v/>
      </c>
      <c r="G45" s="16" t="n">
        <v>36</v>
      </c>
      <c r="H45" s="15" t="n">
        <v>1</v>
      </c>
      <c r="I45" s="15" t="n">
        <v>0</v>
      </c>
      <c r="J45" s="16" t="n">
        <v>36</v>
      </c>
      <c r="K45" s="16" t="n">
        <v>0</v>
      </c>
      <c r="L45" s="16" t="n">
        <v>32.73</v>
      </c>
      <c r="M45" s="16" t="n">
        <v>3.27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6</v>
      </c>
      <c r="I46" s="11" t="n">
        <v>0</v>
      </c>
      <c r="J46" s="12" t="n">
        <v>144</v>
      </c>
      <c r="K46" s="12" t="n">
        <v>0</v>
      </c>
      <c r="L46" s="12" t="n">
        <v>130.92</v>
      </c>
      <c r="M46" s="12" t="n">
        <v>13.08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2</v>
      </c>
      <c r="I47" s="15" t="n">
        <v>0</v>
      </c>
      <c r="J47" s="16" t="n">
        <v>96</v>
      </c>
      <c r="K47" s="16" t="n">
        <v>0</v>
      </c>
      <c r="L47" s="16" t="n">
        <v>87.28</v>
      </c>
      <c r="M47" s="16" t="n">
        <v>8.720000000000001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3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I5</t>
        </is>
      </c>
      <c r="F53" s="23">
        <f>IFERROR(INDEX(Tariffe!$B$2:$B$200,MATCH(E53,Tariffe!$A$2:$A$200,0)),"DA DEFINIRE")</f>
        <v/>
      </c>
      <c r="G53" s="16" t="n">
        <v>60</v>
      </c>
      <c r="H53" s="15" t="n">
        <v>1</v>
      </c>
      <c r="I53" s="15" t="n">
        <v>0</v>
      </c>
      <c r="J53" s="16" t="n">
        <v>60</v>
      </c>
      <c r="K53" s="16" t="n">
        <v>0</v>
      </c>
      <c r="L53" s="16" t="n">
        <v>54.55</v>
      </c>
      <c r="M53" s="16" t="n">
        <v>5.45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3</v>
      </c>
      <c r="I57" s="15" t="n">
        <v>0</v>
      </c>
      <c r="J57" s="16" t="n">
        <v>144</v>
      </c>
      <c r="K57" s="16" t="n">
        <v>0</v>
      </c>
      <c r="L57" s="16" t="n">
        <v>130.92</v>
      </c>
      <c r="M57" s="16" t="n">
        <v>13.08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I2</t>
        </is>
      </c>
      <c r="F58" s="22">
        <f>IFERROR(INDEX(Tariffe!$B$2:$B$200,MATCH(E58,Tariffe!$A$2:$A$200,0)),"DA DEFINIRE")</f>
        <v/>
      </c>
      <c r="G58" s="12" t="n">
        <v>36</v>
      </c>
      <c r="H58" s="11" t="n">
        <v>2</v>
      </c>
      <c r="I58" s="11" t="n">
        <v>0</v>
      </c>
      <c r="J58" s="12" t="n">
        <v>72</v>
      </c>
      <c r="K58" s="12" t="n">
        <v>0</v>
      </c>
      <c r="L58" s="12" t="n">
        <v>65.45999999999999</v>
      </c>
      <c r="M58" s="12" t="n">
        <v>6.54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5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6</v>
      </c>
      <c r="I60" s="11" t="n">
        <v>0</v>
      </c>
      <c r="J60" s="12" t="n">
        <v>288</v>
      </c>
      <c r="K60" s="12" t="n">
        <v>0</v>
      </c>
      <c r="L60" s="12" t="n">
        <v>261.84</v>
      </c>
      <c r="M60" s="12" t="n">
        <v>26.16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I2</t>
        </is>
      </c>
      <c r="F61" s="23">
        <f>IFERROR(INDEX(Tariffe!$B$2:$B$200,MATCH(E61,Tariffe!$A$2:$A$200,0)),"DA DEFINIRE")</f>
        <v/>
      </c>
      <c r="G61" s="16" t="n">
        <v>36</v>
      </c>
      <c r="H61" s="15" t="n">
        <v>1</v>
      </c>
      <c r="I61" s="15" t="n">
        <v>0</v>
      </c>
      <c r="J61" s="16" t="n">
        <v>36</v>
      </c>
      <c r="K61" s="16" t="n">
        <v>0</v>
      </c>
      <c r="L61" s="16" t="n">
        <v>32.73</v>
      </c>
      <c r="M61" s="16" t="n">
        <v>3.27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4</v>
      </c>
      <c r="I62" s="11" t="n">
        <v>0</v>
      </c>
      <c r="J62" s="12" t="n">
        <v>240</v>
      </c>
      <c r="K62" s="12" t="n">
        <v>0</v>
      </c>
      <c r="L62" s="12" t="n">
        <v>218.2</v>
      </c>
      <c r="M62" s="12" t="n">
        <v>21.8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20261029_2359</t>
        </is>
      </c>
      <c r="B64" s="9" t="n">
        <v>46324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3</v>
      </c>
      <c r="I68" s="11" t="n">
        <v>0</v>
      </c>
      <c r="J68" s="12" t="n">
        <v>72</v>
      </c>
      <c r="K68" s="12" t="n">
        <v>0</v>
      </c>
      <c r="L68" s="12" t="n">
        <v>65.45999999999999</v>
      </c>
      <c r="M68" s="12" t="n">
        <v>6.54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4</v>
      </c>
      <c r="I69" s="15" t="n">
        <v>0</v>
      </c>
      <c r="J69" s="16" t="n">
        <v>192</v>
      </c>
      <c r="K69" s="16" t="n">
        <v>0</v>
      </c>
      <c r="L69" s="16" t="n">
        <v>174.56</v>
      </c>
      <c r="M69" s="16" t="n">
        <v>17.44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6</v>
      </c>
      <c r="I70" s="11" t="n">
        <v>3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4</v>
      </c>
      <c r="I71" s="15" t="n">
        <v>0</v>
      </c>
      <c r="J71" s="16" t="n">
        <v>192</v>
      </c>
      <c r="K71" s="16" t="n">
        <v>0</v>
      </c>
      <c r="L71" s="16" t="n">
        <v>174.56</v>
      </c>
      <c r="M71" s="16" t="n">
        <v>17.44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1</v>
      </c>
      <c r="I72" s="11" t="n">
        <v>0</v>
      </c>
      <c r="J72" s="12" t="n">
        <v>60</v>
      </c>
      <c r="K72" s="12" t="n">
        <v>0</v>
      </c>
      <c r="L72" s="12" t="n">
        <v>54.55</v>
      </c>
      <c r="M72" s="12" t="n">
        <v>5.45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4</v>
      </c>
      <c r="I73" s="15" t="n">
        <v>0</v>
      </c>
      <c r="J73" s="16" t="n">
        <v>96</v>
      </c>
      <c r="K73" s="16" t="n">
        <v>0</v>
      </c>
      <c r="L73" s="16" t="n">
        <v>87.28</v>
      </c>
      <c r="M73" s="16" t="n">
        <v>8.720000000000001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I5</t>
        </is>
      </c>
      <c r="F75" s="23">
        <f>IFERROR(INDEX(Tariffe!$B$2:$B$200,MATCH(E75,Tariffe!$A$2:$A$200,0)),"DA DEFINIRE")</f>
        <v/>
      </c>
      <c r="G75" s="16" t="n">
        <v>60</v>
      </c>
      <c r="H75" s="15" t="n">
        <v>1</v>
      </c>
      <c r="I75" s="15" t="n">
        <v>0</v>
      </c>
      <c r="J75" s="16" t="n">
        <v>60</v>
      </c>
      <c r="K75" s="16" t="n">
        <v>0</v>
      </c>
      <c r="L75" s="16" t="n">
        <v>54.55</v>
      </c>
      <c r="M75" s="16" t="n">
        <v>5.45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6</v>
      </c>
      <c r="I76" s="11" t="n">
        <v>0</v>
      </c>
      <c r="J76" s="12" t="n">
        <v>144</v>
      </c>
      <c r="K76" s="12" t="n">
        <v>0</v>
      </c>
      <c r="L76" s="12" t="n">
        <v>130.92</v>
      </c>
      <c r="M76" s="12" t="n">
        <v>13.08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</v>
      </c>
      <c r="I78" s="11" t="n">
        <v>0</v>
      </c>
      <c r="J78" s="12" t="n">
        <v>24</v>
      </c>
      <c r="K78" s="12" t="n">
        <v>0</v>
      </c>
      <c r="L78" s="12" t="n">
        <v>21.82</v>
      </c>
      <c r="M78" s="12" t="n">
        <v>2.18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20261031_2115</t>
        </is>
      </c>
      <c r="B80" s="9" t="n">
        <v>46326</v>
      </c>
      <c r="C80" s="10" t="n">
        <v>0.8854166666666666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5</v>
      </c>
      <c r="I80" s="11" t="n">
        <v>0</v>
      </c>
      <c r="J80" s="12" t="n">
        <v>120</v>
      </c>
      <c r="K80" s="12" t="n">
        <v>0</v>
      </c>
      <c r="L80" s="12" t="n">
        <v>109.1</v>
      </c>
      <c r="M80" s="12" t="n">
        <v>10.9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5</v>
      </c>
      <c r="I81" s="15" t="n">
        <v>0</v>
      </c>
      <c r="J81" s="16" t="n">
        <v>240</v>
      </c>
      <c r="K81" s="16" t="n">
        <v>0</v>
      </c>
      <c r="L81" s="16" t="n">
        <v>218.2</v>
      </c>
      <c r="M81" s="16" t="n">
        <v>21.8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I2</t>
        </is>
      </c>
      <c r="F82" s="22">
        <f>IFERROR(INDEX(Tariffe!$B$2:$B$200,MATCH(E82,Tariffe!$A$2:$A$200,0)),"DA DEFINIRE")</f>
        <v/>
      </c>
      <c r="G82" s="12" t="n">
        <v>36</v>
      </c>
      <c r="H82" s="11" t="n">
        <v>1</v>
      </c>
      <c r="I82" s="11" t="n">
        <v>0</v>
      </c>
      <c r="J82" s="12" t="n">
        <v>36</v>
      </c>
      <c r="K82" s="12" t="n">
        <v>0</v>
      </c>
      <c r="L82" s="12" t="n">
        <v>32.73</v>
      </c>
      <c r="M82" s="12" t="n">
        <v>3.27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11</v>
      </c>
      <c r="I84" s="11" t="n">
        <v>0</v>
      </c>
      <c r="J84" s="12" t="n">
        <v>528</v>
      </c>
      <c r="K84" s="12" t="n">
        <v>0</v>
      </c>
      <c r="L84" s="12" t="n">
        <v>480.04</v>
      </c>
      <c r="M84" s="12" t="n">
        <v>47.96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20261031_2315</t>
        </is>
      </c>
      <c r="B85" s="13" t="n">
        <v>46326</v>
      </c>
      <c r="C85" s="14" t="n">
        <v>0.96875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9</v>
      </c>
      <c r="I85" s="15" t="n">
        <v>0</v>
      </c>
      <c r="J85" s="16" t="n">
        <v>216</v>
      </c>
      <c r="K85" s="16" t="n">
        <v>0</v>
      </c>
      <c r="L85" s="16" t="n">
        <v>196.38</v>
      </c>
      <c r="M85" s="16" t="n">
        <v>19.62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5</v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20261031_2359</t>
        </is>
      </c>
      <c r="B87" s="13" t="n">
        <v>46326</v>
      </c>
      <c r="C87" s="14" t="n">
        <v>0.9993055555555556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5</v>
      </c>
      <c r="I87" s="15" t="n">
        <v>0</v>
      </c>
      <c r="J87" s="16" t="n">
        <v>120</v>
      </c>
      <c r="K87" s="16" t="n">
        <v>0</v>
      </c>
      <c r="L87" s="16" t="n">
        <v>109.1</v>
      </c>
      <c r="M87" s="16" t="n">
        <v>10.9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20261101_2015</t>
        </is>
      </c>
      <c r="B88" s="9" t="n">
        <v>46327</v>
      </c>
      <c r="C88" s="10" t="n">
        <v>0.84375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20261101_2115</t>
        </is>
      </c>
      <c r="B89" s="13" t="n">
        <v>46327</v>
      </c>
      <c r="C89" s="14" t="n">
        <v>0.8854166666666666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3</v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1</v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20261101_2215</t>
        </is>
      </c>
      <c r="B91" s="13" t="n">
        <v>46327</v>
      </c>
      <c r="C91" s="14" t="n">
        <v>0.9270833333333334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3</v>
      </c>
      <c r="I91" s="15" t="n">
        <v>0</v>
      </c>
      <c r="J91" s="16" t="n">
        <v>72</v>
      </c>
      <c r="K91" s="16" t="n">
        <v>0</v>
      </c>
      <c r="L91" s="16" t="n">
        <v>65.45999999999999</v>
      </c>
      <c r="M91" s="16" t="n">
        <v>6.54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20261101_2359</t>
        </is>
      </c>
      <c r="B92" s="9" t="n">
        <v>46327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</sheetData>
  <autoFilter ref="A1:P9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</sheetData>
  <autoFilter ref="A1:G4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</sheetData>
  <autoFilter ref="A1:K31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10</v>
      </c>
      <c r="H4" s="11" t="n">
        <v>37</v>
      </c>
      <c r="I4" s="12" t="n">
        <v>444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</v>
      </c>
      <c r="M9" s="11" t="n">
        <v>86</v>
      </c>
      <c r="N9" s="12" t="n">
        <v>1032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12</v>
      </c>
      <c r="C16" s="11" t="n">
        <v>39</v>
      </c>
      <c r="D16" s="12" t="n">
        <v>468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2026-10-17T13:26:45Z</dcterms:created>
  <dcterms:modified xsi:type="dcterms:W3CDTF">2026-10-17T13:26:45Z</dcterms:modified>
</cp:coreProperties>
</file>