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'Storico'!$A$1:$G$194</definedName>
    <definedName name="_xlnm._FilterDatabase" localSheetId="8" hidden="1">'Registro vendite'!$A$1:$K$138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'Storico'!$H$2:$H$194</f>
            </numRef>
          </cat>
          <val>
            <numRef>
              <f>'Storico'!$C$2:$C$194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MAX(Storico!A2:A194)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3</v>
      </c>
      <c r="I49" s="15" t="n">
        <v>3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2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20261030_2359</t>
        </is>
      </c>
      <c r="B53" s="13" t="n">
        <v>46325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4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4</v>
      </c>
      <c r="I60" s="11" t="n">
        <v>0</v>
      </c>
      <c r="J60" s="12" t="n">
        <v>192</v>
      </c>
      <c r="K60" s="12" t="n">
        <v>0</v>
      </c>
      <c r="L60" s="12" t="n">
        <v>174.56</v>
      </c>
      <c r="M60" s="12" t="n">
        <v>17.44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3</v>
      </c>
      <c r="I61" s="15" t="n">
        <v>0</v>
      </c>
      <c r="J61" s="16" t="n">
        <v>72</v>
      </c>
      <c r="K61" s="16" t="n">
        <v>0</v>
      </c>
      <c r="L61" s="16" t="n">
        <v>65.45999999999999</v>
      </c>
      <c r="M61" s="16" t="n">
        <v>6.54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20261101_2015</t>
        </is>
      </c>
      <c r="B64" s="9" t="n">
        <v>46327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11/2026</t>
        </is>
      </c>
      <c r="O64" s="11">
        <f>IFERROR(INDEX(Tariffe!$D$2:$D$200,MATCH(E64,Tariffe!$A$2:$A$200,0))*1,0)</f>
        <v/>
      </c>
      <c r="P64" s="11">
        <f>H64*O64</f>
        <v/>
      </c>
    </row>
  </sheetData>
  <autoFilter ref="A1:P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</sheetData>
  <autoFilter ref="A1:G19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</sheetData>
  <autoFilter ref="A1:K13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11</v>
      </c>
      <c r="C9" s="11" t="n">
        <v>27</v>
      </c>
      <c r="D9" s="12" t="n">
        <v>324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11</v>
      </c>
      <c r="M9" s="11" t="n">
        <v>27</v>
      </c>
      <c r="N9" s="12" t="n">
        <v>324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2026-10-10T18:16:50Z</dcterms:created>
  <dcterms:modified xsi:type="dcterms:W3CDTF">2026-10-10T18:16:50Z</dcterms:modified>
</cp:coreProperties>
</file>