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'Vendite'!$A$1:$P$101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'Storico'!$A$1:$G$467</definedName>
    <definedName name="_xlnm._FilterDatabase" localSheetId="8" hidden="1">'Registro vendite'!$A$1:$K$409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'Storico'!$H$2:$H$467</f>
            </numRef>
          </cat>
          <val>
            <numRef>
              <f>'Storico'!$C$2:$C$467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vendite'!$A$4:$A$18</f>
            </numRef>
          </cat>
          <val>
            <numRef>
              <f>'Picchi vendite'!$B$4:$B$18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8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13</v>
      </c>
      <c r="I6" s="11" t="n">
        <v>1</v>
      </c>
      <c r="J6" s="12" t="n">
        <v>624</v>
      </c>
      <c r="K6" s="12" t="n">
        <v>0</v>
      </c>
      <c r="L6" s="12" t="n">
        <v>567.3200000000001</v>
      </c>
      <c r="M6" s="12" t="n">
        <v>56.68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11</v>
      </c>
      <c r="I7" s="15" t="n">
        <v>0</v>
      </c>
      <c r="J7" s="16" t="n">
        <v>396</v>
      </c>
      <c r="K7" s="16" t="n">
        <v>0</v>
      </c>
      <c r="L7" s="16" t="n">
        <v>360.03</v>
      </c>
      <c r="M7" s="16" t="n">
        <v>35.97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0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23</v>
      </c>
      <c r="I9" s="15" t="n">
        <v>0</v>
      </c>
      <c r="J9" s="16" t="n">
        <v>552</v>
      </c>
      <c r="K9" s="16" t="n">
        <v>0</v>
      </c>
      <c r="L9" s="16" t="n">
        <v>501.86</v>
      </c>
      <c r="M9" s="16" t="n">
        <v>50.14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13</v>
      </c>
      <c r="I10" s="11" t="n">
        <v>0</v>
      </c>
      <c r="J10" s="12" t="n">
        <v>624</v>
      </c>
      <c r="K10" s="12" t="n">
        <v>0</v>
      </c>
      <c r="L10" s="12" t="n">
        <v>567.3200000000001</v>
      </c>
      <c r="M10" s="12" t="n">
        <v>56.68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6</v>
      </c>
      <c r="I12" s="11" t="n">
        <v>0</v>
      </c>
      <c r="J12" s="12" t="n">
        <v>360</v>
      </c>
      <c r="K12" s="12" t="n">
        <v>0</v>
      </c>
      <c r="L12" s="12" t="n">
        <v>327.3</v>
      </c>
      <c r="M12" s="12" t="n">
        <v>32.7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14</v>
      </c>
      <c r="I13" s="15" t="n">
        <v>0</v>
      </c>
      <c r="J13" s="16" t="n">
        <v>336</v>
      </c>
      <c r="K13" s="16" t="n">
        <v>0</v>
      </c>
      <c r="L13" s="16" t="n">
        <v>305.48</v>
      </c>
      <c r="M13" s="16" t="n">
        <v>30.52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6</v>
      </c>
      <c r="I14" s="11" t="n">
        <v>1</v>
      </c>
      <c r="J14" s="12" t="n">
        <v>288</v>
      </c>
      <c r="K14" s="12" t="n">
        <v>0</v>
      </c>
      <c r="L14" s="12" t="n">
        <v>261.84</v>
      </c>
      <c r="M14" s="12" t="n">
        <v>26.16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2</v>
      </c>
      <c r="I16" s="11" t="n">
        <v>0</v>
      </c>
      <c r="J16" s="12" t="n">
        <v>120</v>
      </c>
      <c r="K16" s="12" t="n">
        <v>0</v>
      </c>
      <c r="L16" s="12" t="n">
        <v>109.1</v>
      </c>
      <c r="M16" s="12" t="n">
        <v>10.9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15</v>
      </c>
      <c r="I17" s="15" t="n">
        <v>0</v>
      </c>
      <c r="J17" s="16" t="n">
        <v>360</v>
      </c>
      <c r="K17" s="16" t="n">
        <v>0</v>
      </c>
      <c r="L17" s="16" t="n">
        <v>327.3</v>
      </c>
      <c r="M17" s="16" t="n">
        <v>32.7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7</v>
      </c>
      <c r="I18" s="11" t="n">
        <v>0</v>
      </c>
      <c r="J18" s="12" t="n">
        <v>336</v>
      </c>
      <c r="K18" s="12" t="n">
        <v>0</v>
      </c>
      <c r="L18" s="12" t="n">
        <v>305.48</v>
      </c>
      <c r="M18" s="12" t="n">
        <v>30.52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I5</t>
        </is>
      </c>
      <c r="F23" s="23">
        <f>IFERROR(INDEX(Tariffe!$B$2:$B$200,MATCH(E23,Tariffe!$A$2:$A$200,0)),"DA DEFINIRE")</f>
        <v/>
      </c>
      <c r="G23" s="16" t="n">
        <v>60</v>
      </c>
      <c r="H23" s="15" t="n">
        <v>1</v>
      </c>
      <c r="I23" s="15" t="n">
        <v>0</v>
      </c>
      <c r="J23" s="16" t="n">
        <v>60</v>
      </c>
      <c r="K23" s="16" t="n">
        <v>0</v>
      </c>
      <c r="L23" s="16" t="n">
        <v>54.55</v>
      </c>
      <c r="M23" s="16" t="n">
        <v>5.45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3</v>
      </c>
      <c r="I24" s="11" t="n">
        <v>0</v>
      </c>
      <c r="J24" s="12" t="n">
        <v>72</v>
      </c>
      <c r="K24" s="12" t="n">
        <v>0</v>
      </c>
      <c r="L24" s="12" t="n">
        <v>65.45999999999999</v>
      </c>
      <c r="M24" s="12" t="n">
        <v>6.54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4</v>
      </c>
      <c r="I25" s="15" t="n">
        <v>0</v>
      </c>
      <c r="J25" s="16" t="n">
        <v>192</v>
      </c>
      <c r="K25" s="16" t="n">
        <v>0</v>
      </c>
      <c r="L25" s="16" t="n">
        <v>174.56</v>
      </c>
      <c r="M25" s="16" t="n">
        <v>17.44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4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12</v>
      </c>
      <c r="I28" s="11" t="n">
        <v>1</v>
      </c>
      <c r="J28" s="12" t="n">
        <v>288</v>
      </c>
      <c r="K28" s="12" t="n">
        <v>0</v>
      </c>
      <c r="L28" s="12" t="n">
        <v>261.84</v>
      </c>
      <c r="M28" s="12" t="n">
        <v>26.16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5</v>
      </c>
      <c r="I29" s="15" t="n">
        <v>0</v>
      </c>
      <c r="J29" s="16" t="n">
        <v>240</v>
      </c>
      <c r="K29" s="16" t="n">
        <v>0</v>
      </c>
      <c r="L29" s="16" t="n">
        <v>218.2</v>
      </c>
      <c r="M29" s="16" t="n">
        <v>21.8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I2</t>
        </is>
      </c>
      <c r="F30" s="22">
        <f>IFERROR(INDEX(Tariffe!$B$2:$B$200,MATCH(E30,Tariffe!$A$2:$A$200,0)),"DA DEFINIRE")</f>
        <v/>
      </c>
      <c r="G30" s="12" t="n">
        <v>36</v>
      </c>
      <c r="H30" s="11" t="n">
        <v>2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I5</t>
        </is>
      </c>
      <c r="F31" s="23">
        <f>IFERROR(INDEX(Tariffe!$B$2:$B$200,MATCH(E31,Tariffe!$A$2:$A$200,0)),"DA DEFINIRE")</f>
        <v/>
      </c>
      <c r="G31" s="16" t="n">
        <v>60</v>
      </c>
      <c r="H31" s="15" t="n">
        <v>2</v>
      </c>
      <c r="I31" s="15" t="n">
        <v>0</v>
      </c>
      <c r="J31" s="16" t="n">
        <v>120</v>
      </c>
      <c r="K31" s="16" t="n">
        <v>0</v>
      </c>
      <c r="L31" s="16" t="n">
        <v>109.1</v>
      </c>
      <c r="M31" s="16" t="n">
        <v>10.9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15</v>
      </c>
      <c r="I32" s="11" t="n">
        <v>0</v>
      </c>
      <c r="J32" s="12" t="n">
        <v>360</v>
      </c>
      <c r="K32" s="12" t="n">
        <v>0</v>
      </c>
      <c r="L32" s="12" t="n">
        <v>327.3</v>
      </c>
      <c r="M32" s="12" t="n">
        <v>32.7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2</v>
      </c>
      <c r="I34" s="11" t="n">
        <v>0</v>
      </c>
      <c r="J34" s="12" t="n">
        <v>72</v>
      </c>
      <c r="K34" s="12" t="n">
        <v>0</v>
      </c>
      <c r="L34" s="12" t="n">
        <v>65.45999999999999</v>
      </c>
      <c r="M34" s="12" t="n">
        <v>6.54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I5</t>
        </is>
      </c>
      <c r="F35" s="23">
        <f>IFERROR(INDEX(Tariffe!$B$2:$B$200,MATCH(E35,Tariffe!$A$2:$A$200,0)),"DA DEFINIRE")</f>
        <v/>
      </c>
      <c r="G35" s="16" t="n">
        <v>60</v>
      </c>
      <c r="H35" s="15" t="n">
        <v>5</v>
      </c>
      <c r="I35" s="15" t="n">
        <v>0</v>
      </c>
      <c r="J35" s="16" t="n">
        <v>300</v>
      </c>
      <c r="K35" s="16" t="n">
        <v>0</v>
      </c>
      <c r="L35" s="16" t="n">
        <v>272.75</v>
      </c>
      <c r="M35" s="16" t="n">
        <v>27.25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13</v>
      </c>
      <c r="I36" s="11" t="n">
        <v>0</v>
      </c>
      <c r="J36" s="12" t="n">
        <v>312</v>
      </c>
      <c r="K36" s="12" t="n">
        <v>0</v>
      </c>
      <c r="L36" s="12" t="n">
        <v>283.66</v>
      </c>
      <c r="M36" s="12" t="n">
        <v>28.34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20261024_2359</t>
        </is>
      </c>
      <c r="B37" s="13" t="n">
        <v>46319</v>
      </c>
      <c r="C37" s="14" t="n">
        <v>0.9993055555555556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5</v>
      </c>
      <c r="I37" s="15" t="n">
        <v>0</v>
      </c>
      <c r="J37" s="16" t="n">
        <v>240</v>
      </c>
      <c r="K37" s="16" t="n">
        <v>0</v>
      </c>
      <c r="L37" s="16" t="n">
        <v>218.2</v>
      </c>
      <c r="M37" s="16" t="n">
        <v>21.8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8</v>
      </c>
      <c r="I38" s="11" t="n">
        <v>0</v>
      </c>
      <c r="J38" s="12" t="n">
        <v>192</v>
      </c>
      <c r="K38" s="12" t="n">
        <v>0</v>
      </c>
      <c r="L38" s="12" t="n">
        <v>174.56</v>
      </c>
      <c r="M38" s="12" t="n">
        <v>17.44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2</v>
      </c>
      <c r="I40" s="11" t="n">
        <v>0</v>
      </c>
      <c r="J40" s="12" t="n">
        <v>72</v>
      </c>
      <c r="K40" s="12" t="n">
        <v>0</v>
      </c>
      <c r="L40" s="12" t="n">
        <v>65.45999999999999</v>
      </c>
      <c r="M40" s="12" t="n">
        <v>6.54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3</v>
      </c>
      <c r="I41" s="15" t="n">
        <v>0</v>
      </c>
      <c r="J41" s="16" t="n">
        <v>180</v>
      </c>
      <c r="K41" s="16" t="n">
        <v>0</v>
      </c>
      <c r="L41" s="16" t="n">
        <v>163.65</v>
      </c>
      <c r="M41" s="16" t="n">
        <v>16.35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20261025_2115</t>
        </is>
      </c>
      <c r="B43" s="13" t="n">
        <v>46320</v>
      </c>
      <c r="C43" s="14" t="n">
        <v>0.8854166666666666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5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2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9</v>
      </c>
      <c r="I45" s="15" t="n">
        <v>0</v>
      </c>
      <c r="J45" s="16" t="n">
        <v>216</v>
      </c>
      <c r="K45" s="16" t="n">
        <v>0</v>
      </c>
      <c r="L45" s="16" t="n">
        <v>196.38</v>
      </c>
      <c r="M45" s="16" t="n">
        <v>19.62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20261025_2215</t>
        </is>
      </c>
      <c r="B46" s="9" t="n">
        <v>46320</v>
      </c>
      <c r="C46" s="10" t="n">
        <v>0.9270833333333334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7</v>
      </c>
      <c r="I48" s="11" t="n">
        <v>0</v>
      </c>
      <c r="J48" s="12" t="n">
        <v>168</v>
      </c>
      <c r="K48" s="12" t="n">
        <v>0</v>
      </c>
      <c r="L48" s="12" t="n">
        <v>152.74</v>
      </c>
      <c r="M48" s="12" t="n">
        <v>15.26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20261025_2315</t>
        </is>
      </c>
      <c r="B49" s="13" t="n">
        <v>46320</v>
      </c>
      <c r="C49" s="14" t="n">
        <v>0.96875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3</v>
      </c>
      <c r="I50" s="11" t="n">
        <v>0</v>
      </c>
      <c r="J50" s="12" t="n">
        <v>108</v>
      </c>
      <c r="K50" s="12" t="n">
        <v>0</v>
      </c>
      <c r="L50" s="12" t="n">
        <v>98.19</v>
      </c>
      <c r="M50" s="12" t="n">
        <v>9.81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3</v>
      </c>
      <c r="I51" s="15" t="n">
        <v>0</v>
      </c>
      <c r="J51" s="16" t="n">
        <v>72</v>
      </c>
      <c r="K51" s="16" t="n">
        <v>0</v>
      </c>
      <c r="L51" s="16" t="n">
        <v>65.45999999999999</v>
      </c>
      <c r="M51" s="16" t="n">
        <v>6.54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20261025_2359</t>
        </is>
      </c>
      <c r="B52" s="9" t="n">
        <v>46320</v>
      </c>
      <c r="C52" s="10" t="n">
        <v>0.9993055555555556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1</v>
      </c>
      <c r="I53" s="15" t="n">
        <v>0</v>
      </c>
      <c r="J53" s="16" t="n">
        <v>60</v>
      </c>
      <c r="K53" s="16" t="n">
        <v>0</v>
      </c>
      <c r="L53" s="16" t="n">
        <v>54.55</v>
      </c>
      <c r="M53" s="16" t="n">
        <v>5.45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3</v>
      </c>
      <c r="I54" s="11" t="n">
        <v>0</v>
      </c>
      <c r="J54" s="12" t="n">
        <v>72</v>
      </c>
      <c r="K54" s="12" t="n">
        <v>0</v>
      </c>
      <c r="L54" s="12" t="n">
        <v>65.45999999999999</v>
      </c>
      <c r="M54" s="12" t="n">
        <v>6.54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20261029_2015</t>
        </is>
      </c>
      <c r="B55" s="13" t="n">
        <v>46324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2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20261029_2115</t>
        </is>
      </c>
      <c r="B58" s="9" t="n">
        <v>46324</v>
      </c>
      <c r="C58" s="10" t="n">
        <v>0.8854166666666666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20261029_2215</t>
        </is>
      </c>
      <c r="B60" s="9" t="n">
        <v>46324</v>
      </c>
      <c r="C60" s="10" t="n">
        <v>0.9270833333333334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5</v>
      </c>
      <c r="I60" s="11" t="n">
        <v>0</v>
      </c>
      <c r="J60" s="12" t="n">
        <v>240</v>
      </c>
      <c r="K60" s="12" t="n">
        <v>0</v>
      </c>
      <c r="L60" s="12" t="n">
        <v>218.2</v>
      </c>
      <c r="M60" s="12" t="n">
        <v>21.8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20261029_2215</t>
        </is>
      </c>
      <c r="B61" s="13" t="n">
        <v>46324</v>
      </c>
      <c r="C61" s="14" t="n">
        <v>0.9270833333333334</v>
      </c>
      <c r="D61" s="23" t="inlineStr">
        <is>
          <t>UN Unico</t>
        </is>
      </c>
      <c r="E61" s="23" t="inlineStr">
        <is>
          <t>I2</t>
        </is>
      </c>
      <c r="F61" s="23">
        <f>IFERROR(INDEX(Tariffe!$B$2:$B$200,MATCH(E61,Tariffe!$A$2:$A$200,0)),"DA DEFINIRE")</f>
        <v/>
      </c>
      <c r="G61" s="16" t="n">
        <v>36</v>
      </c>
      <c r="H61" s="15" t="n">
        <v>2</v>
      </c>
      <c r="I61" s="15" t="n">
        <v>0</v>
      </c>
      <c r="J61" s="16" t="n">
        <v>72</v>
      </c>
      <c r="K61" s="16" t="n">
        <v>0</v>
      </c>
      <c r="L61" s="16" t="n">
        <v>65.45999999999999</v>
      </c>
      <c r="M61" s="16" t="n">
        <v>6.54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5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20261029_2315</t>
        </is>
      </c>
      <c r="B63" s="13" t="n">
        <v>46324</v>
      </c>
      <c r="C63" s="14" t="n">
        <v>0.96875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20261029_2315</t>
        </is>
      </c>
      <c r="B64" s="9" t="n">
        <v>46324</v>
      </c>
      <c r="C64" s="10" t="n">
        <v>0.96875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4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3</v>
      </c>
      <c r="I66" s="11" t="n">
        <v>0</v>
      </c>
      <c r="J66" s="12" t="n">
        <v>72</v>
      </c>
      <c r="K66" s="12" t="n">
        <v>0</v>
      </c>
      <c r="L66" s="12" t="n">
        <v>65.45999999999999</v>
      </c>
      <c r="M66" s="12" t="n">
        <v>6.54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20261029_2359</t>
        </is>
      </c>
      <c r="B67" s="13" t="n">
        <v>46324</v>
      </c>
      <c r="C67" s="14" t="n">
        <v>0.9993055555555556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20261030_2015</t>
        </is>
      </c>
      <c r="B68" s="9" t="n">
        <v>46325</v>
      </c>
      <c r="C68" s="10" t="n">
        <v>0.84375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20261030_2015</t>
        </is>
      </c>
      <c r="B69" s="13" t="n">
        <v>46325</v>
      </c>
      <c r="C69" s="14" t="n">
        <v>0.84375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</v>
      </c>
      <c r="I69" s="15" t="n">
        <v>0</v>
      </c>
      <c r="J69" s="16" t="n">
        <v>24</v>
      </c>
      <c r="K69" s="16" t="n">
        <v>0</v>
      </c>
      <c r="L69" s="16" t="n">
        <v>21.82</v>
      </c>
      <c r="M69" s="16" t="n">
        <v>2.18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20261030_2115</t>
        </is>
      </c>
      <c r="B70" s="9" t="n">
        <v>46325</v>
      </c>
      <c r="C70" s="10" t="n">
        <v>0.8854166666666666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20261030_2115</t>
        </is>
      </c>
      <c r="B71" s="13" t="n">
        <v>46325</v>
      </c>
      <c r="C71" s="14" t="n">
        <v>0.8854166666666666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20261030_2215</t>
        </is>
      </c>
      <c r="B72" s="9" t="n">
        <v>46325</v>
      </c>
      <c r="C72" s="10" t="n">
        <v>0.9270833333333334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7</v>
      </c>
      <c r="I72" s="11" t="n">
        <v>0</v>
      </c>
      <c r="J72" s="12" t="n">
        <v>336</v>
      </c>
      <c r="K72" s="12" t="n">
        <v>0</v>
      </c>
      <c r="L72" s="12" t="n">
        <v>305.48</v>
      </c>
      <c r="M72" s="12" t="n">
        <v>30.52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20261030_2215</t>
        </is>
      </c>
      <c r="B73" s="13" t="n">
        <v>46325</v>
      </c>
      <c r="C73" s="14" t="n">
        <v>0.9270833333333334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3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20261030_2315</t>
        </is>
      </c>
      <c r="B74" s="9" t="n">
        <v>46325</v>
      </c>
      <c r="C74" s="10" t="n">
        <v>0.96875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20261030_2315</t>
        </is>
      </c>
      <c r="B75" s="13" t="n">
        <v>46325</v>
      </c>
      <c r="C75" s="14" t="n">
        <v>0.96875</v>
      </c>
      <c r="D75" s="23" t="inlineStr">
        <is>
          <t>UN Unico</t>
        </is>
      </c>
      <c r="E75" s="23" t="inlineStr">
        <is>
          <t>I5</t>
        </is>
      </c>
      <c r="F75" s="23">
        <f>IFERROR(INDEX(Tariffe!$B$2:$B$200,MATCH(E75,Tariffe!$A$2:$A$200,0)),"DA DEFINIRE")</f>
        <v/>
      </c>
      <c r="G75" s="16" t="n">
        <v>60</v>
      </c>
      <c r="H75" s="15" t="n">
        <v>1</v>
      </c>
      <c r="I75" s="15" t="n">
        <v>0</v>
      </c>
      <c r="J75" s="16" t="n">
        <v>60</v>
      </c>
      <c r="K75" s="16" t="n">
        <v>0</v>
      </c>
      <c r="L75" s="16" t="n">
        <v>54.55</v>
      </c>
      <c r="M75" s="16" t="n">
        <v>5.45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20261030_2315</t>
        </is>
      </c>
      <c r="B76" s="9" t="n">
        <v>46325</v>
      </c>
      <c r="C76" s="10" t="n">
        <v>0.96875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20261030_2359</t>
        </is>
      </c>
      <c r="B77" s="13" t="n">
        <v>46325</v>
      </c>
      <c r="C77" s="14" t="n">
        <v>0.9993055555555556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20261030_2359</t>
        </is>
      </c>
      <c r="B78" s="9" t="n">
        <v>46325</v>
      </c>
      <c r="C78" s="10" t="n">
        <v>0.9993055555555556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20261030_2359</t>
        </is>
      </c>
      <c r="B79" s="13" t="n">
        <v>46325</v>
      </c>
      <c r="C79" s="14" t="n">
        <v>0.9993055555555556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6</v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20261031_2015</t>
        </is>
      </c>
      <c r="B80" s="9" t="n">
        <v>46326</v>
      </c>
      <c r="C80" s="10" t="n">
        <v>0.84375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2</v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20261031_2015</t>
        </is>
      </c>
      <c r="B81" s="13" t="n">
        <v>46326</v>
      </c>
      <c r="C81" s="14" t="n">
        <v>0.84375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3</v>
      </c>
      <c r="I81" s="15" t="n">
        <v>2</v>
      </c>
      <c r="J81" s="16" t="n">
        <v>180</v>
      </c>
      <c r="K81" s="16" t="n">
        <v>0</v>
      </c>
      <c r="L81" s="16" t="n">
        <v>163.65</v>
      </c>
      <c r="M81" s="16" t="n">
        <v>16.35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20261031_2015</t>
        </is>
      </c>
      <c r="B82" s="9" t="n">
        <v>46326</v>
      </c>
      <c r="C82" s="10" t="n">
        <v>0.84375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</v>
      </c>
      <c r="I82" s="11" t="n">
        <v>0</v>
      </c>
      <c r="J82" s="12" t="n">
        <v>24</v>
      </c>
      <c r="K82" s="12" t="n">
        <v>0</v>
      </c>
      <c r="L82" s="12" t="n">
        <v>21.82</v>
      </c>
      <c r="M82" s="12" t="n">
        <v>2.18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20261031_2115</t>
        </is>
      </c>
      <c r="B83" s="13" t="n">
        <v>46326</v>
      </c>
      <c r="C83" s="14" t="n">
        <v>0.8854166666666666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6</v>
      </c>
      <c r="I83" s="15" t="n">
        <v>0</v>
      </c>
      <c r="J83" s="16" t="n">
        <v>288</v>
      </c>
      <c r="K83" s="16" t="n">
        <v>0</v>
      </c>
      <c r="L83" s="16" t="n">
        <v>261.84</v>
      </c>
      <c r="M83" s="16" t="n">
        <v>26.16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20261031_2115</t>
        </is>
      </c>
      <c r="B84" s="9" t="n">
        <v>46326</v>
      </c>
      <c r="C84" s="10" t="n">
        <v>0.8854166666666666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2</v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20261031_2115</t>
        </is>
      </c>
      <c r="B85" s="13" t="n">
        <v>46326</v>
      </c>
      <c r="C85" s="14" t="n">
        <v>0.8854166666666666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5</v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20261031_2215</t>
        </is>
      </c>
      <c r="B86" s="9" t="n">
        <v>46326</v>
      </c>
      <c r="C86" s="10" t="n">
        <v>0.9270833333333334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5</v>
      </c>
      <c r="I86" s="11" t="n">
        <v>3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20261031_2215</t>
        </is>
      </c>
      <c r="B87" s="13" t="n">
        <v>46326</v>
      </c>
      <c r="C87" s="14" t="n">
        <v>0.9270833333333334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2</v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20261031_2215</t>
        </is>
      </c>
      <c r="B88" s="9" t="n">
        <v>46326</v>
      </c>
      <c r="C88" s="10" t="n">
        <v>0.9270833333333334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16</v>
      </c>
      <c r="I88" s="11" t="n">
        <v>0</v>
      </c>
      <c r="J88" s="12" t="n">
        <v>384</v>
      </c>
      <c r="K88" s="12" t="n">
        <v>0</v>
      </c>
      <c r="L88" s="12" t="n">
        <v>349.12</v>
      </c>
      <c r="M88" s="12" t="n">
        <v>34.88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20261031_2315</t>
        </is>
      </c>
      <c r="B89" s="13" t="n">
        <v>46326</v>
      </c>
      <c r="C89" s="14" t="n">
        <v>0.96875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14</v>
      </c>
      <c r="I89" s="15" t="n">
        <v>0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20261031_2315</t>
        </is>
      </c>
      <c r="B90" s="9" t="n">
        <v>46326</v>
      </c>
      <c r="C90" s="10" t="n">
        <v>0.96875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20261031_2315</t>
        </is>
      </c>
      <c r="B91" s="13" t="n">
        <v>46326</v>
      </c>
      <c r="C91" s="14" t="n">
        <v>0.96875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12</v>
      </c>
      <c r="I91" s="15" t="n">
        <v>0</v>
      </c>
      <c r="J91" s="16" t="n">
        <v>288</v>
      </c>
      <c r="K91" s="16" t="n">
        <v>0</v>
      </c>
      <c r="L91" s="16" t="n">
        <v>261.84</v>
      </c>
      <c r="M91" s="16" t="n">
        <v>26.16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20261031_2359</t>
        </is>
      </c>
      <c r="B92" s="9" t="n">
        <v>46326</v>
      </c>
      <c r="C92" s="10" t="n">
        <v>0.9993055555555556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6</v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20261031_2359</t>
        </is>
      </c>
      <c r="B93" s="13" t="n">
        <v>46326</v>
      </c>
      <c r="C93" s="14" t="n">
        <v>0.9993055555555556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1</v>
      </c>
      <c r="I93" s="15" t="n">
        <v>0</v>
      </c>
      <c r="J93" s="16" t="n">
        <v>60</v>
      </c>
      <c r="K93" s="16" t="n">
        <v>0</v>
      </c>
      <c r="L93" s="16" t="n">
        <v>54.55</v>
      </c>
      <c r="M93" s="16" t="n">
        <v>5.45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20261031_2359</t>
        </is>
      </c>
      <c r="B94" s="9" t="n">
        <v>46326</v>
      </c>
      <c r="C94" s="10" t="n">
        <v>0.9993055555555556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5</v>
      </c>
      <c r="I94" s="11" t="n">
        <v>0</v>
      </c>
      <c r="J94" s="12" t="n">
        <v>120</v>
      </c>
      <c r="K94" s="12" t="n">
        <v>0</v>
      </c>
      <c r="L94" s="12" t="n">
        <v>109.1</v>
      </c>
      <c r="M94" s="12" t="n">
        <v>10.9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20261101_2015</t>
        </is>
      </c>
      <c r="B95" s="13" t="n">
        <v>46327</v>
      </c>
      <c r="C95" s="14" t="n">
        <v>0.84375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</v>
      </c>
      <c r="I95" s="15" t="n">
        <v>0</v>
      </c>
      <c r="J95" s="16" t="n">
        <v>48</v>
      </c>
      <c r="K95" s="16" t="n">
        <v>0</v>
      </c>
      <c r="L95" s="16" t="n">
        <v>43.64</v>
      </c>
      <c r="M95" s="16" t="n">
        <v>4.36</v>
      </c>
      <c r="N95" s="23" t="inlineStr">
        <is>
          <t>11/2026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20261101_2115</t>
        </is>
      </c>
      <c r="B96" s="9" t="n">
        <v>46327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</v>
      </c>
      <c r="I96" s="11" t="n">
        <v>0</v>
      </c>
      <c r="J96" s="12" t="n">
        <v>48</v>
      </c>
      <c r="K96" s="12" t="n">
        <v>0</v>
      </c>
      <c r="L96" s="12" t="n">
        <v>43.64</v>
      </c>
      <c r="M96" s="12" t="n">
        <v>4.36</v>
      </c>
      <c r="N96" s="22" t="inlineStr">
        <is>
          <t>11/2026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20261101_2115</t>
        </is>
      </c>
      <c r="B97" s="13" t="n">
        <v>46327</v>
      </c>
      <c r="C97" s="14" t="n">
        <v>0.8854166666666666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3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11/2026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20261101_2215</t>
        </is>
      </c>
      <c r="B98" s="9" t="n">
        <v>46327</v>
      </c>
      <c r="C98" s="10" t="n">
        <v>0.9270833333333334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1</v>
      </c>
      <c r="I98" s="11" t="n">
        <v>0</v>
      </c>
      <c r="J98" s="12" t="n">
        <v>60</v>
      </c>
      <c r="K98" s="12" t="n">
        <v>0</v>
      </c>
      <c r="L98" s="12" t="n">
        <v>54.55</v>
      </c>
      <c r="M98" s="12" t="n">
        <v>5.45</v>
      </c>
      <c r="N98" s="22" t="inlineStr">
        <is>
          <t>11/2026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20261101_2215</t>
        </is>
      </c>
      <c r="B99" s="13" t="n">
        <v>46327</v>
      </c>
      <c r="C99" s="14" t="n">
        <v>0.9270833333333334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4</v>
      </c>
      <c r="I99" s="15" t="n">
        <v>0</v>
      </c>
      <c r="J99" s="16" t="n">
        <v>96</v>
      </c>
      <c r="K99" s="16" t="n">
        <v>0</v>
      </c>
      <c r="L99" s="16" t="n">
        <v>87.28</v>
      </c>
      <c r="M99" s="16" t="n">
        <v>8.720000000000001</v>
      </c>
      <c r="N99" s="23" t="inlineStr">
        <is>
          <t>11/2026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20261101_2315</t>
        </is>
      </c>
      <c r="B100" s="9" t="n">
        <v>46327</v>
      </c>
      <c r="C100" s="10" t="n">
        <v>0.96875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1</v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11/2026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20261101_2359</t>
        </is>
      </c>
      <c r="B101" s="13" t="n">
        <v>46327</v>
      </c>
      <c r="C101" s="14" t="n">
        <v>0.9993055555555556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1</v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</sheetData>
  <autoFilter ref="A1:P1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</sheetData>
  <autoFilter ref="A1:G4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</sheetData>
  <autoFilter ref="A1:K40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74</v>
      </c>
      <c r="M4" s="11" t="n">
        <v>208</v>
      </c>
      <c r="N4" s="12" t="n">
        <v>2496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9</v>
      </c>
      <c r="H13" s="11" t="n">
        <v>32</v>
      </c>
      <c r="I13" s="12" t="n">
        <v>384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21</v>
      </c>
      <c r="H14" s="11" t="n">
        <v>66</v>
      </c>
      <c r="I14" s="12" t="n">
        <v>792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18</v>
      </c>
      <c r="H15" s="11" t="n">
        <v>56</v>
      </c>
      <c r="I15" s="12" t="n">
        <v>672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25</v>
      </c>
      <c r="C18" s="11" t="n">
        <v>73</v>
      </c>
      <c r="D18" s="12" t="n">
        <v>876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F19" s="38" t="inlineStr">
        <is>
          <t>15:00-16:00</t>
        </is>
      </c>
      <c r="G19" s="11" t="n">
        <v>19</v>
      </c>
      <c r="H19" s="11" t="n">
        <v>53</v>
      </c>
      <c r="I19" s="12" t="n">
        <v>636</v>
      </c>
    </row>
    <row r="20">
      <c r="F20" s="38" t="inlineStr">
        <is>
          <t>16:00-17:00</t>
        </is>
      </c>
      <c r="G20" s="11" t="n">
        <v>24</v>
      </c>
      <c r="H20" s="11" t="n">
        <v>71</v>
      </c>
      <c r="I20" s="12" t="n">
        <v>852</v>
      </c>
    </row>
    <row r="21">
      <c r="F21" s="38" t="inlineStr">
        <is>
          <t>17:00-18:00</t>
        </is>
      </c>
      <c r="G21" s="11" t="n">
        <v>22</v>
      </c>
      <c r="H21" s="11" t="n">
        <v>66</v>
      </c>
      <c r="I21" s="12" t="n">
        <v>792</v>
      </c>
    </row>
    <row r="22">
      <c r="F22" s="38" t="inlineStr">
        <is>
          <t>18:00-19:00</t>
        </is>
      </c>
      <c r="G22" s="11" t="n">
        <v>28</v>
      </c>
      <c r="H22" s="11" t="n">
        <v>79</v>
      </c>
      <c r="I22" s="12" t="n">
        <v>948</v>
      </c>
    </row>
    <row r="23">
      <c r="F23" s="38" t="inlineStr">
        <is>
          <t>19:00-20:00</t>
        </is>
      </c>
      <c r="G23" s="11" t="n">
        <v>34</v>
      </c>
      <c r="H23" s="11" t="n">
        <v>117</v>
      </c>
      <c r="I23" s="12" t="n">
        <v>1404</v>
      </c>
    </row>
    <row r="24">
      <c r="F24" s="38" t="inlineStr">
        <is>
          <t>20:00-21:00</t>
        </is>
      </c>
      <c r="G24" s="11" t="n">
        <v>39</v>
      </c>
      <c r="H24" s="11" t="n">
        <v>117</v>
      </c>
      <c r="I24" s="12" t="n">
        <v>1404</v>
      </c>
    </row>
    <row r="25">
      <c r="F25" s="38" t="inlineStr">
        <is>
          <t>21:00-22:00</t>
        </is>
      </c>
      <c r="G25" s="11" t="n">
        <v>42</v>
      </c>
      <c r="H25" s="11" t="n">
        <v>124</v>
      </c>
      <c r="I25" s="12" t="n">
        <v>1488</v>
      </c>
    </row>
    <row r="26">
      <c r="F26" s="38" t="inlineStr">
        <is>
          <t>22:00-23:00</t>
        </is>
      </c>
      <c r="G26" s="11" t="n">
        <v>62</v>
      </c>
      <c r="H26" s="11" t="n">
        <v>179</v>
      </c>
      <c r="I26" s="12" t="n">
        <v>2148</v>
      </c>
    </row>
    <row r="27">
      <c r="F27" s="38" t="inlineStr">
        <is>
          <t>23:00-00:00</t>
        </is>
      </c>
      <c r="G27" s="11" t="n">
        <v>19</v>
      </c>
      <c r="H27" s="11" t="n">
        <v>63</v>
      </c>
      <c r="I27" s="12" t="n">
        <v>756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2026-10-19T12:36:09Z</dcterms:created>
  <dcterms:modified xsi:type="dcterms:W3CDTF">2026-10-19T12:36:10Z</dcterms:modified>
</cp:coreProperties>
</file>