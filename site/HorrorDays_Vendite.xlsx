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'Vendite'!$A$1:$R$152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'Storico'!$A$1:$G$852</definedName>
    <definedName name="_xlnm._FilterDatabase" localSheetId="8" hidden="1">'Registro vendite'!$A$1:$K$1576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'Storico'!$H$2:$H$852</f>
            </numRef>
          </cat>
          <val>
            <numRef>
              <f>'Storico'!$C$2:$C$852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MAX(Storico!A2:A852)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252</v>
      </c>
      <c r="K63" s="16" t="n">
        <v>0</v>
      </c>
      <c r="L63" s="16" t="n">
        <v>229.11</v>
      </c>
      <c r="M63" s="16" t="n">
        <v>22.89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7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720</v>
      </c>
      <c r="K64" s="12" t="n">
        <v>0</v>
      </c>
      <c r="L64" s="12" t="n">
        <v>654.6</v>
      </c>
      <c r="M64" s="12" t="n">
        <v>65.40000000000001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12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816</v>
      </c>
      <c r="K65" s="16" t="n">
        <v>0</v>
      </c>
      <c r="L65" s="16" t="n">
        <v>741.88</v>
      </c>
      <c r="M65" s="16" t="n">
        <v>74.12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34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624</v>
      </c>
      <c r="K82" s="12" t="n">
        <v>0</v>
      </c>
      <c r="L82" s="12" t="n">
        <v>567.3200000000001</v>
      </c>
      <c r="M82" s="12" t="n">
        <v>56.68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13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144</v>
      </c>
      <c r="K83" s="16" t="n">
        <v>0</v>
      </c>
      <c r="L83" s="16" t="n">
        <v>130.92</v>
      </c>
      <c r="M83" s="16" t="n">
        <v>13.08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4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456</v>
      </c>
      <c r="K85" s="16" t="n">
        <v>0</v>
      </c>
      <c r="L85" s="16" t="n">
        <v>414.58</v>
      </c>
      <c r="M85" s="16" t="n">
        <v>41.42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19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768</v>
      </c>
      <c r="K102" s="12" t="n">
        <v>0</v>
      </c>
      <c r="L102" s="12" t="n">
        <v>698.24</v>
      </c>
      <c r="M102" s="12" t="n">
        <v>69.76000000000001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16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108</v>
      </c>
      <c r="K103" s="16" t="n">
        <v>0</v>
      </c>
      <c r="L103" s="16" t="n">
        <v>98.19</v>
      </c>
      <c r="M103" s="16" t="n">
        <v>9.81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300</v>
      </c>
      <c r="K104" s="12" t="n">
        <v>0</v>
      </c>
      <c r="L104" s="12" t="n">
        <v>272.75</v>
      </c>
      <c r="M104" s="12" t="n">
        <v>27.25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5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504</v>
      </c>
      <c r="K105" s="16" t="n">
        <v>0</v>
      </c>
      <c r="L105" s="16" t="n">
        <v>458.22</v>
      </c>
      <c r="M105" s="16" t="n">
        <v>45.78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21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</v>
      </c>
      <c r="K129" s="16" t="n">
        <v>0</v>
      </c>
      <c r="L129" s="16" t="n">
        <v>21.82</v>
      </c>
      <c r="M129" s="16" t="n">
        <v>2.18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108</v>
      </c>
      <c r="K131" s="16" t="n">
        <v>0</v>
      </c>
      <c r="L131" s="16" t="n">
        <v>98.19</v>
      </c>
      <c r="M131" s="16" t="n">
        <v>9.81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168</v>
      </c>
      <c r="K133" s="16" t="n">
        <v>0</v>
      </c>
      <c r="L133" s="16" t="n">
        <v>152.74</v>
      </c>
      <c r="M133" s="16" t="n">
        <v>15.26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7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816</v>
      </c>
      <c r="K134" s="12" t="n">
        <v>0</v>
      </c>
      <c r="L134" s="12" t="n">
        <v>741.88</v>
      </c>
      <c r="M134" s="12" t="n">
        <v>74.12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17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180</v>
      </c>
      <c r="K135" s="16" t="n">
        <v>0</v>
      </c>
      <c r="L135" s="16" t="n">
        <v>163.65</v>
      </c>
      <c r="M135" s="16" t="n">
        <v>16.35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360</v>
      </c>
      <c r="K136" s="12" t="n">
        <v>0</v>
      </c>
      <c r="L136" s="12" t="n">
        <v>327.3</v>
      </c>
      <c r="M136" s="12" t="n">
        <v>32.7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6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408</v>
      </c>
      <c r="K137" s="16" t="n">
        <v>0</v>
      </c>
      <c r="L137" s="16" t="n">
        <v>370.94</v>
      </c>
      <c r="M137" s="16" t="n">
        <v>37.06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17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1488</v>
      </c>
      <c r="K138" s="12" t="n">
        <v>0</v>
      </c>
      <c r="L138" s="12" t="n">
        <v>1352.84</v>
      </c>
      <c r="M138" s="12" t="n">
        <v>135.16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31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216</v>
      </c>
      <c r="K139" s="16" t="n">
        <v>0</v>
      </c>
      <c r="L139" s="16" t="n">
        <v>196.38</v>
      </c>
      <c r="M139" s="16" t="n">
        <v>19.62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6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300</v>
      </c>
      <c r="K140" s="12" t="n">
        <v>0</v>
      </c>
      <c r="L140" s="12" t="n">
        <v>272.75</v>
      </c>
      <c r="M140" s="12" t="n">
        <v>27.25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5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624</v>
      </c>
      <c r="K141" s="16" t="n">
        <v>0</v>
      </c>
      <c r="L141" s="16" t="n">
        <v>567.3200000000001</v>
      </c>
      <c r="M141" s="16" t="n">
        <v>56.68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26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768</v>
      </c>
      <c r="K142" s="12" t="n">
        <v>0</v>
      </c>
      <c r="L142" s="12" t="n">
        <v>698.24</v>
      </c>
      <c r="M142" s="12" t="n">
        <v>69.76000000000001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16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252</v>
      </c>
      <c r="K143" s="16" t="n">
        <v>0</v>
      </c>
      <c r="L143" s="16" t="n">
        <v>229.11</v>
      </c>
      <c r="M143" s="16" t="n">
        <v>22.89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7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300</v>
      </c>
      <c r="K144" s="12" t="n">
        <v>0</v>
      </c>
      <c r="L144" s="12" t="n">
        <v>272.75</v>
      </c>
      <c r="M144" s="12" t="n">
        <v>27.25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5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168</v>
      </c>
      <c r="K145" s="16" t="n">
        <v>0</v>
      </c>
      <c r="L145" s="16" t="n">
        <v>152.74</v>
      </c>
      <c r="M145" s="16" t="n">
        <v>15.26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7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384</v>
      </c>
      <c r="K146" s="12" t="n">
        <v>0</v>
      </c>
      <c r="L146" s="12" t="n">
        <v>349.12</v>
      </c>
      <c r="M146" s="12" t="n">
        <v>34.88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8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I5 60€</t>
        </is>
      </c>
      <c r="F147" s="23">
        <f>IFERROR(INDEX(Tariffe!$B$2:$B$200,MATCH(E147,Tariffe!$A$2:$A$200,0)),"DA DEFINIRE")</f>
        <v/>
      </c>
      <c r="G147" s="16" t="n">
        <v>60</v>
      </c>
      <c r="H147" s="15">
        <f>Q147*R147</f>
        <v/>
      </c>
      <c r="I147" s="15" t="n">
        <v>0</v>
      </c>
      <c r="J147" s="16" t="n">
        <v>60</v>
      </c>
      <c r="K147" s="16" t="n">
        <v>0</v>
      </c>
      <c r="L147" s="16" t="n">
        <v>54.55</v>
      </c>
      <c r="M147" s="16" t="n">
        <v>5.45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I8 24€</t>
        </is>
      </c>
      <c r="F148" s="22">
        <f>IFERROR(INDEX(Tariffe!$B$2:$B$200,MATCH(E148,Tariffe!$A$2:$A$200,0)),"DA DEFINIRE")</f>
        <v/>
      </c>
      <c r="G148" s="12" t="n">
        <v>24</v>
      </c>
      <c r="H148" s="11">
        <f>Q148*R148</f>
        <v/>
      </c>
      <c r="I148" s="11" t="n">
        <v>0</v>
      </c>
      <c r="J148" s="12" t="n">
        <v>216</v>
      </c>
      <c r="K148" s="12" t="n">
        <v>0</v>
      </c>
      <c r="L148" s="12" t="n">
        <v>196.38</v>
      </c>
      <c r="M148" s="12" t="n">
        <v>19.62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9</v>
      </c>
      <c r="R148" s="11">
        <f>IFERROR(INDEX(Tariffe!$E$2:$E$200,MATCH(E148,Tariffe!$A$2:$A$200,0))*1,1)</f>
        <v/>
      </c>
    </row>
    <row r="149">
      <c r="A149" s="23" t="inlineStr">
        <is>
          <t>20261102_2015</t>
        </is>
      </c>
      <c r="B149" s="13" t="n">
        <v>46328</v>
      </c>
      <c r="C149" s="14" t="n">
        <v>0.84375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30</v>
      </c>
      <c r="K149" s="16" t="n">
        <v>0</v>
      </c>
      <c r="L149" s="16" t="n">
        <v>27.28</v>
      </c>
      <c r="M149" s="16" t="n">
        <v>2.72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</v>
      </c>
      <c r="R149" s="15">
        <f>IFERROR(INDEX(Tariffe!$E$2:$E$200,MATCH(E149,Tariffe!$A$2:$A$200,0))*1,1)</f>
        <v/>
      </c>
    </row>
    <row r="150">
      <c r="A150" s="22" t="inlineStr">
        <is>
          <t>20261102_2215</t>
        </is>
      </c>
      <c r="B150" s="9" t="n">
        <v>46328</v>
      </c>
      <c r="C150" s="10" t="n">
        <v>0.9270833333333334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90</v>
      </c>
      <c r="K150" s="12" t="n">
        <v>0</v>
      </c>
      <c r="L150" s="12" t="n">
        <v>81.84</v>
      </c>
      <c r="M150" s="12" t="n">
        <v>8.16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6</v>
      </c>
      <c r="R150" s="11">
        <f>IFERROR(INDEX(Tariffe!$E$2:$E$200,MATCH(E150,Tariffe!$A$2:$A$200,0))*1,1)</f>
        <v/>
      </c>
    </row>
    <row r="151">
      <c r="A151" s="23" t="inlineStr">
        <is>
          <t>20261102_2315</t>
        </is>
      </c>
      <c r="B151" s="13" t="n">
        <v>46328</v>
      </c>
      <c r="C151" s="14" t="n">
        <v>0.96875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45</v>
      </c>
      <c r="K151" s="16" t="n">
        <v>0</v>
      </c>
      <c r="L151" s="16" t="n">
        <v>40.92</v>
      </c>
      <c r="M151" s="16" t="n">
        <v>4.08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3</v>
      </c>
      <c r="R151" s="15">
        <f>IFERROR(INDEX(Tariffe!$E$2:$E$200,MATCH(E151,Tariffe!$A$2:$A$200,0))*1,1)</f>
        <v/>
      </c>
    </row>
    <row r="152">
      <c r="A152" s="22" t="inlineStr">
        <is>
          <t>20261102_2359</t>
        </is>
      </c>
      <c r="B152" s="9" t="n">
        <v>46328</v>
      </c>
      <c r="C152" s="10" t="n">
        <v>0.9993055555555556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15</v>
      </c>
      <c r="K152" s="12" t="n">
        <v>0</v>
      </c>
      <c r="L152" s="12" t="n">
        <v>13.64</v>
      </c>
      <c r="M152" s="12" t="n">
        <v>1.36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1</v>
      </c>
      <c r="R152" s="11">
        <f>IFERROR(INDEX(Tariffe!$E$2:$E$200,MATCH(E152,Tariffe!$A$2:$A$200,0))*1,1)</f>
        <v/>
      </c>
    </row>
  </sheetData>
  <autoFilter ref="A1:R1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</sheetData>
  <autoFilter ref="A1:G85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</sheetData>
  <autoFilter ref="A1:K157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288</v>
      </c>
      <c r="M7" s="11" t="n">
        <v>932</v>
      </c>
      <c r="N7" s="12" t="n">
        <v>11184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139</v>
      </c>
      <c r="H21" s="11" t="n">
        <v>424</v>
      </c>
      <c r="I21" s="12" t="n">
        <v>5088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188</v>
      </c>
      <c r="C28" s="11" t="n">
        <v>627</v>
      </c>
      <c r="D28" s="12" t="n">
        <v>7524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2026-10-29T16:46:41Z</dcterms:created>
  <dcterms:modified xsi:type="dcterms:W3CDTF">2026-10-29T16:46:41Z</dcterms:modified>
</cp:coreProperties>
</file>