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'Vendite'!$A$1:$R$151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'Storico'!$A$1:$G$826</definedName>
    <definedName name="_xlnm._FilterDatabase" localSheetId="8" hidden="1">'Registro vendite'!$A$1:$K$1490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'Storico'!$H$2:$H$826</f>
            </numRef>
          </cat>
          <val>
            <numRef>
              <f>'Storico'!$C$2:$C$826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vendite'!$A$4:$A$27</f>
            </numRef>
          </cat>
          <val>
            <numRef>
              <f>'Picchi vendite'!$B$4:$B$27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MAX(Storico!A2:A826)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432</v>
      </c>
      <c r="K62" s="12" t="n">
        <v>0</v>
      </c>
      <c r="L62" s="12" t="n">
        <v>392.76</v>
      </c>
      <c r="M62" s="12" t="n">
        <v>39.24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72</v>
      </c>
      <c r="K63" s="16" t="n">
        <v>0</v>
      </c>
      <c r="L63" s="16" t="n">
        <v>65.45999999999999</v>
      </c>
      <c r="M63" s="16" t="n">
        <v>6.54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420</v>
      </c>
      <c r="K64" s="12" t="n">
        <v>0</v>
      </c>
      <c r="L64" s="12" t="n">
        <v>381.85</v>
      </c>
      <c r="M64" s="12" t="n">
        <v>38.15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7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408</v>
      </c>
      <c r="K65" s="16" t="n">
        <v>0</v>
      </c>
      <c r="L65" s="16" t="n">
        <v>370.94</v>
      </c>
      <c r="M65" s="16" t="n">
        <v>37.06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17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576</v>
      </c>
      <c r="K78" s="12" t="n">
        <v>0</v>
      </c>
      <c r="L78" s="12" t="n">
        <v>523.6799999999999</v>
      </c>
      <c r="M78" s="12" t="n">
        <v>52.32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12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252</v>
      </c>
      <c r="K79" s="16" t="n">
        <v>0</v>
      </c>
      <c r="L79" s="16" t="n">
        <v>229.11</v>
      </c>
      <c r="M79" s="16" t="n">
        <v>22.89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7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660</v>
      </c>
      <c r="K80" s="12" t="n">
        <v>0</v>
      </c>
      <c r="L80" s="12" t="n">
        <v>600.05</v>
      </c>
      <c r="M80" s="12" t="n">
        <v>59.95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11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432</v>
      </c>
      <c r="K81" s="16" t="n">
        <v>0</v>
      </c>
      <c r="L81" s="16" t="n">
        <v>392.76</v>
      </c>
      <c r="M81" s="16" t="n">
        <v>39.24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18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192</v>
      </c>
      <c r="K82" s="12" t="n">
        <v>0</v>
      </c>
      <c r="L82" s="12" t="n">
        <v>174.56</v>
      </c>
      <c r="M82" s="12" t="n">
        <v>17.44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4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I5 60€</t>
        </is>
      </c>
      <c r="F83" s="23">
        <f>IFERROR(INDEX(Tariffe!$B$2:$B$200,MATCH(E83,Tariffe!$A$2:$A$200,0)),"DA DEFINIRE")</f>
        <v/>
      </c>
      <c r="G83" s="16" t="n">
        <v>60</v>
      </c>
      <c r="H83" s="15">
        <f>Q83*R83</f>
        <v/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I8 24€</t>
        </is>
      </c>
      <c r="F84" s="22">
        <f>IFERROR(INDEX(Tariffe!$B$2:$B$200,MATCH(E84,Tariffe!$A$2:$A$200,0)),"DA DEFINIRE")</f>
        <v/>
      </c>
      <c r="G84" s="12" t="n">
        <v>24</v>
      </c>
      <c r="H84" s="11">
        <f>Q84*R84</f>
        <v/>
      </c>
      <c r="I84" s="11" t="n">
        <v>0</v>
      </c>
      <c r="J84" s="12" t="n">
        <v>360</v>
      </c>
      <c r="K84" s="12" t="n">
        <v>0</v>
      </c>
      <c r="L84" s="12" t="n">
        <v>327.3</v>
      </c>
      <c r="M84" s="12" t="n">
        <v>32.7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15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I1 48€</t>
        </is>
      </c>
      <c r="F85" s="23">
        <f>IFERROR(INDEX(Tariffe!$B$2:$B$200,MATCH(E85,Tariffe!$A$2:$A$200,0)),"DA DEFINIRE")</f>
        <v/>
      </c>
      <c r="G85" s="16" t="n">
        <v>48</v>
      </c>
      <c r="H85" s="15">
        <f>Q85*R85</f>
        <v/>
      </c>
      <c r="I85" s="15" t="n">
        <v>0</v>
      </c>
      <c r="J85" s="16" t="n">
        <v>816</v>
      </c>
      <c r="K85" s="16" t="n">
        <v>0</v>
      </c>
      <c r="L85" s="16" t="n">
        <v>741.88</v>
      </c>
      <c r="M85" s="16" t="n">
        <v>74.12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17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I2 36€</t>
        </is>
      </c>
      <c r="F86" s="22">
        <f>IFERROR(INDEX(Tariffe!$B$2:$B$200,MATCH(E86,Tariffe!$A$2:$A$200,0)),"DA DEFINIRE")</f>
        <v/>
      </c>
      <c r="G86" s="12" t="n">
        <v>36</v>
      </c>
      <c r="H86" s="11">
        <f>Q86*R86</f>
        <v/>
      </c>
      <c r="I86" s="11" t="n">
        <v>0</v>
      </c>
      <c r="J86" s="12" t="n">
        <v>288</v>
      </c>
      <c r="K86" s="12" t="n">
        <v>0</v>
      </c>
      <c r="L86" s="12" t="n">
        <v>261.84</v>
      </c>
      <c r="M86" s="12" t="n">
        <v>26.16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8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I5 60€</t>
        </is>
      </c>
      <c r="F87" s="23">
        <f>IFERROR(INDEX(Tariffe!$B$2:$B$200,MATCH(E87,Tariffe!$A$2:$A$200,0)),"DA DEFINIRE")</f>
        <v/>
      </c>
      <c r="G87" s="16" t="n">
        <v>60</v>
      </c>
      <c r="H87" s="15">
        <f>Q87*R87</f>
        <v/>
      </c>
      <c r="I87" s="15" t="n">
        <v>0</v>
      </c>
      <c r="J87" s="16" t="n">
        <v>480</v>
      </c>
      <c r="K87" s="16" t="n">
        <v>0</v>
      </c>
      <c r="L87" s="16" t="n">
        <v>436.4</v>
      </c>
      <c r="M87" s="16" t="n">
        <v>43.6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8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I8 24€</t>
        </is>
      </c>
      <c r="F88" s="22">
        <f>IFERROR(INDEX(Tariffe!$B$2:$B$200,MATCH(E88,Tariffe!$A$2:$A$200,0)),"DA DEFINIRE")</f>
        <v/>
      </c>
      <c r="G88" s="12" t="n">
        <v>24</v>
      </c>
      <c r="H88" s="11">
        <f>Q88*R88</f>
        <v/>
      </c>
      <c r="I88" s="11" t="n">
        <v>0</v>
      </c>
      <c r="J88" s="12" t="n">
        <v>576</v>
      </c>
      <c r="K88" s="12" t="n">
        <v>0</v>
      </c>
      <c r="L88" s="12" t="n">
        <v>523.6799999999999</v>
      </c>
      <c r="M88" s="12" t="n">
        <v>52.32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I1 48€</t>
        </is>
      </c>
      <c r="F89" s="23">
        <f>IFERROR(INDEX(Tariffe!$B$2:$B$200,MATCH(E89,Tariffe!$A$2:$A$200,0)),"DA DEFINIRE")</f>
        <v/>
      </c>
      <c r="G89" s="16" t="n">
        <v>48</v>
      </c>
      <c r="H89" s="15">
        <f>Q89*R89</f>
        <v/>
      </c>
      <c r="I89" s="15" t="n">
        <v>0</v>
      </c>
      <c r="J89" s="16" t="n">
        <v>1632</v>
      </c>
      <c r="K89" s="16" t="n">
        <v>0</v>
      </c>
      <c r="L89" s="16" t="n">
        <v>1483.76</v>
      </c>
      <c r="M89" s="16" t="n">
        <v>148.24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34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I2 36€</t>
        </is>
      </c>
      <c r="F90" s="22">
        <f>IFERROR(INDEX(Tariffe!$B$2:$B$200,MATCH(E90,Tariffe!$A$2:$A$200,0)),"DA DEFINIRE")</f>
        <v/>
      </c>
      <c r="G90" s="12" t="n">
        <v>36</v>
      </c>
      <c r="H90" s="11">
        <f>Q90*R90</f>
        <v/>
      </c>
      <c r="I90" s="11" t="n">
        <v>0</v>
      </c>
      <c r="J90" s="12" t="n">
        <v>144</v>
      </c>
      <c r="K90" s="12" t="n">
        <v>0</v>
      </c>
      <c r="L90" s="12" t="n">
        <v>130.92</v>
      </c>
      <c r="M90" s="12" t="n">
        <v>13.08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480</v>
      </c>
      <c r="K91" s="16" t="n">
        <v>0</v>
      </c>
      <c r="L91" s="16" t="n">
        <v>436.4</v>
      </c>
      <c r="M91" s="16" t="n">
        <v>43.6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8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4</v>
      </c>
      <c r="J92" s="12" t="n">
        <v>816</v>
      </c>
      <c r="K92" s="12" t="n">
        <v>0</v>
      </c>
      <c r="L92" s="12" t="n">
        <v>741.88</v>
      </c>
      <c r="M92" s="12" t="n">
        <v>74.12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34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1152</v>
      </c>
      <c r="K93" s="16" t="n">
        <v>0</v>
      </c>
      <c r="L93" s="16" t="n">
        <v>1047.36</v>
      </c>
      <c r="M93" s="16" t="n">
        <v>104.64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I2 36€</t>
        </is>
      </c>
      <c r="F94" s="22">
        <f>IFERROR(INDEX(Tariffe!$B$2:$B$200,MATCH(E94,Tariffe!$A$2:$A$200,0)),"DA DEFINIRE")</f>
        <v/>
      </c>
      <c r="G94" s="12" t="n">
        <v>36</v>
      </c>
      <c r="H94" s="11">
        <f>Q94*R94</f>
        <v/>
      </c>
      <c r="I94" s="11" t="n">
        <v>0</v>
      </c>
      <c r="J94" s="12" t="n">
        <v>432</v>
      </c>
      <c r="K94" s="12" t="n">
        <v>0</v>
      </c>
      <c r="L94" s="12" t="n">
        <v>392.76</v>
      </c>
      <c r="M94" s="12" t="n">
        <v>39.24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12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I5 60€</t>
        </is>
      </c>
      <c r="F95" s="23">
        <f>IFERROR(INDEX(Tariffe!$B$2:$B$200,MATCH(E95,Tariffe!$A$2:$A$200,0)),"DA DEFINIRE")</f>
        <v/>
      </c>
      <c r="G95" s="16" t="n">
        <v>60</v>
      </c>
      <c r="H95" s="15">
        <f>Q95*R95</f>
        <v/>
      </c>
      <c r="I95" s="15" t="n">
        <v>0</v>
      </c>
      <c r="J95" s="16" t="n">
        <v>780</v>
      </c>
      <c r="K95" s="16" t="n">
        <v>0</v>
      </c>
      <c r="L95" s="16" t="n">
        <v>709.15</v>
      </c>
      <c r="M95" s="16" t="n">
        <v>70.84999999999999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13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I8 24€</t>
        </is>
      </c>
      <c r="F96" s="22">
        <f>IFERROR(INDEX(Tariffe!$B$2:$B$200,MATCH(E96,Tariffe!$A$2:$A$200,0)),"DA DEFINIRE")</f>
        <v/>
      </c>
      <c r="G96" s="12" t="n">
        <v>24</v>
      </c>
      <c r="H96" s="11">
        <f>Q96*R96</f>
        <v/>
      </c>
      <c r="I96" s="11" t="n">
        <v>0</v>
      </c>
      <c r="J96" s="12" t="n">
        <v>744</v>
      </c>
      <c r="K96" s="12" t="n">
        <v>0</v>
      </c>
      <c r="L96" s="12" t="n">
        <v>676.42</v>
      </c>
      <c r="M96" s="12" t="n">
        <v>67.58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31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I1 48€</t>
        </is>
      </c>
      <c r="F97" s="23">
        <f>IFERROR(INDEX(Tariffe!$B$2:$B$200,MATCH(E97,Tariffe!$A$2:$A$200,0)),"DA DEFINIRE")</f>
        <v/>
      </c>
      <c r="G97" s="16" t="n">
        <v>48</v>
      </c>
      <c r="H97" s="15">
        <f>Q97*R97</f>
        <v/>
      </c>
      <c r="I97" s="15" t="n">
        <v>0</v>
      </c>
      <c r="J97" s="16" t="n">
        <v>960</v>
      </c>
      <c r="K97" s="16" t="n">
        <v>0</v>
      </c>
      <c r="L97" s="16" t="n">
        <v>872.8</v>
      </c>
      <c r="M97" s="16" t="n">
        <v>87.2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20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I2 36€</t>
        </is>
      </c>
      <c r="F98" s="22">
        <f>IFERROR(INDEX(Tariffe!$B$2:$B$200,MATCH(E98,Tariffe!$A$2:$A$200,0)),"DA DEFINIRE")</f>
        <v/>
      </c>
      <c r="G98" s="12" t="n">
        <v>36</v>
      </c>
      <c r="H98" s="11">
        <f>Q98*R98</f>
        <v/>
      </c>
      <c r="I98" s="11" t="n">
        <v>0</v>
      </c>
      <c r="J98" s="12" t="n">
        <v>216</v>
      </c>
      <c r="K98" s="12" t="n">
        <v>0</v>
      </c>
      <c r="L98" s="12" t="n">
        <v>196.38</v>
      </c>
      <c r="M98" s="12" t="n">
        <v>19.62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6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I5 60€</t>
        </is>
      </c>
      <c r="F99" s="23">
        <f>IFERROR(INDEX(Tariffe!$B$2:$B$200,MATCH(E99,Tariffe!$A$2:$A$200,0)),"DA DEFINIRE")</f>
        <v/>
      </c>
      <c r="G99" s="16" t="n">
        <v>60</v>
      </c>
      <c r="H99" s="15">
        <f>Q99*R99</f>
        <v/>
      </c>
      <c r="I99" s="15" t="n">
        <v>0</v>
      </c>
      <c r="J99" s="16" t="n">
        <v>720</v>
      </c>
      <c r="K99" s="16" t="n">
        <v>0</v>
      </c>
      <c r="L99" s="16" t="n">
        <v>654.6</v>
      </c>
      <c r="M99" s="16" t="n">
        <v>65.40000000000001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12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600</v>
      </c>
      <c r="K100" s="12" t="n">
        <v>0</v>
      </c>
      <c r="L100" s="12" t="n">
        <v>545.5</v>
      </c>
      <c r="M100" s="12" t="n">
        <v>54.5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25</v>
      </c>
      <c r="R100" s="11">
        <f>IFERROR(INDEX(Tariffe!$E$2:$E$200,MATCH(E100,Tariffe!$A$2:$A$200,0))*1,1)</f>
        <v/>
      </c>
    </row>
    <row r="101">
      <c r="A101" s="23" t="inlineStr">
        <is>
          <t>20261031_1915</t>
        </is>
      </c>
      <c r="B101" s="13" t="n">
        <v>46326</v>
      </c>
      <c r="C101" s="14" t="n">
        <v>0.8020833333333334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0</v>
      </c>
      <c r="J101" s="16" t="n">
        <v>480</v>
      </c>
      <c r="K101" s="16" t="n">
        <v>0</v>
      </c>
      <c r="L101" s="16" t="n">
        <v>436.4</v>
      </c>
      <c r="M101" s="16" t="n">
        <v>43.6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10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108</v>
      </c>
      <c r="K102" s="12" t="n">
        <v>0</v>
      </c>
      <c r="L102" s="12" t="n">
        <v>98.19</v>
      </c>
      <c r="M102" s="12" t="n">
        <v>9.81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0</v>
      </c>
      <c r="J103" s="16" t="n">
        <v>240</v>
      </c>
      <c r="K103" s="16" t="n">
        <v>0</v>
      </c>
      <c r="L103" s="16" t="n">
        <v>218.2</v>
      </c>
      <c r="M103" s="16" t="n">
        <v>21.8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4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336</v>
      </c>
      <c r="K104" s="12" t="n">
        <v>0</v>
      </c>
      <c r="L104" s="12" t="n">
        <v>305.48</v>
      </c>
      <c r="M104" s="12" t="n">
        <v>30.52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14</v>
      </c>
      <c r="R104" s="11">
        <f>IFERROR(INDEX(Tariffe!$E$2:$E$200,MATCH(E104,Tariffe!$A$2:$A$200,0))*1,1)</f>
        <v/>
      </c>
    </row>
    <row r="105">
      <c r="A105" s="23" t="inlineStr">
        <is>
          <t>20261031_2015</t>
        </is>
      </c>
      <c r="B105" s="13" t="n">
        <v>46326</v>
      </c>
      <c r="C105" s="14" t="n">
        <v>0.84375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1</v>
      </c>
      <c r="J105" s="16" t="n">
        <v>1536</v>
      </c>
      <c r="K105" s="16" t="n">
        <v>0</v>
      </c>
      <c r="L105" s="16" t="n">
        <v>1396.48</v>
      </c>
      <c r="M105" s="16" t="n">
        <v>139.52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32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288</v>
      </c>
      <c r="K106" s="12" t="n">
        <v>0</v>
      </c>
      <c r="L106" s="12" t="n">
        <v>261.84</v>
      </c>
      <c r="M106" s="12" t="n">
        <v>26.16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8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2</v>
      </c>
      <c r="J107" s="16" t="n">
        <v>660</v>
      </c>
      <c r="K107" s="16" t="n">
        <v>0</v>
      </c>
      <c r="L107" s="16" t="n">
        <v>600.05</v>
      </c>
      <c r="M107" s="16" t="n">
        <v>59.95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11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696</v>
      </c>
      <c r="K108" s="12" t="n">
        <v>0</v>
      </c>
      <c r="L108" s="12" t="n">
        <v>632.78</v>
      </c>
      <c r="M108" s="12" t="n">
        <v>63.22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29</v>
      </c>
      <c r="R108" s="11">
        <f>IFERROR(INDEX(Tariffe!$E$2:$E$200,MATCH(E108,Tariffe!$A$2:$A$200,0))*1,1)</f>
        <v/>
      </c>
    </row>
    <row r="109">
      <c r="A109" s="23" t="inlineStr">
        <is>
          <t>20261031_2115</t>
        </is>
      </c>
      <c r="B109" s="13" t="n">
        <v>46326</v>
      </c>
      <c r="C109" s="14" t="n">
        <v>0.8854166666666666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0</v>
      </c>
      <c r="J109" s="16" t="n">
        <v>1440</v>
      </c>
      <c r="K109" s="16" t="n">
        <v>0</v>
      </c>
      <c r="L109" s="16" t="n">
        <v>1309.2</v>
      </c>
      <c r="M109" s="16" t="n">
        <v>130.8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30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216</v>
      </c>
      <c r="K110" s="12" t="n">
        <v>0</v>
      </c>
      <c r="L110" s="12" t="n">
        <v>196.38</v>
      </c>
      <c r="M110" s="12" t="n">
        <v>19.62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6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360</v>
      </c>
      <c r="K111" s="16" t="n">
        <v>0</v>
      </c>
      <c r="L111" s="16" t="n">
        <v>327.3</v>
      </c>
      <c r="M111" s="16" t="n">
        <v>32.7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912</v>
      </c>
      <c r="K112" s="12" t="n">
        <v>0</v>
      </c>
      <c r="L112" s="12" t="n">
        <v>829.16</v>
      </c>
      <c r="M112" s="12" t="n">
        <v>82.84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38</v>
      </c>
      <c r="R112" s="11">
        <f>IFERROR(INDEX(Tariffe!$E$2:$E$200,MATCH(E112,Tariffe!$A$2:$A$200,0))*1,1)</f>
        <v/>
      </c>
    </row>
    <row r="113">
      <c r="A113" s="23" t="inlineStr">
        <is>
          <t>20261031_2215</t>
        </is>
      </c>
      <c r="B113" s="13" t="n">
        <v>46326</v>
      </c>
      <c r="C113" s="14" t="n">
        <v>0.9270833333333334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3</v>
      </c>
      <c r="J113" s="16" t="n">
        <v>1296</v>
      </c>
      <c r="K113" s="16" t="n">
        <v>0</v>
      </c>
      <c r="L113" s="16" t="n">
        <v>1178.28</v>
      </c>
      <c r="M113" s="16" t="n">
        <v>117.72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27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180</v>
      </c>
      <c r="K114" s="12" t="n">
        <v>0</v>
      </c>
      <c r="L114" s="12" t="n">
        <v>163.65</v>
      </c>
      <c r="M114" s="12" t="n">
        <v>16.35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5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I5 60€</t>
        </is>
      </c>
      <c r="F115" s="23">
        <f>IFERROR(INDEX(Tariffe!$B$2:$B$200,MATCH(E115,Tariffe!$A$2:$A$200,0)),"DA DEFINIRE")</f>
        <v/>
      </c>
      <c r="G115" s="16" t="n">
        <v>60</v>
      </c>
      <c r="H115" s="15">
        <f>Q115*R115</f>
        <v/>
      </c>
      <c r="I115" s="15" t="n">
        <v>0</v>
      </c>
      <c r="J115" s="16" t="n">
        <v>240</v>
      </c>
      <c r="K115" s="16" t="n">
        <v>0</v>
      </c>
      <c r="L115" s="16" t="n">
        <v>218.2</v>
      </c>
      <c r="M115" s="16" t="n">
        <v>21.8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4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1056</v>
      </c>
      <c r="K116" s="12" t="n">
        <v>0</v>
      </c>
      <c r="L116" s="12" t="n">
        <v>960.08</v>
      </c>
      <c r="M116" s="12" t="n">
        <v>95.92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44</v>
      </c>
      <c r="R116" s="11">
        <f>IFERROR(INDEX(Tariffe!$E$2:$E$200,MATCH(E116,Tariffe!$A$2:$A$200,0))*1,1)</f>
        <v/>
      </c>
    </row>
    <row r="117">
      <c r="A117" s="23" t="inlineStr">
        <is>
          <t>20261031_2315</t>
        </is>
      </c>
      <c r="B117" s="13" t="n">
        <v>46326</v>
      </c>
      <c r="C117" s="14" t="n">
        <v>0.96875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1968</v>
      </c>
      <c r="K117" s="16" t="n">
        <v>0</v>
      </c>
      <c r="L117" s="16" t="n">
        <v>1789.24</v>
      </c>
      <c r="M117" s="16" t="n">
        <v>178.76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41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108</v>
      </c>
      <c r="K118" s="12" t="n">
        <v>0</v>
      </c>
      <c r="L118" s="12" t="n">
        <v>98.19</v>
      </c>
      <c r="M118" s="12" t="n">
        <v>9.81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3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I5 60€</t>
        </is>
      </c>
      <c r="F119" s="23">
        <f>IFERROR(INDEX(Tariffe!$B$2:$B$200,MATCH(E119,Tariffe!$A$2:$A$200,0)),"DA DEFINIRE")</f>
        <v/>
      </c>
      <c r="G119" s="16" t="n">
        <v>60</v>
      </c>
      <c r="H119" s="15">
        <f>Q119*R119</f>
        <v/>
      </c>
      <c r="I119" s="15" t="n">
        <v>0</v>
      </c>
      <c r="J119" s="16" t="n">
        <v>300</v>
      </c>
      <c r="K119" s="16" t="n">
        <v>0</v>
      </c>
      <c r="L119" s="16" t="n">
        <v>272.75</v>
      </c>
      <c r="M119" s="16" t="n">
        <v>27.25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744</v>
      </c>
      <c r="K120" s="12" t="n">
        <v>0</v>
      </c>
      <c r="L120" s="12" t="n">
        <v>676.42</v>
      </c>
      <c r="M120" s="12" t="n">
        <v>67.58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31</v>
      </c>
      <c r="R120" s="11">
        <f>IFERROR(INDEX(Tariffe!$E$2:$E$200,MATCH(E120,Tariffe!$A$2:$A$200,0))*1,1)</f>
        <v/>
      </c>
    </row>
    <row r="121">
      <c r="A121" s="23" t="inlineStr">
        <is>
          <t>20261031_2359</t>
        </is>
      </c>
      <c r="B121" s="13" t="n">
        <v>46326</v>
      </c>
      <c r="C121" s="14" t="n">
        <v>0.9993055555555556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2256</v>
      </c>
      <c r="K121" s="16" t="n">
        <v>0</v>
      </c>
      <c r="L121" s="16" t="n">
        <v>2051.08</v>
      </c>
      <c r="M121" s="16" t="n">
        <v>204.92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47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36</v>
      </c>
      <c r="K122" s="12" t="n">
        <v>0</v>
      </c>
      <c r="L122" s="12" t="n">
        <v>32.73</v>
      </c>
      <c r="M122" s="12" t="n">
        <v>3.27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300</v>
      </c>
      <c r="K123" s="16" t="n">
        <v>0</v>
      </c>
      <c r="L123" s="16" t="n">
        <v>272.75</v>
      </c>
      <c r="M123" s="16" t="n">
        <v>27.25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5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648</v>
      </c>
      <c r="K124" s="12" t="n">
        <v>0</v>
      </c>
      <c r="L124" s="12" t="n">
        <v>589.14</v>
      </c>
      <c r="M124" s="12" t="n">
        <v>58.86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27</v>
      </c>
      <c r="R124" s="11">
        <f>IFERROR(INDEX(Tariffe!$E$2:$E$200,MATCH(E124,Tariffe!$A$2:$A$200,0))*1,1)</f>
        <v/>
      </c>
    </row>
    <row r="125">
      <c r="A125" s="23" t="inlineStr">
        <is>
          <t>20261101_1915</t>
        </is>
      </c>
      <c r="B125" s="13" t="n">
        <v>46327</v>
      </c>
      <c r="C125" s="14" t="n">
        <v>0.8020833333333334</v>
      </c>
      <c r="D125" s="23" t="inlineStr">
        <is>
          <t>UN Unico</t>
        </is>
      </c>
      <c r="E125" s="23" t="inlineStr">
        <is>
          <t>I1 48€</t>
        </is>
      </c>
      <c r="F125" s="23">
        <f>IFERROR(INDEX(Tariffe!$B$2:$B$200,MATCH(E125,Tariffe!$A$2:$A$200,0)),"DA DEFINIRE")</f>
        <v/>
      </c>
      <c r="G125" s="16" t="n">
        <v>48</v>
      </c>
      <c r="H125" s="15">
        <f>Q125*R125</f>
        <v/>
      </c>
      <c r="I125" s="15" t="n">
        <v>0</v>
      </c>
      <c r="J125" s="16" t="n">
        <v>48</v>
      </c>
      <c r="K125" s="16" t="n">
        <v>0</v>
      </c>
      <c r="L125" s="16" t="n">
        <v>43.64</v>
      </c>
      <c r="M125" s="16" t="n">
        <v>4.36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1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I2 36€</t>
        </is>
      </c>
      <c r="F126" s="22">
        <f>IFERROR(INDEX(Tariffe!$B$2:$B$200,MATCH(E126,Tariffe!$A$2:$A$200,0)),"DA DEFINIRE")</f>
        <v/>
      </c>
      <c r="G126" s="12" t="n">
        <v>36</v>
      </c>
      <c r="H126" s="11">
        <f>Q126*R126</f>
        <v/>
      </c>
      <c r="I126" s="11" t="n">
        <v>0</v>
      </c>
      <c r="J126" s="12" t="n">
        <v>72</v>
      </c>
      <c r="K126" s="12" t="n">
        <v>0</v>
      </c>
      <c r="L126" s="12" t="n">
        <v>65.45999999999999</v>
      </c>
      <c r="M126" s="12" t="n">
        <v>6.54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120</v>
      </c>
      <c r="K127" s="16" t="n">
        <v>0</v>
      </c>
      <c r="L127" s="16" t="n">
        <v>109.1</v>
      </c>
      <c r="M127" s="16" t="n">
        <v>10.9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24</v>
      </c>
      <c r="K128" s="12" t="n">
        <v>0</v>
      </c>
      <c r="L128" s="12" t="n">
        <v>21.82</v>
      </c>
      <c r="M128" s="12" t="n">
        <v>2.18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</v>
      </c>
      <c r="R128" s="11">
        <f>IFERROR(INDEX(Tariffe!$E$2:$E$200,MATCH(E128,Tariffe!$A$2:$A$200,0))*1,1)</f>
        <v/>
      </c>
    </row>
    <row r="129">
      <c r="A129" s="23" t="inlineStr">
        <is>
          <t>20261101_2015</t>
        </is>
      </c>
      <c r="B129" s="13" t="n">
        <v>46327</v>
      </c>
      <c r="C129" s="14" t="n">
        <v>0.84375</v>
      </c>
      <c r="D129" s="23" t="inlineStr">
        <is>
          <t>UN Unico</t>
        </is>
      </c>
      <c r="E129" s="23" t="inlineStr">
        <is>
          <t>I1 48€</t>
        </is>
      </c>
      <c r="F129" s="23">
        <f>IFERROR(INDEX(Tariffe!$B$2:$B$200,MATCH(E129,Tariffe!$A$2:$A$200,0)),"DA DEFINIRE")</f>
        <v/>
      </c>
      <c r="G129" s="16" t="n">
        <v>48</v>
      </c>
      <c r="H129" s="15">
        <f>Q129*R129</f>
        <v/>
      </c>
      <c r="I129" s="15" t="n">
        <v>0</v>
      </c>
      <c r="J129" s="16" t="n">
        <v>576</v>
      </c>
      <c r="K129" s="16" t="n">
        <v>0</v>
      </c>
      <c r="L129" s="16" t="n">
        <v>523.6799999999999</v>
      </c>
      <c r="M129" s="16" t="n">
        <v>52.32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12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I2 36€</t>
        </is>
      </c>
      <c r="F130" s="22">
        <f>IFERROR(INDEX(Tariffe!$B$2:$B$200,MATCH(E130,Tariffe!$A$2:$A$200,0)),"DA DEFINIRE")</f>
        <v/>
      </c>
      <c r="G130" s="12" t="n">
        <v>36</v>
      </c>
      <c r="H130" s="11">
        <f>Q130*R130</f>
        <v/>
      </c>
      <c r="I130" s="11" t="n">
        <v>0</v>
      </c>
      <c r="J130" s="12" t="n">
        <v>72</v>
      </c>
      <c r="K130" s="12" t="n">
        <v>0</v>
      </c>
      <c r="L130" s="12" t="n">
        <v>65.45999999999999</v>
      </c>
      <c r="M130" s="12" t="n">
        <v>6.54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2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I5 60€</t>
        </is>
      </c>
      <c r="F131" s="23">
        <f>IFERROR(INDEX(Tariffe!$B$2:$B$200,MATCH(E131,Tariffe!$A$2:$A$200,0)),"DA DEFINIRE")</f>
        <v/>
      </c>
      <c r="G131" s="16" t="n">
        <v>60</v>
      </c>
      <c r="H131" s="15">
        <f>Q131*R131</f>
        <v/>
      </c>
      <c r="I131" s="15" t="n">
        <v>0</v>
      </c>
      <c r="J131" s="16" t="n">
        <v>120</v>
      </c>
      <c r="K131" s="16" t="n">
        <v>0</v>
      </c>
      <c r="L131" s="16" t="n">
        <v>109.1</v>
      </c>
      <c r="M131" s="16" t="n">
        <v>10.9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2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I8 24€</t>
        </is>
      </c>
      <c r="F132" s="22">
        <f>IFERROR(INDEX(Tariffe!$B$2:$B$200,MATCH(E132,Tariffe!$A$2:$A$200,0)),"DA DEFINIRE")</f>
        <v/>
      </c>
      <c r="G132" s="12" t="n">
        <v>24</v>
      </c>
      <c r="H132" s="11">
        <f>Q132*R132</f>
        <v/>
      </c>
      <c r="I132" s="11" t="n">
        <v>0</v>
      </c>
      <c r="J132" s="12" t="n">
        <v>144</v>
      </c>
      <c r="K132" s="12" t="n">
        <v>0</v>
      </c>
      <c r="L132" s="12" t="n">
        <v>130.92</v>
      </c>
      <c r="M132" s="12" t="n">
        <v>13.08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6</v>
      </c>
      <c r="R132" s="11">
        <f>IFERROR(INDEX(Tariffe!$E$2:$E$200,MATCH(E132,Tariffe!$A$2:$A$200,0))*1,1)</f>
        <v/>
      </c>
    </row>
    <row r="133">
      <c r="A133" s="23" t="inlineStr">
        <is>
          <t>20261101_2115</t>
        </is>
      </c>
      <c r="B133" s="13" t="n">
        <v>46327</v>
      </c>
      <c r="C133" s="14" t="n">
        <v>0.8854166666666666</v>
      </c>
      <c r="D133" s="23" t="inlineStr">
        <is>
          <t>UN Unico</t>
        </is>
      </c>
      <c r="E133" s="23" t="inlineStr">
        <is>
          <t>I1 48€</t>
        </is>
      </c>
      <c r="F133" s="23">
        <f>IFERROR(INDEX(Tariffe!$B$2:$B$200,MATCH(E133,Tariffe!$A$2:$A$200,0)),"DA DEFINIRE")</f>
        <v/>
      </c>
      <c r="G133" s="16" t="n">
        <v>48</v>
      </c>
      <c r="H133" s="15">
        <f>Q133*R133</f>
        <v/>
      </c>
      <c r="I133" s="15" t="n">
        <v>0</v>
      </c>
      <c r="J133" s="16" t="n">
        <v>576</v>
      </c>
      <c r="K133" s="16" t="n">
        <v>0</v>
      </c>
      <c r="L133" s="16" t="n">
        <v>523.6799999999999</v>
      </c>
      <c r="M133" s="16" t="n">
        <v>52.32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12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I2 36€</t>
        </is>
      </c>
      <c r="F134" s="22">
        <f>IFERROR(INDEX(Tariffe!$B$2:$B$200,MATCH(E134,Tariffe!$A$2:$A$200,0)),"DA DEFINIRE")</f>
        <v/>
      </c>
      <c r="G134" s="12" t="n">
        <v>36</v>
      </c>
      <c r="H134" s="11">
        <f>Q134*R134</f>
        <v/>
      </c>
      <c r="I134" s="11" t="n">
        <v>0</v>
      </c>
      <c r="J134" s="12" t="n">
        <v>144</v>
      </c>
      <c r="K134" s="12" t="n">
        <v>0</v>
      </c>
      <c r="L134" s="12" t="n">
        <v>130.92</v>
      </c>
      <c r="M134" s="12" t="n">
        <v>13.08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4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I5 60€</t>
        </is>
      </c>
      <c r="F135" s="23">
        <f>IFERROR(INDEX(Tariffe!$B$2:$B$200,MATCH(E135,Tariffe!$A$2:$A$200,0)),"DA DEFINIRE")</f>
        <v/>
      </c>
      <c r="G135" s="16" t="n">
        <v>60</v>
      </c>
      <c r="H135" s="15">
        <f>Q135*R135</f>
        <v/>
      </c>
      <c r="I135" s="15" t="n">
        <v>0</v>
      </c>
      <c r="J135" s="16" t="n">
        <v>300</v>
      </c>
      <c r="K135" s="16" t="n">
        <v>0</v>
      </c>
      <c r="L135" s="16" t="n">
        <v>272.75</v>
      </c>
      <c r="M135" s="16" t="n">
        <v>27.25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5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I8 24€</t>
        </is>
      </c>
      <c r="F136" s="22">
        <f>IFERROR(INDEX(Tariffe!$B$2:$B$200,MATCH(E136,Tariffe!$A$2:$A$200,0)),"DA DEFINIRE")</f>
        <v/>
      </c>
      <c r="G136" s="12" t="n">
        <v>24</v>
      </c>
      <c r="H136" s="11">
        <f>Q136*R136</f>
        <v/>
      </c>
      <c r="I136" s="11" t="n">
        <v>0</v>
      </c>
      <c r="J136" s="12" t="n">
        <v>360</v>
      </c>
      <c r="K136" s="12" t="n">
        <v>0</v>
      </c>
      <c r="L136" s="12" t="n">
        <v>327.3</v>
      </c>
      <c r="M136" s="12" t="n">
        <v>32.7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15</v>
      </c>
      <c r="R136" s="11">
        <f>IFERROR(INDEX(Tariffe!$E$2:$E$200,MATCH(E136,Tariffe!$A$2:$A$200,0))*1,1)</f>
        <v/>
      </c>
    </row>
    <row r="137">
      <c r="A137" s="23" t="inlineStr">
        <is>
          <t>20261101_2215</t>
        </is>
      </c>
      <c r="B137" s="13" t="n">
        <v>46327</v>
      </c>
      <c r="C137" s="14" t="n">
        <v>0.9270833333333334</v>
      </c>
      <c r="D137" s="23" t="inlineStr">
        <is>
          <t>UN Unico</t>
        </is>
      </c>
      <c r="E137" s="23" t="inlineStr">
        <is>
          <t>I1 48€</t>
        </is>
      </c>
      <c r="F137" s="23">
        <f>IFERROR(INDEX(Tariffe!$B$2:$B$200,MATCH(E137,Tariffe!$A$2:$A$200,0)),"DA DEFINIRE")</f>
        <v/>
      </c>
      <c r="G137" s="16" t="n">
        <v>48</v>
      </c>
      <c r="H137" s="15">
        <f>Q137*R137</f>
        <v/>
      </c>
      <c r="I137" s="15" t="n">
        <v>0</v>
      </c>
      <c r="J137" s="16" t="n">
        <v>1200</v>
      </c>
      <c r="K137" s="16" t="n">
        <v>0</v>
      </c>
      <c r="L137" s="16" t="n">
        <v>1091</v>
      </c>
      <c r="M137" s="16" t="n">
        <v>109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25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I2 36€</t>
        </is>
      </c>
      <c r="F138" s="22">
        <f>IFERROR(INDEX(Tariffe!$B$2:$B$200,MATCH(E138,Tariffe!$A$2:$A$200,0)),"DA DEFINIRE")</f>
        <v/>
      </c>
      <c r="G138" s="12" t="n">
        <v>36</v>
      </c>
      <c r="H138" s="11">
        <f>Q138*R138</f>
        <v/>
      </c>
      <c r="I138" s="11" t="n">
        <v>0</v>
      </c>
      <c r="J138" s="12" t="n">
        <v>144</v>
      </c>
      <c r="K138" s="12" t="n">
        <v>0</v>
      </c>
      <c r="L138" s="12" t="n">
        <v>130.92</v>
      </c>
      <c r="M138" s="12" t="n">
        <v>13.08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4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I5 60€</t>
        </is>
      </c>
      <c r="F139" s="23">
        <f>IFERROR(INDEX(Tariffe!$B$2:$B$200,MATCH(E139,Tariffe!$A$2:$A$200,0)),"DA DEFINIRE")</f>
        <v/>
      </c>
      <c r="G139" s="16" t="n">
        <v>60</v>
      </c>
      <c r="H139" s="15">
        <f>Q139*R139</f>
        <v/>
      </c>
      <c r="I139" s="15" t="n">
        <v>0</v>
      </c>
      <c r="J139" s="16" t="n">
        <v>180</v>
      </c>
      <c r="K139" s="16" t="n">
        <v>0</v>
      </c>
      <c r="L139" s="16" t="n">
        <v>163.65</v>
      </c>
      <c r="M139" s="16" t="n">
        <v>16.35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3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I8 24€</t>
        </is>
      </c>
      <c r="F140" s="22">
        <f>IFERROR(INDEX(Tariffe!$B$2:$B$200,MATCH(E140,Tariffe!$A$2:$A$200,0)),"DA DEFINIRE")</f>
        <v/>
      </c>
      <c r="G140" s="12" t="n">
        <v>24</v>
      </c>
      <c r="H140" s="11">
        <f>Q140*R140</f>
        <v/>
      </c>
      <c r="I140" s="11" t="n">
        <v>0</v>
      </c>
      <c r="J140" s="12" t="n">
        <v>576</v>
      </c>
      <c r="K140" s="12" t="n">
        <v>0</v>
      </c>
      <c r="L140" s="12" t="n">
        <v>523.6799999999999</v>
      </c>
      <c r="M140" s="12" t="n">
        <v>52.32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24</v>
      </c>
      <c r="R140" s="11">
        <f>IFERROR(INDEX(Tariffe!$E$2:$E$200,MATCH(E140,Tariffe!$A$2:$A$200,0))*1,1)</f>
        <v/>
      </c>
    </row>
    <row r="141">
      <c r="A141" s="23" t="inlineStr">
        <is>
          <t>20261101_2315</t>
        </is>
      </c>
      <c r="B141" s="13" t="n">
        <v>46327</v>
      </c>
      <c r="C141" s="14" t="n">
        <v>0.96875</v>
      </c>
      <c r="D141" s="23" t="inlineStr">
        <is>
          <t>UN Unico</t>
        </is>
      </c>
      <c r="E141" s="23" t="inlineStr">
        <is>
          <t>I1 48€</t>
        </is>
      </c>
      <c r="F141" s="23">
        <f>IFERROR(INDEX(Tariffe!$B$2:$B$200,MATCH(E141,Tariffe!$A$2:$A$200,0)),"DA DEFINIRE")</f>
        <v/>
      </c>
      <c r="G141" s="16" t="n">
        <v>48</v>
      </c>
      <c r="H141" s="15">
        <f>Q141*R141</f>
        <v/>
      </c>
      <c r="I141" s="15" t="n">
        <v>0</v>
      </c>
      <c r="J141" s="16" t="n">
        <v>240</v>
      </c>
      <c r="K141" s="16" t="n">
        <v>0</v>
      </c>
      <c r="L141" s="16" t="n">
        <v>218.2</v>
      </c>
      <c r="M141" s="16" t="n">
        <v>21.8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5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I2 36€</t>
        </is>
      </c>
      <c r="F142" s="22">
        <f>IFERROR(INDEX(Tariffe!$B$2:$B$200,MATCH(E142,Tariffe!$A$2:$A$200,0)),"DA DEFINIRE")</f>
        <v/>
      </c>
      <c r="G142" s="12" t="n">
        <v>36</v>
      </c>
      <c r="H142" s="11">
        <f>Q142*R142</f>
        <v/>
      </c>
      <c r="I142" s="11" t="n">
        <v>0</v>
      </c>
      <c r="J142" s="12" t="n">
        <v>180</v>
      </c>
      <c r="K142" s="12" t="n">
        <v>0</v>
      </c>
      <c r="L142" s="12" t="n">
        <v>163.65</v>
      </c>
      <c r="M142" s="12" t="n">
        <v>16.35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5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I5 60€</t>
        </is>
      </c>
      <c r="F143" s="23">
        <f>IFERROR(INDEX(Tariffe!$B$2:$B$200,MATCH(E143,Tariffe!$A$2:$A$200,0)),"DA DEFINIRE")</f>
        <v/>
      </c>
      <c r="G143" s="16" t="n">
        <v>60</v>
      </c>
      <c r="H143" s="15">
        <f>Q143*R143</f>
        <v/>
      </c>
      <c r="I143" s="15" t="n">
        <v>0</v>
      </c>
      <c r="J143" s="16" t="n">
        <v>300</v>
      </c>
      <c r="K143" s="16" t="n">
        <v>0</v>
      </c>
      <c r="L143" s="16" t="n">
        <v>272.75</v>
      </c>
      <c r="M143" s="16" t="n">
        <v>27.25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5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I8 24€</t>
        </is>
      </c>
      <c r="F144" s="22">
        <f>IFERROR(INDEX(Tariffe!$B$2:$B$200,MATCH(E144,Tariffe!$A$2:$A$200,0)),"DA DEFINIRE")</f>
        <v/>
      </c>
      <c r="G144" s="12" t="n">
        <v>24</v>
      </c>
      <c r="H144" s="11">
        <f>Q144*R144</f>
        <v/>
      </c>
      <c r="I144" s="11" t="n">
        <v>0</v>
      </c>
      <c r="J144" s="12" t="n">
        <v>120</v>
      </c>
      <c r="K144" s="12" t="n">
        <v>0</v>
      </c>
      <c r="L144" s="12" t="n">
        <v>109.1</v>
      </c>
      <c r="M144" s="12" t="n">
        <v>10.9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5</v>
      </c>
      <c r="R144" s="11">
        <f>IFERROR(INDEX(Tariffe!$E$2:$E$200,MATCH(E144,Tariffe!$A$2:$A$200,0))*1,1)</f>
        <v/>
      </c>
    </row>
    <row r="145">
      <c r="A145" s="23" t="inlineStr">
        <is>
          <t>20261101_2359</t>
        </is>
      </c>
      <c r="B145" s="13" t="n">
        <v>46327</v>
      </c>
      <c r="C145" s="14" t="n">
        <v>0.9993055555555556</v>
      </c>
      <c r="D145" s="23" t="inlineStr">
        <is>
          <t>UN Unico</t>
        </is>
      </c>
      <c r="E145" s="23" t="inlineStr">
        <is>
          <t>I1 48€</t>
        </is>
      </c>
      <c r="F145" s="23">
        <f>IFERROR(INDEX(Tariffe!$B$2:$B$200,MATCH(E145,Tariffe!$A$2:$A$200,0)),"DA DEFINIRE")</f>
        <v/>
      </c>
      <c r="G145" s="16" t="n">
        <v>48</v>
      </c>
      <c r="H145" s="15">
        <f>Q145*R145</f>
        <v/>
      </c>
      <c r="I145" s="15" t="n">
        <v>0</v>
      </c>
      <c r="J145" s="16" t="n">
        <v>192</v>
      </c>
      <c r="K145" s="16" t="n">
        <v>0</v>
      </c>
      <c r="L145" s="16" t="n">
        <v>174.56</v>
      </c>
      <c r="M145" s="16" t="n">
        <v>17.44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4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I5 60€</t>
        </is>
      </c>
      <c r="F146" s="22">
        <f>IFERROR(INDEX(Tariffe!$B$2:$B$200,MATCH(E146,Tariffe!$A$2:$A$200,0)),"DA DEFINIRE")</f>
        <v/>
      </c>
      <c r="G146" s="12" t="n">
        <v>60</v>
      </c>
      <c r="H146" s="11">
        <f>Q146*R146</f>
        <v/>
      </c>
      <c r="I146" s="11" t="n">
        <v>0</v>
      </c>
      <c r="J146" s="12" t="n">
        <v>60</v>
      </c>
      <c r="K146" s="12" t="n">
        <v>0</v>
      </c>
      <c r="L146" s="12" t="n">
        <v>54.55</v>
      </c>
      <c r="M146" s="12" t="n">
        <v>5.45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1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I8 24€</t>
        </is>
      </c>
      <c r="F147" s="23">
        <f>IFERROR(INDEX(Tariffe!$B$2:$B$200,MATCH(E147,Tariffe!$A$2:$A$200,0)),"DA DEFINIRE")</f>
        <v/>
      </c>
      <c r="G147" s="16" t="n">
        <v>24</v>
      </c>
      <c r="H147" s="15">
        <f>Q147*R147</f>
        <v/>
      </c>
      <c r="I147" s="15" t="n">
        <v>0</v>
      </c>
      <c r="J147" s="16" t="n">
        <v>72</v>
      </c>
      <c r="K147" s="16" t="n">
        <v>0</v>
      </c>
      <c r="L147" s="16" t="n">
        <v>65.45999999999999</v>
      </c>
      <c r="M147" s="16" t="n">
        <v>6.54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3</v>
      </c>
      <c r="R147" s="15">
        <f>IFERROR(INDEX(Tariffe!$E$2:$E$200,MATCH(E147,Tariffe!$A$2:$A$200,0))*1,1)</f>
        <v/>
      </c>
    </row>
    <row r="148">
      <c r="A148" s="22" t="inlineStr">
        <is>
          <t>20261102_2015</t>
        </is>
      </c>
      <c r="B148" s="9" t="n">
        <v>46328</v>
      </c>
      <c r="C148" s="10" t="n">
        <v>0.84375</v>
      </c>
      <c r="D148" s="22" t="inlineStr">
        <is>
          <t>UN Unico</t>
        </is>
      </c>
      <c r="E148" s="22" t="inlineStr">
        <is>
          <t>I1 15€</t>
        </is>
      </c>
      <c r="F148" s="22">
        <f>IFERROR(INDEX(Tariffe!$B$2:$B$200,MATCH(E148,Tariffe!$A$2:$A$200,0)),"DA DEFINIRE")</f>
        <v/>
      </c>
      <c r="G148" s="12" t="n">
        <v>15</v>
      </c>
      <c r="H148" s="11">
        <f>Q148*R148</f>
        <v/>
      </c>
      <c r="I148" s="11" t="n">
        <v>0</v>
      </c>
      <c r="J148" s="12" t="n">
        <v>30</v>
      </c>
      <c r="K148" s="12" t="n">
        <v>0</v>
      </c>
      <c r="L148" s="12" t="n">
        <v>27.28</v>
      </c>
      <c r="M148" s="12" t="n">
        <v>2.72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2</v>
      </c>
      <c r="R148" s="11">
        <f>IFERROR(INDEX(Tariffe!$E$2:$E$200,MATCH(E148,Tariffe!$A$2:$A$200,0))*1,1)</f>
        <v/>
      </c>
    </row>
    <row r="149">
      <c r="A149" s="23" t="inlineStr">
        <is>
          <t>20261102_2215</t>
        </is>
      </c>
      <c r="B149" s="13" t="n">
        <v>46328</v>
      </c>
      <c r="C149" s="14" t="n">
        <v>0.9270833333333334</v>
      </c>
      <c r="D149" s="23" t="inlineStr">
        <is>
          <t>UN Unico</t>
        </is>
      </c>
      <c r="E149" s="23" t="inlineStr">
        <is>
          <t>I1 15€</t>
        </is>
      </c>
      <c r="F149" s="23">
        <f>IFERROR(INDEX(Tariffe!$B$2:$B$200,MATCH(E149,Tariffe!$A$2:$A$200,0)),"DA DEFINIRE")</f>
        <v/>
      </c>
      <c r="G149" s="16" t="n">
        <v>15</v>
      </c>
      <c r="H149" s="15">
        <f>Q149*R149</f>
        <v/>
      </c>
      <c r="I149" s="15" t="n">
        <v>0</v>
      </c>
      <c r="J149" s="16" t="n">
        <v>90</v>
      </c>
      <c r="K149" s="16" t="n">
        <v>0</v>
      </c>
      <c r="L149" s="16" t="n">
        <v>81.84</v>
      </c>
      <c r="M149" s="16" t="n">
        <v>8.16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6</v>
      </c>
      <c r="R149" s="15">
        <f>IFERROR(INDEX(Tariffe!$E$2:$E$200,MATCH(E149,Tariffe!$A$2:$A$200,0))*1,1)</f>
        <v/>
      </c>
    </row>
    <row r="150">
      <c r="A150" s="22" t="inlineStr">
        <is>
          <t>20261102_2315</t>
        </is>
      </c>
      <c r="B150" s="9" t="n">
        <v>46328</v>
      </c>
      <c r="C150" s="10" t="n">
        <v>0.96875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45</v>
      </c>
      <c r="K150" s="12" t="n">
        <v>0</v>
      </c>
      <c r="L150" s="12" t="n">
        <v>40.92</v>
      </c>
      <c r="M150" s="12" t="n">
        <v>4.08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3</v>
      </c>
      <c r="R150" s="11">
        <f>IFERROR(INDEX(Tariffe!$E$2:$E$200,MATCH(E150,Tariffe!$A$2:$A$200,0))*1,1)</f>
        <v/>
      </c>
    </row>
    <row r="151">
      <c r="A151" s="23" t="inlineStr">
        <is>
          <t>20261102_2359</t>
        </is>
      </c>
      <c r="B151" s="13" t="n">
        <v>46328</v>
      </c>
      <c r="C151" s="14" t="n">
        <v>0.9993055555555556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15</v>
      </c>
      <c r="K151" s="16" t="n">
        <v>0</v>
      </c>
      <c r="L151" s="16" t="n">
        <v>13.64</v>
      </c>
      <c r="M151" s="16" t="n">
        <v>1.36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1</v>
      </c>
      <c r="R151" s="15">
        <f>IFERROR(INDEX(Tariffe!$E$2:$E$200,MATCH(E151,Tariffe!$A$2:$A$200,0))*1,1)</f>
        <v/>
      </c>
    </row>
  </sheetData>
  <autoFilter ref="A1:R15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</sheetData>
  <autoFilter ref="A1:G82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</sheetData>
  <autoFilter ref="A1:K149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47</v>
      </c>
      <c r="H4" s="11" t="n">
        <v>163</v>
      </c>
      <c r="I4" s="12" t="n">
        <v>1956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32</v>
      </c>
      <c r="H5" s="11" t="n">
        <v>104</v>
      </c>
      <c r="I5" s="12" t="n">
        <v>1248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4</v>
      </c>
      <c r="H6" s="11" t="n">
        <v>13</v>
      </c>
      <c r="I6" s="12" t="n">
        <v>156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22</v>
      </c>
      <c r="H12" s="11" t="n">
        <v>61</v>
      </c>
      <c r="I12" s="12" t="n">
        <v>732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38</v>
      </c>
      <c r="H13" s="11" t="n">
        <v>114</v>
      </c>
      <c r="I13" s="12" t="n">
        <v>1368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67</v>
      </c>
      <c r="H14" s="11" t="n">
        <v>210</v>
      </c>
      <c r="I14" s="12" t="n">
        <v>2520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88</v>
      </c>
      <c r="H15" s="11" t="n">
        <v>277</v>
      </c>
      <c r="I15" s="12" t="n">
        <v>3324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88</v>
      </c>
      <c r="H16" s="11" t="n">
        <v>271</v>
      </c>
      <c r="I16" s="12" t="n">
        <v>3252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121</v>
      </c>
      <c r="H17" s="11" t="n">
        <v>367</v>
      </c>
      <c r="I17" s="12" t="n">
        <v>4404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157</v>
      </c>
      <c r="H18" s="11" t="n">
        <v>500</v>
      </c>
      <c r="I18" s="12" t="n">
        <v>6000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128</v>
      </c>
      <c r="H19" s="11" t="n">
        <v>423</v>
      </c>
      <c r="I19" s="12" t="n">
        <v>5076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162</v>
      </c>
      <c r="H20" s="11" t="n">
        <v>514</v>
      </c>
      <c r="I20" s="12" t="n">
        <v>6168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128</v>
      </c>
      <c r="H21" s="11" t="n">
        <v>385</v>
      </c>
      <c r="I21" s="12" t="n">
        <v>4620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199</v>
      </c>
      <c r="H22" s="11" t="n">
        <v>607</v>
      </c>
      <c r="I22" s="12" t="n">
        <v>7284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209</v>
      </c>
      <c r="H23" s="11" t="n">
        <v>642</v>
      </c>
      <c r="I23" s="12" t="n">
        <v>7704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125</v>
      </c>
      <c r="H24" s="11" t="n">
        <v>390</v>
      </c>
      <c r="I24" s="12" t="n">
        <v>4686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239</v>
      </c>
      <c r="H25" s="11" t="n">
        <v>763</v>
      </c>
      <c r="I25" s="12" t="n">
        <v>9165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191</v>
      </c>
      <c r="H26" s="11" t="n">
        <v>609</v>
      </c>
      <c r="I26" s="12" t="n">
        <v>7320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119</v>
      </c>
      <c r="H27" s="11" t="n">
        <v>401</v>
      </c>
      <c r="I27" s="12" t="n">
        <v>4821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2026-10-28T23:12:38Z</dcterms:created>
  <dcterms:modified xsi:type="dcterms:W3CDTF">2026-10-28T23:12:39Z</dcterms:modified>
</cp:coreProperties>
</file>