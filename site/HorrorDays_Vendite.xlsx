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'Spettacoli'!$A$1:$R$53</definedName>
    <definedName name="_xlnm._FilterDatabase" localSheetId="4" hidden="1">'Vendite'!$A$1:$R$153</definedName>
    <definedName name="_xlnm._FilterDatabase" localSheetId="5" hidden="1">'Per tariffa'!$A$1:$G$6</definedName>
    <definedName name="_xlnm._FilterDatabase" localSheetId="6" hidden="1">'Per serata'!$A$1:$U$10</definedName>
    <definedName name="_xlnm._FilterDatabase" localSheetId="7" hidden="1">'Storico'!$A$1:$G$889</definedName>
    <definedName name="_xlnm._FilterDatabase" localSheetId="8" hidden="1">'Registro vendite'!$A$1:$K$1688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serata'!$V$2:$V$10</f>
            </numRef>
          </cat>
          <val>
            <numRef>
              <f>'Per serata'!$R$2:$R$10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serata'!$V$2:$V$10</f>
            </numRef>
          </cat>
          <val>
            <numRef>
              <f>'Per serata'!$S$2:$S$10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serata'!$V$2:$V$10</f>
            </numRef>
          </cat>
          <val>
            <numRef>
              <f>'Per serata'!$T$2:$T$10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serata'!$V$2:$V$10</f>
            </numRef>
          </cat>
          <val>
            <numRef>
              <f>'Per serata'!$U$2:$U$10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'Storico'!$H$2:$H$889</f>
            </numRef>
          </cat>
          <val>
            <numRef>
              <f>'Storico'!$C$2:$C$889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vendite'!$A$4:$A$29</f>
            </numRef>
          </cat>
          <val>
            <numRef>
              <f>'Picchi vendite'!$B$4:$B$29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INDEX(Spettacoli!$B$2:$B$53,MATCH(LARGE(Spettacoli!$R$2:$R$53,1),Spettacoli!$R$2:$R$53,0))</f>
        <v/>
      </c>
      <c r="L6" s="10">
        <f>INDEX(Spettacoli!$D$2:$D$53,MATCH(LARGE(Spettacoli!$R$2:$R$53,1),Spettacoli!$R$2:$R$53,0))</f>
        <v/>
      </c>
      <c r="M6" s="11">
        <f>INDEX(Spettacoli!$F$2:$F$53,MATCH(LARGE(Spettacoli!$R$2:$R$53,1),Spettacoli!$R$2:$R$53,0))</f>
        <v/>
      </c>
      <c r="N6" s="11">
        <f>INDEX(Spettacoli!$G$2:$G$53,MATCH(LARGE(Spettacoli!$R$2:$R$53,1),Spettacoli!$R$2:$R$53,0))</f>
        <v/>
      </c>
      <c r="O6" s="12">
        <f>INDEX(Spettacoli!$M$2:$M$53,MATCH(LARGE(Spettacoli!$R$2:$R$53,1),Spettacoli!$R$2:$R$53,0))</f>
        <v/>
      </c>
    </row>
    <row r="7">
      <c r="K7" s="13">
        <f>INDEX(Spettacoli!$B$2:$B$53,MATCH(LARGE(Spettacoli!$R$2:$R$53,2),Spettacoli!$R$2:$R$53,0))</f>
        <v/>
      </c>
      <c r="L7" s="14">
        <f>INDEX(Spettacoli!$D$2:$D$53,MATCH(LARGE(Spettacoli!$R$2:$R$53,2),Spettacoli!$R$2:$R$53,0))</f>
        <v/>
      </c>
      <c r="M7" s="15">
        <f>INDEX(Spettacoli!$F$2:$F$53,MATCH(LARGE(Spettacoli!$R$2:$R$53,2),Spettacoli!$R$2:$R$53,0))</f>
        <v/>
      </c>
      <c r="N7" s="15">
        <f>INDEX(Spettacoli!$G$2:$G$53,MATCH(LARGE(Spettacoli!$R$2:$R$53,2),Spettacoli!$R$2:$R$53,0))</f>
        <v/>
      </c>
      <c r="O7" s="16">
        <f>INDEX(Spettacoli!$M$2:$M$53,MATCH(LARGE(Spettacoli!$R$2:$R$53,2),Spettacoli!$R$2:$R$53,0))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INDEX(Spettacoli!$B$2:$B$53,MATCH(LARGE(Spettacoli!$R$2:$R$53,3),Spettacoli!$R$2:$R$53,0))</f>
        <v/>
      </c>
      <c r="L8" s="10">
        <f>INDEX(Spettacoli!$D$2:$D$53,MATCH(LARGE(Spettacoli!$R$2:$R$53,3),Spettacoli!$R$2:$R$53,0))</f>
        <v/>
      </c>
      <c r="M8" s="11">
        <f>INDEX(Spettacoli!$F$2:$F$53,MATCH(LARGE(Spettacoli!$R$2:$R$53,3),Spettacoli!$R$2:$R$53,0))</f>
        <v/>
      </c>
      <c r="N8" s="11">
        <f>INDEX(Spettacoli!$G$2:$G$53,MATCH(LARGE(Spettacoli!$R$2:$R$53,3),Spettacoli!$R$2:$R$53,0))</f>
        <v/>
      </c>
      <c r="O8" s="12">
        <f>INDEX(Spettacoli!$M$2:$M$53,MATCH(LARGE(Spettacoli!$R$2:$R$53,3),Spettacoli!$R$2:$R$53,0))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IF(SUM(Spettacoli!E2:E53)&gt;0,SUM(Spettacoli!F2:F53)/SUM(Spettacoli!E2:E53),0)</f>
        <v/>
      </c>
      <c r="F9" s="5" t="n"/>
      <c r="H9" s="19">
        <f>COUNTIF(Spettacoli!$Q$2:$Q$53,"Venduto")&amp;" / "&amp;COUNTA(Spettacoli!A2:A53)</f>
        <v/>
      </c>
      <c r="I9" s="5" t="n"/>
      <c r="K9" s="13">
        <f>INDEX(Spettacoli!$B$2:$B$53,MATCH(LARGE(Spettacoli!$R$2:$R$53,4),Spettacoli!$R$2:$R$53,0))</f>
        <v/>
      </c>
      <c r="L9" s="14">
        <f>INDEX(Spettacoli!$D$2:$D$53,MATCH(LARGE(Spettacoli!$R$2:$R$53,4),Spettacoli!$R$2:$R$53,0))</f>
        <v/>
      </c>
      <c r="M9" s="15">
        <f>INDEX(Spettacoli!$F$2:$F$53,MATCH(LARGE(Spettacoli!$R$2:$R$53,4),Spettacoli!$R$2:$R$53,0))</f>
        <v/>
      </c>
      <c r="N9" s="15">
        <f>INDEX(Spettacoli!$G$2:$G$53,MATCH(LARGE(Spettacoli!$R$2:$R$53,4),Spettacoli!$R$2:$R$53,0))</f>
        <v/>
      </c>
      <c r="O9" s="16">
        <f>INDEX(Spettacoli!$M$2:$M$53,MATCH(LARGE(Spettacoli!$R$2:$R$53,4),Spettacoli!$R$2:$R$53,0))</f>
        <v/>
      </c>
    </row>
    <row r="10">
      <c r="K10" s="9">
        <f>INDEX(Spettacoli!$B$2:$B$53,MATCH(LARGE(Spettacoli!$R$2:$R$53,5),Spettacoli!$R$2:$R$53,0))</f>
        <v/>
      </c>
      <c r="L10" s="10">
        <f>INDEX(Spettacoli!$D$2:$D$53,MATCH(LARGE(Spettacoli!$R$2:$R$53,5),Spettacoli!$R$2:$R$53,0))</f>
        <v/>
      </c>
      <c r="M10" s="11">
        <f>INDEX(Spettacoli!$F$2:$F$53,MATCH(LARGE(Spettacoli!$R$2:$R$53,5),Spettacoli!$R$2:$R$53,0))</f>
        <v/>
      </c>
      <c r="N10" s="11">
        <f>INDEX(Spettacoli!$G$2:$G$53,MATCH(LARGE(Spettacoli!$R$2:$R$53,5),Spettacoli!$R$2:$R$53,0))</f>
        <v/>
      </c>
      <c r="O10" s="12">
        <f>INDEX(Spettacoli!$M$2:$M$53,MATCH(LARGE(Spettacoli!$R$2:$R$53,5),Spettacoli!$R$2:$R$53,0))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MAX(Storico!A2:A889)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20261102_2016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0.8444444444444444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20261102_2115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0.8854166666666666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20261102_2116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0.8861111111111111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20261102_2215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0.9270833333333334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  <row r="44">
      <c r="A44" s="22" t="inlineStr">
        <is>
          <t>20261102_2216</t>
        </is>
      </c>
      <c r="B44" s="9" t="n">
        <v>46328</v>
      </c>
      <c r="C44" s="22">
        <f>CHOOSE(WEEKDAY(B44,2),"Lunedì","Martedì","Mercoledì","Giovedì","Venerdì","Sabato","Domenica")</f>
        <v/>
      </c>
      <c r="D44" s="10" t="n">
        <v>0.9277777777777778</v>
      </c>
      <c r="E44" s="11" t="n">
        <v>80</v>
      </c>
      <c r="F44" s="11">
        <f>SUMIF(Vendite!$A$2:$A$1000,A44,Vendite!$H$2:$H$1000)</f>
        <v/>
      </c>
      <c r="G44" s="11">
        <f>SUMIF(Vendite!$A$2:$A$1000,A44,Vendite!$P$2:$P$1000)</f>
        <v/>
      </c>
      <c r="H44" s="11">
        <f>SUMIFS(Vendite!$H$2:$H$1000,Vendite!$A$2:$A$1000,A44,Vendite!$O$2:$O$1000,2)</f>
        <v/>
      </c>
      <c r="I44" s="11">
        <f>SUMIFS(Vendite!$H$2:$H$1000,Vendite!$A$2:$A$1000,A44,Vendite!$O$2:$O$1000,3)</f>
        <v/>
      </c>
      <c r="J44" s="11">
        <f>SUMIFS(Vendite!$H$2:$H$1000,Vendite!$A$2:$A$1000,A44,Vendite!$O$2:$O$1000,4)</f>
        <v/>
      </c>
      <c r="K44" s="11">
        <f>SUMIFS(Vendite!$H$2:$H$1000,Vendite!$A$2:$A$1000,A44,Vendite!$O$2:$O$1000,5)</f>
        <v/>
      </c>
      <c r="L44" s="11">
        <f>SUMIF(Vendite!$A$2:$A$1000,A44,Vendite!$I$2:$I$1000)</f>
        <v/>
      </c>
      <c r="M44" s="12">
        <f>SUMIF(Vendite!$A$2:$A$1000,A44,Vendite!$J$2:$J$1000)</f>
        <v/>
      </c>
      <c r="N44" s="12">
        <f>SUMIF(Vendite!$A$2:$A$1000,A44,Vendite!$L$2:$L$1000)</f>
        <v/>
      </c>
      <c r="O44" s="12">
        <f>SUMIF(Vendite!$A$2:$A$1000,A44,Vendite!$M$2:$M$1000)</f>
        <v/>
      </c>
      <c r="P44" s="24">
        <f>IF(E44&gt;0,F44/E44,0)</f>
        <v/>
      </c>
      <c r="Q44" s="22">
        <f>IF(F44&gt;0,"Venduto","Zero vendite")</f>
        <v/>
      </c>
      <c r="R44" s="22">
        <f>F44+M44/100000+(1000-ROW())/100000000</f>
        <v/>
      </c>
    </row>
    <row r="45">
      <c r="A45" s="23" t="inlineStr">
        <is>
          <t>20261102_2315</t>
        </is>
      </c>
      <c r="B45" s="13" t="n">
        <v>46328</v>
      </c>
      <c r="C45" s="23">
        <f>CHOOSE(WEEKDAY(B45,2),"Lunedì","Martedì","Mercoledì","Giovedì","Venerdì","Sabato","Domenica")</f>
        <v/>
      </c>
      <c r="D45" s="14" t="n">
        <v>0.96875</v>
      </c>
      <c r="E45" s="15" t="n">
        <v>80</v>
      </c>
      <c r="F45" s="15">
        <f>SUMIF(Vendite!$A$2:$A$1000,A45,Vendite!$H$2:$H$1000)</f>
        <v/>
      </c>
      <c r="G45" s="15">
        <f>SUMIF(Vendite!$A$2:$A$1000,A45,Vendite!$P$2:$P$1000)</f>
        <v/>
      </c>
      <c r="H45" s="15">
        <f>SUMIFS(Vendite!$H$2:$H$1000,Vendite!$A$2:$A$1000,A45,Vendite!$O$2:$O$1000,2)</f>
        <v/>
      </c>
      <c r="I45" s="15">
        <f>SUMIFS(Vendite!$H$2:$H$1000,Vendite!$A$2:$A$1000,A45,Vendite!$O$2:$O$1000,3)</f>
        <v/>
      </c>
      <c r="J45" s="15">
        <f>SUMIFS(Vendite!$H$2:$H$1000,Vendite!$A$2:$A$1000,A45,Vendite!$O$2:$O$1000,4)</f>
        <v/>
      </c>
      <c r="K45" s="15">
        <f>SUMIFS(Vendite!$H$2:$H$1000,Vendite!$A$2:$A$1000,A45,Vendite!$O$2:$O$1000,5)</f>
        <v/>
      </c>
      <c r="L45" s="15">
        <f>SUMIF(Vendite!$A$2:$A$1000,A45,Vendite!$I$2:$I$1000)</f>
        <v/>
      </c>
      <c r="M45" s="16">
        <f>SUMIF(Vendite!$A$2:$A$1000,A45,Vendite!$J$2:$J$1000)</f>
        <v/>
      </c>
      <c r="N45" s="16">
        <f>SUMIF(Vendite!$A$2:$A$1000,A45,Vendite!$L$2:$L$1000)</f>
        <v/>
      </c>
      <c r="O45" s="16">
        <f>SUMIF(Vendite!$A$2:$A$1000,A45,Vendite!$M$2:$M$1000)</f>
        <v/>
      </c>
      <c r="P45" s="25">
        <f>IF(E45&gt;0,F45/E45,0)</f>
        <v/>
      </c>
      <c r="Q45" s="23">
        <f>IF(F45&gt;0,"Venduto","Zero vendite")</f>
        <v/>
      </c>
      <c r="R45" s="23">
        <f>F45+M45/100000+(1000-ROW())/100000000</f>
        <v/>
      </c>
    </row>
    <row r="46">
      <c r="A46" s="22" t="inlineStr">
        <is>
          <t>20261102_2316</t>
        </is>
      </c>
      <c r="B46" s="9" t="n">
        <v>46328</v>
      </c>
      <c r="C46" s="22">
        <f>CHOOSE(WEEKDAY(B46,2),"Lunedì","Martedì","Mercoledì","Giovedì","Venerdì","Sabato","Domenica")</f>
        <v/>
      </c>
      <c r="D46" s="10" t="n">
        <v>0.9694444444444444</v>
      </c>
      <c r="E46" s="11" t="n">
        <v>80</v>
      </c>
      <c r="F46" s="11">
        <f>SUMIF(Vendite!$A$2:$A$1000,A46,Vendite!$H$2:$H$1000)</f>
        <v/>
      </c>
      <c r="G46" s="11">
        <f>SUMIF(Vendite!$A$2:$A$1000,A46,Vendite!$P$2:$P$1000)</f>
        <v/>
      </c>
      <c r="H46" s="11">
        <f>SUMIFS(Vendite!$H$2:$H$1000,Vendite!$A$2:$A$1000,A46,Vendite!$O$2:$O$1000,2)</f>
        <v/>
      </c>
      <c r="I46" s="11">
        <f>SUMIFS(Vendite!$H$2:$H$1000,Vendite!$A$2:$A$1000,A46,Vendite!$O$2:$O$1000,3)</f>
        <v/>
      </c>
      <c r="J46" s="11">
        <f>SUMIFS(Vendite!$H$2:$H$1000,Vendite!$A$2:$A$1000,A46,Vendite!$O$2:$O$1000,4)</f>
        <v/>
      </c>
      <c r="K46" s="11">
        <f>SUMIFS(Vendite!$H$2:$H$1000,Vendite!$A$2:$A$1000,A46,Vendite!$O$2:$O$1000,5)</f>
        <v/>
      </c>
      <c r="L46" s="11">
        <f>SUMIF(Vendite!$A$2:$A$1000,A46,Vendite!$I$2:$I$1000)</f>
        <v/>
      </c>
      <c r="M46" s="12">
        <f>SUMIF(Vendite!$A$2:$A$1000,A46,Vendite!$J$2:$J$1000)</f>
        <v/>
      </c>
      <c r="N46" s="12">
        <f>SUMIF(Vendite!$A$2:$A$1000,A46,Vendite!$L$2:$L$1000)</f>
        <v/>
      </c>
      <c r="O46" s="12">
        <f>SUMIF(Vendite!$A$2:$A$1000,A46,Vendite!$M$2:$M$1000)</f>
        <v/>
      </c>
      <c r="P46" s="24">
        <f>IF(E46&gt;0,F46/E46,0)</f>
        <v/>
      </c>
      <c r="Q46" s="22">
        <f>IF(F46&gt;0,"Venduto","Zero vendite")</f>
        <v/>
      </c>
      <c r="R46" s="22">
        <f>F46+M46/100000+(1000-ROW())/100000000</f>
        <v/>
      </c>
    </row>
    <row r="47">
      <c r="A47" s="23" t="inlineStr">
        <is>
          <t>20261102_2358</t>
        </is>
      </c>
      <c r="B47" s="13" t="n">
        <v>46328</v>
      </c>
      <c r="C47" s="23">
        <f>CHOOSE(WEEKDAY(B47,2),"Lunedì","Martedì","Mercoledì","Giovedì","Venerdì","Sabato","Domenica")</f>
        <v/>
      </c>
      <c r="D47" s="14" t="n">
        <v>0.9986111111111111</v>
      </c>
      <c r="E47" s="15" t="n">
        <v>80</v>
      </c>
      <c r="F47" s="15">
        <f>SUMIF(Vendite!$A$2:$A$1000,A47,Vendite!$H$2:$H$1000)</f>
        <v/>
      </c>
      <c r="G47" s="15">
        <f>SUMIF(Vendite!$A$2:$A$1000,A47,Vendite!$P$2:$P$1000)</f>
        <v/>
      </c>
      <c r="H47" s="15">
        <f>SUMIFS(Vendite!$H$2:$H$1000,Vendite!$A$2:$A$1000,A47,Vendite!$O$2:$O$1000,2)</f>
        <v/>
      </c>
      <c r="I47" s="15">
        <f>SUMIFS(Vendite!$H$2:$H$1000,Vendite!$A$2:$A$1000,A47,Vendite!$O$2:$O$1000,3)</f>
        <v/>
      </c>
      <c r="J47" s="15">
        <f>SUMIFS(Vendite!$H$2:$H$1000,Vendite!$A$2:$A$1000,A47,Vendite!$O$2:$O$1000,4)</f>
        <v/>
      </c>
      <c r="K47" s="15">
        <f>SUMIFS(Vendite!$H$2:$H$1000,Vendite!$A$2:$A$1000,A47,Vendite!$O$2:$O$1000,5)</f>
        <v/>
      </c>
      <c r="L47" s="15">
        <f>SUMIF(Vendite!$A$2:$A$1000,A47,Vendite!$I$2:$I$1000)</f>
        <v/>
      </c>
      <c r="M47" s="16">
        <f>SUMIF(Vendite!$A$2:$A$1000,A47,Vendite!$J$2:$J$1000)</f>
        <v/>
      </c>
      <c r="N47" s="16">
        <f>SUMIF(Vendite!$A$2:$A$1000,A47,Vendite!$L$2:$L$1000)</f>
        <v/>
      </c>
      <c r="O47" s="16">
        <f>SUMIF(Vendite!$A$2:$A$1000,A47,Vendite!$M$2:$M$1000)</f>
        <v/>
      </c>
      <c r="P47" s="25">
        <f>IF(E47&gt;0,F47/E47,0)</f>
        <v/>
      </c>
      <c r="Q47" s="23">
        <f>IF(F47&gt;0,"Venduto","Zero vendite")</f>
        <v/>
      </c>
      <c r="R47" s="23">
        <f>F47+M47/100000+(1000-ROW())/100000000</f>
        <v/>
      </c>
    </row>
    <row r="48">
      <c r="A48" s="22" t="inlineStr">
        <is>
          <t>20261102_2359</t>
        </is>
      </c>
      <c r="B48" s="9" t="n">
        <v>46328</v>
      </c>
      <c r="C48" s="22">
        <f>CHOOSE(WEEKDAY(B48,2),"Lunedì","Martedì","Mercoledì","Giovedì","Venerdì","Sabato","Domenica")</f>
        <v/>
      </c>
      <c r="D48" s="10" t="n">
        <v>0.9993055555555556</v>
      </c>
      <c r="E48" s="11" t="n">
        <v>80</v>
      </c>
      <c r="F48" s="11">
        <f>SUMIF(Vendite!$A$2:$A$1000,A48,Vendite!$H$2:$H$1000)</f>
        <v/>
      </c>
      <c r="G48" s="11">
        <f>SUMIF(Vendite!$A$2:$A$1000,A48,Vendite!$P$2:$P$1000)</f>
        <v/>
      </c>
      <c r="H48" s="11">
        <f>SUMIFS(Vendite!$H$2:$H$1000,Vendite!$A$2:$A$1000,A48,Vendite!$O$2:$O$1000,2)</f>
        <v/>
      </c>
      <c r="I48" s="11">
        <f>SUMIFS(Vendite!$H$2:$H$1000,Vendite!$A$2:$A$1000,A48,Vendite!$O$2:$O$1000,3)</f>
        <v/>
      </c>
      <c r="J48" s="11">
        <f>SUMIFS(Vendite!$H$2:$H$1000,Vendite!$A$2:$A$1000,A48,Vendite!$O$2:$O$1000,4)</f>
        <v/>
      </c>
      <c r="K48" s="11">
        <f>SUMIFS(Vendite!$H$2:$H$1000,Vendite!$A$2:$A$1000,A48,Vendite!$O$2:$O$1000,5)</f>
        <v/>
      </c>
      <c r="L48" s="11">
        <f>SUMIF(Vendite!$A$2:$A$1000,A48,Vendite!$I$2:$I$1000)</f>
        <v/>
      </c>
      <c r="M48" s="12">
        <f>SUMIF(Vendite!$A$2:$A$1000,A48,Vendite!$J$2:$J$1000)</f>
        <v/>
      </c>
      <c r="N48" s="12">
        <f>SUMIF(Vendite!$A$2:$A$1000,A48,Vendite!$L$2:$L$1000)</f>
        <v/>
      </c>
      <c r="O48" s="12">
        <f>SUMIF(Vendite!$A$2:$A$1000,A48,Vendite!$M$2:$M$1000)</f>
        <v/>
      </c>
      <c r="P48" s="24">
        <f>IF(E48&gt;0,F48/E48,0)</f>
        <v/>
      </c>
      <c r="Q48" s="22">
        <f>IF(F48&gt;0,"Venduto","Zero vendite")</f>
        <v/>
      </c>
      <c r="R48" s="22">
        <f>F48+M48/100000+(1000-ROW())/100000000</f>
        <v/>
      </c>
    </row>
    <row r="49">
      <c r="A49" s="23" t="inlineStr">
        <is>
          <t>20261109_2015</t>
        </is>
      </c>
      <c r="B49" s="13" t="n">
        <v>46335</v>
      </c>
      <c r="C49" s="23">
        <f>CHOOSE(WEEKDAY(B49,2),"Lunedì","Martedì","Mercoledì","Giovedì","Venerdì","Sabato","Domenica")</f>
        <v/>
      </c>
      <c r="D49" s="14" t="n">
        <v>0.84375</v>
      </c>
      <c r="E49" s="15" t="n">
        <v>80</v>
      </c>
      <c r="F49" s="15">
        <f>SUMIF(Vendite!$A$2:$A$1000,A49,Vendite!$H$2:$H$1000)</f>
        <v/>
      </c>
      <c r="G49" s="15">
        <f>SUMIF(Vendite!$A$2:$A$1000,A49,Vendite!$P$2:$P$1000)</f>
        <v/>
      </c>
      <c r="H49" s="15">
        <f>SUMIFS(Vendite!$H$2:$H$1000,Vendite!$A$2:$A$1000,A49,Vendite!$O$2:$O$1000,2)</f>
        <v/>
      </c>
      <c r="I49" s="15">
        <f>SUMIFS(Vendite!$H$2:$H$1000,Vendite!$A$2:$A$1000,A49,Vendite!$O$2:$O$1000,3)</f>
        <v/>
      </c>
      <c r="J49" s="15">
        <f>SUMIFS(Vendite!$H$2:$H$1000,Vendite!$A$2:$A$1000,A49,Vendite!$O$2:$O$1000,4)</f>
        <v/>
      </c>
      <c r="K49" s="15">
        <f>SUMIFS(Vendite!$H$2:$H$1000,Vendite!$A$2:$A$1000,A49,Vendite!$O$2:$O$1000,5)</f>
        <v/>
      </c>
      <c r="L49" s="15">
        <f>SUMIF(Vendite!$A$2:$A$1000,A49,Vendite!$I$2:$I$1000)</f>
        <v/>
      </c>
      <c r="M49" s="16">
        <f>SUMIF(Vendite!$A$2:$A$1000,A49,Vendite!$J$2:$J$1000)</f>
        <v/>
      </c>
      <c r="N49" s="16">
        <f>SUMIF(Vendite!$A$2:$A$1000,A49,Vendite!$L$2:$L$1000)</f>
        <v/>
      </c>
      <c r="O49" s="16">
        <f>SUMIF(Vendite!$A$2:$A$1000,A49,Vendite!$M$2:$M$1000)</f>
        <v/>
      </c>
      <c r="P49" s="25">
        <f>IF(E49&gt;0,F49/E49,0)</f>
        <v/>
      </c>
      <c r="Q49" s="23">
        <f>IF(F49&gt;0,"Venduto","Zero vendite")</f>
        <v/>
      </c>
      <c r="R49" s="23">
        <f>F49+M49/100000+(1000-ROW())/100000000</f>
        <v/>
      </c>
    </row>
    <row r="50">
      <c r="A50" s="22" t="inlineStr">
        <is>
          <t>20261109_2115</t>
        </is>
      </c>
      <c r="B50" s="9" t="n">
        <v>46335</v>
      </c>
      <c r="C50" s="22">
        <f>CHOOSE(WEEKDAY(B50,2),"Lunedì","Martedì","Mercoledì","Giovedì","Venerdì","Sabato","Domenica")</f>
        <v/>
      </c>
      <c r="D50" s="10" t="n">
        <v>0.8854166666666666</v>
      </c>
      <c r="E50" s="11" t="n">
        <v>80</v>
      </c>
      <c r="F50" s="11">
        <f>SUMIF(Vendite!$A$2:$A$1000,A50,Vendite!$H$2:$H$1000)</f>
        <v/>
      </c>
      <c r="G50" s="11">
        <f>SUMIF(Vendite!$A$2:$A$1000,A50,Vendite!$P$2:$P$1000)</f>
        <v/>
      </c>
      <c r="H50" s="11">
        <f>SUMIFS(Vendite!$H$2:$H$1000,Vendite!$A$2:$A$1000,A50,Vendite!$O$2:$O$1000,2)</f>
        <v/>
      </c>
      <c r="I50" s="11">
        <f>SUMIFS(Vendite!$H$2:$H$1000,Vendite!$A$2:$A$1000,A50,Vendite!$O$2:$O$1000,3)</f>
        <v/>
      </c>
      <c r="J50" s="11">
        <f>SUMIFS(Vendite!$H$2:$H$1000,Vendite!$A$2:$A$1000,A50,Vendite!$O$2:$O$1000,4)</f>
        <v/>
      </c>
      <c r="K50" s="11">
        <f>SUMIFS(Vendite!$H$2:$H$1000,Vendite!$A$2:$A$1000,A50,Vendite!$O$2:$O$1000,5)</f>
        <v/>
      </c>
      <c r="L50" s="11">
        <f>SUMIF(Vendite!$A$2:$A$1000,A50,Vendite!$I$2:$I$1000)</f>
        <v/>
      </c>
      <c r="M50" s="12">
        <f>SUMIF(Vendite!$A$2:$A$1000,A50,Vendite!$J$2:$J$1000)</f>
        <v/>
      </c>
      <c r="N50" s="12">
        <f>SUMIF(Vendite!$A$2:$A$1000,A50,Vendite!$L$2:$L$1000)</f>
        <v/>
      </c>
      <c r="O50" s="12">
        <f>SUMIF(Vendite!$A$2:$A$1000,A50,Vendite!$M$2:$M$1000)</f>
        <v/>
      </c>
      <c r="P50" s="24">
        <f>IF(E50&gt;0,F50/E50,0)</f>
        <v/>
      </c>
      <c r="Q50" s="22">
        <f>IF(F50&gt;0,"Venduto","Zero vendite")</f>
        <v/>
      </c>
      <c r="R50" s="22">
        <f>F50+M50/100000+(1000-ROW())/100000000</f>
        <v/>
      </c>
    </row>
    <row r="51">
      <c r="A51" s="23" t="inlineStr">
        <is>
          <t>20261109_2215</t>
        </is>
      </c>
      <c r="B51" s="13" t="n">
        <v>46335</v>
      </c>
      <c r="C51" s="23">
        <f>CHOOSE(WEEKDAY(B51,2),"Lunedì","Martedì","Mercoledì","Giovedì","Venerdì","Sabato","Domenica")</f>
        <v/>
      </c>
      <c r="D51" s="14" t="n">
        <v>0.9270833333333334</v>
      </c>
      <c r="E51" s="15" t="n">
        <v>80</v>
      </c>
      <c r="F51" s="15">
        <f>SUMIF(Vendite!$A$2:$A$1000,A51,Vendite!$H$2:$H$1000)</f>
        <v/>
      </c>
      <c r="G51" s="15">
        <f>SUMIF(Vendite!$A$2:$A$1000,A51,Vendite!$P$2:$P$1000)</f>
        <v/>
      </c>
      <c r="H51" s="15">
        <f>SUMIFS(Vendite!$H$2:$H$1000,Vendite!$A$2:$A$1000,A51,Vendite!$O$2:$O$1000,2)</f>
        <v/>
      </c>
      <c r="I51" s="15">
        <f>SUMIFS(Vendite!$H$2:$H$1000,Vendite!$A$2:$A$1000,A51,Vendite!$O$2:$O$1000,3)</f>
        <v/>
      </c>
      <c r="J51" s="15">
        <f>SUMIFS(Vendite!$H$2:$H$1000,Vendite!$A$2:$A$1000,A51,Vendite!$O$2:$O$1000,4)</f>
        <v/>
      </c>
      <c r="K51" s="15">
        <f>SUMIFS(Vendite!$H$2:$H$1000,Vendite!$A$2:$A$1000,A51,Vendite!$O$2:$O$1000,5)</f>
        <v/>
      </c>
      <c r="L51" s="15">
        <f>SUMIF(Vendite!$A$2:$A$1000,A51,Vendite!$I$2:$I$1000)</f>
        <v/>
      </c>
      <c r="M51" s="16">
        <f>SUMIF(Vendite!$A$2:$A$1000,A51,Vendite!$J$2:$J$1000)</f>
        <v/>
      </c>
      <c r="N51" s="16">
        <f>SUMIF(Vendite!$A$2:$A$1000,A51,Vendite!$L$2:$L$1000)</f>
        <v/>
      </c>
      <c r="O51" s="16">
        <f>SUMIF(Vendite!$A$2:$A$1000,A51,Vendite!$M$2:$M$1000)</f>
        <v/>
      </c>
      <c r="P51" s="25">
        <f>IF(E51&gt;0,F51/E51,0)</f>
        <v/>
      </c>
      <c r="Q51" s="23">
        <f>IF(F51&gt;0,"Venduto","Zero vendite")</f>
        <v/>
      </c>
      <c r="R51" s="23">
        <f>F51+M51/100000+(1000-ROW())/100000000</f>
        <v/>
      </c>
    </row>
    <row r="52">
      <c r="A52" s="22" t="inlineStr">
        <is>
          <t>20261109_2315</t>
        </is>
      </c>
      <c r="B52" s="9" t="n">
        <v>46335</v>
      </c>
      <c r="C52" s="22">
        <f>CHOOSE(WEEKDAY(B52,2),"Lunedì","Martedì","Mercoledì","Giovedì","Venerdì","Sabato","Domenica")</f>
        <v/>
      </c>
      <c r="D52" s="10" t="n">
        <v>0.96875</v>
      </c>
      <c r="E52" s="11" t="n">
        <v>80</v>
      </c>
      <c r="F52" s="11">
        <f>SUMIF(Vendite!$A$2:$A$1000,A52,Vendite!$H$2:$H$1000)</f>
        <v/>
      </c>
      <c r="G52" s="11">
        <f>SUMIF(Vendite!$A$2:$A$1000,A52,Vendite!$P$2:$P$1000)</f>
        <v/>
      </c>
      <c r="H52" s="11">
        <f>SUMIFS(Vendite!$H$2:$H$1000,Vendite!$A$2:$A$1000,A52,Vendite!$O$2:$O$1000,2)</f>
        <v/>
      </c>
      <c r="I52" s="11">
        <f>SUMIFS(Vendite!$H$2:$H$1000,Vendite!$A$2:$A$1000,A52,Vendite!$O$2:$O$1000,3)</f>
        <v/>
      </c>
      <c r="J52" s="11">
        <f>SUMIFS(Vendite!$H$2:$H$1000,Vendite!$A$2:$A$1000,A52,Vendite!$O$2:$O$1000,4)</f>
        <v/>
      </c>
      <c r="K52" s="11">
        <f>SUMIFS(Vendite!$H$2:$H$1000,Vendite!$A$2:$A$1000,A52,Vendite!$O$2:$O$1000,5)</f>
        <v/>
      </c>
      <c r="L52" s="11">
        <f>SUMIF(Vendite!$A$2:$A$1000,A52,Vendite!$I$2:$I$1000)</f>
        <v/>
      </c>
      <c r="M52" s="12">
        <f>SUMIF(Vendite!$A$2:$A$1000,A52,Vendite!$J$2:$J$1000)</f>
        <v/>
      </c>
      <c r="N52" s="12">
        <f>SUMIF(Vendite!$A$2:$A$1000,A52,Vendite!$L$2:$L$1000)</f>
        <v/>
      </c>
      <c r="O52" s="12">
        <f>SUMIF(Vendite!$A$2:$A$1000,A52,Vendite!$M$2:$M$1000)</f>
        <v/>
      </c>
      <c r="P52" s="24">
        <f>IF(E52&gt;0,F52/E52,0)</f>
        <v/>
      </c>
      <c r="Q52" s="22">
        <f>IF(F52&gt;0,"Venduto","Zero vendite")</f>
        <v/>
      </c>
      <c r="R52" s="22">
        <f>F52+M52/100000+(1000-ROW())/100000000</f>
        <v/>
      </c>
    </row>
    <row r="53">
      <c r="A53" s="23" t="inlineStr">
        <is>
          <t>20261109_2359</t>
        </is>
      </c>
      <c r="B53" s="13" t="n">
        <v>46335</v>
      </c>
      <c r="C53" s="23">
        <f>CHOOSE(WEEKDAY(B53,2),"Lunedì","Martedì","Mercoledì","Giovedì","Venerdì","Sabato","Domenica")</f>
        <v/>
      </c>
      <c r="D53" s="14" t="n">
        <v>0.9993055555555556</v>
      </c>
      <c r="E53" s="15" t="n">
        <v>80</v>
      </c>
      <c r="F53" s="15">
        <f>SUMIF(Vendite!$A$2:$A$1000,A53,Vendite!$H$2:$H$1000)</f>
        <v/>
      </c>
      <c r="G53" s="15">
        <f>SUMIF(Vendite!$A$2:$A$1000,A53,Vendite!$P$2:$P$1000)</f>
        <v/>
      </c>
      <c r="H53" s="15">
        <f>SUMIFS(Vendite!$H$2:$H$1000,Vendite!$A$2:$A$1000,A53,Vendite!$O$2:$O$1000,2)</f>
        <v/>
      </c>
      <c r="I53" s="15">
        <f>SUMIFS(Vendite!$H$2:$H$1000,Vendite!$A$2:$A$1000,A53,Vendite!$O$2:$O$1000,3)</f>
        <v/>
      </c>
      <c r="J53" s="15">
        <f>SUMIFS(Vendite!$H$2:$H$1000,Vendite!$A$2:$A$1000,A53,Vendite!$O$2:$O$1000,4)</f>
        <v/>
      </c>
      <c r="K53" s="15">
        <f>SUMIFS(Vendite!$H$2:$H$1000,Vendite!$A$2:$A$1000,A53,Vendite!$O$2:$O$1000,5)</f>
        <v/>
      </c>
      <c r="L53" s="15">
        <f>SUMIF(Vendite!$A$2:$A$1000,A53,Vendite!$I$2:$I$1000)</f>
        <v/>
      </c>
      <c r="M53" s="16">
        <f>SUMIF(Vendite!$A$2:$A$1000,A53,Vendite!$J$2:$J$1000)</f>
        <v/>
      </c>
      <c r="N53" s="16">
        <f>SUMIF(Vendite!$A$2:$A$1000,A53,Vendite!$L$2:$L$1000)</f>
        <v/>
      </c>
      <c r="O53" s="16">
        <f>SUMIF(Vendite!$A$2:$A$1000,A53,Vendite!$M$2:$M$1000)</f>
        <v/>
      </c>
      <c r="P53" s="25">
        <f>IF(E53&gt;0,F53/E53,0)</f>
        <v/>
      </c>
      <c r="Q53" s="23">
        <f>IF(F53&gt;0,"Venduto","Zero vendite")</f>
        <v/>
      </c>
      <c r="R53" s="23">
        <f>F53+M53/100000+(1000-ROW())/100000000</f>
        <v/>
      </c>
    </row>
  </sheetData>
  <autoFilter ref="A1:R53"/>
  <conditionalFormatting sqref="Q2:Q5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912</v>
      </c>
      <c r="K62" s="12" t="n">
        <v>0</v>
      </c>
      <c r="L62" s="12" t="n">
        <v>829.16</v>
      </c>
      <c r="M62" s="12" t="n">
        <v>82.84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19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8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840</v>
      </c>
      <c r="K64" s="12" t="n">
        <v>0</v>
      </c>
      <c r="L64" s="12" t="n">
        <v>763.7</v>
      </c>
      <c r="M64" s="12" t="n">
        <v>76.3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14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888</v>
      </c>
      <c r="K65" s="16" t="n">
        <v>0</v>
      </c>
      <c r="L65" s="16" t="n">
        <v>807.34</v>
      </c>
      <c r="M65" s="16" t="n">
        <v>80.66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37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1152</v>
      </c>
      <c r="K78" s="12" t="n">
        <v>0</v>
      </c>
      <c r="L78" s="12" t="n">
        <v>1047.36</v>
      </c>
      <c r="M78" s="12" t="n">
        <v>104.64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504</v>
      </c>
      <c r="K79" s="16" t="n">
        <v>0</v>
      </c>
      <c r="L79" s="16" t="n">
        <v>458.22</v>
      </c>
      <c r="M79" s="16" t="n">
        <v>45.78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14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900</v>
      </c>
      <c r="K80" s="12" t="n">
        <v>0</v>
      </c>
      <c r="L80" s="12" t="n">
        <v>818.25</v>
      </c>
      <c r="M80" s="12" t="n">
        <v>81.75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15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600</v>
      </c>
      <c r="K81" s="16" t="n">
        <v>0</v>
      </c>
      <c r="L81" s="16" t="n">
        <v>545.5</v>
      </c>
      <c r="M81" s="16" t="n">
        <v>54.5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25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1200</v>
      </c>
      <c r="K82" s="12" t="n">
        <v>0</v>
      </c>
      <c r="L82" s="12" t="n">
        <v>1091</v>
      </c>
      <c r="M82" s="12" t="n">
        <v>109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25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468</v>
      </c>
      <c r="K83" s="16" t="n">
        <v>0</v>
      </c>
      <c r="L83" s="16" t="n">
        <v>425.49</v>
      </c>
      <c r="M83" s="16" t="n">
        <v>42.51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13</v>
      </c>
      <c r="R83" s="15">
        <f>IFERROR(INDEX(Tariffe!$E$2:$E$200,MATCH(E83,Tariffe!$A$2:$A$200,0))*1,1)</f>
        <v/>
      </c>
    </row>
    <row r="84">
      <c r="A84" s="22" t="inlineStr">
        <is>
          <t>20261030_2015</t>
        </is>
      </c>
      <c r="B84" s="9" t="n">
        <v>46325</v>
      </c>
      <c r="C84" s="10" t="n">
        <v>0.84375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420</v>
      </c>
      <c r="K84" s="12" t="n">
        <v>0</v>
      </c>
      <c r="L84" s="12" t="n">
        <v>381.85</v>
      </c>
      <c r="M84" s="12" t="n">
        <v>38.15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7</v>
      </c>
      <c r="R84" s="11">
        <f>IFERROR(INDEX(Tariffe!$E$2:$E$200,MATCH(E84,Tariffe!$A$2:$A$200,0))*1,1)</f>
        <v/>
      </c>
    </row>
    <row r="85">
      <c r="A85" s="23" t="inlineStr">
        <is>
          <t>20261030_2015</t>
        </is>
      </c>
      <c r="B85" s="13" t="n">
        <v>46325</v>
      </c>
      <c r="C85" s="14" t="n">
        <v>0.84375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0</v>
      </c>
      <c r="J85" s="16" t="n">
        <v>816</v>
      </c>
      <c r="K85" s="16" t="n">
        <v>0</v>
      </c>
      <c r="L85" s="16" t="n">
        <v>741.88</v>
      </c>
      <c r="M85" s="16" t="n">
        <v>74.12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34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1296</v>
      </c>
      <c r="K86" s="12" t="n">
        <v>0</v>
      </c>
      <c r="L86" s="12" t="n">
        <v>1178.28</v>
      </c>
      <c r="M86" s="12" t="n">
        <v>117.72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27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360</v>
      </c>
      <c r="K87" s="16" t="n">
        <v>0</v>
      </c>
      <c r="L87" s="16" t="n">
        <v>327.3</v>
      </c>
      <c r="M87" s="16" t="n">
        <v>32.7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10</v>
      </c>
      <c r="R87" s="15">
        <f>IFERROR(INDEX(Tariffe!$E$2:$E$200,MATCH(E87,Tariffe!$A$2:$A$200,0))*1,1)</f>
        <v/>
      </c>
    </row>
    <row r="88">
      <c r="A88" s="22" t="inlineStr">
        <is>
          <t>20261030_2115</t>
        </is>
      </c>
      <c r="B88" s="9" t="n">
        <v>46325</v>
      </c>
      <c r="C88" s="10" t="n">
        <v>0.8854166666666666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720</v>
      </c>
      <c r="K88" s="12" t="n">
        <v>0</v>
      </c>
      <c r="L88" s="12" t="n">
        <v>654.6</v>
      </c>
      <c r="M88" s="12" t="n">
        <v>65.40000000000001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12</v>
      </c>
      <c r="R88" s="11">
        <f>IFERROR(INDEX(Tariffe!$E$2:$E$200,MATCH(E88,Tariffe!$A$2:$A$200,0))*1,1)</f>
        <v/>
      </c>
    </row>
    <row r="89">
      <c r="A89" s="23" t="inlineStr">
        <is>
          <t>20261030_2115</t>
        </is>
      </c>
      <c r="B89" s="13" t="n">
        <v>46325</v>
      </c>
      <c r="C89" s="14" t="n">
        <v>0.8854166666666666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0</v>
      </c>
      <c r="J89" s="16" t="n">
        <v>744</v>
      </c>
      <c r="K89" s="16" t="n">
        <v>0</v>
      </c>
      <c r="L89" s="16" t="n">
        <v>676.42</v>
      </c>
      <c r="M89" s="16" t="n">
        <v>67.58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31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1632</v>
      </c>
      <c r="K90" s="12" t="n">
        <v>0</v>
      </c>
      <c r="L90" s="12" t="n">
        <v>1483.76</v>
      </c>
      <c r="M90" s="12" t="n">
        <v>148.24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34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I2 36€</t>
        </is>
      </c>
      <c r="F91" s="23">
        <f>IFERROR(INDEX(Tariffe!$B$2:$B$200,MATCH(E91,Tariffe!$A$2:$A$200,0)),"DA DEFINIRE")</f>
        <v/>
      </c>
      <c r="G91" s="16" t="n">
        <v>36</v>
      </c>
      <c r="H91" s="15">
        <f>Q91*R91</f>
        <v/>
      </c>
      <c r="I91" s="15" t="n">
        <v>0</v>
      </c>
      <c r="J91" s="16" t="n">
        <v>144</v>
      </c>
      <c r="K91" s="16" t="n">
        <v>0</v>
      </c>
      <c r="L91" s="16" t="n">
        <v>130.92</v>
      </c>
      <c r="M91" s="16" t="n">
        <v>13.08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4</v>
      </c>
      <c r="R91" s="15">
        <f>IFERROR(INDEX(Tariffe!$E$2:$E$200,MATCH(E91,Tariffe!$A$2:$A$200,0))*1,1)</f>
        <v/>
      </c>
    </row>
    <row r="92">
      <c r="A92" s="22" t="inlineStr">
        <is>
          <t>20261030_2215</t>
        </is>
      </c>
      <c r="B92" s="9" t="n">
        <v>46325</v>
      </c>
      <c r="C92" s="10" t="n">
        <v>0.9270833333333334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480</v>
      </c>
      <c r="K92" s="12" t="n">
        <v>0</v>
      </c>
      <c r="L92" s="12" t="n">
        <v>436.4</v>
      </c>
      <c r="M92" s="12" t="n">
        <v>43.6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8</v>
      </c>
      <c r="R92" s="11">
        <f>IFERROR(INDEX(Tariffe!$E$2:$E$200,MATCH(E92,Tariffe!$A$2:$A$200,0))*1,1)</f>
        <v/>
      </c>
    </row>
    <row r="93">
      <c r="A93" s="23" t="inlineStr">
        <is>
          <t>20261030_2215</t>
        </is>
      </c>
      <c r="B93" s="13" t="n">
        <v>46325</v>
      </c>
      <c r="C93" s="14" t="n">
        <v>0.9270833333333334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4</v>
      </c>
      <c r="J93" s="16" t="n">
        <v>816</v>
      </c>
      <c r="K93" s="16" t="n">
        <v>0</v>
      </c>
      <c r="L93" s="16" t="n">
        <v>741.88</v>
      </c>
      <c r="M93" s="16" t="n">
        <v>74.12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34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1152</v>
      </c>
      <c r="K94" s="12" t="n">
        <v>0</v>
      </c>
      <c r="L94" s="12" t="n">
        <v>1047.36</v>
      </c>
      <c r="M94" s="12" t="n">
        <v>104.64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24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I2 36€</t>
        </is>
      </c>
      <c r="F95" s="23">
        <f>IFERROR(INDEX(Tariffe!$B$2:$B$200,MATCH(E95,Tariffe!$A$2:$A$200,0)),"DA DEFINIRE")</f>
        <v/>
      </c>
      <c r="G95" s="16" t="n">
        <v>36</v>
      </c>
      <c r="H95" s="15">
        <f>Q95*R95</f>
        <v/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12</v>
      </c>
      <c r="R95" s="15">
        <f>IFERROR(INDEX(Tariffe!$E$2:$E$200,MATCH(E95,Tariffe!$A$2:$A$200,0))*1,1)</f>
        <v/>
      </c>
    </row>
    <row r="96">
      <c r="A96" s="22" t="inlineStr">
        <is>
          <t>20261030_2315</t>
        </is>
      </c>
      <c r="B96" s="9" t="n">
        <v>46325</v>
      </c>
      <c r="C96" s="10" t="n">
        <v>0.96875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780</v>
      </c>
      <c r="K96" s="12" t="n">
        <v>0</v>
      </c>
      <c r="L96" s="12" t="n">
        <v>709.15</v>
      </c>
      <c r="M96" s="12" t="n">
        <v>70.84999999999999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13</v>
      </c>
      <c r="R96" s="11">
        <f>IFERROR(INDEX(Tariffe!$E$2:$E$200,MATCH(E96,Tariffe!$A$2:$A$200,0))*1,1)</f>
        <v/>
      </c>
    </row>
    <row r="97">
      <c r="A97" s="23" t="inlineStr">
        <is>
          <t>20261030_2315</t>
        </is>
      </c>
      <c r="B97" s="13" t="n">
        <v>46325</v>
      </c>
      <c r="C97" s="14" t="n">
        <v>0.96875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744</v>
      </c>
      <c r="K97" s="16" t="n">
        <v>0</v>
      </c>
      <c r="L97" s="16" t="n">
        <v>676.42</v>
      </c>
      <c r="M97" s="16" t="n">
        <v>67.58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31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1104</v>
      </c>
      <c r="K98" s="12" t="n">
        <v>0</v>
      </c>
      <c r="L98" s="12" t="n">
        <v>1003.72</v>
      </c>
      <c r="M98" s="12" t="n">
        <v>100.28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23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324</v>
      </c>
      <c r="K99" s="16" t="n">
        <v>0</v>
      </c>
      <c r="L99" s="16" t="n">
        <v>294.57</v>
      </c>
      <c r="M99" s="16" t="n">
        <v>29.43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9</v>
      </c>
      <c r="R99" s="15">
        <f>IFERROR(INDEX(Tariffe!$E$2:$E$200,MATCH(E99,Tariffe!$A$2:$A$200,0))*1,1)</f>
        <v/>
      </c>
    </row>
    <row r="100">
      <c r="A100" s="22" t="inlineStr">
        <is>
          <t>20261030_2359</t>
        </is>
      </c>
      <c r="B100" s="9" t="n">
        <v>46325</v>
      </c>
      <c r="C100" s="10" t="n">
        <v>0.9993055555555556</v>
      </c>
      <c r="D100" s="22" t="inlineStr">
        <is>
          <t>UN Unico</t>
        </is>
      </c>
      <c r="E100" s="22" t="inlineStr">
        <is>
          <t>I5 60€</t>
        </is>
      </c>
      <c r="F100" s="22">
        <f>IFERROR(INDEX(Tariffe!$B$2:$B$200,MATCH(E100,Tariffe!$A$2:$A$200,0)),"DA DEFINIRE")</f>
        <v/>
      </c>
      <c r="G100" s="12" t="n">
        <v>60</v>
      </c>
      <c r="H100" s="11">
        <f>Q100*R100</f>
        <v/>
      </c>
      <c r="I100" s="11" t="n">
        <v>0</v>
      </c>
      <c r="J100" s="12" t="n">
        <v>1020</v>
      </c>
      <c r="K100" s="12" t="n">
        <v>0</v>
      </c>
      <c r="L100" s="12" t="n">
        <v>927.35</v>
      </c>
      <c r="M100" s="12" t="n">
        <v>92.65000000000001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17</v>
      </c>
      <c r="R100" s="11">
        <f>IFERROR(INDEX(Tariffe!$E$2:$E$200,MATCH(E100,Tariffe!$A$2:$A$200,0))*1,1)</f>
        <v/>
      </c>
    </row>
    <row r="101">
      <c r="A101" s="23" t="inlineStr">
        <is>
          <t>20261030_2359</t>
        </is>
      </c>
      <c r="B101" s="13" t="n">
        <v>46325</v>
      </c>
      <c r="C101" s="14" t="n">
        <v>0.9993055555555556</v>
      </c>
      <c r="D101" s="23" t="inlineStr">
        <is>
          <t>UN Unico</t>
        </is>
      </c>
      <c r="E101" s="23" t="inlineStr">
        <is>
          <t>I8 24€</t>
        </is>
      </c>
      <c r="F101" s="23">
        <f>IFERROR(INDEX(Tariffe!$B$2:$B$200,MATCH(E101,Tariffe!$A$2:$A$200,0)),"DA DEFINIRE")</f>
        <v/>
      </c>
      <c r="G101" s="16" t="n">
        <v>24</v>
      </c>
      <c r="H101" s="15">
        <f>Q101*R101</f>
        <v/>
      </c>
      <c r="I101" s="15" t="n">
        <v>0</v>
      </c>
      <c r="J101" s="16" t="n">
        <v>744</v>
      </c>
      <c r="K101" s="16" t="n">
        <v>0</v>
      </c>
      <c r="L101" s="16" t="n">
        <v>676.42</v>
      </c>
      <c r="M101" s="16" t="n">
        <v>67.58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31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I1 48€</t>
        </is>
      </c>
      <c r="F102" s="22">
        <f>IFERROR(INDEX(Tariffe!$B$2:$B$200,MATCH(E102,Tariffe!$A$2:$A$200,0)),"DA DEFINIRE")</f>
        <v/>
      </c>
      <c r="G102" s="12" t="n">
        <v>48</v>
      </c>
      <c r="H102" s="11">
        <f>Q102*R102</f>
        <v/>
      </c>
      <c r="I102" s="11" t="n">
        <v>0</v>
      </c>
      <c r="J102" s="12" t="n">
        <v>1344</v>
      </c>
      <c r="K102" s="12" t="n">
        <v>0</v>
      </c>
      <c r="L102" s="12" t="n">
        <v>1221.92</v>
      </c>
      <c r="M102" s="12" t="n">
        <v>122.08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28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I2 36€</t>
        </is>
      </c>
      <c r="F103" s="23">
        <f>IFERROR(INDEX(Tariffe!$B$2:$B$200,MATCH(E103,Tariffe!$A$2:$A$200,0)),"DA DEFINIRE")</f>
        <v/>
      </c>
      <c r="G103" s="16" t="n">
        <v>36</v>
      </c>
      <c r="H103" s="15">
        <f>Q103*R103</f>
        <v/>
      </c>
      <c r="I103" s="15" t="n">
        <v>0</v>
      </c>
      <c r="J103" s="16" t="n">
        <v>252</v>
      </c>
      <c r="K103" s="16" t="n">
        <v>0</v>
      </c>
      <c r="L103" s="16" t="n">
        <v>229.11</v>
      </c>
      <c r="M103" s="16" t="n">
        <v>22.89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7</v>
      </c>
      <c r="R103" s="15">
        <f>IFERROR(INDEX(Tariffe!$E$2:$E$200,MATCH(E103,Tariffe!$A$2:$A$200,0))*1,1)</f>
        <v/>
      </c>
    </row>
    <row r="104">
      <c r="A104" s="22" t="inlineStr">
        <is>
          <t>20261031_1915</t>
        </is>
      </c>
      <c r="B104" s="9" t="n">
        <v>46326</v>
      </c>
      <c r="C104" s="10" t="n">
        <v>0.8020833333333334</v>
      </c>
      <c r="D104" s="22" t="inlineStr">
        <is>
          <t>UN Unico</t>
        </is>
      </c>
      <c r="E104" s="22" t="inlineStr">
        <is>
          <t>I5 60€</t>
        </is>
      </c>
      <c r="F104" s="22">
        <f>IFERROR(INDEX(Tariffe!$B$2:$B$200,MATCH(E104,Tariffe!$A$2:$A$200,0)),"DA DEFINIRE")</f>
        <v/>
      </c>
      <c r="G104" s="12" t="n">
        <v>60</v>
      </c>
      <c r="H104" s="11">
        <f>Q104*R104</f>
        <v/>
      </c>
      <c r="I104" s="11" t="n">
        <v>0</v>
      </c>
      <c r="J104" s="12" t="n">
        <v>600</v>
      </c>
      <c r="K104" s="12" t="n">
        <v>0</v>
      </c>
      <c r="L104" s="12" t="n">
        <v>545.5</v>
      </c>
      <c r="M104" s="12" t="n">
        <v>54.5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10</v>
      </c>
      <c r="R104" s="11">
        <f>IFERROR(INDEX(Tariffe!$E$2:$E$200,MATCH(E104,Tariffe!$A$2:$A$200,0))*1,1)</f>
        <v/>
      </c>
    </row>
    <row r="105">
      <c r="A105" s="23" t="inlineStr">
        <is>
          <t>20261031_1915</t>
        </is>
      </c>
      <c r="B105" s="13" t="n">
        <v>46326</v>
      </c>
      <c r="C105" s="14" t="n">
        <v>0.8020833333333334</v>
      </c>
      <c r="D105" s="23" t="inlineStr">
        <is>
          <t>UN Unico</t>
        </is>
      </c>
      <c r="E105" s="23" t="inlineStr">
        <is>
          <t>I8 24€</t>
        </is>
      </c>
      <c r="F105" s="23">
        <f>IFERROR(INDEX(Tariffe!$B$2:$B$200,MATCH(E105,Tariffe!$A$2:$A$200,0)),"DA DEFINIRE")</f>
        <v/>
      </c>
      <c r="G105" s="16" t="n">
        <v>24</v>
      </c>
      <c r="H105" s="15">
        <f>Q105*R105</f>
        <v/>
      </c>
      <c r="I105" s="15" t="n">
        <v>0</v>
      </c>
      <c r="J105" s="16" t="n">
        <v>840</v>
      </c>
      <c r="K105" s="16" t="n">
        <v>0</v>
      </c>
      <c r="L105" s="16" t="n">
        <v>763.7</v>
      </c>
      <c r="M105" s="16" t="n">
        <v>76.3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35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I1 48€</t>
        </is>
      </c>
      <c r="F106" s="22">
        <f>IFERROR(INDEX(Tariffe!$B$2:$B$200,MATCH(E106,Tariffe!$A$2:$A$200,0)),"DA DEFINIRE")</f>
        <v/>
      </c>
      <c r="G106" s="12" t="n">
        <v>48</v>
      </c>
      <c r="H106" s="11">
        <f>Q106*R106</f>
        <v/>
      </c>
      <c r="I106" s="11" t="n">
        <v>1</v>
      </c>
      <c r="J106" s="12" t="n">
        <v>1536</v>
      </c>
      <c r="K106" s="12" t="n">
        <v>0</v>
      </c>
      <c r="L106" s="12" t="n">
        <v>1396.48</v>
      </c>
      <c r="M106" s="12" t="n">
        <v>139.52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32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I2 36€</t>
        </is>
      </c>
      <c r="F107" s="23">
        <f>IFERROR(INDEX(Tariffe!$B$2:$B$200,MATCH(E107,Tariffe!$A$2:$A$200,0)),"DA DEFINIRE")</f>
        <v/>
      </c>
      <c r="G107" s="16" t="n">
        <v>36</v>
      </c>
      <c r="H107" s="15">
        <f>Q107*R107</f>
        <v/>
      </c>
      <c r="I107" s="15" t="n">
        <v>0</v>
      </c>
      <c r="J107" s="16" t="n">
        <v>288</v>
      </c>
      <c r="K107" s="16" t="n">
        <v>0</v>
      </c>
      <c r="L107" s="16" t="n">
        <v>261.84</v>
      </c>
      <c r="M107" s="16" t="n">
        <v>26.16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8</v>
      </c>
      <c r="R107" s="15">
        <f>IFERROR(INDEX(Tariffe!$E$2:$E$200,MATCH(E107,Tariffe!$A$2:$A$200,0))*1,1)</f>
        <v/>
      </c>
    </row>
    <row r="108">
      <c r="A108" s="22" t="inlineStr">
        <is>
          <t>20261031_2015</t>
        </is>
      </c>
      <c r="B108" s="9" t="n">
        <v>46326</v>
      </c>
      <c r="C108" s="10" t="n">
        <v>0.84375</v>
      </c>
      <c r="D108" s="22" t="inlineStr">
        <is>
          <t>UN Unico</t>
        </is>
      </c>
      <c r="E108" s="22" t="inlineStr">
        <is>
          <t>I5 60€</t>
        </is>
      </c>
      <c r="F108" s="22">
        <f>IFERROR(INDEX(Tariffe!$B$2:$B$200,MATCH(E108,Tariffe!$A$2:$A$200,0)),"DA DEFINIRE")</f>
        <v/>
      </c>
      <c r="G108" s="12" t="n">
        <v>60</v>
      </c>
      <c r="H108" s="11">
        <f>Q108*R108</f>
        <v/>
      </c>
      <c r="I108" s="11" t="n">
        <v>2</v>
      </c>
      <c r="J108" s="12" t="n">
        <v>660</v>
      </c>
      <c r="K108" s="12" t="n">
        <v>0</v>
      </c>
      <c r="L108" s="12" t="n">
        <v>600.05</v>
      </c>
      <c r="M108" s="12" t="n">
        <v>59.95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11</v>
      </c>
      <c r="R108" s="11">
        <f>IFERROR(INDEX(Tariffe!$E$2:$E$200,MATCH(E108,Tariffe!$A$2:$A$200,0))*1,1)</f>
        <v/>
      </c>
    </row>
    <row r="109">
      <c r="A109" s="23" t="inlineStr">
        <is>
          <t>20261031_2015</t>
        </is>
      </c>
      <c r="B109" s="13" t="n">
        <v>46326</v>
      </c>
      <c r="C109" s="14" t="n">
        <v>0.84375</v>
      </c>
      <c r="D109" s="23" t="inlineStr">
        <is>
          <t>UN Unico</t>
        </is>
      </c>
      <c r="E109" s="23" t="inlineStr">
        <is>
          <t>I8 24€</t>
        </is>
      </c>
      <c r="F109" s="23">
        <f>IFERROR(INDEX(Tariffe!$B$2:$B$200,MATCH(E109,Tariffe!$A$2:$A$200,0)),"DA DEFINIRE")</f>
        <v/>
      </c>
      <c r="G109" s="16" t="n">
        <v>24</v>
      </c>
      <c r="H109" s="15">
        <f>Q109*R109</f>
        <v/>
      </c>
      <c r="I109" s="15" t="n">
        <v>0</v>
      </c>
      <c r="J109" s="16" t="n">
        <v>696</v>
      </c>
      <c r="K109" s="16" t="n">
        <v>0</v>
      </c>
      <c r="L109" s="16" t="n">
        <v>632.78</v>
      </c>
      <c r="M109" s="16" t="n">
        <v>63.22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29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I1 48€</t>
        </is>
      </c>
      <c r="F110" s="22">
        <f>IFERROR(INDEX(Tariffe!$B$2:$B$200,MATCH(E110,Tariffe!$A$2:$A$200,0)),"DA DEFINIRE")</f>
        <v/>
      </c>
      <c r="G110" s="12" t="n">
        <v>48</v>
      </c>
      <c r="H110" s="11">
        <f>Q110*R110</f>
        <v/>
      </c>
      <c r="I110" s="11" t="n">
        <v>0</v>
      </c>
      <c r="J110" s="12" t="n">
        <v>1440</v>
      </c>
      <c r="K110" s="12" t="n">
        <v>0</v>
      </c>
      <c r="L110" s="12" t="n">
        <v>1309.2</v>
      </c>
      <c r="M110" s="12" t="n">
        <v>130.8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30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I2 36€</t>
        </is>
      </c>
      <c r="F111" s="23">
        <f>IFERROR(INDEX(Tariffe!$B$2:$B$200,MATCH(E111,Tariffe!$A$2:$A$200,0)),"DA DEFINIRE")</f>
        <v/>
      </c>
      <c r="G111" s="16" t="n">
        <v>36</v>
      </c>
      <c r="H111" s="15">
        <f>Q111*R111</f>
        <v/>
      </c>
      <c r="I111" s="15" t="n">
        <v>0</v>
      </c>
      <c r="J111" s="16" t="n">
        <v>216</v>
      </c>
      <c r="K111" s="16" t="n">
        <v>0</v>
      </c>
      <c r="L111" s="16" t="n">
        <v>196.38</v>
      </c>
      <c r="M111" s="16" t="n">
        <v>19.62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6</v>
      </c>
      <c r="R111" s="15">
        <f>IFERROR(INDEX(Tariffe!$E$2:$E$200,MATCH(E111,Tariffe!$A$2:$A$200,0))*1,1)</f>
        <v/>
      </c>
    </row>
    <row r="112">
      <c r="A112" s="22" t="inlineStr">
        <is>
          <t>20261031_2115</t>
        </is>
      </c>
      <c r="B112" s="9" t="n">
        <v>46326</v>
      </c>
      <c r="C112" s="10" t="n">
        <v>0.8854166666666666</v>
      </c>
      <c r="D112" s="22" t="inlineStr">
        <is>
          <t>UN Unico</t>
        </is>
      </c>
      <c r="E112" s="22" t="inlineStr">
        <is>
          <t>I5 60€</t>
        </is>
      </c>
      <c r="F112" s="22">
        <f>IFERROR(INDEX(Tariffe!$B$2:$B$200,MATCH(E112,Tariffe!$A$2:$A$200,0)),"DA DEFINIRE")</f>
        <v/>
      </c>
      <c r="G112" s="12" t="n">
        <v>60</v>
      </c>
      <c r="H112" s="11">
        <f>Q112*R112</f>
        <v/>
      </c>
      <c r="I112" s="11" t="n">
        <v>0</v>
      </c>
      <c r="J112" s="12" t="n">
        <v>360</v>
      </c>
      <c r="K112" s="12" t="n">
        <v>0</v>
      </c>
      <c r="L112" s="12" t="n">
        <v>327.3</v>
      </c>
      <c r="M112" s="12" t="n">
        <v>32.7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6</v>
      </c>
      <c r="R112" s="11">
        <f>IFERROR(INDEX(Tariffe!$E$2:$E$200,MATCH(E112,Tariffe!$A$2:$A$200,0))*1,1)</f>
        <v/>
      </c>
    </row>
    <row r="113">
      <c r="A113" s="23" t="inlineStr">
        <is>
          <t>20261031_2115</t>
        </is>
      </c>
      <c r="B113" s="13" t="n">
        <v>46326</v>
      </c>
      <c r="C113" s="14" t="n">
        <v>0.8854166666666666</v>
      </c>
      <c r="D113" s="23" t="inlineStr">
        <is>
          <t>UN Unico</t>
        </is>
      </c>
      <c r="E113" s="23" t="inlineStr">
        <is>
          <t>I8 24€</t>
        </is>
      </c>
      <c r="F113" s="23">
        <f>IFERROR(INDEX(Tariffe!$B$2:$B$200,MATCH(E113,Tariffe!$A$2:$A$200,0)),"DA DEFINIRE")</f>
        <v/>
      </c>
      <c r="G113" s="16" t="n">
        <v>24</v>
      </c>
      <c r="H113" s="15">
        <f>Q113*R113</f>
        <v/>
      </c>
      <c r="I113" s="15" t="n">
        <v>0</v>
      </c>
      <c r="J113" s="16" t="n">
        <v>912</v>
      </c>
      <c r="K113" s="16" t="n">
        <v>0</v>
      </c>
      <c r="L113" s="16" t="n">
        <v>829.16</v>
      </c>
      <c r="M113" s="16" t="n">
        <v>82.84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38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I1 48€</t>
        </is>
      </c>
      <c r="F114" s="22">
        <f>IFERROR(INDEX(Tariffe!$B$2:$B$200,MATCH(E114,Tariffe!$A$2:$A$200,0)),"DA DEFINIRE")</f>
        <v/>
      </c>
      <c r="G114" s="12" t="n">
        <v>48</v>
      </c>
      <c r="H114" s="11">
        <f>Q114*R114</f>
        <v/>
      </c>
      <c r="I114" s="11" t="n">
        <v>3</v>
      </c>
      <c r="J114" s="12" t="n">
        <v>1296</v>
      </c>
      <c r="K114" s="12" t="n">
        <v>0</v>
      </c>
      <c r="L114" s="12" t="n">
        <v>1178.28</v>
      </c>
      <c r="M114" s="12" t="n">
        <v>117.72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27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I2 36€</t>
        </is>
      </c>
      <c r="F115" s="23">
        <f>IFERROR(INDEX(Tariffe!$B$2:$B$200,MATCH(E115,Tariffe!$A$2:$A$200,0)),"DA DEFINIRE")</f>
        <v/>
      </c>
      <c r="G115" s="16" t="n">
        <v>36</v>
      </c>
      <c r="H115" s="15">
        <f>Q115*R115</f>
        <v/>
      </c>
      <c r="I115" s="15" t="n">
        <v>0</v>
      </c>
      <c r="J115" s="16" t="n">
        <v>180</v>
      </c>
      <c r="K115" s="16" t="n">
        <v>0</v>
      </c>
      <c r="L115" s="16" t="n">
        <v>163.65</v>
      </c>
      <c r="M115" s="16" t="n">
        <v>16.35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20261031_2215</t>
        </is>
      </c>
      <c r="B116" s="9" t="n">
        <v>46326</v>
      </c>
      <c r="C116" s="10" t="n">
        <v>0.9270833333333334</v>
      </c>
      <c r="D116" s="22" t="inlineStr">
        <is>
          <t>UN Unico</t>
        </is>
      </c>
      <c r="E116" s="22" t="inlineStr">
        <is>
          <t>I5 60€</t>
        </is>
      </c>
      <c r="F116" s="22">
        <f>IFERROR(INDEX(Tariffe!$B$2:$B$200,MATCH(E116,Tariffe!$A$2:$A$200,0)),"DA DEFINIRE")</f>
        <v/>
      </c>
      <c r="G116" s="12" t="n">
        <v>60</v>
      </c>
      <c r="H116" s="11">
        <f>Q116*R116</f>
        <v/>
      </c>
      <c r="I116" s="11" t="n">
        <v>0</v>
      </c>
      <c r="J116" s="12" t="n">
        <v>240</v>
      </c>
      <c r="K116" s="12" t="n">
        <v>0</v>
      </c>
      <c r="L116" s="12" t="n">
        <v>218.2</v>
      </c>
      <c r="M116" s="12" t="n">
        <v>21.8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</v>
      </c>
      <c r="R116" s="11">
        <f>IFERROR(INDEX(Tariffe!$E$2:$E$200,MATCH(E116,Tariffe!$A$2:$A$200,0))*1,1)</f>
        <v/>
      </c>
    </row>
    <row r="117">
      <c r="A117" s="23" t="inlineStr">
        <is>
          <t>20261031_2215</t>
        </is>
      </c>
      <c r="B117" s="13" t="n">
        <v>46326</v>
      </c>
      <c r="C117" s="14" t="n">
        <v>0.9270833333333334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1056</v>
      </c>
      <c r="K117" s="16" t="n">
        <v>0</v>
      </c>
      <c r="L117" s="16" t="n">
        <v>960.08</v>
      </c>
      <c r="M117" s="16" t="n">
        <v>95.92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44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1968</v>
      </c>
      <c r="K118" s="12" t="n">
        <v>0</v>
      </c>
      <c r="L118" s="12" t="n">
        <v>1789.24</v>
      </c>
      <c r="M118" s="12" t="n">
        <v>178.76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41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108</v>
      </c>
      <c r="K119" s="16" t="n">
        <v>0</v>
      </c>
      <c r="L119" s="16" t="n">
        <v>98.19</v>
      </c>
      <c r="M119" s="16" t="n">
        <v>9.81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3</v>
      </c>
      <c r="R119" s="15">
        <f>IFERROR(INDEX(Tariffe!$E$2:$E$200,MATCH(E119,Tariffe!$A$2:$A$200,0))*1,1)</f>
        <v/>
      </c>
    </row>
    <row r="120">
      <c r="A120" s="22" t="inlineStr">
        <is>
          <t>20261031_2315</t>
        </is>
      </c>
      <c r="B120" s="9" t="n">
        <v>46326</v>
      </c>
      <c r="C120" s="10" t="n">
        <v>0.96875</v>
      </c>
      <c r="D120" s="22" t="inlineStr">
        <is>
          <t>UN Unico</t>
        </is>
      </c>
      <c r="E120" s="22" t="inlineStr">
        <is>
          <t>I5 60€</t>
        </is>
      </c>
      <c r="F120" s="22">
        <f>IFERROR(INDEX(Tariffe!$B$2:$B$200,MATCH(E120,Tariffe!$A$2:$A$200,0)),"DA DEFINIRE")</f>
        <v/>
      </c>
      <c r="G120" s="12" t="n">
        <v>60</v>
      </c>
      <c r="H120" s="11">
        <f>Q120*R120</f>
        <v/>
      </c>
      <c r="I120" s="11" t="n">
        <v>0</v>
      </c>
      <c r="J120" s="12" t="n">
        <v>300</v>
      </c>
      <c r="K120" s="12" t="n">
        <v>0</v>
      </c>
      <c r="L120" s="12" t="n">
        <v>272.75</v>
      </c>
      <c r="M120" s="12" t="n">
        <v>27.25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20261031_2315</t>
        </is>
      </c>
      <c r="B121" s="13" t="n">
        <v>46326</v>
      </c>
      <c r="C121" s="14" t="n">
        <v>0.96875</v>
      </c>
      <c r="D121" s="23" t="inlineStr">
        <is>
          <t>UN Unico</t>
        </is>
      </c>
      <c r="E121" s="23" t="inlineStr">
        <is>
          <t>I8 24€</t>
        </is>
      </c>
      <c r="F121" s="23">
        <f>IFERROR(INDEX(Tariffe!$B$2:$B$200,MATCH(E121,Tariffe!$A$2:$A$200,0)),"DA DEFINIRE")</f>
        <v/>
      </c>
      <c r="G121" s="16" t="n">
        <v>24</v>
      </c>
      <c r="H121" s="15">
        <f>Q121*R121</f>
        <v/>
      </c>
      <c r="I121" s="15" t="n">
        <v>0</v>
      </c>
      <c r="J121" s="16" t="n">
        <v>744</v>
      </c>
      <c r="K121" s="16" t="n">
        <v>0</v>
      </c>
      <c r="L121" s="16" t="n">
        <v>676.42</v>
      </c>
      <c r="M121" s="16" t="n">
        <v>67.58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31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I1 48€</t>
        </is>
      </c>
      <c r="F122" s="22">
        <f>IFERROR(INDEX(Tariffe!$B$2:$B$200,MATCH(E122,Tariffe!$A$2:$A$200,0)),"DA DEFINIRE")</f>
        <v/>
      </c>
      <c r="G122" s="12" t="n">
        <v>48</v>
      </c>
      <c r="H122" s="11">
        <f>Q122*R122</f>
        <v/>
      </c>
      <c r="I122" s="11" t="n">
        <v>0</v>
      </c>
      <c r="J122" s="12" t="n">
        <v>2256</v>
      </c>
      <c r="K122" s="12" t="n">
        <v>0</v>
      </c>
      <c r="L122" s="12" t="n">
        <v>2051.08</v>
      </c>
      <c r="M122" s="12" t="n">
        <v>204.92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47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20261031_2359</t>
        </is>
      </c>
      <c r="B124" s="9" t="n">
        <v>46326</v>
      </c>
      <c r="C124" s="10" t="n">
        <v>0.9993055555555556</v>
      </c>
      <c r="D124" s="22" t="inlineStr">
        <is>
          <t>UN Unico</t>
        </is>
      </c>
      <c r="E124" s="22" t="inlineStr">
        <is>
          <t>I5 60€</t>
        </is>
      </c>
      <c r="F124" s="22">
        <f>IFERROR(INDEX(Tariffe!$B$2:$B$200,MATCH(E124,Tariffe!$A$2:$A$200,0)),"DA DEFINIRE")</f>
        <v/>
      </c>
      <c r="G124" s="12" t="n">
        <v>60</v>
      </c>
      <c r="H124" s="11">
        <f>Q124*R124</f>
        <v/>
      </c>
      <c r="I124" s="11" t="n">
        <v>0</v>
      </c>
      <c r="J124" s="12" t="n">
        <v>300</v>
      </c>
      <c r="K124" s="12" t="n">
        <v>0</v>
      </c>
      <c r="L124" s="12" t="n">
        <v>272.75</v>
      </c>
      <c r="M124" s="12" t="n">
        <v>27.25</v>
      </c>
      <c r="N124" s="22" t="inlineStr">
        <is>
          <t>10/2026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5</v>
      </c>
      <c r="R124" s="11">
        <f>IFERROR(INDEX(Tariffe!$E$2:$E$200,MATCH(E124,Tariffe!$A$2:$A$200,0))*1,1)</f>
        <v/>
      </c>
    </row>
    <row r="125">
      <c r="A125" s="23" t="inlineStr">
        <is>
          <t>20261031_2359</t>
        </is>
      </c>
      <c r="B125" s="13" t="n">
        <v>46326</v>
      </c>
      <c r="C125" s="14" t="n">
        <v>0.9993055555555556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648</v>
      </c>
      <c r="K125" s="16" t="n">
        <v>0</v>
      </c>
      <c r="L125" s="16" t="n">
        <v>589.14</v>
      </c>
      <c r="M125" s="16" t="n">
        <v>58.86</v>
      </c>
      <c r="N125" s="23" t="inlineStr">
        <is>
          <t>10/2026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27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I1 48€</t>
        </is>
      </c>
      <c r="F126" s="22">
        <f>IFERROR(INDEX(Tariffe!$B$2:$B$200,MATCH(E126,Tariffe!$A$2:$A$200,0)),"DA DEFINIRE")</f>
        <v/>
      </c>
      <c r="G126" s="12" t="n">
        <v>48</v>
      </c>
      <c r="H126" s="11">
        <f>Q126*R126</f>
        <v/>
      </c>
      <c r="I126" s="11" t="n">
        <v>0</v>
      </c>
      <c r="J126" s="12" t="n">
        <v>480</v>
      </c>
      <c r="K126" s="12" t="n">
        <v>0</v>
      </c>
      <c r="L126" s="12" t="n">
        <v>436.4</v>
      </c>
      <c r="M126" s="12" t="n">
        <v>43.6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10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I2 36€</t>
        </is>
      </c>
      <c r="F127" s="23">
        <f>IFERROR(INDEX(Tariffe!$B$2:$B$200,MATCH(E127,Tariffe!$A$2:$A$200,0)),"DA DEFINIRE")</f>
        <v/>
      </c>
      <c r="G127" s="16" t="n">
        <v>36</v>
      </c>
      <c r="H127" s="15">
        <f>Q127*R127</f>
        <v/>
      </c>
      <c r="I127" s="15" t="n">
        <v>0</v>
      </c>
      <c r="J127" s="16" t="n">
        <v>72</v>
      </c>
      <c r="K127" s="16" t="n">
        <v>0</v>
      </c>
      <c r="L127" s="16" t="n">
        <v>65.45999999999999</v>
      </c>
      <c r="M127" s="16" t="n">
        <v>6.54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20261101_1915</t>
        </is>
      </c>
      <c r="B128" s="9" t="n">
        <v>46327</v>
      </c>
      <c r="C128" s="10" t="n">
        <v>0.8020833333333334</v>
      </c>
      <c r="D128" s="22" t="inlineStr">
        <is>
          <t>UN Unico</t>
        </is>
      </c>
      <c r="E128" s="22" t="inlineStr">
        <is>
          <t>I5 60€</t>
        </is>
      </c>
      <c r="F128" s="22">
        <f>IFERROR(INDEX(Tariffe!$B$2:$B$200,MATCH(E128,Tariffe!$A$2:$A$200,0)),"DA DEFINIRE")</f>
        <v/>
      </c>
      <c r="G128" s="12" t="n">
        <v>60</v>
      </c>
      <c r="H128" s="11">
        <f>Q128*R128</f>
        <v/>
      </c>
      <c r="I128" s="11" t="n">
        <v>0</v>
      </c>
      <c r="J128" s="12" t="n">
        <v>180</v>
      </c>
      <c r="K128" s="12" t="n">
        <v>0</v>
      </c>
      <c r="L128" s="12" t="n">
        <v>163.65</v>
      </c>
      <c r="M128" s="12" t="n">
        <v>16.35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3</v>
      </c>
      <c r="R128" s="11">
        <f>IFERROR(INDEX(Tariffe!$E$2:$E$200,MATCH(E128,Tariffe!$A$2:$A$200,0))*1,1)</f>
        <v/>
      </c>
    </row>
    <row r="129">
      <c r="A129" s="23" t="inlineStr">
        <is>
          <t>20261101_1915</t>
        </is>
      </c>
      <c r="B129" s="13" t="n">
        <v>46327</v>
      </c>
      <c r="C129" s="14" t="n">
        <v>0.8020833333333334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240</v>
      </c>
      <c r="K129" s="16" t="n">
        <v>0</v>
      </c>
      <c r="L129" s="16" t="n">
        <v>218.2</v>
      </c>
      <c r="M129" s="16" t="n">
        <v>21.8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10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I1 48€</t>
        </is>
      </c>
      <c r="F130" s="22">
        <f>IFERROR(INDEX(Tariffe!$B$2:$B$200,MATCH(E130,Tariffe!$A$2:$A$200,0)),"DA DEFINIRE")</f>
        <v/>
      </c>
      <c r="G130" s="12" t="n">
        <v>48</v>
      </c>
      <c r="H130" s="11">
        <f>Q130*R130</f>
        <v/>
      </c>
      <c r="I130" s="11" t="n">
        <v>0</v>
      </c>
      <c r="J130" s="12" t="n">
        <v>672</v>
      </c>
      <c r="K130" s="12" t="n">
        <v>0</v>
      </c>
      <c r="L130" s="12" t="n">
        <v>610.96</v>
      </c>
      <c r="M130" s="12" t="n">
        <v>61.04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14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I2 36€</t>
        </is>
      </c>
      <c r="F131" s="23">
        <f>IFERROR(INDEX(Tariffe!$B$2:$B$200,MATCH(E131,Tariffe!$A$2:$A$200,0)),"DA DEFINIRE")</f>
        <v/>
      </c>
      <c r="G131" s="16" t="n">
        <v>36</v>
      </c>
      <c r="H131" s="15">
        <f>Q131*R131</f>
        <v/>
      </c>
      <c r="I131" s="15" t="n">
        <v>0</v>
      </c>
      <c r="J131" s="16" t="n">
        <v>252</v>
      </c>
      <c r="K131" s="16" t="n">
        <v>0</v>
      </c>
      <c r="L131" s="16" t="n">
        <v>229.11</v>
      </c>
      <c r="M131" s="16" t="n">
        <v>22.89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7</v>
      </c>
      <c r="R131" s="15">
        <f>IFERROR(INDEX(Tariffe!$E$2:$E$200,MATCH(E131,Tariffe!$A$2:$A$200,0))*1,1)</f>
        <v/>
      </c>
    </row>
    <row r="132">
      <c r="A132" s="22" t="inlineStr">
        <is>
          <t>20261101_2015</t>
        </is>
      </c>
      <c r="B132" s="9" t="n">
        <v>46327</v>
      </c>
      <c r="C132" s="10" t="n">
        <v>0.84375</v>
      </c>
      <c r="D132" s="22" t="inlineStr">
        <is>
          <t>UN Unico</t>
        </is>
      </c>
      <c r="E132" s="22" t="inlineStr">
        <is>
          <t>I5 60€</t>
        </is>
      </c>
      <c r="F132" s="22">
        <f>IFERROR(INDEX(Tariffe!$B$2:$B$200,MATCH(E132,Tariffe!$A$2:$A$200,0)),"DA DEFINIRE")</f>
        <v/>
      </c>
      <c r="G132" s="12" t="n">
        <v>60</v>
      </c>
      <c r="H132" s="11">
        <f>Q132*R132</f>
        <v/>
      </c>
      <c r="I132" s="11" t="n">
        <v>0</v>
      </c>
      <c r="J132" s="12" t="n">
        <v>300</v>
      </c>
      <c r="K132" s="12" t="n">
        <v>0</v>
      </c>
      <c r="L132" s="12" t="n">
        <v>272.75</v>
      </c>
      <c r="M132" s="12" t="n">
        <v>27.25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5</v>
      </c>
      <c r="R132" s="11">
        <f>IFERROR(INDEX(Tariffe!$E$2:$E$200,MATCH(E132,Tariffe!$A$2:$A$200,0))*1,1)</f>
        <v/>
      </c>
    </row>
    <row r="133">
      <c r="A133" s="23" t="inlineStr">
        <is>
          <t>20261101_2015</t>
        </is>
      </c>
      <c r="B133" s="13" t="n">
        <v>46327</v>
      </c>
      <c r="C133" s="14" t="n">
        <v>0.84375</v>
      </c>
      <c r="D133" s="23" t="inlineStr">
        <is>
          <t>UN Unico</t>
        </is>
      </c>
      <c r="E133" s="23" t="inlineStr">
        <is>
          <t>I8 24€</t>
        </is>
      </c>
      <c r="F133" s="23">
        <f>IFERROR(INDEX(Tariffe!$B$2:$B$200,MATCH(E133,Tariffe!$A$2:$A$200,0)),"DA DEFINIRE")</f>
        <v/>
      </c>
      <c r="G133" s="16" t="n">
        <v>24</v>
      </c>
      <c r="H133" s="15">
        <f>Q133*R133</f>
        <v/>
      </c>
      <c r="I133" s="15" t="n">
        <v>0</v>
      </c>
      <c r="J133" s="16" t="n">
        <v>456</v>
      </c>
      <c r="K133" s="16" t="n">
        <v>0</v>
      </c>
      <c r="L133" s="16" t="n">
        <v>414.58</v>
      </c>
      <c r="M133" s="16" t="n">
        <v>41.42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19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I1 48€</t>
        </is>
      </c>
      <c r="F134" s="22">
        <f>IFERROR(INDEX(Tariffe!$B$2:$B$200,MATCH(E134,Tariffe!$A$2:$A$200,0)),"DA DEFINIRE")</f>
        <v/>
      </c>
      <c r="G134" s="12" t="n">
        <v>48</v>
      </c>
      <c r="H134" s="11">
        <f>Q134*R134</f>
        <v/>
      </c>
      <c r="I134" s="11" t="n">
        <v>0</v>
      </c>
      <c r="J134" s="12" t="n">
        <v>1296</v>
      </c>
      <c r="K134" s="12" t="n">
        <v>0</v>
      </c>
      <c r="L134" s="12" t="n">
        <v>1178.28</v>
      </c>
      <c r="M134" s="12" t="n">
        <v>117.72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27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I2 36€</t>
        </is>
      </c>
      <c r="F135" s="23">
        <f>IFERROR(INDEX(Tariffe!$B$2:$B$200,MATCH(E135,Tariffe!$A$2:$A$200,0)),"DA DEFINIRE")</f>
        <v/>
      </c>
      <c r="G135" s="16" t="n">
        <v>36</v>
      </c>
      <c r="H135" s="15">
        <f>Q135*R135</f>
        <v/>
      </c>
      <c r="I135" s="15" t="n">
        <v>0</v>
      </c>
      <c r="J135" s="16" t="n">
        <v>324</v>
      </c>
      <c r="K135" s="16" t="n">
        <v>0</v>
      </c>
      <c r="L135" s="16" t="n">
        <v>294.57</v>
      </c>
      <c r="M135" s="16" t="n">
        <v>29.43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9</v>
      </c>
      <c r="R135" s="15">
        <f>IFERROR(INDEX(Tariffe!$E$2:$E$200,MATCH(E135,Tariffe!$A$2:$A$200,0))*1,1)</f>
        <v/>
      </c>
    </row>
    <row r="136">
      <c r="A136" s="22" t="inlineStr">
        <is>
          <t>20261101_2115</t>
        </is>
      </c>
      <c r="B136" s="9" t="n">
        <v>46327</v>
      </c>
      <c r="C136" s="10" t="n">
        <v>0.8854166666666666</v>
      </c>
      <c r="D136" s="22" t="inlineStr">
        <is>
          <t>UN Unico</t>
        </is>
      </c>
      <c r="E136" s="22" t="inlineStr">
        <is>
          <t>I5 60€</t>
        </is>
      </c>
      <c r="F136" s="22">
        <f>IFERROR(INDEX(Tariffe!$B$2:$B$200,MATCH(E136,Tariffe!$A$2:$A$200,0)),"DA DEFINIRE")</f>
        <v/>
      </c>
      <c r="G136" s="12" t="n">
        <v>60</v>
      </c>
      <c r="H136" s="11">
        <f>Q136*R136</f>
        <v/>
      </c>
      <c r="I136" s="11" t="n">
        <v>0</v>
      </c>
      <c r="J136" s="12" t="n">
        <v>660</v>
      </c>
      <c r="K136" s="12" t="n">
        <v>0</v>
      </c>
      <c r="L136" s="12" t="n">
        <v>600.05</v>
      </c>
      <c r="M136" s="12" t="n">
        <v>59.95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11</v>
      </c>
      <c r="R136" s="11">
        <f>IFERROR(INDEX(Tariffe!$E$2:$E$200,MATCH(E136,Tariffe!$A$2:$A$200,0))*1,1)</f>
        <v/>
      </c>
    </row>
    <row r="137">
      <c r="A137" s="23" t="inlineStr">
        <is>
          <t>20261101_2115</t>
        </is>
      </c>
      <c r="B137" s="13" t="n">
        <v>46327</v>
      </c>
      <c r="C137" s="14" t="n">
        <v>0.8854166666666666</v>
      </c>
      <c r="D137" s="23" t="inlineStr">
        <is>
          <t>UN Unico</t>
        </is>
      </c>
      <c r="E137" s="23" t="inlineStr">
        <is>
          <t>I8 24€</t>
        </is>
      </c>
      <c r="F137" s="23">
        <f>IFERROR(INDEX(Tariffe!$B$2:$B$200,MATCH(E137,Tariffe!$A$2:$A$200,0)),"DA DEFINIRE")</f>
        <v/>
      </c>
      <c r="G137" s="16" t="n">
        <v>24</v>
      </c>
      <c r="H137" s="15">
        <f>Q137*R137</f>
        <v/>
      </c>
      <c r="I137" s="15" t="n">
        <v>0</v>
      </c>
      <c r="J137" s="16" t="n">
        <v>792</v>
      </c>
      <c r="K137" s="16" t="n">
        <v>0</v>
      </c>
      <c r="L137" s="16" t="n">
        <v>720.0599999999999</v>
      </c>
      <c r="M137" s="16" t="n">
        <v>71.94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33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I1 48€</t>
        </is>
      </c>
      <c r="F138" s="22">
        <f>IFERROR(INDEX(Tariffe!$B$2:$B$200,MATCH(E138,Tariffe!$A$2:$A$200,0)),"DA DEFINIRE")</f>
        <v/>
      </c>
      <c r="G138" s="12" t="n">
        <v>48</v>
      </c>
      <c r="H138" s="11">
        <f>Q138*R138</f>
        <v/>
      </c>
      <c r="I138" s="11" t="n">
        <v>0</v>
      </c>
      <c r="J138" s="12" t="n">
        <v>1728</v>
      </c>
      <c r="K138" s="12" t="n">
        <v>0</v>
      </c>
      <c r="L138" s="12" t="n">
        <v>1571.04</v>
      </c>
      <c r="M138" s="12" t="n">
        <v>156.96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36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I2 36€</t>
        </is>
      </c>
      <c r="F139" s="23">
        <f>IFERROR(INDEX(Tariffe!$B$2:$B$200,MATCH(E139,Tariffe!$A$2:$A$200,0)),"DA DEFINIRE")</f>
        <v/>
      </c>
      <c r="G139" s="16" t="n">
        <v>36</v>
      </c>
      <c r="H139" s="15">
        <f>Q139*R139</f>
        <v/>
      </c>
      <c r="I139" s="15" t="n">
        <v>0</v>
      </c>
      <c r="J139" s="16" t="n">
        <v>252</v>
      </c>
      <c r="K139" s="16" t="n">
        <v>0</v>
      </c>
      <c r="L139" s="16" t="n">
        <v>229.11</v>
      </c>
      <c r="M139" s="16" t="n">
        <v>22.89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7</v>
      </c>
      <c r="R139" s="15">
        <f>IFERROR(INDEX(Tariffe!$E$2:$E$200,MATCH(E139,Tariffe!$A$2:$A$200,0))*1,1)</f>
        <v/>
      </c>
    </row>
    <row r="140">
      <c r="A140" s="22" t="inlineStr">
        <is>
          <t>20261101_2215</t>
        </is>
      </c>
      <c r="B140" s="9" t="n">
        <v>46327</v>
      </c>
      <c r="C140" s="10" t="n">
        <v>0.9270833333333334</v>
      </c>
      <c r="D140" s="22" t="inlineStr">
        <is>
          <t>UN Unico</t>
        </is>
      </c>
      <c r="E140" s="22" t="inlineStr">
        <is>
          <t>I5 60€</t>
        </is>
      </c>
      <c r="F140" s="22">
        <f>IFERROR(INDEX(Tariffe!$B$2:$B$200,MATCH(E140,Tariffe!$A$2:$A$200,0)),"DA DEFINIRE")</f>
        <v/>
      </c>
      <c r="G140" s="12" t="n">
        <v>60</v>
      </c>
      <c r="H140" s="11">
        <f>Q140*R140</f>
        <v/>
      </c>
      <c r="I140" s="11" t="n">
        <v>0</v>
      </c>
      <c r="J140" s="12" t="n">
        <v>420</v>
      </c>
      <c r="K140" s="12" t="n">
        <v>0</v>
      </c>
      <c r="L140" s="12" t="n">
        <v>381.85</v>
      </c>
      <c r="M140" s="12" t="n">
        <v>38.15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7</v>
      </c>
      <c r="R140" s="11">
        <f>IFERROR(INDEX(Tariffe!$E$2:$E$200,MATCH(E140,Tariffe!$A$2:$A$200,0))*1,1)</f>
        <v/>
      </c>
    </row>
    <row r="141">
      <c r="A141" s="23" t="inlineStr">
        <is>
          <t>20261101_2215</t>
        </is>
      </c>
      <c r="B141" s="13" t="n">
        <v>46327</v>
      </c>
      <c r="C141" s="14" t="n">
        <v>0.9270833333333334</v>
      </c>
      <c r="D141" s="23" t="inlineStr">
        <is>
          <t>UN Unico</t>
        </is>
      </c>
      <c r="E141" s="23" t="inlineStr">
        <is>
          <t>I8 24€</t>
        </is>
      </c>
      <c r="F141" s="23">
        <f>IFERROR(INDEX(Tariffe!$B$2:$B$200,MATCH(E141,Tariffe!$A$2:$A$200,0)),"DA DEFINIRE")</f>
        <v/>
      </c>
      <c r="G141" s="16" t="n">
        <v>24</v>
      </c>
      <c r="H141" s="15">
        <f>Q141*R141</f>
        <v/>
      </c>
      <c r="I141" s="15" t="n">
        <v>0</v>
      </c>
      <c r="J141" s="16" t="n">
        <v>720</v>
      </c>
      <c r="K141" s="16" t="n">
        <v>0</v>
      </c>
      <c r="L141" s="16" t="n">
        <v>654.6</v>
      </c>
      <c r="M141" s="16" t="n">
        <v>65.40000000000001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30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I1 48€</t>
        </is>
      </c>
      <c r="F142" s="22">
        <f>IFERROR(INDEX(Tariffe!$B$2:$B$200,MATCH(E142,Tariffe!$A$2:$A$200,0)),"DA DEFINIRE")</f>
        <v/>
      </c>
      <c r="G142" s="12" t="n">
        <v>48</v>
      </c>
      <c r="H142" s="11">
        <f>Q142*R142</f>
        <v/>
      </c>
      <c r="I142" s="11" t="n">
        <v>4</v>
      </c>
      <c r="J142" s="12" t="n">
        <v>1776</v>
      </c>
      <c r="K142" s="12" t="n">
        <v>0</v>
      </c>
      <c r="L142" s="12" t="n">
        <v>1614.68</v>
      </c>
      <c r="M142" s="12" t="n">
        <v>161.32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37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I2 36€</t>
        </is>
      </c>
      <c r="F143" s="23">
        <f>IFERROR(INDEX(Tariffe!$B$2:$B$200,MATCH(E143,Tariffe!$A$2:$A$200,0)),"DA DEFINIRE")</f>
        <v/>
      </c>
      <c r="G143" s="16" t="n">
        <v>36</v>
      </c>
      <c r="H143" s="15">
        <f>Q143*R143</f>
        <v/>
      </c>
      <c r="I143" s="15" t="n">
        <v>0</v>
      </c>
      <c r="J143" s="16" t="n">
        <v>504</v>
      </c>
      <c r="K143" s="16" t="n">
        <v>0</v>
      </c>
      <c r="L143" s="16" t="n">
        <v>458.22</v>
      </c>
      <c r="M143" s="16" t="n">
        <v>45.78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14</v>
      </c>
      <c r="R143" s="15">
        <f>IFERROR(INDEX(Tariffe!$E$2:$E$200,MATCH(E143,Tariffe!$A$2:$A$200,0))*1,1)</f>
        <v/>
      </c>
    </row>
    <row r="144">
      <c r="A144" s="22" t="inlineStr">
        <is>
          <t>20261101_2315</t>
        </is>
      </c>
      <c r="B144" s="9" t="n">
        <v>46327</v>
      </c>
      <c r="C144" s="10" t="n">
        <v>0.96875</v>
      </c>
      <c r="D144" s="22" t="inlineStr">
        <is>
          <t>UN Unico</t>
        </is>
      </c>
      <c r="E144" s="22" t="inlineStr">
        <is>
          <t>I5 60€</t>
        </is>
      </c>
      <c r="F144" s="22">
        <f>IFERROR(INDEX(Tariffe!$B$2:$B$200,MATCH(E144,Tariffe!$A$2:$A$200,0)),"DA DEFINIRE")</f>
        <v/>
      </c>
      <c r="G144" s="12" t="n">
        <v>60</v>
      </c>
      <c r="H144" s="11">
        <f>Q144*R144</f>
        <v/>
      </c>
      <c r="I144" s="11" t="n">
        <v>0</v>
      </c>
      <c r="J144" s="12" t="n">
        <v>540</v>
      </c>
      <c r="K144" s="12" t="n">
        <v>0</v>
      </c>
      <c r="L144" s="12" t="n">
        <v>490.95</v>
      </c>
      <c r="M144" s="12" t="n">
        <v>49.05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9</v>
      </c>
      <c r="R144" s="11">
        <f>IFERROR(INDEX(Tariffe!$E$2:$E$200,MATCH(E144,Tariffe!$A$2:$A$200,0))*1,1)</f>
        <v/>
      </c>
    </row>
    <row r="145">
      <c r="A145" s="23" t="inlineStr">
        <is>
          <t>20261101_2315</t>
        </is>
      </c>
      <c r="B145" s="13" t="n">
        <v>46327</v>
      </c>
      <c r="C145" s="14" t="n">
        <v>0.96875</v>
      </c>
      <c r="D145" s="23" t="inlineStr">
        <is>
          <t>UN Unico</t>
        </is>
      </c>
      <c r="E145" s="23" t="inlineStr">
        <is>
          <t>I8 24€</t>
        </is>
      </c>
      <c r="F145" s="23">
        <f>IFERROR(INDEX(Tariffe!$B$2:$B$200,MATCH(E145,Tariffe!$A$2:$A$200,0)),"DA DEFINIRE")</f>
        <v/>
      </c>
      <c r="G145" s="16" t="n">
        <v>24</v>
      </c>
      <c r="H145" s="15">
        <f>Q145*R145</f>
        <v/>
      </c>
      <c r="I145" s="15" t="n">
        <v>0</v>
      </c>
      <c r="J145" s="16" t="n">
        <v>480</v>
      </c>
      <c r="K145" s="16" t="n">
        <v>0</v>
      </c>
      <c r="L145" s="16" t="n">
        <v>436.4</v>
      </c>
      <c r="M145" s="16" t="n">
        <v>43.6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20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I1 48€</t>
        </is>
      </c>
      <c r="F146" s="22">
        <f>IFERROR(INDEX(Tariffe!$B$2:$B$200,MATCH(E146,Tariffe!$A$2:$A$200,0)),"DA DEFINIRE")</f>
        <v/>
      </c>
      <c r="G146" s="12" t="n">
        <v>48</v>
      </c>
      <c r="H146" s="11">
        <f>Q146*R146</f>
        <v/>
      </c>
      <c r="I146" s="11" t="n">
        <v>0</v>
      </c>
      <c r="J146" s="12" t="n">
        <v>864</v>
      </c>
      <c r="K146" s="12" t="n">
        <v>0</v>
      </c>
      <c r="L146" s="12" t="n">
        <v>785.52</v>
      </c>
      <c r="M146" s="12" t="n">
        <v>78.48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18</v>
      </c>
      <c r="R146" s="11">
        <f>IFERROR(INDEX(Tariffe!$E$2:$E$200,MATCH(E146,Tariffe!$A$2:$A$200,0))*1,1)</f>
        <v/>
      </c>
    </row>
    <row r="147">
      <c r="A147" s="23" t="inlineStr">
        <is>
          <t>20261101_2359</t>
        </is>
      </c>
      <c r="B147" s="13" t="n">
        <v>46327</v>
      </c>
      <c r="C147" s="14" t="n">
        <v>0.9993055555555556</v>
      </c>
      <c r="D147" s="23" t="inlineStr">
        <is>
          <t>UN Unico</t>
        </is>
      </c>
      <c r="E147" s="23" t="inlineStr">
        <is>
          <t>I2 36€</t>
        </is>
      </c>
      <c r="F147" s="23">
        <f>IFERROR(INDEX(Tariffe!$B$2:$B$200,MATCH(E147,Tariffe!$A$2:$A$200,0)),"DA DEFINIRE")</f>
        <v/>
      </c>
      <c r="G147" s="16" t="n">
        <v>36</v>
      </c>
      <c r="H147" s="15">
        <f>Q147*R147</f>
        <v/>
      </c>
      <c r="I147" s="15" t="n">
        <v>0</v>
      </c>
      <c r="J147" s="16" t="n">
        <v>144</v>
      </c>
      <c r="K147" s="16" t="n">
        <v>0</v>
      </c>
      <c r="L147" s="16" t="n">
        <v>130.92</v>
      </c>
      <c r="M147" s="16" t="n">
        <v>13.08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4</v>
      </c>
      <c r="R147" s="15">
        <f>IFERROR(INDEX(Tariffe!$E$2:$E$200,MATCH(E147,Tariffe!$A$2:$A$200,0))*1,1)</f>
        <v/>
      </c>
    </row>
    <row r="148">
      <c r="A148" s="22" t="inlineStr">
        <is>
          <t>20261101_2359</t>
        </is>
      </c>
      <c r="B148" s="9" t="n">
        <v>46327</v>
      </c>
      <c r="C148" s="10" t="n">
        <v>0.9993055555555556</v>
      </c>
      <c r="D148" s="22" t="inlineStr">
        <is>
          <t>UN Unico</t>
        </is>
      </c>
      <c r="E148" s="22" t="inlineStr">
        <is>
          <t>I5 60€</t>
        </is>
      </c>
      <c r="F148" s="22">
        <f>IFERROR(INDEX(Tariffe!$B$2:$B$200,MATCH(E148,Tariffe!$A$2:$A$200,0)),"DA DEFINIRE")</f>
        <v/>
      </c>
      <c r="G148" s="12" t="n">
        <v>60</v>
      </c>
      <c r="H148" s="11">
        <f>Q148*R148</f>
        <v/>
      </c>
      <c r="I148" s="11" t="n">
        <v>0</v>
      </c>
      <c r="J148" s="12" t="n">
        <v>120</v>
      </c>
      <c r="K148" s="12" t="n">
        <v>0</v>
      </c>
      <c r="L148" s="12" t="n">
        <v>109.1</v>
      </c>
      <c r="M148" s="12" t="n">
        <v>10.9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2</v>
      </c>
      <c r="R148" s="11">
        <f>IFERROR(INDEX(Tariffe!$E$2:$E$200,MATCH(E148,Tariffe!$A$2:$A$200,0))*1,1)</f>
        <v/>
      </c>
    </row>
    <row r="149">
      <c r="A149" s="23" t="inlineStr">
        <is>
          <t>20261101_2359</t>
        </is>
      </c>
      <c r="B149" s="13" t="n">
        <v>46327</v>
      </c>
      <c r="C149" s="14" t="n">
        <v>0.9993055555555556</v>
      </c>
      <c r="D149" s="23" t="inlineStr">
        <is>
          <t>UN Unico</t>
        </is>
      </c>
      <c r="E149" s="23" t="inlineStr">
        <is>
          <t>I8 24€</t>
        </is>
      </c>
      <c r="F149" s="23">
        <f>IFERROR(INDEX(Tariffe!$B$2:$B$200,MATCH(E149,Tariffe!$A$2:$A$200,0)),"DA DEFINIRE")</f>
        <v/>
      </c>
      <c r="G149" s="16" t="n">
        <v>24</v>
      </c>
      <c r="H149" s="15">
        <f>Q149*R149</f>
        <v/>
      </c>
      <c r="I149" s="15" t="n">
        <v>0</v>
      </c>
      <c r="J149" s="16" t="n">
        <v>576</v>
      </c>
      <c r="K149" s="16" t="n">
        <v>0</v>
      </c>
      <c r="L149" s="16" t="n">
        <v>523.6799999999999</v>
      </c>
      <c r="M149" s="16" t="n">
        <v>52.32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24</v>
      </c>
      <c r="R149" s="15">
        <f>IFERROR(INDEX(Tariffe!$E$2:$E$200,MATCH(E149,Tariffe!$A$2:$A$200,0))*1,1)</f>
        <v/>
      </c>
    </row>
    <row r="150">
      <c r="A150" s="22" t="inlineStr">
        <is>
          <t>20261102_2015</t>
        </is>
      </c>
      <c r="B150" s="9" t="n">
        <v>46328</v>
      </c>
      <c r="C150" s="10" t="n">
        <v>0.84375</v>
      </c>
      <c r="D150" s="22" t="inlineStr">
        <is>
          <t>UN Unico</t>
        </is>
      </c>
      <c r="E150" s="22" t="inlineStr">
        <is>
          <t>I1 15€</t>
        </is>
      </c>
      <c r="F150" s="22">
        <f>IFERROR(INDEX(Tariffe!$B$2:$B$200,MATCH(E150,Tariffe!$A$2:$A$200,0)),"DA DEFINIRE")</f>
        <v/>
      </c>
      <c r="G150" s="12" t="n">
        <v>15</v>
      </c>
      <c r="H150" s="11">
        <f>Q150*R150</f>
        <v/>
      </c>
      <c r="I150" s="11" t="n">
        <v>0</v>
      </c>
      <c r="J150" s="12" t="n">
        <v>30</v>
      </c>
      <c r="K150" s="12" t="n">
        <v>0</v>
      </c>
      <c r="L150" s="12" t="n">
        <v>27.28</v>
      </c>
      <c r="M150" s="12" t="n">
        <v>2.72</v>
      </c>
      <c r="N150" s="22" t="inlineStr">
        <is>
          <t>11/2026</t>
        </is>
      </c>
      <c r="O150" s="11">
        <f>IFERROR(INDEX(Tariffe!$D$2:$D$200,MATCH(E150,Tariffe!$A$2:$A$200,0))*1,0)</f>
        <v/>
      </c>
      <c r="P150" s="11">
        <f>Q150*O150</f>
        <v/>
      </c>
      <c r="Q150" s="11" t="n">
        <v>2</v>
      </c>
      <c r="R150" s="11">
        <f>IFERROR(INDEX(Tariffe!$E$2:$E$200,MATCH(E150,Tariffe!$A$2:$A$200,0))*1,1)</f>
        <v/>
      </c>
    </row>
    <row r="151">
      <c r="A151" s="23" t="inlineStr">
        <is>
          <t>20261102_2215</t>
        </is>
      </c>
      <c r="B151" s="13" t="n">
        <v>46328</v>
      </c>
      <c r="C151" s="14" t="n">
        <v>0.9270833333333334</v>
      </c>
      <c r="D151" s="23" t="inlineStr">
        <is>
          <t>UN Unico</t>
        </is>
      </c>
      <c r="E151" s="23" t="inlineStr">
        <is>
          <t>I1 15€</t>
        </is>
      </c>
      <c r="F151" s="23">
        <f>IFERROR(INDEX(Tariffe!$B$2:$B$200,MATCH(E151,Tariffe!$A$2:$A$200,0)),"DA DEFINIRE")</f>
        <v/>
      </c>
      <c r="G151" s="16" t="n">
        <v>15</v>
      </c>
      <c r="H151" s="15">
        <f>Q151*R151</f>
        <v/>
      </c>
      <c r="I151" s="15" t="n">
        <v>0</v>
      </c>
      <c r="J151" s="16" t="n">
        <v>120</v>
      </c>
      <c r="K151" s="16" t="n">
        <v>0</v>
      </c>
      <c r="L151" s="16" t="n">
        <v>109.12</v>
      </c>
      <c r="M151" s="16" t="n">
        <v>10.88</v>
      </c>
      <c r="N151" s="23" t="inlineStr">
        <is>
          <t>11/2026</t>
        </is>
      </c>
      <c r="O151" s="15">
        <f>IFERROR(INDEX(Tariffe!$D$2:$D$200,MATCH(E151,Tariffe!$A$2:$A$200,0))*1,0)</f>
        <v/>
      </c>
      <c r="P151" s="15">
        <f>Q151*O151</f>
        <v/>
      </c>
      <c r="Q151" s="15" t="n">
        <v>8</v>
      </c>
      <c r="R151" s="15">
        <f>IFERROR(INDEX(Tariffe!$E$2:$E$200,MATCH(E151,Tariffe!$A$2:$A$200,0))*1,1)</f>
        <v/>
      </c>
    </row>
    <row r="152">
      <c r="A152" s="22" t="inlineStr">
        <is>
          <t>20261102_2315</t>
        </is>
      </c>
      <c r="B152" s="9" t="n">
        <v>46328</v>
      </c>
      <c r="C152" s="10" t="n">
        <v>0.96875</v>
      </c>
      <c r="D152" s="22" t="inlineStr">
        <is>
          <t>UN Unico</t>
        </is>
      </c>
      <c r="E152" s="22" t="inlineStr">
        <is>
          <t>I1 15€</t>
        </is>
      </c>
      <c r="F152" s="22">
        <f>IFERROR(INDEX(Tariffe!$B$2:$B$200,MATCH(E152,Tariffe!$A$2:$A$200,0)),"DA DEFINIRE")</f>
        <v/>
      </c>
      <c r="G152" s="12" t="n">
        <v>15</v>
      </c>
      <c r="H152" s="11">
        <f>Q152*R152</f>
        <v/>
      </c>
      <c r="I152" s="11" t="n">
        <v>0</v>
      </c>
      <c r="J152" s="12" t="n">
        <v>45</v>
      </c>
      <c r="K152" s="12" t="n">
        <v>0</v>
      </c>
      <c r="L152" s="12" t="n">
        <v>40.92</v>
      </c>
      <c r="M152" s="12" t="n">
        <v>4.08</v>
      </c>
      <c r="N152" s="22" t="inlineStr">
        <is>
          <t>11/2026</t>
        </is>
      </c>
      <c r="O152" s="11">
        <f>IFERROR(INDEX(Tariffe!$D$2:$D$200,MATCH(E152,Tariffe!$A$2:$A$200,0))*1,0)</f>
        <v/>
      </c>
      <c r="P152" s="11">
        <f>Q152*O152</f>
        <v/>
      </c>
      <c r="Q152" s="11" t="n">
        <v>3</v>
      </c>
      <c r="R152" s="11">
        <f>IFERROR(INDEX(Tariffe!$E$2:$E$200,MATCH(E152,Tariffe!$A$2:$A$200,0))*1,1)</f>
        <v/>
      </c>
    </row>
    <row r="153">
      <c r="A153" s="23" t="inlineStr">
        <is>
          <t>20261102_2359</t>
        </is>
      </c>
      <c r="B153" s="13" t="n">
        <v>46328</v>
      </c>
      <c r="C153" s="14" t="n">
        <v>0.9993055555555556</v>
      </c>
      <c r="D153" s="23" t="inlineStr">
        <is>
          <t>UN Unico</t>
        </is>
      </c>
      <c r="E153" s="23" t="inlineStr">
        <is>
          <t>I1 15€</t>
        </is>
      </c>
      <c r="F153" s="23">
        <f>IFERROR(INDEX(Tariffe!$B$2:$B$200,MATCH(E153,Tariffe!$A$2:$A$200,0)),"DA DEFINIRE")</f>
        <v/>
      </c>
      <c r="G153" s="16" t="n">
        <v>15</v>
      </c>
      <c r="H153" s="15">
        <f>Q153*R153</f>
        <v/>
      </c>
      <c r="I153" s="15" t="n">
        <v>0</v>
      </c>
      <c r="J153" s="16" t="n">
        <v>15</v>
      </c>
      <c r="K153" s="16" t="n">
        <v>0</v>
      </c>
      <c r="L153" s="16" t="n">
        <v>13.64</v>
      </c>
      <c r="M153" s="16" t="n">
        <v>1.36</v>
      </c>
      <c r="N153" s="23" t="inlineStr">
        <is>
          <t>11/2026</t>
        </is>
      </c>
      <c r="O153" s="15">
        <f>IFERROR(INDEX(Tariffe!$D$2:$D$200,MATCH(E153,Tariffe!$A$2:$A$200,0))*1,0)</f>
        <v/>
      </c>
      <c r="P153" s="15">
        <f>Q153*O153</f>
        <v/>
      </c>
      <c r="Q153" s="15" t="n">
        <v>1</v>
      </c>
      <c r="R153" s="15">
        <f>IFERROR(INDEX(Tariffe!$E$2:$E$200,MATCH(E153,Tariffe!$A$2:$A$200,0))*1,1)</f>
        <v/>
      </c>
    </row>
  </sheetData>
  <autoFilter ref="A1:R15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  <row r="10">
      <c r="A10" s="9" t="n">
        <v>46335</v>
      </c>
      <c r="B10" s="22">
        <f>CHOOSE(WEEKDAY(A10,2),"Lunedì","Martedì","Mercoledì","Giovedì","Venerdì","Sabato","Domenica")</f>
        <v/>
      </c>
      <c r="C10" s="11">
        <f>SUM(F10:K10)</f>
        <v/>
      </c>
      <c r="D10" s="11">
        <f>SUM(L10:Q10)</f>
        <v/>
      </c>
      <c r="E10" s="12">
        <f>SUMIF(Vendite!$B$2:$B$1000,A10,Vendite!$J$2:$J$1000)</f>
        <v/>
      </c>
      <c r="F10" s="11">
        <f>SUMIFS(Vendite!$H$2:$H$1000,Vendite!$B$2:$B$1000,A10,Vendite!$C$2:$C$1000,"&gt;="&amp;TIMEVALUE("19:00"),Vendite!$C$2:$C$1000,"&lt;"&amp;TIMEVALUE("20:00"))</f>
        <v/>
      </c>
      <c r="G10" s="11">
        <f>SUMIFS(Vendite!$H$2:$H$1000,Vendite!$B$2:$B$1000,A10,Vendite!$C$2:$C$1000,"&gt;="&amp;TIMEVALUE("20:00"),Vendite!$C$2:$C$1000,"&lt;"&amp;TIMEVALUE("21:00"))</f>
        <v/>
      </c>
      <c r="H10" s="11">
        <f>SUMIFS(Vendite!$H$2:$H$1000,Vendite!$B$2:$B$1000,A10,Vendite!$C$2:$C$1000,"&gt;="&amp;TIMEVALUE("21:00"),Vendite!$C$2:$C$1000,"&lt;"&amp;TIMEVALUE("22:00"))</f>
        <v/>
      </c>
      <c r="I10" s="11">
        <f>SUMIFS(Vendite!$H$2:$H$1000,Vendite!$B$2:$B$1000,A10,Vendite!$C$2:$C$1000,"&gt;="&amp;TIMEVALUE("22:00"),Vendite!$C$2:$C$1000,"&lt;"&amp;TIMEVALUE("23:00"))</f>
        <v/>
      </c>
      <c r="J10" s="11">
        <f>SUMIFS(Vendite!$H$2:$H$1000,Vendite!$B$2:$B$1000,A10,Vendite!$C$2:$C$1000,"&gt;="&amp;TIMEVALUE("23:00"),Vendite!$C$2:$C$1000,"&lt;"&amp;TIMEVALUE("23:30"))</f>
        <v/>
      </c>
      <c r="K10" s="11">
        <f>SUMIFS(Vendite!$H$2:$H$1000,Vendite!$B$2:$B$1000,A10,Vendite!$C$2:$C$1000,"&gt;="&amp;TIMEVALUE("23:30"))</f>
        <v/>
      </c>
      <c r="L10" s="11">
        <f>SUMIFS(Vendite!$P$2:$P$1000,Vendite!$B$2:$B$1000,A10,Vendite!$C$2:$C$1000,"&gt;="&amp;TIMEVALUE("19:00"),Vendite!$C$2:$C$1000,"&lt;"&amp;TIMEVALUE("20:00"))</f>
        <v/>
      </c>
      <c r="M10" s="11">
        <f>SUMIFS(Vendite!$P$2:$P$1000,Vendite!$B$2:$B$1000,A10,Vendite!$C$2:$C$1000,"&gt;="&amp;TIMEVALUE("20:00"),Vendite!$C$2:$C$1000,"&lt;"&amp;TIMEVALUE("21:00"))</f>
        <v/>
      </c>
      <c r="N10" s="11">
        <f>SUMIFS(Vendite!$P$2:$P$1000,Vendite!$B$2:$B$1000,A10,Vendite!$C$2:$C$1000,"&gt;="&amp;TIMEVALUE("21:00"),Vendite!$C$2:$C$1000,"&lt;"&amp;TIMEVALUE("22:00"))</f>
        <v/>
      </c>
      <c r="O10" s="11">
        <f>SUMIFS(Vendite!$P$2:$P$1000,Vendite!$B$2:$B$1000,A10,Vendite!$C$2:$C$1000,"&gt;="&amp;TIMEVALUE("22:00"),Vendite!$C$2:$C$1000,"&lt;"&amp;TIMEVALUE("23:00"))</f>
        <v/>
      </c>
      <c r="P10" s="11">
        <f>SUMIFS(Vendite!$P$2:$P$1000,Vendite!$B$2:$B$1000,A10,Vendite!$C$2:$C$1000,"&gt;="&amp;TIMEVALUE("23:00"),Vendite!$C$2:$C$1000,"&lt;"&amp;TIMEVALUE("23:30"))</f>
        <v/>
      </c>
      <c r="Q10" s="11">
        <f>SUMIFS(Vendite!$P$2:$P$1000,Vendite!$B$2:$B$1000,A10,Vendite!$C$2:$C$1000,"&gt;="&amp;TIMEVALUE("23:30"))</f>
        <v/>
      </c>
      <c r="R10" s="11">
        <f>SUMIFS(Vendite!$H$2:$H$1000,Vendite!$B$2:$B$1000,A10,Vendite!$O$2:$O$1000,2)</f>
        <v/>
      </c>
      <c r="S10" s="11">
        <f>SUMIFS(Vendite!$H$2:$H$1000,Vendite!$B$2:$B$1000,A10,Vendite!$O$2:$O$1000,3)</f>
        <v/>
      </c>
      <c r="T10" s="11">
        <f>SUMIFS(Vendite!$H$2:$H$1000,Vendite!$B$2:$B$1000,A10,Vendite!$O$2:$O$1000,4)</f>
        <v/>
      </c>
      <c r="U10" s="11">
        <f>SUMIFS(Vendite!$H$2:$H$1000,Vendite!$B$2:$B$1000,A10,Vendite!$O$2:$O$1000,5)</f>
        <v/>
      </c>
      <c r="V10">
        <f>TEXT(A10,"DD/MM")</f>
        <v/>
      </c>
    </row>
  </sheetData>
  <autoFilter ref="A1:U10"/>
  <conditionalFormatting sqref="F2:K10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10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6146</v>
      </c>
      <c r="D801" s="16" t="n">
        <v>73788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6176</v>
      </c>
      <c r="D802" s="12" t="n">
        <v>74148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6190</v>
      </c>
      <c r="D803" s="16" t="n">
        <v>74316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6224</v>
      </c>
      <c r="D804" s="12" t="n">
        <v>74724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6279</v>
      </c>
      <c r="D805" s="16" t="n">
        <v>75384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6289</v>
      </c>
      <c r="D806" s="12" t="n">
        <v>75504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6353</v>
      </c>
      <c r="D807" s="16" t="n">
        <v>76272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6372</v>
      </c>
      <c r="D808" s="12" t="n">
        <v>76500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6387</v>
      </c>
      <c r="D809" s="16" t="n">
        <v>76680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6401</v>
      </c>
      <c r="D810" s="12" t="n">
        <v>76848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6413</v>
      </c>
      <c r="D811" s="16" t="n">
        <v>76992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6433</v>
      </c>
      <c r="D812" s="12" t="n">
        <v>77232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6492</v>
      </c>
      <c r="D813" s="16" t="n">
        <v>77940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6507</v>
      </c>
      <c r="D814" s="12" t="n">
        <v>78120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6548</v>
      </c>
      <c r="D815" s="16" t="n">
        <v>78612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6583</v>
      </c>
      <c r="D816" s="12" t="n">
        <v>79032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6599</v>
      </c>
      <c r="D817" s="16" t="n">
        <v>79224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6644</v>
      </c>
      <c r="D818" s="12" t="n">
        <v>79764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6669</v>
      </c>
      <c r="D819" s="16" t="n">
        <v>80064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  <row r="820">
      <c r="A820" s="30" t="n">
        <v>46323.89652777778</v>
      </c>
      <c r="B820" s="11" t="n">
        <v>2140</v>
      </c>
      <c r="C820" s="11" t="n">
        <v>6727</v>
      </c>
      <c r="D820" s="12" t="n">
        <v>80760</v>
      </c>
      <c r="E820" s="31">
        <f>B820-B819</f>
        <v/>
      </c>
      <c r="F820" s="31">
        <f>C820-C819</f>
        <v/>
      </c>
      <c r="G820" s="32">
        <f>D820-D819</f>
        <v/>
      </c>
      <c r="H820">
        <f>TEXT(A820,"DD/MM HH:MM")</f>
        <v/>
      </c>
    </row>
    <row r="821">
      <c r="A821" s="33" t="n">
        <v>46323.89930555555</v>
      </c>
      <c r="B821" s="15" t="n">
        <v>2140</v>
      </c>
      <c r="C821" s="15" t="n">
        <v>6727</v>
      </c>
      <c r="D821" s="16" t="n">
        <v>80760</v>
      </c>
      <c r="E821" s="34">
        <f>B821-B820</f>
        <v/>
      </c>
      <c r="F821" s="34">
        <f>C821-C820</f>
        <v/>
      </c>
      <c r="G821" s="35">
        <f>D821-D820</f>
        <v/>
      </c>
      <c r="H821">
        <f>TEXT(A821,"DD/MM HH:MM")</f>
        <v/>
      </c>
    </row>
    <row r="822">
      <c r="A822" s="30" t="n">
        <v>46323.93333333333</v>
      </c>
      <c r="B822" s="11" t="n">
        <v>2160</v>
      </c>
      <c r="C822" s="11" t="n">
        <v>6801</v>
      </c>
      <c r="D822" s="12" t="n">
        <v>81648</v>
      </c>
      <c r="E822" s="31">
        <f>B822-B821</f>
        <v/>
      </c>
      <c r="F822" s="31">
        <f>C822-C821</f>
        <v/>
      </c>
      <c r="G822" s="32">
        <f>D822-D821</f>
        <v/>
      </c>
      <c r="H822">
        <f>TEXT(A822,"DD/MM HH:MM")</f>
        <v/>
      </c>
    </row>
    <row r="823">
      <c r="A823" s="33" t="n">
        <v>46323.94027777778</v>
      </c>
      <c r="B823" s="15" t="n">
        <v>2161</v>
      </c>
      <c r="C823" s="15" t="n">
        <v>6805</v>
      </c>
      <c r="D823" s="16" t="n">
        <v>81696</v>
      </c>
      <c r="E823" s="34">
        <f>B823-B822</f>
        <v/>
      </c>
      <c r="F823" s="34">
        <f>C823-C822</f>
        <v/>
      </c>
      <c r="G823" s="35">
        <f>D823-D822</f>
        <v/>
      </c>
      <c r="H823">
        <f>TEXT(A823,"DD/MM HH:MM")</f>
        <v/>
      </c>
    </row>
    <row r="824">
      <c r="A824" s="30" t="n">
        <v>46323.95902777778</v>
      </c>
      <c r="B824" s="11" t="n">
        <v>2172</v>
      </c>
      <c r="C824" s="11" t="n">
        <v>6841</v>
      </c>
      <c r="D824" s="12" t="n">
        <v>82128</v>
      </c>
      <c r="E824" s="31">
        <f>B824-B823</f>
        <v/>
      </c>
      <c r="F824" s="31">
        <f>C824-C823</f>
        <v/>
      </c>
      <c r="G824" s="32">
        <f>D824-D823</f>
        <v/>
      </c>
      <c r="H824">
        <f>TEXT(A824,"DD/MM HH:MM")</f>
        <v/>
      </c>
    </row>
    <row r="825">
      <c r="A825" s="33" t="n">
        <v>46323.98194444444</v>
      </c>
      <c r="B825" s="15" t="n">
        <v>2181</v>
      </c>
      <c r="C825" s="15" t="n">
        <v>6872</v>
      </c>
      <c r="D825" s="16" t="n">
        <v>82500</v>
      </c>
      <c r="E825" s="34">
        <f>B825-B824</f>
        <v/>
      </c>
      <c r="F825" s="34">
        <f>C825-C824</f>
        <v/>
      </c>
      <c r="G825" s="35">
        <f>D825-D824</f>
        <v/>
      </c>
      <c r="H825">
        <f>TEXT(A825,"DD/MM HH:MM")</f>
        <v/>
      </c>
    </row>
    <row r="826">
      <c r="A826" s="30" t="n">
        <v>46324.00833333333</v>
      </c>
      <c r="B826" s="11" t="n">
        <v>2191</v>
      </c>
      <c r="C826" s="11" t="n">
        <v>6899</v>
      </c>
      <c r="D826" s="12" t="n">
        <v>82824</v>
      </c>
      <c r="E826" s="31">
        <f>B826-B825</f>
        <v/>
      </c>
      <c r="F826" s="31">
        <f>C826-C825</f>
        <v/>
      </c>
      <c r="G826" s="32">
        <f>D826-D825</f>
        <v/>
      </c>
      <c r="H826">
        <f>TEXT(A826,"DD/MM HH:MM")</f>
        <v/>
      </c>
    </row>
    <row r="827">
      <c r="A827" s="33" t="n">
        <v>46324.02083333334</v>
      </c>
      <c r="B827" s="15" t="n">
        <v>2195</v>
      </c>
      <c r="C827" s="15" t="n">
        <v>6914</v>
      </c>
      <c r="D827" s="16" t="n">
        <v>83004</v>
      </c>
      <c r="E827" s="34">
        <f>B827-B826</f>
        <v/>
      </c>
      <c r="F827" s="34">
        <f>C827-C826</f>
        <v/>
      </c>
      <c r="G827" s="35">
        <f>D827-D826</f>
        <v/>
      </c>
      <c r="H827">
        <f>TEXT(A827,"DD/MM HH:MM")</f>
        <v/>
      </c>
    </row>
    <row r="828">
      <c r="A828" s="30" t="n">
        <v>46324.0625</v>
      </c>
      <c r="B828" s="11" t="n">
        <v>2201</v>
      </c>
      <c r="C828" s="11" t="n">
        <v>6934</v>
      </c>
      <c r="D828" s="12" t="n">
        <v>83244</v>
      </c>
      <c r="E828" s="31">
        <f>B828-B827</f>
        <v/>
      </c>
      <c r="F828" s="31">
        <f>C828-C827</f>
        <v/>
      </c>
      <c r="G828" s="32">
        <f>D828-D827</f>
        <v/>
      </c>
      <c r="H828">
        <f>TEXT(A828,"DD/MM HH:MM")</f>
        <v/>
      </c>
    </row>
    <row r="829">
      <c r="A829" s="33" t="n">
        <v>46324.07083333333</v>
      </c>
      <c r="B829" s="15" t="n">
        <v>2205</v>
      </c>
      <c r="C829" s="15" t="n">
        <v>6946</v>
      </c>
      <c r="D829" s="16" t="n">
        <v>83388</v>
      </c>
      <c r="E829" s="34">
        <f>B829-B828</f>
        <v/>
      </c>
      <c r="F829" s="34">
        <f>C829-C828</f>
        <v/>
      </c>
      <c r="G829" s="35">
        <f>D829-D828</f>
        <v/>
      </c>
      <c r="H829">
        <f>TEXT(A829,"DD/MM HH:MM")</f>
        <v/>
      </c>
    </row>
    <row r="830">
      <c r="A830" s="30" t="n">
        <v>46324.11944444444</v>
      </c>
      <c r="B830" s="11" t="n">
        <v>2206</v>
      </c>
      <c r="C830" s="11" t="n">
        <v>6950</v>
      </c>
      <c r="D830" s="12" t="n">
        <v>83436</v>
      </c>
      <c r="E830" s="31">
        <f>B830-B829</f>
        <v/>
      </c>
      <c r="F830" s="31">
        <f>C830-C829</f>
        <v/>
      </c>
      <c r="G830" s="32">
        <f>D830-D829</f>
        <v/>
      </c>
      <c r="H830">
        <f>TEXT(A830,"DD/MM HH:MM")</f>
        <v/>
      </c>
    </row>
    <row r="831">
      <c r="A831" s="33" t="n">
        <v>46324.15555555555</v>
      </c>
      <c r="B831" s="15" t="n">
        <v>2206</v>
      </c>
      <c r="C831" s="15" t="n">
        <v>6950</v>
      </c>
      <c r="D831" s="16" t="n">
        <v>83436</v>
      </c>
      <c r="E831" s="34">
        <f>B831-B830</f>
        <v/>
      </c>
      <c r="F831" s="34">
        <f>C831-C830</f>
        <v/>
      </c>
      <c r="G831" s="35">
        <f>D831-D830</f>
        <v/>
      </c>
      <c r="H831">
        <f>TEXT(A831,"DD/MM HH:MM")</f>
        <v/>
      </c>
    </row>
    <row r="832">
      <c r="A832" s="30" t="n">
        <v>46324.19513888889</v>
      </c>
      <c r="B832" s="11" t="n">
        <v>2206</v>
      </c>
      <c r="C832" s="11" t="n">
        <v>6950</v>
      </c>
      <c r="D832" s="12" t="n">
        <v>83436</v>
      </c>
      <c r="E832" s="31">
        <f>B832-B831</f>
        <v/>
      </c>
      <c r="F832" s="31">
        <f>C832-C831</f>
        <v/>
      </c>
      <c r="G832" s="32">
        <f>D832-D831</f>
        <v/>
      </c>
      <c r="H832">
        <f>TEXT(A832,"DD/MM HH:MM")</f>
        <v/>
      </c>
    </row>
    <row r="833">
      <c r="A833" s="33" t="n">
        <v>46324.23680555556</v>
      </c>
      <c r="B833" s="15" t="n">
        <v>2206</v>
      </c>
      <c r="C833" s="15" t="n">
        <v>6950</v>
      </c>
      <c r="D833" s="16" t="n">
        <v>83436</v>
      </c>
      <c r="E833" s="34">
        <f>B833-B832</f>
        <v/>
      </c>
      <c r="F833" s="34">
        <f>C833-C832</f>
        <v/>
      </c>
      <c r="G833" s="35">
        <f>D833-D832</f>
        <v/>
      </c>
      <c r="H833">
        <f>TEXT(A833,"DD/MM HH:MM")</f>
        <v/>
      </c>
    </row>
    <row r="834">
      <c r="A834" s="30" t="n">
        <v>46324.27708333333</v>
      </c>
      <c r="B834" s="11" t="n">
        <v>2207</v>
      </c>
      <c r="C834" s="11" t="n">
        <v>6952</v>
      </c>
      <c r="D834" s="12" t="n">
        <v>83460</v>
      </c>
      <c r="E834" s="31">
        <f>B834-B833</f>
        <v/>
      </c>
      <c r="F834" s="31">
        <f>C834-C833</f>
        <v/>
      </c>
      <c r="G834" s="32">
        <f>D834-D833</f>
        <v/>
      </c>
      <c r="H834">
        <f>TEXT(A834,"DD/MM HH:MM")</f>
        <v/>
      </c>
    </row>
    <row r="835">
      <c r="A835" s="33" t="n">
        <v>46324.32222222222</v>
      </c>
      <c r="B835" s="15" t="n">
        <v>2209</v>
      </c>
      <c r="C835" s="15" t="n">
        <v>6959</v>
      </c>
      <c r="D835" s="16" t="n">
        <v>83544</v>
      </c>
      <c r="E835" s="34">
        <f>B835-B834</f>
        <v/>
      </c>
      <c r="F835" s="34">
        <f>C835-C834</f>
        <v/>
      </c>
      <c r="G835" s="35">
        <f>D835-D834</f>
        <v/>
      </c>
      <c r="H835">
        <f>TEXT(A835,"DD/MM HH:MM")</f>
        <v/>
      </c>
    </row>
    <row r="836">
      <c r="A836" s="30" t="n">
        <v>46324.37152777778</v>
      </c>
      <c r="B836" s="11" t="n">
        <v>2216</v>
      </c>
      <c r="C836" s="11" t="n">
        <v>6981</v>
      </c>
      <c r="D836" s="12" t="n">
        <v>83808</v>
      </c>
      <c r="E836" s="31">
        <f>B836-B835</f>
        <v/>
      </c>
      <c r="F836" s="31">
        <f>C836-C835</f>
        <v/>
      </c>
      <c r="G836" s="32">
        <f>D836-D835</f>
        <v/>
      </c>
      <c r="H836">
        <f>TEXT(A836,"DD/MM HH:MM")</f>
        <v/>
      </c>
    </row>
    <row r="837">
      <c r="A837" s="33" t="n">
        <v>46324.39791666667</v>
      </c>
      <c r="B837" s="15" t="n">
        <v>2218</v>
      </c>
      <c r="C837" s="15" t="n">
        <v>6987</v>
      </c>
      <c r="D837" s="16" t="n">
        <v>83880</v>
      </c>
      <c r="E837" s="34">
        <f>B837-B836</f>
        <v/>
      </c>
      <c r="F837" s="34">
        <f>C837-C836</f>
        <v/>
      </c>
      <c r="G837" s="35">
        <f>D837-D836</f>
        <v/>
      </c>
      <c r="H837">
        <f>TEXT(A837,"DD/MM HH:MM")</f>
        <v/>
      </c>
    </row>
    <row r="838">
      <c r="A838" s="30" t="n">
        <v>46324.40833333333</v>
      </c>
      <c r="B838" s="11" t="n">
        <v>2223</v>
      </c>
      <c r="C838" s="11" t="n">
        <v>7002</v>
      </c>
      <c r="D838" s="12" t="n">
        <v>84060</v>
      </c>
      <c r="E838" s="31">
        <f>B838-B837</f>
        <v/>
      </c>
      <c r="F838" s="31">
        <f>C838-C837</f>
        <v/>
      </c>
      <c r="G838" s="32">
        <f>D838-D837</f>
        <v/>
      </c>
      <c r="H838">
        <f>TEXT(A838,"DD/MM HH:MM")</f>
        <v/>
      </c>
    </row>
    <row r="839">
      <c r="A839" s="33" t="n">
        <v>46324.43472222222</v>
      </c>
      <c r="B839" s="15" t="n">
        <v>2226</v>
      </c>
      <c r="C839" s="15" t="n">
        <v>7015</v>
      </c>
      <c r="D839" s="16" t="n">
        <v>84216</v>
      </c>
      <c r="E839" s="34">
        <f>B839-B838</f>
        <v/>
      </c>
      <c r="F839" s="34">
        <f>C839-C838</f>
        <v/>
      </c>
      <c r="G839" s="35">
        <f>D839-D838</f>
        <v/>
      </c>
      <c r="H839">
        <f>TEXT(A839,"DD/MM HH:MM")</f>
        <v/>
      </c>
    </row>
    <row r="840">
      <c r="A840" s="30" t="n">
        <v>46324.44722222222</v>
      </c>
      <c r="B840" s="11" t="n">
        <v>2229</v>
      </c>
      <c r="C840" s="11" t="n">
        <v>7027</v>
      </c>
      <c r="D840" s="12" t="n">
        <v>84360</v>
      </c>
      <c r="E840" s="31">
        <f>B840-B839</f>
        <v/>
      </c>
      <c r="F840" s="31">
        <f>C840-C839</f>
        <v/>
      </c>
      <c r="G840" s="32">
        <f>D840-D839</f>
        <v/>
      </c>
      <c r="H840">
        <f>TEXT(A840,"DD/MM HH:MM")</f>
        <v/>
      </c>
    </row>
    <row r="841">
      <c r="A841" s="33" t="n">
        <v>46324.47361111111</v>
      </c>
      <c r="B841" s="15" t="n">
        <v>2236</v>
      </c>
      <c r="C841" s="15" t="n">
        <v>7056</v>
      </c>
      <c r="D841" s="16" t="n">
        <v>84708</v>
      </c>
      <c r="E841" s="34">
        <f>B841-B840</f>
        <v/>
      </c>
      <c r="F841" s="34">
        <f>C841-C840</f>
        <v/>
      </c>
      <c r="G841" s="35">
        <f>D841-D840</f>
        <v/>
      </c>
      <c r="H841">
        <f>TEXT(A841,"DD/MM HH:MM")</f>
        <v/>
      </c>
    </row>
    <row r="842">
      <c r="A842" s="30" t="n">
        <v>46324.4875</v>
      </c>
      <c r="B842" s="11" t="n">
        <v>2244</v>
      </c>
      <c r="C842" s="11" t="n">
        <v>7079</v>
      </c>
      <c r="D842" s="12" t="n">
        <v>84984</v>
      </c>
      <c r="E842" s="31">
        <f>B842-B841</f>
        <v/>
      </c>
      <c r="F842" s="31">
        <f>C842-C841</f>
        <v/>
      </c>
      <c r="G842" s="32">
        <f>D842-D841</f>
        <v/>
      </c>
      <c r="H842">
        <f>TEXT(A842,"DD/MM HH:MM")</f>
        <v/>
      </c>
    </row>
    <row r="843">
      <c r="A843" s="33" t="n">
        <v>46324.52569444444</v>
      </c>
      <c r="B843" s="15" t="n">
        <v>2263</v>
      </c>
      <c r="C843" s="15" t="n">
        <v>7138</v>
      </c>
      <c r="D843" s="16" t="n">
        <v>85692</v>
      </c>
      <c r="E843" s="34">
        <f>B843-B842</f>
        <v/>
      </c>
      <c r="F843" s="34">
        <f>C843-C842</f>
        <v/>
      </c>
      <c r="G843" s="35">
        <f>D843-D842</f>
        <v/>
      </c>
      <c r="H843">
        <f>TEXT(A843,"DD/MM HH:MM")</f>
        <v/>
      </c>
    </row>
    <row r="844">
      <c r="A844" s="30" t="n">
        <v>46324.57222222222</v>
      </c>
      <c r="B844" s="11" t="n">
        <v>2286</v>
      </c>
      <c r="C844" s="11" t="n">
        <v>7221</v>
      </c>
      <c r="D844" s="12" t="n">
        <v>86688</v>
      </c>
      <c r="E844" s="31">
        <f>B844-B843</f>
        <v/>
      </c>
      <c r="F844" s="31">
        <f>C844-C843</f>
        <v/>
      </c>
      <c r="G844" s="32">
        <f>D844-D843</f>
        <v/>
      </c>
      <c r="H844">
        <f>TEXT(A844,"DD/MM HH:MM")</f>
        <v/>
      </c>
    </row>
    <row r="845">
      <c r="A845" s="33" t="n">
        <v>46324.62152777778</v>
      </c>
      <c r="B845" s="15" t="n">
        <v>2322</v>
      </c>
      <c r="C845" s="15" t="n">
        <v>7343</v>
      </c>
      <c r="D845" s="16" t="n">
        <v>88152</v>
      </c>
      <c r="E845" s="34">
        <f>B845-B844</f>
        <v/>
      </c>
      <c r="F845" s="34">
        <f>C845-C844</f>
        <v/>
      </c>
      <c r="G845" s="35">
        <f>D845-D844</f>
        <v/>
      </c>
      <c r="H845">
        <f>TEXT(A845,"DD/MM HH:MM")</f>
        <v/>
      </c>
    </row>
    <row r="846">
      <c r="A846" s="30" t="n">
        <v>46324.63194444445</v>
      </c>
      <c r="B846" s="11" t="n">
        <v>2330</v>
      </c>
      <c r="C846" s="11" t="n">
        <v>7366</v>
      </c>
      <c r="D846" s="12" t="n">
        <v>88428</v>
      </c>
      <c r="E846" s="31">
        <f>B846-B845</f>
        <v/>
      </c>
      <c r="F846" s="31">
        <f>C846-C845</f>
        <v/>
      </c>
      <c r="G846" s="32">
        <f>D846-D845</f>
        <v/>
      </c>
      <c r="H846">
        <f>TEXT(A846,"DD/MM HH:MM")</f>
        <v/>
      </c>
    </row>
    <row r="847">
      <c r="A847" s="33" t="n">
        <v>46324.64236111111</v>
      </c>
      <c r="B847" s="15" t="n">
        <v>2335</v>
      </c>
      <c r="C847" s="15" t="n">
        <v>7381</v>
      </c>
      <c r="D847" s="16" t="n">
        <v>88608</v>
      </c>
      <c r="E847" s="34">
        <f>B847-B846</f>
        <v/>
      </c>
      <c r="F847" s="34">
        <f>C847-C846</f>
        <v/>
      </c>
      <c r="G847" s="35">
        <f>D847-D846</f>
        <v/>
      </c>
      <c r="H847">
        <f>TEXT(A847,"DD/MM HH:MM")</f>
        <v/>
      </c>
    </row>
    <row r="848">
      <c r="A848" s="30" t="n">
        <v>46324.64444444444</v>
      </c>
      <c r="B848" s="11" t="n">
        <v>2337</v>
      </c>
      <c r="C848" s="11" t="n">
        <v>7385</v>
      </c>
      <c r="D848" s="12" t="n">
        <v>88656</v>
      </c>
      <c r="E848" s="31">
        <f>B848-B847</f>
        <v/>
      </c>
      <c r="F848" s="31">
        <f>C848-C847</f>
        <v/>
      </c>
      <c r="G848" s="32">
        <f>D848-D847</f>
        <v/>
      </c>
      <c r="H848">
        <f>TEXT(A848,"DD/MM HH:MM")</f>
        <v/>
      </c>
    </row>
    <row r="849">
      <c r="A849" s="33" t="n">
        <v>46324.68263888889</v>
      </c>
      <c r="B849" s="15" t="n">
        <v>2355</v>
      </c>
      <c r="C849" s="15" t="n">
        <v>7444</v>
      </c>
      <c r="D849" s="16" t="n">
        <v>89364</v>
      </c>
      <c r="E849" s="34">
        <f>B849-B848</f>
        <v/>
      </c>
      <c r="F849" s="34">
        <f>C849-C848</f>
        <v/>
      </c>
      <c r="G849" s="35">
        <f>D849-D848</f>
        <v/>
      </c>
      <c r="H849">
        <f>TEXT(A849,"DD/MM HH:MM")</f>
        <v/>
      </c>
    </row>
    <row r="850">
      <c r="A850" s="30" t="n">
        <v>46324.71180555555</v>
      </c>
      <c r="B850" s="11" t="n">
        <v>2368</v>
      </c>
      <c r="C850" s="11" t="n">
        <v>7487</v>
      </c>
      <c r="D850" s="12" t="n">
        <v>89880</v>
      </c>
      <c r="E850" s="31">
        <f>B850-B849</f>
        <v/>
      </c>
      <c r="F850" s="31">
        <f>C850-C849</f>
        <v/>
      </c>
      <c r="G850" s="32">
        <f>D850-D849</f>
        <v/>
      </c>
      <c r="H850">
        <f>TEXT(A850,"DD/MM HH:MM")</f>
        <v/>
      </c>
    </row>
    <row r="851">
      <c r="A851" s="33" t="n">
        <v>46324.73680555556</v>
      </c>
      <c r="B851" s="15" t="n">
        <v>2379</v>
      </c>
      <c r="C851" s="15" t="n">
        <v>7526</v>
      </c>
      <c r="D851" s="16" t="n">
        <v>90348</v>
      </c>
      <c r="E851" s="34">
        <f>B851-B850</f>
        <v/>
      </c>
      <c r="F851" s="34">
        <f>C851-C850</f>
        <v/>
      </c>
      <c r="G851" s="35">
        <f>D851-D850</f>
        <v/>
      </c>
      <c r="H851">
        <f>TEXT(A851,"DD/MM HH:MM")</f>
        <v/>
      </c>
    </row>
    <row r="852">
      <c r="A852" s="30" t="n">
        <v>46324.74027777778</v>
      </c>
      <c r="B852" s="11" t="n">
        <v>2379</v>
      </c>
      <c r="C852" s="11" t="n">
        <v>7526</v>
      </c>
      <c r="D852" s="12" t="n">
        <v>90348</v>
      </c>
      <c r="E852" s="31">
        <f>B852-B851</f>
        <v/>
      </c>
      <c r="F852" s="31">
        <f>C852-C851</f>
        <v/>
      </c>
      <c r="G852" s="32">
        <f>D852-D851</f>
        <v/>
      </c>
      <c r="H852">
        <f>TEXT(A852,"DD/MM HH:MM")</f>
        <v/>
      </c>
    </row>
    <row r="853">
      <c r="A853" s="33" t="n">
        <v>46324.74652777778</v>
      </c>
      <c r="B853" s="15" t="n">
        <v>2380</v>
      </c>
      <c r="C853" s="15" t="n">
        <v>7529</v>
      </c>
      <c r="D853" s="16" t="n">
        <v>90384</v>
      </c>
      <c r="E853" s="34">
        <f>B853-B852</f>
        <v/>
      </c>
      <c r="F853" s="34">
        <f>C853-C852</f>
        <v/>
      </c>
      <c r="G853" s="35">
        <f>D853-D852</f>
        <v/>
      </c>
      <c r="H853">
        <f>TEXT(A853,"DD/MM HH:MM")</f>
        <v/>
      </c>
    </row>
    <row r="854">
      <c r="A854" s="30" t="n">
        <v>46324.76041666666</v>
      </c>
      <c r="B854" s="11" t="n">
        <v>2391</v>
      </c>
      <c r="C854" s="11" t="n">
        <v>7564</v>
      </c>
      <c r="D854" s="12" t="n">
        <v>90804</v>
      </c>
      <c r="E854" s="31">
        <f>B854-B853</f>
        <v/>
      </c>
      <c r="F854" s="31">
        <f>C854-C853</f>
        <v/>
      </c>
      <c r="G854" s="32">
        <f>D854-D853</f>
        <v/>
      </c>
      <c r="H854">
        <f>TEXT(A854,"DD/MM HH:MM")</f>
        <v/>
      </c>
    </row>
    <row r="855">
      <c r="A855" s="33" t="n">
        <v>46324.77847222222</v>
      </c>
      <c r="B855" s="15" t="n">
        <v>2402</v>
      </c>
      <c r="C855" s="15" t="n">
        <v>7594</v>
      </c>
      <c r="D855" s="16" t="n">
        <v>91164</v>
      </c>
      <c r="E855" s="34">
        <f>B855-B854</f>
        <v/>
      </c>
      <c r="F855" s="34">
        <f>C855-C854</f>
        <v/>
      </c>
      <c r="G855" s="35">
        <f>D855-D854</f>
        <v/>
      </c>
      <c r="H855">
        <f>TEXT(A855,"DD/MM HH:MM")</f>
        <v/>
      </c>
    </row>
    <row r="856">
      <c r="A856" s="30" t="n">
        <v>46324.78194444445</v>
      </c>
      <c r="B856" s="11" t="n">
        <v>2405</v>
      </c>
      <c r="C856" s="11" t="n">
        <v>7604</v>
      </c>
      <c r="D856" s="12" t="n">
        <v>91284</v>
      </c>
      <c r="E856" s="31">
        <f>B856-B855</f>
        <v/>
      </c>
      <c r="F856" s="31">
        <f>C856-C855</f>
        <v/>
      </c>
      <c r="G856" s="32">
        <f>D856-D855</f>
        <v/>
      </c>
      <c r="H856">
        <f>TEXT(A856,"DD/MM HH:MM")</f>
        <v/>
      </c>
    </row>
    <row r="857">
      <c r="A857" s="33" t="n">
        <v>46324.81875</v>
      </c>
      <c r="B857" s="15" t="n">
        <v>2427</v>
      </c>
      <c r="C857" s="15" t="n">
        <v>7675</v>
      </c>
      <c r="D857" s="16" t="n">
        <v>92136</v>
      </c>
      <c r="E857" s="34">
        <f>B857-B856</f>
        <v/>
      </c>
      <c r="F857" s="34">
        <f>C857-C856</f>
        <v/>
      </c>
      <c r="G857" s="35">
        <f>D857-D856</f>
        <v/>
      </c>
      <c r="H857">
        <f>TEXT(A857,"DD/MM HH:MM")</f>
        <v/>
      </c>
    </row>
    <row r="858">
      <c r="A858" s="30" t="n">
        <v>46324.82083333333</v>
      </c>
      <c r="B858" s="11" t="n">
        <v>2427</v>
      </c>
      <c r="C858" s="11" t="n">
        <v>7675</v>
      </c>
      <c r="D858" s="12" t="n">
        <v>92136</v>
      </c>
      <c r="E858" s="31">
        <f>B858-B857</f>
        <v/>
      </c>
      <c r="F858" s="31">
        <f>C858-C857</f>
        <v/>
      </c>
      <c r="G858" s="32">
        <f>D858-D857</f>
        <v/>
      </c>
      <c r="H858">
        <f>TEXT(A858,"DD/MM HH:MM")</f>
        <v/>
      </c>
    </row>
    <row r="859">
      <c r="A859" s="33" t="n">
        <v>46324.85972222222</v>
      </c>
      <c r="B859" s="15" t="n">
        <v>2447</v>
      </c>
      <c r="C859" s="15" t="n">
        <v>7739</v>
      </c>
      <c r="D859" s="16" t="n">
        <v>92904</v>
      </c>
      <c r="E859" s="34">
        <f>B859-B858</f>
        <v/>
      </c>
      <c r="F859" s="34">
        <f>C859-C858</f>
        <v/>
      </c>
      <c r="G859" s="35">
        <f>D859-D858</f>
        <v/>
      </c>
      <c r="H859">
        <f>TEXT(A859,"DD/MM HH:MM")</f>
        <v/>
      </c>
    </row>
    <row r="860">
      <c r="A860" s="30" t="n">
        <v>46324.86388888889</v>
      </c>
      <c r="B860" s="11" t="n">
        <v>2448</v>
      </c>
      <c r="C860" s="11" t="n">
        <v>7743</v>
      </c>
      <c r="D860" s="12" t="n">
        <v>92952</v>
      </c>
      <c r="E860" s="31">
        <f>B860-B859</f>
        <v/>
      </c>
      <c r="F860" s="31">
        <f>C860-C859</f>
        <v/>
      </c>
      <c r="G860" s="32">
        <f>D860-D859</f>
        <v/>
      </c>
      <c r="H860">
        <f>TEXT(A860,"DD/MM HH:MM")</f>
        <v/>
      </c>
    </row>
    <row r="861">
      <c r="A861" s="33" t="n">
        <v>46324.89444444444</v>
      </c>
      <c r="B861" s="15" t="n">
        <v>2465</v>
      </c>
      <c r="C861" s="15" t="n">
        <v>7797</v>
      </c>
      <c r="D861" s="16" t="n">
        <v>93600</v>
      </c>
      <c r="E861" s="34">
        <f>B861-B860</f>
        <v/>
      </c>
      <c r="F861" s="34">
        <f>C861-C860</f>
        <v/>
      </c>
      <c r="G861" s="35">
        <f>D861-D860</f>
        <v/>
      </c>
      <c r="H861">
        <f>TEXT(A861,"DD/MM HH:MM")</f>
        <v/>
      </c>
    </row>
    <row r="862">
      <c r="A862" s="30" t="n">
        <v>46324.90138888889</v>
      </c>
      <c r="B862" s="11" t="n">
        <v>2467</v>
      </c>
      <c r="C862" s="11" t="n">
        <v>7806</v>
      </c>
      <c r="D862" s="12" t="n">
        <v>93708</v>
      </c>
      <c r="E862" s="31">
        <f>B862-B861</f>
        <v/>
      </c>
      <c r="F862" s="31">
        <f>C862-C861</f>
        <v/>
      </c>
      <c r="G862" s="32">
        <f>D862-D861</f>
        <v/>
      </c>
      <c r="H862">
        <f>TEXT(A862,"DD/MM HH:MM")</f>
        <v/>
      </c>
    </row>
    <row r="863">
      <c r="A863" s="33" t="n">
        <v>46324.90694444445</v>
      </c>
      <c r="B863" s="15" t="n">
        <v>2470</v>
      </c>
      <c r="C863" s="15" t="n">
        <v>7820</v>
      </c>
      <c r="D863" s="16" t="n">
        <v>93876</v>
      </c>
      <c r="E863" s="34">
        <f>B863-B862</f>
        <v/>
      </c>
      <c r="F863" s="34">
        <f>C863-C862</f>
        <v/>
      </c>
      <c r="G863" s="35">
        <f>D863-D862</f>
        <v/>
      </c>
      <c r="H863">
        <f>TEXT(A863,"DD/MM HH:MM")</f>
        <v/>
      </c>
    </row>
    <row r="864">
      <c r="A864" s="30" t="n">
        <v>46324.94097222222</v>
      </c>
      <c r="B864" s="11" t="n">
        <v>2485</v>
      </c>
      <c r="C864" s="11" t="n">
        <v>7872</v>
      </c>
      <c r="D864" s="12" t="n">
        <v>94506</v>
      </c>
      <c r="E864" s="31">
        <f>B864-B863</f>
        <v/>
      </c>
      <c r="F864" s="31">
        <f>C864-C863</f>
        <v/>
      </c>
      <c r="G864" s="32">
        <f>D864-D863</f>
        <v/>
      </c>
      <c r="H864">
        <f>TEXT(A864,"DD/MM HH:MM")</f>
        <v/>
      </c>
    </row>
    <row r="865">
      <c r="A865" s="33" t="n">
        <v>46324.94375</v>
      </c>
      <c r="B865" s="15" t="n">
        <v>2488</v>
      </c>
      <c r="C865" s="15" t="n">
        <v>7882</v>
      </c>
      <c r="D865" s="16" t="n">
        <v>94626</v>
      </c>
      <c r="E865" s="34">
        <f>B865-B864</f>
        <v/>
      </c>
      <c r="F865" s="34">
        <f>C865-C864</f>
        <v/>
      </c>
      <c r="G865" s="35">
        <f>D865-D864</f>
        <v/>
      </c>
      <c r="H865">
        <f>TEXT(A865,"DD/MM HH:MM")</f>
        <v/>
      </c>
    </row>
    <row r="866">
      <c r="A866" s="30" t="n">
        <v>46324.95486111111</v>
      </c>
      <c r="B866" s="11" t="n">
        <v>2491</v>
      </c>
      <c r="C866" s="11" t="n">
        <v>7890</v>
      </c>
      <c r="D866" s="12" t="n">
        <v>94722</v>
      </c>
      <c r="E866" s="31">
        <f>B866-B865</f>
        <v/>
      </c>
      <c r="F866" s="31">
        <f>C866-C865</f>
        <v/>
      </c>
      <c r="G866" s="32">
        <f>D866-D865</f>
        <v/>
      </c>
      <c r="H866">
        <f>TEXT(A866,"DD/MM HH:MM")</f>
        <v/>
      </c>
    </row>
    <row r="867">
      <c r="A867" s="33" t="n">
        <v>46324.99513888889</v>
      </c>
      <c r="B867" s="15" t="n">
        <v>2506</v>
      </c>
      <c r="C867" s="15" t="n">
        <v>7942</v>
      </c>
      <c r="D867" s="16" t="n">
        <v>95346</v>
      </c>
      <c r="E867" s="34">
        <f>B867-B866</f>
        <v/>
      </c>
      <c r="F867" s="34">
        <f>C867-C866</f>
        <v/>
      </c>
      <c r="G867" s="35">
        <f>D867-D866</f>
        <v/>
      </c>
      <c r="H867">
        <f>TEXT(A867,"DD/MM HH:MM")</f>
        <v/>
      </c>
    </row>
    <row r="868">
      <c r="A868" s="30" t="n">
        <v>46325.01944444444</v>
      </c>
      <c r="B868" s="11" t="n">
        <v>2510</v>
      </c>
      <c r="C868" s="11" t="n">
        <v>7959</v>
      </c>
      <c r="D868" s="12" t="n">
        <v>95550</v>
      </c>
      <c r="E868" s="31">
        <f>B868-B867</f>
        <v/>
      </c>
      <c r="F868" s="31">
        <f>C868-C867</f>
        <v/>
      </c>
      <c r="G868" s="32">
        <f>D868-D867</f>
        <v/>
      </c>
      <c r="H868">
        <f>TEXT(A868,"DD/MM HH:MM")</f>
        <v/>
      </c>
    </row>
    <row r="869">
      <c r="A869" s="33" t="n">
        <v>46325.03472222222</v>
      </c>
      <c r="B869" s="15" t="n">
        <v>2513</v>
      </c>
      <c r="C869" s="15" t="n">
        <v>7966</v>
      </c>
      <c r="D869" s="16" t="n">
        <v>95634</v>
      </c>
      <c r="E869" s="34">
        <f>B869-B868</f>
        <v/>
      </c>
      <c r="F869" s="34">
        <f>C869-C868</f>
        <v/>
      </c>
      <c r="G869" s="35">
        <f>D869-D868</f>
        <v/>
      </c>
      <c r="H869">
        <f>TEXT(A869,"DD/MM HH:MM")</f>
        <v/>
      </c>
    </row>
    <row r="870">
      <c r="A870" s="30" t="n">
        <v>46325.03541666667</v>
      </c>
      <c r="B870" s="11" t="n">
        <v>2513</v>
      </c>
      <c r="C870" s="11" t="n">
        <v>7966</v>
      </c>
      <c r="D870" s="12" t="n">
        <v>95634</v>
      </c>
      <c r="E870" s="31">
        <f>B870-B869</f>
        <v/>
      </c>
      <c r="F870" s="31">
        <f>C870-C869</f>
        <v/>
      </c>
      <c r="G870" s="32">
        <f>D870-D869</f>
        <v/>
      </c>
      <c r="H870">
        <f>TEXT(A870,"DD/MM HH:MM")</f>
        <v/>
      </c>
    </row>
    <row r="871">
      <c r="A871" s="33" t="n">
        <v>46325.11388888889</v>
      </c>
      <c r="B871" s="15" t="n">
        <v>2518</v>
      </c>
      <c r="C871" s="15" t="n">
        <v>7984</v>
      </c>
      <c r="D871" s="16" t="n">
        <v>95850</v>
      </c>
      <c r="E871" s="34">
        <f>B871-B870</f>
        <v/>
      </c>
      <c r="F871" s="34">
        <f>C871-C870</f>
        <v/>
      </c>
      <c r="G871" s="35">
        <f>D871-D870</f>
        <v/>
      </c>
      <c r="H871">
        <f>TEXT(A871,"DD/MM HH:MM")</f>
        <v/>
      </c>
    </row>
    <row r="872">
      <c r="A872" s="30" t="n">
        <v>46325.38958333333</v>
      </c>
      <c r="B872" s="11" t="n">
        <v>2525</v>
      </c>
      <c r="C872" s="11" t="n">
        <v>8004</v>
      </c>
      <c r="D872" s="12" t="n">
        <v>96090</v>
      </c>
      <c r="E872" s="31">
        <f>B872-B871</f>
        <v/>
      </c>
      <c r="F872" s="31">
        <f>C872-C871</f>
        <v/>
      </c>
      <c r="G872" s="32">
        <f>D872-D871</f>
        <v/>
      </c>
      <c r="H872">
        <f>TEXT(A872,"DD/MM HH:MM")</f>
        <v/>
      </c>
    </row>
    <row r="873">
      <c r="A873" s="33" t="n">
        <v>46325.53055555555</v>
      </c>
      <c r="B873" s="15" t="n">
        <v>2552</v>
      </c>
      <c r="C873" s="15" t="n">
        <v>8081</v>
      </c>
      <c r="D873" s="16" t="n">
        <v>97014</v>
      </c>
      <c r="E873" s="34">
        <f>B873-B872</f>
        <v/>
      </c>
      <c r="F873" s="34">
        <f>C873-C872</f>
        <v/>
      </c>
      <c r="G873" s="35">
        <f>D873-D872</f>
        <v/>
      </c>
      <c r="H873">
        <f>TEXT(A873,"DD/MM HH:MM")</f>
        <v/>
      </c>
    </row>
    <row r="874">
      <c r="A874" s="30" t="n">
        <v>46325.55208333334</v>
      </c>
      <c r="B874" s="11" t="n">
        <v>2558</v>
      </c>
      <c r="C874" s="11" t="n">
        <v>8099</v>
      </c>
      <c r="D874" s="12" t="n">
        <v>97230</v>
      </c>
      <c r="E874" s="31">
        <f>B874-B873</f>
        <v/>
      </c>
      <c r="F874" s="31">
        <f>C874-C873</f>
        <v/>
      </c>
      <c r="G874" s="32">
        <f>D874-D873</f>
        <v/>
      </c>
      <c r="H874">
        <f>TEXT(A874,"DD/MM HH:MM")</f>
        <v/>
      </c>
    </row>
    <row r="875">
      <c r="A875" s="33" t="n">
        <v>46325.56805555556</v>
      </c>
      <c r="B875" s="15" t="n">
        <v>2561</v>
      </c>
      <c r="C875" s="15" t="n">
        <v>8111</v>
      </c>
      <c r="D875" s="16" t="n">
        <v>97374</v>
      </c>
      <c r="E875" s="34">
        <f>B875-B874</f>
        <v/>
      </c>
      <c r="F875" s="34">
        <f>C875-C874</f>
        <v/>
      </c>
      <c r="G875" s="35">
        <f>D875-D874</f>
        <v/>
      </c>
      <c r="H875">
        <f>TEXT(A875,"DD/MM HH:MM")</f>
        <v/>
      </c>
    </row>
    <row r="876">
      <c r="A876" s="30" t="n">
        <v>46325.58402777778</v>
      </c>
      <c r="B876" s="11" t="n">
        <v>2565</v>
      </c>
      <c r="C876" s="11" t="n">
        <v>8123</v>
      </c>
      <c r="D876" s="12" t="n">
        <v>97518</v>
      </c>
      <c r="E876" s="31">
        <f>B876-B875</f>
        <v/>
      </c>
      <c r="F876" s="31">
        <f>C876-C875</f>
        <v/>
      </c>
      <c r="G876" s="32">
        <f>D876-D875</f>
        <v/>
      </c>
      <c r="H876">
        <f>TEXT(A876,"DD/MM HH:MM")</f>
        <v/>
      </c>
    </row>
    <row r="877">
      <c r="A877" s="33" t="n">
        <v>46325.59236111111</v>
      </c>
      <c r="B877" s="15" t="n">
        <v>2572</v>
      </c>
      <c r="C877" s="15" t="n">
        <v>8148</v>
      </c>
      <c r="D877" s="16" t="n">
        <v>97818</v>
      </c>
      <c r="E877" s="34">
        <f>B877-B876</f>
        <v/>
      </c>
      <c r="F877" s="34">
        <f>C877-C876</f>
        <v/>
      </c>
      <c r="G877" s="35">
        <f>D877-D876</f>
        <v/>
      </c>
      <c r="H877">
        <f>TEXT(A877,"DD/MM HH:MM")</f>
        <v/>
      </c>
    </row>
    <row r="878">
      <c r="A878" s="30" t="n">
        <v>46325.60277777778</v>
      </c>
      <c r="B878" s="11" t="n">
        <v>2575</v>
      </c>
      <c r="C878" s="11" t="n">
        <v>8154</v>
      </c>
      <c r="D878" s="12" t="n">
        <v>97890</v>
      </c>
      <c r="E878" s="31">
        <f>B878-B877</f>
        <v/>
      </c>
      <c r="F878" s="31">
        <f>C878-C877</f>
        <v/>
      </c>
      <c r="G878" s="32">
        <f>D878-D877</f>
        <v/>
      </c>
      <c r="H878">
        <f>TEXT(A878,"DD/MM HH:MM")</f>
        <v/>
      </c>
    </row>
    <row r="879">
      <c r="A879" s="33" t="n">
        <v>46325.61944444444</v>
      </c>
      <c r="B879" s="15" t="n">
        <v>2580</v>
      </c>
      <c r="C879" s="15" t="n">
        <v>8170</v>
      </c>
      <c r="D879" s="16" t="n">
        <v>98082</v>
      </c>
      <c r="E879" s="34">
        <f>B879-B878</f>
        <v/>
      </c>
      <c r="F879" s="34">
        <f>C879-C878</f>
        <v/>
      </c>
      <c r="G879" s="35">
        <f>D879-D878</f>
        <v/>
      </c>
      <c r="H879">
        <f>TEXT(A879,"DD/MM HH:MM")</f>
        <v/>
      </c>
    </row>
    <row r="880">
      <c r="A880" s="30" t="n">
        <v>46325.62152777778</v>
      </c>
      <c r="B880" s="11" t="n">
        <v>2580</v>
      </c>
      <c r="C880" s="11" t="n">
        <v>8170</v>
      </c>
      <c r="D880" s="12" t="n">
        <v>98082</v>
      </c>
      <c r="E880" s="31">
        <f>B880-B879</f>
        <v/>
      </c>
      <c r="F880" s="31">
        <f>C880-C879</f>
        <v/>
      </c>
      <c r="G880" s="32">
        <f>D880-D879</f>
        <v/>
      </c>
      <c r="H880">
        <f>TEXT(A880,"DD/MM HH:MM")</f>
        <v/>
      </c>
    </row>
    <row r="881">
      <c r="A881" s="33" t="n">
        <v>46325.65416666667</v>
      </c>
      <c r="B881" s="15" t="n">
        <v>2589</v>
      </c>
      <c r="C881" s="15" t="n">
        <v>8193</v>
      </c>
      <c r="D881" s="16" t="n">
        <v>98358</v>
      </c>
      <c r="E881" s="34">
        <f>B881-B880</f>
        <v/>
      </c>
      <c r="F881" s="34">
        <f>C881-C880</f>
        <v/>
      </c>
      <c r="G881" s="35">
        <f>D881-D880</f>
        <v/>
      </c>
      <c r="H881">
        <f>TEXT(A881,"DD/MM HH:MM")</f>
        <v/>
      </c>
    </row>
    <row r="882">
      <c r="A882" s="30" t="n">
        <v>46325.67638888889</v>
      </c>
      <c r="B882" s="11" t="n">
        <v>2592</v>
      </c>
      <c r="C882" s="11" t="n">
        <v>8201</v>
      </c>
      <c r="D882" s="12" t="n">
        <v>98454</v>
      </c>
      <c r="E882" s="31">
        <f>B882-B881</f>
        <v/>
      </c>
      <c r="F882" s="31">
        <f>C882-C881</f>
        <v/>
      </c>
      <c r="G882" s="32">
        <f>D882-D881</f>
        <v/>
      </c>
      <c r="H882">
        <f>TEXT(A882,"DD/MM HH:MM")</f>
        <v/>
      </c>
    </row>
    <row r="883">
      <c r="A883" s="33" t="n">
        <v>46325.68263888889</v>
      </c>
      <c r="B883" s="15" t="n">
        <v>2594</v>
      </c>
      <c r="C883" s="15" t="n">
        <v>8206</v>
      </c>
      <c r="D883" s="16" t="n">
        <v>98514</v>
      </c>
      <c r="E883" s="34">
        <f>B883-B882</f>
        <v/>
      </c>
      <c r="F883" s="34">
        <f>C883-C882</f>
        <v/>
      </c>
      <c r="G883" s="35">
        <f>D883-D882</f>
        <v/>
      </c>
      <c r="H883">
        <f>TEXT(A883,"DD/MM HH:MM")</f>
        <v/>
      </c>
    </row>
    <row r="884">
      <c r="A884" s="30" t="n">
        <v>46325.69722222222</v>
      </c>
      <c r="B884" s="11" t="n">
        <v>2602</v>
      </c>
      <c r="C884" s="11" t="n">
        <v>8228</v>
      </c>
      <c r="D884" s="12" t="n">
        <v>98778</v>
      </c>
      <c r="E884" s="31">
        <f>B884-B883</f>
        <v/>
      </c>
      <c r="F884" s="31">
        <f>C884-C883</f>
        <v/>
      </c>
      <c r="G884" s="32">
        <f>D884-D883</f>
        <v/>
      </c>
      <c r="H884">
        <f>TEXT(A884,"DD/MM HH:MM")</f>
        <v/>
      </c>
    </row>
    <row r="885">
      <c r="A885" s="33" t="n">
        <v>46325.71041666667</v>
      </c>
      <c r="B885" s="15" t="n">
        <v>2606</v>
      </c>
      <c r="C885" s="15" t="n">
        <v>8242</v>
      </c>
      <c r="D885" s="16" t="n">
        <v>98946</v>
      </c>
      <c r="E885" s="34">
        <f>B885-B884</f>
        <v/>
      </c>
      <c r="F885" s="34">
        <f>C885-C884</f>
        <v/>
      </c>
      <c r="G885" s="35">
        <f>D885-D884</f>
        <v/>
      </c>
      <c r="H885">
        <f>TEXT(A885,"DD/MM HH:MM")</f>
        <v/>
      </c>
    </row>
    <row r="886">
      <c r="A886" s="30" t="n">
        <v>46325.72430555556</v>
      </c>
      <c r="B886" s="11" t="n">
        <v>2606</v>
      </c>
      <c r="C886" s="11" t="n">
        <v>8242</v>
      </c>
      <c r="D886" s="12" t="n">
        <v>98946</v>
      </c>
      <c r="E886" s="31">
        <f>B886-B885</f>
        <v/>
      </c>
      <c r="F886" s="31">
        <f>C886-C885</f>
        <v/>
      </c>
      <c r="G886" s="32">
        <f>D886-D885</f>
        <v/>
      </c>
      <c r="H886">
        <f>TEXT(A886,"DD/MM HH:MM")</f>
        <v/>
      </c>
    </row>
    <row r="887">
      <c r="A887" s="33" t="n">
        <v>46325.75347222222</v>
      </c>
      <c r="B887" s="15" t="n">
        <v>2614</v>
      </c>
      <c r="C887" s="15" t="n">
        <v>8267</v>
      </c>
      <c r="D887" s="16" t="n">
        <v>99246</v>
      </c>
      <c r="E887" s="34">
        <f>B887-B886</f>
        <v/>
      </c>
      <c r="F887" s="34">
        <f>C887-C886</f>
        <v/>
      </c>
      <c r="G887" s="35">
        <f>D887-D886</f>
        <v/>
      </c>
      <c r="H887">
        <f>TEXT(A887,"DD/MM HH:MM")</f>
        <v/>
      </c>
    </row>
    <row r="888">
      <c r="A888" s="30" t="n">
        <v>46325.77569444444</v>
      </c>
      <c r="B888" s="11" t="n">
        <v>2621</v>
      </c>
      <c r="C888" s="11" t="n">
        <v>8286</v>
      </c>
      <c r="D888" s="12" t="n">
        <v>99474</v>
      </c>
      <c r="E888" s="31">
        <f>B888-B887</f>
        <v/>
      </c>
      <c r="F888" s="31">
        <f>C888-C887</f>
        <v/>
      </c>
      <c r="G888" s="32">
        <f>D888-D887</f>
        <v/>
      </c>
      <c r="H888">
        <f>TEXT(A888,"DD/MM HH:MM")</f>
        <v/>
      </c>
    </row>
    <row r="889">
      <c r="A889" s="33" t="n">
        <v>46325.7875</v>
      </c>
      <c r="B889" s="15" t="n">
        <v>2622</v>
      </c>
      <c r="C889" s="15" t="n">
        <v>8291</v>
      </c>
      <c r="D889" s="16" t="n">
        <v>99534</v>
      </c>
      <c r="E889" s="34">
        <f>B889-B888</f>
        <v/>
      </c>
      <c r="F889" s="34">
        <f>C889-C888</f>
        <v/>
      </c>
      <c r="G889" s="35">
        <f>D889-D888</f>
        <v/>
      </c>
      <c r="H889">
        <f>TEXT(A889,"DD/MM HH:MM")</f>
        <v/>
      </c>
    </row>
  </sheetData>
  <autoFilter ref="A1:G88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6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46323.44583333333</v>
      </c>
      <c r="B1367" s="33" t="n">
        <v>46323.47777777778</v>
      </c>
      <c r="C1367" s="13" t="n">
        <v>46324</v>
      </c>
      <c r="D1367" s="14" t="n">
        <v>0.8854166666666666</v>
      </c>
      <c r="E1367" s="37" t="n">
        <v>1</v>
      </c>
      <c r="F1367" s="37" t="n">
        <v>1</v>
      </c>
      <c r="G1367" s="37" t="n">
        <v>0</v>
      </c>
      <c r="H1367" s="37" t="n">
        <v>0</v>
      </c>
      <c r="I1367" s="37" t="n">
        <v>0</v>
      </c>
      <c r="J1367" s="37" t="n">
        <v>2</v>
      </c>
      <c r="K1367" s="16" t="n">
        <v>24</v>
      </c>
    </row>
    <row r="1368">
      <c r="A1368" s="30" t="n">
        <v>46323.44583333333</v>
      </c>
      <c r="B1368" s="30" t="n">
        <v>46323.47777777778</v>
      </c>
      <c r="C1368" s="9" t="n">
        <v>46325</v>
      </c>
      <c r="D1368" s="10" t="n">
        <v>0.8854166666666666</v>
      </c>
      <c r="E1368" s="36" t="n">
        <v>1</v>
      </c>
      <c r="F1368" s="36" t="n">
        <v>0</v>
      </c>
      <c r="G1368" s="36" t="n">
        <v>0</v>
      </c>
      <c r="H1368" s="36" t="n">
        <v>0</v>
      </c>
      <c r="I1368" s="36" t="n">
        <v>1</v>
      </c>
      <c r="J1368" s="36" t="n">
        <v>5</v>
      </c>
      <c r="K1368" s="12" t="n">
        <v>60</v>
      </c>
    </row>
    <row r="1369">
      <c r="A1369" s="33" t="n">
        <v>46323.44583333333</v>
      </c>
      <c r="B1369" s="33" t="n">
        <v>46323.47777777778</v>
      </c>
      <c r="C1369" s="13" t="n">
        <v>46325</v>
      </c>
      <c r="D1369" s="14" t="n">
        <v>0.96875</v>
      </c>
      <c r="E1369" s="37" t="n">
        <v>2</v>
      </c>
      <c r="F1369" s="37" t="n">
        <v>0</v>
      </c>
      <c r="G1369" s="37" t="n">
        <v>1</v>
      </c>
      <c r="H1369" s="37" t="n">
        <v>1</v>
      </c>
      <c r="I1369" s="37" t="n">
        <v>0</v>
      </c>
      <c r="J1369" s="37" t="n">
        <v>7</v>
      </c>
      <c r="K1369" s="16" t="n">
        <v>84</v>
      </c>
    </row>
    <row r="1370">
      <c r="A1370" s="30" t="n">
        <v>46323.44583333333</v>
      </c>
      <c r="B1370" s="30" t="n">
        <v>46323.47777777778</v>
      </c>
      <c r="C1370" s="9" t="n">
        <v>46326</v>
      </c>
      <c r="D1370" s="10" t="n">
        <v>0.84375</v>
      </c>
      <c r="E1370" s="36" t="n">
        <v>3</v>
      </c>
      <c r="F1370" s="36" t="n">
        <v>2</v>
      </c>
      <c r="G1370" s="36" t="n">
        <v>0</v>
      </c>
      <c r="H1370" s="36" t="n">
        <v>1</v>
      </c>
      <c r="I1370" s="36" t="n">
        <v>0</v>
      </c>
      <c r="J1370" s="36" t="n">
        <v>8</v>
      </c>
      <c r="K1370" s="12" t="n">
        <v>96</v>
      </c>
    </row>
    <row r="1371">
      <c r="A1371" s="33" t="n">
        <v>46323.44583333333</v>
      </c>
      <c r="B1371" s="33" t="n">
        <v>46323.47777777778</v>
      </c>
      <c r="C1371" s="13" t="n">
        <v>46327</v>
      </c>
      <c r="D1371" s="14" t="n">
        <v>0.9270833333333334</v>
      </c>
      <c r="E1371" s="37" t="n">
        <v>2</v>
      </c>
      <c r="F1371" s="37" t="n">
        <v>0</v>
      </c>
      <c r="G1371" s="37" t="n">
        <v>0</v>
      </c>
      <c r="H1371" s="37" t="n">
        <v>2</v>
      </c>
      <c r="I1371" s="37" t="n">
        <v>0</v>
      </c>
      <c r="J1371" s="37" t="n">
        <v>8</v>
      </c>
      <c r="K1371" s="16" t="n">
        <v>96</v>
      </c>
    </row>
    <row r="1372">
      <c r="A1372" s="30" t="n">
        <v>46323.47777777778</v>
      </c>
      <c r="B1372" s="30" t="n">
        <v>46323.48819444444</v>
      </c>
      <c r="C1372" s="9" t="n">
        <v>46324</v>
      </c>
      <c r="D1372" s="10" t="n">
        <v>0.8854166666666666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46323.47777777778</v>
      </c>
      <c r="B1373" s="33" t="n">
        <v>46323.48819444444</v>
      </c>
      <c r="C1373" s="13" t="n">
        <v>46326</v>
      </c>
      <c r="D1373" s="14" t="n">
        <v>0.8020833333333334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46323.47777777778</v>
      </c>
      <c r="B1374" s="30" t="n">
        <v>46323.48819444444</v>
      </c>
      <c r="C1374" s="9" t="n">
        <v>46326</v>
      </c>
      <c r="D1374" s="10" t="n">
        <v>0.84375</v>
      </c>
      <c r="E1374" s="36" t="n">
        <v>1</v>
      </c>
      <c r="F1374" s="36" t="n">
        <v>0</v>
      </c>
      <c r="G1374" s="36" t="n">
        <v>0</v>
      </c>
      <c r="H1374" s="36" t="n">
        <v>1</v>
      </c>
      <c r="I1374" s="36" t="n">
        <v>0</v>
      </c>
      <c r="J1374" s="36" t="n">
        <v>4</v>
      </c>
      <c r="K1374" s="12" t="n">
        <v>48</v>
      </c>
    </row>
    <row r="1375">
      <c r="A1375" s="33" t="n">
        <v>46323.47777777778</v>
      </c>
      <c r="B1375" s="33" t="n">
        <v>46323.48819444444</v>
      </c>
      <c r="C1375" s="13" t="n">
        <v>46327</v>
      </c>
      <c r="D1375" s="14" t="n">
        <v>0.9993055555555556</v>
      </c>
      <c r="E1375" s="37" t="n">
        <v>1</v>
      </c>
      <c r="F1375" s="37" t="n">
        <v>0</v>
      </c>
      <c r="G1375" s="37" t="n">
        <v>0</v>
      </c>
      <c r="H1375" s="37" t="n">
        <v>1</v>
      </c>
      <c r="I1375" s="37" t="n">
        <v>0</v>
      </c>
      <c r="J1375" s="37" t="n">
        <v>4</v>
      </c>
      <c r="K1375" s="16" t="n">
        <v>48</v>
      </c>
    </row>
    <row r="1376">
      <c r="A1376" s="30" t="n">
        <v>46323.48819444444</v>
      </c>
      <c r="B1376" s="30" t="n">
        <v>46323.525</v>
      </c>
      <c r="C1376" s="9" t="n">
        <v>46324</v>
      </c>
      <c r="D1376" s="10" t="n">
        <v>0.8854166666666666</v>
      </c>
      <c r="E1376" s="36" t="n">
        <v>3</v>
      </c>
      <c r="F1376" s="36" t="n">
        <v>2</v>
      </c>
      <c r="G1376" s="36" t="n">
        <v>0</v>
      </c>
      <c r="H1376" s="36" t="n">
        <v>0</v>
      </c>
      <c r="I1376" s="36" t="n">
        <v>1</v>
      </c>
      <c r="J1376" s="36" t="n">
        <v>9</v>
      </c>
      <c r="K1376" s="12" t="n">
        <v>108</v>
      </c>
    </row>
    <row r="1377">
      <c r="A1377" s="33" t="n">
        <v>46323.48819444444</v>
      </c>
      <c r="B1377" s="33" t="n">
        <v>46323.525</v>
      </c>
      <c r="C1377" s="13" t="n">
        <v>46324</v>
      </c>
      <c r="D1377" s="14" t="n">
        <v>0.9993055555555556</v>
      </c>
      <c r="E1377" s="37" t="n">
        <v>1</v>
      </c>
      <c r="F1377" s="37" t="n">
        <v>0</v>
      </c>
      <c r="G1377" s="37" t="n">
        <v>0</v>
      </c>
      <c r="H1377" s="37" t="n">
        <v>1</v>
      </c>
      <c r="I1377" s="37" t="n">
        <v>0</v>
      </c>
      <c r="J1377" s="37" t="n">
        <v>4</v>
      </c>
      <c r="K1377" s="16" t="n">
        <v>48</v>
      </c>
    </row>
    <row r="1378">
      <c r="A1378" s="30" t="n">
        <v>46323.48819444444</v>
      </c>
      <c r="B1378" s="30" t="n">
        <v>46323.525</v>
      </c>
      <c r="C1378" s="9" t="n">
        <v>46325</v>
      </c>
      <c r="D1378" s="10" t="n">
        <v>0.96875</v>
      </c>
      <c r="E1378" s="36" t="n">
        <v>2</v>
      </c>
      <c r="F1378" s="36" t="n">
        <v>2</v>
      </c>
      <c r="G1378" s="36" t="n">
        <v>0</v>
      </c>
      <c r="H1378" s="36" t="n">
        <v>0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46323.48819444444</v>
      </c>
      <c r="B1379" s="33" t="n">
        <v>46323.525</v>
      </c>
      <c r="C1379" s="13" t="n">
        <v>46326</v>
      </c>
      <c r="D1379" s="14" t="n">
        <v>0.8020833333333334</v>
      </c>
      <c r="E1379" s="37" t="n">
        <v>2</v>
      </c>
      <c r="F1379" s="37" t="n">
        <v>2</v>
      </c>
      <c r="G1379" s="37" t="n">
        <v>0</v>
      </c>
      <c r="H1379" s="37" t="n">
        <v>0</v>
      </c>
      <c r="I1379" s="37" t="n">
        <v>0</v>
      </c>
      <c r="J1379" s="37" t="n">
        <v>4</v>
      </c>
      <c r="K1379" s="16" t="n">
        <v>48</v>
      </c>
    </row>
    <row r="1380">
      <c r="A1380" s="30" t="n">
        <v>46323.48819444444</v>
      </c>
      <c r="B1380" s="30" t="n">
        <v>46323.525</v>
      </c>
      <c r="C1380" s="9" t="n">
        <v>46326</v>
      </c>
      <c r="D1380" s="10" t="n">
        <v>0.84375</v>
      </c>
      <c r="E1380" s="36" t="n">
        <v>2</v>
      </c>
      <c r="F1380" s="36" t="n">
        <v>0</v>
      </c>
      <c r="G1380" s="36" t="n">
        <v>1</v>
      </c>
      <c r="H1380" s="36" t="n">
        <v>1</v>
      </c>
      <c r="I1380" s="36" t="n">
        <v>0</v>
      </c>
      <c r="J1380" s="36" t="n">
        <v>7</v>
      </c>
      <c r="K1380" s="12" t="n">
        <v>84</v>
      </c>
    </row>
    <row r="1381">
      <c r="A1381" s="33" t="n">
        <v>46323.48819444444</v>
      </c>
      <c r="B1381" s="33" t="n">
        <v>46323.525</v>
      </c>
      <c r="C1381" s="13" t="n">
        <v>46327</v>
      </c>
      <c r="D1381" s="14" t="n">
        <v>0.84375</v>
      </c>
      <c r="E1381" s="37" t="n">
        <v>1</v>
      </c>
      <c r="F1381" s="37" t="n">
        <v>0</v>
      </c>
      <c r="G1381" s="37" t="n">
        <v>0</v>
      </c>
      <c r="H1381" s="37" t="n">
        <v>1</v>
      </c>
      <c r="I1381" s="37" t="n">
        <v>0</v>
      </c>
      <c r="J1381" s="37" t="n">
        <v>4</v>
      </c>
      <c r="K1381" s="16" t="n">
        <v>48</v>
      </c>
    </row>
    <row r="1382">
      <c r="A1382" s="30" t="n">
        <v>46323.48819444444</v>
      </c>
      <c r="B1382" s="30" t="n">
        <v>46323.525</v>
      </c>
      <c r="C1382" s="9" t="n">
        <v>46327</v>
      </c>
      <c r="D1382" s="10" t="n">
        <v>0.8854166666666666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46323.525</v>
      </c>
      <c r="B1383" s="33" t="n">
        <v>46323.56875</v>
      </c>
      <c r="C1383" s="13" t="n">
        <v>46324</v>
      </c>
      <c r="D1383" s="14" t="n">
        <v>0.8854166666666666</v>
      </c>
      <c r="E1383" s="37" t="n">
        <v>5</v>
      </c>
      <c r="F1383" s="37" t="n">
        <v>3</v>
      </c>
      <c r="G1383" s="37" t="n">
        <v>0</v>
      </c>
      <c r="H1383" s="37" t="n">
        <v>2</v>
      </c>
      <c r="I1383" s="37" t="n">
        <v>0</v>
      </c>
      <c r="J1383" s="37" t="n">
        <v>14</v>
      </c>
      <c r="K1383" s="16" t="n">
        <v>168</v>
      </c>
    </row>
    <row r="1384">
      <c r="A1384" s="30" t="n">
        <v>46323.525</v>
      </c>
      <c r="B1384" s="30" t="n">
        <v>46323.56875</v>
      </c>
      <c r="C1384" s="9" t="n">
        <v>46324</v>
      </c>
      <c r="D1384" s="10" t="n">
        <v>0.9993055555555556</v>
      </c>
      <c r="E1384" s="36" t="n">
        <v>2</v>
      </c>
      <c r="F1384" s="36" t="n">
        <v>1</v>
      </c>
      <c r="G1384" s="36" t="n">
        <v>0</v>
      </c>
      <c r="H1384" s="36" t="n">
        <v>1</v>
      </c>
      <c r="I1384" s="36" t="n">
        <v>0</v>
      </c>
      <c r="J1384" s="36" t="n">
        <v>6</v>
      </c>
      <c r="K1384" s="12" t="n">
        <v>72</v>
      </c>
    </row>
    <row r="1385">
      <c r="A1385" s="33" t="n">
        <v>46323.525</v>
      </c>
      <c r="B1385" s="33" t="n">
        <v>46323.56875</v>
      </c>
      <c r="C1385" s="13" t="n">
        <v>46325</v>
      </c>
      <c r="D1385" s="14" t="n">
        <v>0.9270833333333334</v>
      </c>
      <c r="E1385" s="37" t="n">
        <v>-1</v>
      </c>
      <c r="F1385" s="37" t="n">
        <v>-1</v>
      </c>
      <c r="G1385" s="37" t="n">
        <v>0</v>
      </c>
      <c r="H1385" s="37" t="n">
        <v>0</v>
      </c>
      <c r="I1385" s="37" t="n">
        <v>0</v>
      </c>
      <c r="J1385" s="37" t="n">
        <v>-2</v>
      </c>
      <c r="K1385" s="16" t="n">
        <v>-24</v>
      </c>
    </row>
    <row r="1386">
      <c r="A1386" s="30" t="n">
        <v>46323.525</v>
      </c>
      <c r="B1386" s="30" t="n">
        <v>46323.56875</v>
      </c>
      <c r="C1386" s="9" t="n">
        <v>46325</v>
      </c>
      <c r="D1386" s="10" t="n">
        <v>0.96875</v>
      </c>
      <c r="E1386" s="36" t="n">
        <v>2</v>
      </c>
      <c r="F1386" s="36" t="n">
        <v>0</v>
      </c>
      <c r="G1386" s="36" t="n">
        <v>2</v>
      </c>
      <c r="H1386" s="36" t="n">
        <v>0</v>
      </c>
      <c r="I1386" s="36" t="n">
        <v>0</v>
      </c>
      <c r="J1386" s="36" t="n">
        <v>6</v>
      </c>
      <c r="K1386" s="12" t="n">
        <v>72</v>
      </c>
    </row>
    <row r="1387">
      <c r="A1387" s="33" t="n">
        <v>46323.525</v>
      </c>
      <c r="B1387" s="33" t="n">
        <v>46323.56875</v>
      </c>
      <c r="C1387" s="13" t="n">
        <v>46325</v>
      </c>
      <c r="D1387" s="14" t="n">
        <v>0.9993055555555556</v>
      </c>
      <c r="E1387" s="37" t="n">
        <v>1</v>
      </c>
      <c r="F1387" s="37" t="n">
        <v>0</v>
      </c>
      <c r="G1387" s="37" t="n">
        <v>0</v>
      </c>
      <c r="H1387" s="37" t="n">
        <v>1</v>
      </c>
      <c r="I1387" s="37" t="n">
        <v>0</v>
      </c>
      <c r="J1387" s="37" t="n">
        <v>4</v>
      </c>
      <c r="K1387" s="16" t="n">
        <v>48</v>
      </c>
    </row>
    <row r="1388">
      <c r="A1388" s="30" t="n">
        <v>46323.525</v>
      </c>
      <c r="B1388" s="30" t="n">
        <v>46323.56875</v>
      </c>
      <c r="C1388" s="9" t="n">
        <v>46326</v>
      </c>
      <c r="D1388" s="10" t="n">
        <v>0.84375</v>
      </c>
      <c r="E1388" s="36" t="n">
        <v>3</v>
      </c>
      <c r="F1388" s="36" t="n">
        <v>1</v>
      </c>
      <c r="G1388" s="36" t="n">
        <v>1</v>
      </c>
      <c r="H1388" s="36" t="n">
        <v>1</v>
      </c>
      <c r="I1388" s="36" t="n">
        <v>0</v>
      </c>
      <c r="J1388" s="36" t="n">
        <v>9</v>
      </c>
      <c r="K1388" s="12" t="n">
        <v>108</v>
      </c>
    </row>
    <row r="1389">
      <c r="A1389" s="33" t="n">
        <v>46323.525</v>
      </c>
      <c r="B1389" s="33" t="n">
        <v>46323.56875</v>
      </c>
      <c r="C1389" s="13" t="n">
        <v>46327</v>
      </c>
      <c r="D1389" s="14" t="n">
        <v>0.9270833333333334</v>
      </c>
      <c r="E1389" s="37" t="n">
        <v>3</v>
      </c>
      <c r="F1389" s="37" t="n">
        <v>1</v>
      </c>
      <c r="G1389" s="37" t="n">
        <v>0</v>
      </c>
      <c r="H1389" s="37" t="n">
        <v>1</v>
      </c>
      <c r="I1389" s="37" t="n">
        <v>1</v>
      </c>
      <c r="J1389" s="37" t="n">
        <v>11</v>
      </c>
      <c r="K1389" s="16" t="n">
        <v>132</v>
      </c>
    </row>
    <row r="1390">
      <c r="A1390" s="30" t="n">
        <v>46323.525</v>
      </c>
      <c r="B1390" s="30" t="n">
        <v>46323.56875</v>
      </c>
      <c r="C1390" s="9" t="n">
        <v>46327</v>
      </c>
      <c r="D1390" s="10" t="n">
        <v>0.96875</v>
      </c>
      <c r="E1390" s="36" t="n">
        <v>1</v>
      </c>
      <c r="F1390" s="36" t="n">
        <v>0</v>
      </c>
      <c r="G1390" s="36" t="n">
        <v>0</v>
      </c>
      <c r="H1390" s="36" t="n">
        <v>0</v>
      </c>
      <c r="I1390" s="36" t="n">
        <v>1</v>
      </c>
      <c r="J1390" s="36" t="n">
        <v>5</v>
      </c>
      <c r="K1390" s="12" t="n">
        <v>60</v>
      </c>
    </row>
    <row r="1391">
      <c r="A1391" s="33" t="n">
        <v>46323.525</v>
      </c>
      <c r="B1391" s="33" t="n">
        <v>46323.56875</v>
      </c>
      <c r="C1391" s="13" t="n">
        <v>46327</v>
      </c>
      <c r="D1391" s="14" t="n">
        <v>0.9993055555555556</v>
      </c>
      <c r="E1391" s="37" t="n">
        <v>1</v>
      </c>
      <c r="F1391" s="37" t="n">
        <v>1</v>
      </c>
      <c r="G1391" s="37" t="n">
        <v>0</v>
      </c>
      <c r="H1391" s="37" t="n">
        <v>0</v>
      </c>
      <c r="I1391" s="37" t="n">
        <v>0</v>
      </c>
      <c r="J1391" s="37" t="n">
        <v>2</v>
      </c>
      <c r="K1391" s="16" t="n">
        <v>24</v>
      </c>
    </row>
    <row r="1392">
      <c r="A1392" s="30" t="n">
        <v>46323.56875</v>
      </c>
      <c r="B1392" s="30" t="n">
        <v>46323.57152777778</v>
      </c>
      <c r="C1392" s="9" t="n">
        <v>46325</v>
      </c>
      <c r="D1392" s="10" t="n">
        <v>0.9993055555555556</v>
      </c>
      <c r="E1392" s="36" t="n">
        <v>1</v>
      </c>
      <c r="F1392" s="36" t="n">
        <v>0</v>
      </c>
      <c r="G1392" s="36" t="n">
        <v>1</v>
      </c>
      <c r="H1392" s="36" t="n">
        <v>0</v>
      </c>
      <c r="I1392" s="36" t="n">
        <v>0</v>
      </c>
      <c r="J1392" s="36" t="n">
        <v>3</v>
      </c>
      <c r="K1392" s="12" t="n">
        <v>36</v>
      </c>
    </row>
    <row r="1393">
      <c r="A1393" s="33" t="n">
        <v>46323.56875</v>
      </c>
      <c r="B1393" s="33" t="n">
        <v>46323.57152777778</v>
      </c>
      <c r="C1393" s="13" t="n">
        <v>46327</v>
      </c>
      <c r="D1393" s="14" t="n">
        <v>0.8854166666666666</v>
      </c>
      <c r="E1393" s="37" t="n">
        <v>2</v>
      </c>
      <c r="F1393" s="37" t="n">
        <v>1</v>
      </c>
      <c r="G1393" s="37" t="n">
        <v>0</v>
      </c>
      <c r="H1393" s="37" t="n">
        <v>0</v>
      </c>
      <c r="I1393" s="37" t="n">
        <v>1</v>
      </c>
      <c r="J1393" s="37" t="n">
        <v>7</v>
      </c>
      <c r="K1393" s="16" t="n">
        <v>84</v>
      </c>
    </row>
    <row r="1394">
      <c r="A1394" s="30" t="n">
        <v>46323.57152777778</v>
      </c>
      <c r="B1394" s="30" t="n">
        <v>46323.60763888889</v>
      </c>
      <c r="C1394" s="9" t="n">
        <v>46324</v>
      </c>
      <c r="D1394" s="10" t="n">
        <v>0.84375</v>
      </c>
      <c r="E1394" s="36" t="n">
        <v>1</v>
      </c>
      <c r="F1394" s="36" t="n">
        <v>0</v>
      </c>
      <c r="G1394" s="36" t="n">
        <v>0</v>
      </c>
      <c r="H1394" s="36" t="n">
        <v>1</v>
      </c>
      <c r="I1394" s="36" t="n">
        <v>0</v>
      </c>
      <c r="J1394" s="36" t="n">
        <v>4</v>
      </c>
      <c r="K1394" s="12" t="n">
        <v>48</v>
      </c>
    </row>
    <row r="1395">
      <c r="A1395" s="33" t="n">
        <v>46323.57152777778</v>
      </c>
      <c r="B1395" s="33" t="n">
        <v>46323.60763888889</v>
      </c>
      <c r="C1395" s="13" t="n">
        <v>46324</v>
      </c>
      <c r="D1395" s="14" t="n">
        <v>0.8854166666666666</v>
      </c>
      <c r="E1395" s="37" t="n">
        <v>3</v>
      </c>
      <c r="F1395" s="37" t="n">
        <v>2</v>
      </c>
      <c r="G1395" s="37" t="n">
        <v>0</v>
      </c>
      <c r="H1395" s="37" t="n">
        <v>0</v>
      </c>
      <c r="I1395" s="37" t="n">
        <v>1</v>
      </c>
      <c r="J1395" s="37" t="n">
        <v>9</v>
      </c>
      <c r="K1395" s="16" t="n">
        <v>108</v>
      </c>
    </row>
    <row r="1396">
      <c r="A1396" s="30" t="n">
        <v>46323.57152777778</v>
      </c>
      <c r="B1396" s="30" t="n">
        <v>46323.60763888889</v>
      </c>
      <c r="C1396" s="9" t="n">
        <v>46324</v>
      </c>
      <c r="D1396" s="10" t="n">
        <v>0.9993055555555556</v>
      </c>
      <c r="E1396" s="36" t="n">
        <v>4</v>
      </c>
      <c r="F1396" s="36" t="n">
        <v>2</v>
      </c>
      <c r="G1396" s="36" t="n">
        <v>0</v>
      </c>
      <c r="H1396" s="36" t="n">
        <v>1</v>
      </c>
      <c r="I1396" s="36" t="n">
        <v>1</v>
      </c>
      <c r="J1396" s="36" t="n">
        <v>13</v>
      </c>
      <c r="K1396" s="12" t="n">
        <v>156</v>
      </c>
    </row>
    <row r="1397">
      <c r="A1397" s="33" t="n">
        <v>46323.57152777778</v>
      </c>
      <c r="B1397" s="33" t="n">
        <v>46323.60763888889</v>
      </c>
      <c r="C1397" s="13" t="n">
        <v>46325</v>
      </c>
      <c r="D1397" s="14" t="n">
        <v>0.9270833333333334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46323.57152777778</v>
      </c>
      <c r="B1398" s="30" t="n">
        <v>46323.60763888889</v>
      </c>
      <c r="C1398" s="9" t="n">
        <v>46325</v>
      </c>
      <c r="D1398" s="10" t="n">
        <v>0.96875</v>
      </c>
      <c r="E1398" s="36" t="n">
        <v>3</v>
      </c>
      <c r="F1398" s="36" t="n">
        <v>1</v>
      </c>
      <c r="G1398" s="36" t="n">
        <v>1</v>
      </c>
      <c r="H1398" s="36" t="n">
        <v>1</v>
      </c>
      <c r="I1398" s="36" t="n">
        <v>0</v>
      </c>
      <c r="J1398" s="36" t="n">
        <v>9</v>
      </c>
      <c r="K1398" s="12" t="n">
        <v>108</v>
      </c>
    </row>
    <row r="1399">
      <c r="A1399" s="33" t="n">
        <v>46323.57152777778</v>
      </c>
      <c r="B1399" s="33" t="n">
        <v>46323.60763888889</v>
      </c>
      <c r="C1399" s="13" t="n">
        <v>46325</v>
      </c>
      <c r="D1399" s="14" t="n">
        <v>0.9993055555555556</v>
      </c>
      <c r="E1399" s="37" t="n">
        <v>1</v>
      </c>
      <c r="F1399" s="37" t="n">
        <v>0</v>
      </c>
      <c r="G1399" s="37" t="n">
        <v>1</v>
      </c>
      <c r="H1399" s="37" t="n">
        <v>0</v>
      </c>
      <c r="I1399" s="37" t="n">
        <v>0</v>
      </c>
      <c r="J1399" s="37" t="n">
        <v>3</v>
      </c>
      <c r="K1399" s="16" t="n">
        <v>36</v>
      </c>
    </row>
    <row r="1400">
      <c r="A1400" s="30" t="n">
        <v>46323.57152777778</v>
      </c>
      <c r="B1400" s="30" t="n">
        <v>46323.60763888889</v>
      </c>
      <c r="C1400" s="9" t="n">
        <v>46326</v>
      </c>
      <c r="D1400" s="10" t="n">
        <v>0.8020833333333334</v>
      </c>
      <c r="E1400" s="36" t="n">
        <v>2</v>
      </c>
      <c r="F1400" s="36" t="n">
        <v>2</v>
      </c>
      <c r="G1400" s="36" t="n">
        <v>0</v>
      </c>
      <c r="H1400" s="36" t="n">
        <v>0</v>
      </c>
      <c r="I1400" s="36" t="n">
        <v>0</v>
      </c>
      <c r="J1400" s="36" t="n">
        <v>4</v>
      </c>
      <c r="K1400" s="12" t="n">
        <v>48</v>
      </c>
    </row>
    <row r="1401">
      <c r="A1401" s="33" t="n">
        <v>46323.57152777778</v>
      </c>
      <c r="B1401" s="33" t="n">
        <v>46323.60763888889</v>
      </c>
      <c r="C1401" s="13" t="n">
        <v>46326</v>
      </c>
      <c r="D1401" s="14" t="n">
        <v>0.84375</v>
      </c>
      <c r="E1401" s="37" t="n">
        <v>1</v>
      </c>
      <c r="F1401" s="37" t="n">
        <v>0</v>
      </c>
      <c r="G1401" s="37" t="n">
        <v>0</v>
      </c>
      <c r="H1401" s="37" t="n">
        <v>1</v>
      </c>
      <c r="I1401" s="37" t="n">
        <v>0</v>
      </c>
      <c r="J1401" s="37" t="n">
        <v>4</v>
      </c>
      <c r="K1401" s="16" t="n">
        <v>48</v>
      </c>
    </row>
    <row r="1402">
      <c r="A1402" s="30" t="n">
        <v>46323.57152777778</v>
      </c>
      <c r="B1402" s="30" t="n">
        <v>46323.60763888889</v>
      </c>
      <c r="C1402" s="9" t="n">
        <v>46327</v>
      </c>
      <c r="D1402" s="10" t="n">
        <v>0.8854166666666666</v>
      </c>
      <c r="E1402" s="36" t="n">
        <v>3</v>
      </c>
      <c r="F1402" s="36" t="n">
        <v>0</v>
      </c>
      <c r="G1402" s="36" t="n">
        <v>0</v>
      </c>
      <c r="H1402" s="36" t="n">
        <v>1</v>
      </c>
      <c r="I1402" s="36" t="n">
        <v>2</v>
      </c>
      <c r="J1402" s="36" t="n">
        <v>14</v>
      </c>
      <c r="K1402" s="12" t="n">
        <v>168</v>
      </c>
    </row>
    <row r="1403">
      <c r="A1403" s="33" t="n">
        <v>46323.60763888889</v>
      </c>
      <c r="B1403" s="33" t="n">
        <v>46323.62013888889</v>
      </c>
      <c r="C1403" s="13" t="n">
        <v>46324</v>
      </c>
      <c r="D1403" s="14" t="n">
        <v>0.8854166666666666</v>
      </c>
      <c r="E1403" s="37" t="n">
        <v>2</v>
      </c>
      <c r="F1403" s="37" t="n">
        <v>1</v>
      </c>
      <c r="G1403" s="37" t="n">
        <v>0</v>
      </c>
      <c r="H1403" s="37" t="n">
        <v>0</v>
      </c>
      <c r="I1403" s="37" t="n">
        <v>1</v>
      </c>
      <c r="J1403" s="37" t="n">
        <v>7</v>
      </c>
      <c r="K1403" s="16" t="n">
        <v>84</v>
      </c>
    </row>
    <row r="1404">
      <c r="A1404" s="30" t="n">
        <v>46323.60763888889</v>
      </c>
      <c r="B1404" s="30" t="n">
        <v>46323.62013888889</v>
      </c>
      <c r="C1404" s="9" t="n">
        <v>46324</v>
      </c>
      <c r="D1404" s="10" t="n">
        <v>0.9993055555555556</v>
      </c>
      <c r="E1404" s="36" t="n">
        <v>1</v>
      </c>
      <c r="F1404" s="36" t="n">
        <v>0</v>
      </c>
      <c r="G1404" s="36" t="n">
        <v>0</v>
      </c>
      <c r="H1404" s="36" t="n">
        <v>1</v>
      </c>
      <c r="I1404" s="36" t="n">
        <v>0</v>
      </c>
      <c r="J1404" s="36" t="n">
        <v>4</v>
      </c>
      <c r="K1404" s="12" t="n">
        <v>48</v>
      </c>
    </row>
    <row r="1405">
      <c r="A1405" s="33" t="n">
        <v>46323.60763888889</v>
      </c>
      <c r="B1405" s="33" t="n">
        <v>46323.62013888889</v>
      </c>
      <c r="C1405" s="13" t="n">
        <v>46325</v>
      </c>
      <c r="D1405" s="14" t="n">
        <v>0.96875</v>
      </c>
      <c r="E1405" s="37" t="n">
        <v>3</v>
      </c>
      <c r="F1405" s="37" t="n">
        <v>1</v>
      </c>
      <c r="G1405" s="37" t="n">
        <v>2</v>
      </c>
      <c r="H1405" s="37" t="n">
        <v>0</v>
      </c>
      <c r="I1405" s="37" t="n">
        <v>0</v>
      </c>
      <c r="J1405" s="37" t="n">
        <v>8</v>
      </c>
      <c r="K1405" s="16" t="n">
        <v>96</v>
      </c>
    </row>
    <row r="1406">
      <c r="A1406" s="30" t="n">
        <v>46323.62013888889</v>
      </c>
      <c r="B1406" s="30" t="n">
        <v>46323.63333333333</v>
      </c>
      <c r="C1406" s="9" t="n">
        <v>46324</v>
      </c>
      <c r="D1406" s="10" t="n">
        <v>0.84375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46323.62013888889</v>
      </c>
      <c r="B1407" s="33" t="n">
        <v>46323.63333333333</v>
      </c>
      <c r="C1407" s="13" t="n">
        <v>46324</v>
      </c>
      <c r="D1407" s="14" t="n">
        <v>0.8854166666666666</v>
      </c>
      <c r="E1407" s="37" t="n">
        <v>2</v>
      </c>
      <c r="F1407" s="37" t="n">
        <v>0</v>
      </c>
      <c r="G1407" s="37" t="n">
        <v>0</v>
      </c>
      <c r="H1407" s="37" t="n">
        <v>1</v>
      </c>
      <c r="I1407" s="37" t="n">
        <v>1</v>
      </c>
      <c r="J1407" s="37" t="n">
        <v>9</v>
      </c>
      <c r="K1407" s="16" t="n">
        <v>108</v>
      </c>
    </row>
    <row r="1408">
      <c r="A1408" s="30" t="n">
        <v>46323.62013888889</v>
      </c>
      <c r="B1408" s="30" t="n">
        <v>46323.63333333333</v>
      </c>
      <c r="C1408" s="9" t="n">
        <v>46327</v>
      </c>
      <c r="D1408" s="10" t="n">
        <v>0.9270833333333334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46323.63333333333</v>
      </c>
      <c r="B1409" s="33" t="n">
        <v>46323.65833333333</v>
      </c>
      <c r="C1409" s="13" t="n">
        <v>46324</v>
      </c>
      <c r="D1409" s="14" t="n">
        <v>0.9993055555555556</v>
      </c>
      <c r="E1409" s="37" t="n">
        <v>1</v>
      </c>
      <c r="F1409" s="37" t="n">
        <v>1</v>
      </c>
      <c r="G1409" s="37" t="n">
        <v>0</v>
      </c>
      <c r="H1409" s="37" t="n">
        <v>0</v>
      </c>
      <c r="I1409" s="37" t="n">
        <v>0</v>
      </c>
      <c r="J1409" s="37" t="n">
        <v>2</v>
      </c>
      <c r="K1409" s="16" t="n">
        <v>24</v>
      </c>
    </row>
    <row r="1410">
      <c r="A1410" s="30" t="n">
        <v>46323.63333333333</v>
      </c>
      <c r="B1410" s="30" t="n">
        <v>46323.65833333333</v>
      </c>
      <c r="C1410" s="9" t="n">
        <v>46325</v>
      </c>
      <c r="D1410" s="10" t="n">
        <v>0.8854166666666666</v>
      </c>
      <c r="E1410" s="36" t="n">
        <v>1</v>
      </c>
      <c r="F1410" s="36" t="n">
        <v>1</v>
      </c>
      <c r="G1410" s="36" t="n">
        <v>0</v>
      </c>
      <c r="H1410" s="36" t="n">
        <v>0</v>
      </c>
      <c r="I1410" s="36" t="n">
        <v>0</v>
      </c>
      <c r="J1410" s="36" t="n">
        <v>2</v>
      </c>
      <c r="K1410" s="12" t="n">
        <v>24</v>
      </c>
    </row>
    <row r="1411">
      <c r="A1411" s="33" t="n">
        <v>46323.63333333333</v>
      </c>
      <c r="B1411" s="33" t="n">
        <v>46323.65833333333</v>
      </c>
      <c r="C1411" s="13" t="n">
        <v>46326</v>
      </c>
      <c r="D1411" s="14" t="n">
        <v>0.8020833333333334</v>
      </c>
      <c r="E1411" s="37" t="n">
        <v>1</v>
      </c>
      <c r="F1411" s="37" t="n">
        <v>0</v>
      </c>
      <c r="G1411" s="37" t="n">
        <v>0</v>
      </c>
      <c r="H1411" s="37" t="n">
        <v>0</v>
      </c>
      <c r="I1411" s="37" t="n">
        <v>1</v>
      </c>
      <c r="J1411" s="37" t="n">
        <v>5</v>
      </c>
      <c r="K1411" s="16" t="n">
        <v>60</v>
      </c>
    </row>
    <row r="1412">
      <c r="A1412" s="30" t="n">
        <v>46323.63333333333</v>
      </c>
      <c r="B1412" s="30" t="n">
        <v>46323.65833333333</v>
      </c>
      <c r="C1412" s="9" t="n">
        <v>46327</v>
      </c>
      <c r="D1412" s="10" t="n">
        <v>0.9270833333333334</v>
      </c>
      <c r="E1412" s="36" t="n">
        <v>1</v>
      </c>
      <c r="F1412" s="36" t="n">
        <v>0</v>
      </c>
      <c r="G1412" s="36" t="n">
        <v>0</v>
      </c>
      <c r="H1412" s="36" t="n">
        <v>0</v>
      </c>
      <c r="I1412" s="36" t="n">
        <v>1</v>
      </c>
      <c r="J1412" s="36" t="n">
        <v>5</v>
      </c>
      <c r="K1412" s="12" t="n">
        <v>60</v>
      </c>
    </row>
    <row r="1413">
      <c r="A1413" s="33" t="n">
        <v>46323.65833333333</v>
      </c>
      <c r="B1413" s="33" t="n">
        <v>46323.67430555556</v>
      </c>
      <c r="C1413" s="13" t="n">
        <v>46324</v>
      </c>
      <c r="D1413" s="14" t="n">
        <v>0.84375</v>
      </c>
      <c r="E1413" s="37" t="n">
        <v>1</v>
      </c>
      <c r="F1413" s="37" t="n">
        <v>1</v>
      </c>
      <c r="G1413" s="37" t="n">
        <v>0</v>
      </c>
      <c r="H1413" s="37" t="n">
        <v>0</v>
      </c>
      <c r="I1413" s="37" t="n">
        <v>0</v>
      </c>
      <c r="J1413" s="37" t="n">
        <v>2</v>
      </c>
      <c r="K1413" s="16" t="n">
        <v>24</v>
      </c>
    </row>
    <row r="1414">
      <c r="A1414" s="30" t="n">
        <v>46323.65833333333</v>
      </c>
      <c r="B1414" s="30" t="n">
        <v>46323.67430555556</v>
      </c>
      <c r="C1414" s="9" t="n">
        <v>46324</v>
      </c>
      <c r="D1414" s="10" t="n">
        <v>0.8854166666666666</v>
      </c>
      <c r="E1414" s="36" t="n">
        <v>1</v>
      </c>
      <c r="F1414" s="36" t="n">
        <v>0</v>
      </c>
      <c r="G1414" s="36" t="n">
        <v>1</v>
      </c>
      <c r="H1414" s="36" t="n">
        <v>0</v>
      </c>
      <c r="I1414" s="36" t="n">
        <v>0</v>
      </c>
      <c r="J1414" s="36" t="n">
        <v>3</v>
      </c>
      <c r="K1414" s="12" t="n">
        <v>36</v>
      </c>
    </row>
    <row r="1415">
      <c r="A1415" s="33" t="n">
        <v>46323.65833333333</v>
      </c>
      <c r="B1415" s="33" t="n">
        <v>46323.67430555556</v>
      </c>
      <c r="C1415" s="13" t="n">
        <v>46325</v>
      </c>
      <c r="D1415" s="14" t="n">
        <v>0.96875</v>
      </c>
      <c r="E1415" s="37" t="n">
        <v>1</v>
      </c>
      <c r="F1415" s="37" t="n">
        <v>0</v>
      </c>
      <c r="G1415" s="37" t="n">
        <v>0</v>
      </c>
      <c r="H1415" s="37" t="n">
        <v>1</v>
      </c>
      <c r="I1415" s="37" t="n">
        <v>0</v>
      </c>
      <c r="J1415" s="37" t="n">
        <v>4</v>
      </c>
      <c r="K1415" s="16" t="n">
        <v>48</v>
      </c>
    </row>
    <row r="1416">
      <c r="A1416" s="30" t="n">
        <v>46323.65833333333</v>
      </c>
      <c r="B1416" s="30" t="n">
        <v>46323.67430555556</v>
      </c>
      <c r="C1416" s="9" t="n">
        <v>46325</v>
      </c>
      <c r="D1416" s="10" t="n">
        <v>0.9993055555555556</v>
      </c>
      <c r="E1416" s="36" t="n">
        <v>1</v>
      </c>
      <c r="F1416" s="36" t="n">
        <v>0</v>
      </c>
      <c r="G1416" s="36" t="n">
        <v>1</v>
      </c>
      <c r="H1416" s="36" t="n">
        <v>0</v>
      </c>
      <c r="I1416" s="36" t="n">
        <v>0</v>
      </c>
      <c r="J1416" s="36" t="n">
        <v>3</v>
      </c>
      <c r="K1416" s="12" t="n">
        <v>36</v>
      </c>
    </row>
    <row r="1417">
      <c r="A1417" s="33" t="n">
        <v>46323.67430555556</v>
      </c>
      <c r="B1417" s="33" t="n">
        <v>46323.69791666666</v>
      </c>
      <c r="C1417" s="13" t="n">
        <v>46324</v>
      </c>
      <c r="D1417" s="14" t="n">
        <v>0.84375</v>
      </c>
      <c r="E1417" s="37" t="n">
        <v>1</v>
      </c>
      <c r="F1417" s="37" t="n">
        <v>1</v>
      </c>
      <c r="G1417" s="37" t="n">
        <v>0</v>
      </c>
      <c r="H1417" s="37" t="n">
        <v>0</v>
      </c>
      <c r="I1417" s="37" t="n">
        <v>0</v>
      </c>
      <c r="J1417" s="37" t="n">
        <v>2</v>
      </c>
      <c r="K1417" s="16" t="n">
        <v>24</v>
      </c>
    </row>
    <row r="1418">
      <c r="A1418" s="30" t="n">
        <v>46323.67430555556</v>
      </c>
      <c r="B1418" s="30" t="n">
        <v>46323.69791666666</v>
      </c>
      <c r="C1418" s="9" t="n">
        <v>46325</v>
      </c>
      <c r="D1418" s="10" t="n">
        <v>0.96875</v>
      </c>
      <c r="E1418" s="36" t="n">
        <v>1</v>
      </c>
      <c r="F1418" s="36" t="n">
        <v>0</v>
      </c>
      <c r="G1418" s="36" t="n">
        <v>0</v>
      </c>
      <c r="H1418" s="36" t="n">
        <v>0</v>
      </c>
      <c r="I1418" s="36" t="n">
        <v>1</v>
      </c>
      <c r="J1418" s="36" t="n">
        <v>5</v>
      </c>
      <c r="K1418" s="12" t="n">
        <v>60</v>
      </c>
    </row>
    <row r="1419">
      <c r="A1419" s="33" t="n">
        <v>46323.67430555556</v>
      </c>
      <c r="B1419" s="33" t="n">
        <v>46323.69791666666</v>
      </c>
      <c r="C1419" s="13" t="n">
        <v>46325</v>
      </c>
      <c r="D1419" s="14" t="n">
        <v>0.9993055555555556</v>
      </c>
      <c r="E1419" s="37" t="n">
        <v>3</v>
      </c>
      <c r="F1419" s="37" t="n">
        <v>0</v>
      </c>
      <c r="G1419" s="37" t="n">
        <v>0</v>
      </c>
      <c r="H1419" s="37" t="n">
        <v>2</v>
      </c>
      <c r="I1419" s="37" t="n">
        <v>1</v>
      </c>
      <c r="J1419" s="37" t="n">
        <v>13</v>
      </c>
      <c r="K1419" s="16" t="n">
        <v>156</v>
      </c>
    </row>
    <row r="1420">
      <c r="A1420" s="30" t="n">
        <v>46323.69791666666</v>
      </c>
      <c r="B1420" s="30" t="n">
        <v>46323.73888888889</v>
      </c>
      <c r="C1420" s="9" t="n">
        <v>46324</v>
      </c>
      <c r="D1420" s="10" t="n">
        <v>0.84375</v>
      </c>
      <c r="E1420" s="36" t="n">
        <v>1</v>
      </c>
      <c r="F1420" s="36" t="n">
        <v>1</v>
      </c>
      <c r="G1420" s="36" t="n">
        <v>0</v>
      </c>
      <c r="H1420" s="36" t="n">
        <v>0</v>
      </c>
      <c r="I1420" s="36" t="n">
        <v>0</v>
      </c>
      <c r="J1420" s="36" t="n">
        <v>2</v>
      </c>
      <c r="K1420" s="12" t="n">
        <v>24</v>
      </c>
    </row>
    <row r="1421">
      <c r="A1421" s="33" t="n">
        <v>46323.69791666666</v>
      </c>
      <c r="B1421" s="33" t="n">
        <v>46323.73888888889</v>
      </c>
      <c r="C1421" s="13" t="n">
        <v>46324</v>
      </c>
      <c r="D1421" s="14" t="n">
        <v>0.8854166666666666</v>
      </c>
      <c r="E1421" s="37" t="n">
        <v>8</v>
      </c>
      <c r="F1421" s="37" t="n">
        <v>3</v>
      </c>
      <c r="G1421" s="37" t="n">
        <v>0</v>
      </c>
      <c r="H1421" s="37" t="n">
        <v>2</v>
      </c>
      <c r="I1421" s="37" t="n">
        <v>3</v>
      </c>
      <c r="J1421" s="37" t="n">
        <v>29</v>
      </c>
      <c r="K1421" s="16" t="n">
        <v>348</v>
      </c>
    </row>
    <row r="1422">
      <c r="A1422" s="30" t="n">
        <v>46323.69791666666</v>
      </c>
      <c r="B1422" s="30" t="n">
        <v>46323.73888888889</v>
      </c>
      <c r="C1422" s="9" t="n">
        <v>46324</v>
      </c>
      <c r="D1422" s="10" t="n">
        <v>0.9993055555555556</v>
      </c>
      <c r="E1422" s="36" t="n">
        <v>2</v>
      </c>
      <c r="F1422" s="36" t="n">
        <v>0</v>
      </c>
      <c r="G1422" s="36" t="n">
        <v>0</v>
      </c>
      <c r="H1422" s="36" t="n">
        <v>0</v>
      </c>
      <c r="I1422" s="36" t="n">
        <v>2</v>
      </c>
      <c r="J1422" s="36" t="n">
        <v>10</v>
      </c>
      <c r="K1422" s="12" t="n">
        <v>120</v>
      </c>
    </row>
    <row r="1423">
      <c r="A1423" s="33" t="n">
        <v>46323.69791666666</v>
      </c>
      <c r="B1423" s="33" t="n">
        <v>46323.73888888889</v>
      </c>
      <c r="C1423" s="13" t="n">
        <v>46325</v>
      </c>
      <c r="D1423" s="14" t="n">
        <v>0.96875</v>
      </c>
      <c r="E1423" s="37" t="n">
        <v>1</v>
      </c>
      <c r="F1423" s="37" t="n">
        <v>1</v>
      </c>
      <c r="G1423" s="37" t="n">
        <v>0</v>
      </c>
      <c r="H1423" s="37" t="n">
        <v>0</v>
      </c>
      <c r="I1423" s="37" t="n">
        <v>0</v>
      </c>
      <c r="J1423" s="37" t="n">
        <v>2</v>
      </c>
      <c r="K1423" s="16" t="n">
        <v>24</v>
      </c>
    </row>
    <row r="1424">
      <c r="A1424" s="30" t="n">
        <v>46323.69791666666</v>
      </c>
      <c r="B1424" s="30" t="n">
        <v>46323.73888888889</v>
      </c>
      <c r="C1424" s="9" t="n">
        <v>46325</v>
      </c>
      <c r="D1424" s="10" t="n">
        <v>0.9993055555555556</v>
      </c>
      <c r="E1424" s="36" t="n">
        <v>2</v>
      </c>
      <c r="F1424" s="36" t="n">
        <v>0</v>
      </c>
      <c r="G1424" s="36" t="n">
        <v>1</v>
      </c>
      <c r="H1424" s="36" t="n">
        <v>1</v>
      </c>
      <c r="I1424" s="36" t="n">
        <v>0</v>
      </c>
      <c r="J1424" s="36" t="n">
        <v>7</v>
      </c>
      <c r="K1424" s="12" t="n">
        <v>84</v>
      </c>
    </row>
    <row r="1425">
      <c r="A1425" s="33" t="n">
        <v>46323.69791666666</v>
      </c>
      <c r="B1425" s="33" t="n">
        <v>46323.73888888889</v>
      </c>
      <c r="C1425" s="13" t="n">
        <v>46326</v>
      </c>
      <c r="D1425" s="14" t="n">
        <v>0.8020833333333334</v>
      </c>
      <c r="E1425" s="37" t="n">
        <v>3</v>
      </c>
      <c r="F1425" s="37" t="n">
        <v>2</v>
      </c>
      <c r="G1425" s="37" t="n">
        <v>0</v>
      </c>
      <c r="H1425" s="37" t="n">
        <v>0</v>
      </c>
      <c r="I1425" s="37" t="n">
        <v>1</v>
      </c>
      <c r="J1425" s="37" t="n">
        <v>9</v>
      </c>
      <c r="K1425" s="16" t="n">
        <v>108</v>
      </c>
    </row>
    <row r="1426">
      <c r="A1426" s="30" t="n">
        <v>46323.73888888889</v>
      </c>
      <c r="B1426" s="30" t="n">
        <v>46323.74861111111</v>
      </c>
      <c r="C1426" s="9" t="n">
        <v>46324</v>
      </c>
      <c r="D1426" s="10" t="n">
        <v>0.9993055555555556</v>
      </c>
      <c r="E1426" s="36" t="n">
        <v>2</v>
      </c>
      <c r="F1426" s="36" t="n">
        <v>1</v>
      </c>
      <c r="G1426" s="36" t="n">
        <v>0</v>
      </c>
      <c r="H1426" s="36" t="n">
        <v>0</v>
      </c>
      <c r="I1426" s="36" t="n">
        <v>1</v>
      </c>
      <c r="J1426" s="36" t="n">
        <v>7</v>
      </c>
      <c r="K1426" s="12" t="n">
        <v>84</v>
      </c>
    </row>
    <row r="1427">
      <c r="A1427" s="33" t="n">
        <v>46323.73888888889</v>
      </c>
      <c r="B1427" s="33" t="n">
        <v>46323.74861111111</v>
      </c>
      <c r="C1427" s="13" t="n">
        <v>46325</v>
      </c>
      <c r="D1427" s="14" t="n">
        <v>0.9993055555555556</v>
      </c>
      <c r="E1427" s="37" t="n">
        <v>2</v>
      </c>
      <c r="F1427" s="37" t="n">
        <v>0</v>
      </c>
      <c r="G1427" s="37" t="n">
        <v>0</v>
      </c>
      <c r="H1427" s="37" t="n">
        <v>2</v>
      </c>
      <c r="I1427" s="37" t="n">
        <v>0</v>
      </c>
      <c r="J1427" s="37" t="n">
        <v>8</v>
      </c>
      <c r="K1427" s="16" t="n">
        <v>96</v>
      </c>
    </row>
    <row r="1428">
      <c r="A1428" s="30" t="n">
        <v>46323.74861111111</v>
      </c>
      <c r="B1428" s="30" t="n">
        <v>46323.77777777778</v>
      </c>
      <c r="C1428" s="9" t="n">
        <v>46324</v>
      </c>
      <c r="D1428" s="10" t="n">
        <v>0.84375</v>
      </c>
      <c r="E1428" s="36" t="n">
        <v>3</v>
      </c>
      <c r="F1428" s="36" t="n">
        <v>2</v>
      </c>
      <c r="G1428" s="36" t="n">
        <v>0</v>
      </c>
      <c r="H1428" s="36" t="n">
        <v>0</v>
      </c>
      <c r="I1428" s="36" t="n">
        <v>1</v>
      </c>
      <c r="J1428" s="36" t="n">
        <v>9</v>
      </c>
      <c r="K1428" s="12" t="n">
        <v>108</v>
      </c>
    </row>
    <row r="1429">
      <c r="A1429" s="33" t="n">
        <v>46323.74861111111</v>
      </c>
      <c r="B1429" s="33" t="n">
        <v>46323.77777777778</v>
      </c>
      <c r="C1429" s="13" t="n">
        <v>46324</v>
      </c>
      <c r="D1429" s="14" t="n">
        <v>0.9993055555555556</v>
      </c>
      <c r="E1429" s="37" t="n">
        <v>3</v>
      </c>
      <c r="F1429" s="37" t="n">
        <v>0</v>
      </c>
      <c r="G1429" s="37" t="n">
        <v>2</v>
      </c>
      <c r="H1429" s="37" t="n">
        <v>1</v>
      </c>
      <c r="I1429" s="37" t="n">
        <v>0</v>
      </c>
      <c r="J1429" s="37" t="n">
        <v>10</v>
      </c>
      <c r="K1429" s="16" t="n">
        <v>120</v>
      </c>
    </row>
    <row r="1430">
      <c r="A1430" s="30" t="n">
        <v>46323.74861111111</v>
      </c>
      <c r="B1430" s="30" t="n">
        <v>46323.77777777778</v>
      </c>
      <c r="C1430" s="9" t="n">
        <v>46325</v>
      </c>
      <c r="D1430" s="10" t="n">
        <v>0.8854166666666666</v>
      </c>
      <c r="E1430" s="36" t="n">
        <v>1</v>
      </c>
      <c r="F1430" s="36" t="n">
        <v>0</v>
      </c>
      <c r="G1430" s="36" t="n">
        <v>0</v>
      </c>
      <c r="H1430" s="36" t="n">
        <v>1</v>
      </c>
      <c r="I1430" s="36" t="n">
        <v>0</v>
      </c>
      <c r="J1430" s="36" t="n">
        <v>4</v>
      </c>
      <c r="K1430" s="12" t="n">
        <v>48</v>
      </c>
    </row>
    <row r="1431">
      <c r="A1431" s="33" t="n">
        <v>46323.74861111111</v>
      </c>
      <c r="B1431" s="33" t="n">
        <v>46323.77777777778</v>
      </c>
      <c r="C1431" s="13" t="n">
        <v>46325</v>
      </c>
      <c r="D1431" s="14" t="n">
        <v>0.9993055555555556</v>
      </c>
      <c r="E1431" s="37" t="n">
        <v>1</v>
      </c>
      <c r="F1431" s="37" t="n">
        <v>0</v>
      </c>
      <c r="G1431" s="37" t="n">
        <v>0</v>
      </c>
      <c r="H1431" s="37" t="n">
        <v>1</v>
      </c>
      <c r="I1431" s="37" t="n">
        <v>0</v>
      </c>
      <c r="J1431" s="37" t="n">
        <v>4</v>
      </c>
      <c r="K1431" s="16" t="n">
        <v>48</v>
      </c>
    </row>
    <row r="1432">
      <c r="A1432" s="30" t="n">
        <v>46323.74861111111</v>
      </c>
      <c r="B1432" s="30" t="n">
        <v>46323.77777777778</v>
      </c>
      <c r="C1432" s="9" t="n">
        <v>46326</v>
      </c>
      <c r="D1432" s="10" t="n">
        <v>0.8020833333333334</v>
      </c>
      <c r="E1432" s="36" t="n">
        <v>2</v>
      </c>
      <c r="F1432" s="36" t="n">
        <v>0</v>
      </c>
      <c r="G1432" s="36" t="n">
        <v>0</v>
      </c>
      <c r="H1432" s="36" t="n">
        <v>2</v>
      </c>
      <c r="I1432" s="36" t="n">
        <v>0</v>
      </c>
      <c r="J1432" s="36" t="n">
        <v>8</v>
      </c>
      <c r="K1432" s="12" t="n">
        <v>96</v>
      </c>
    </row>
    <row r="1433">
      <c r="A1433" s="33" t="n">
        <v>46323.74861111111</v>
      </c>
      <c r="B1433" s="33" t="n">
        <v>46323.77777777778</v>
      </c>
      <c r="C1433" s="13" t="n">
        <v>46327</v>
      </c>
      <c r="D1433" s="14" t="n">
        <v>0.84375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46323.74861111111</v>
      </c>
      <c r="B1434" s="30" t="n">
        <v>46323.77777777778</v>
      </c>
      <c r="C1434" s="9" t="n">
        <v>46327</v>
      </c>
      <c r="D1434" s="10" t="n">
        <v>0.8854166666666666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46323.74861111111</v>
      </c>
      <c r="B1435" s="33" t="n">
        <v>46323.77777777778</v>
      </c>
      <c r="C1435" s="13" t="n">
        <v>46327</v>
      </c>
      <c r="D1435" s="14" t="n">
        <v>0.9270833333333334</v>
      </c>
      <c r="E1435" s="37" t="n">
        <v>1</v>
      </c>
      <c r="F1435" s="37" t="n">
        <v>1</v>
      </c>
      <c r="G1435" s="37" t="n">
        <v>0</v>
      </c>
      <c r="H1435" s="37" t="n">
        <v>0</v>
      </c>
      <c r="I1435" s="37" t="n">
        <v>0</v>
      </c>
      <c r="J1435" s="37" t="n">
        <v>2</v>
      </c>
      <c r="K1435" s="16" t="n">
        <v>24</v>
      </c>
    </row>
    <row r="1436">
      <c r="A1436" s="30" t="n">
        <v>46323.77777777778</v>
      </c>
      <c r="B1436" s="30" t="n">
        <v>46323.80763888889</v>
      </c>
      <c r="C1436" s="9" t="n">
        <v>46324</v>
      </c>
      <c r="D1436" s="10" t="n">
        <v>0.9993055555555556</v>
      </c>
      <c r="E1436" s="36" t="n">
        <v>1</v>
      </c>
      <c r="F1436" s="36" t="n">
        <v>0</v>
      </c>
      <c r="G1436" s="36" t="n">
        <v>0</v>
      </c>
      <c r="H1436" s="36" t="n">
        <v>1</v>
      </c>
      <c r="I1436" s="36" t="n">
        <v>0</v>
      </c>
      <c r="J1436" s="36" t="n">
        <v>4</v>
      </c>
      <c r="K1436" s="12" t="n">
        <v>48</v>
      </c>
    </row>
    <row r="1437">
      <c r="A1437" s="33" t="n">
        <v>46323.77777777778</v>
      </c>
      <c r="B1437" s="33" t="n">
        <v>46323.80763888889</v>
      </c>
      <c r="C1437" s="13" t="n">
        <v>46325</v>
      </c>
      <c r="D1437" s="14" t="n">
        <v>0.84375</v>
      </c>
      <c r="E1437" s="37" t="n">
        <v>1</v>
      </c>
      <c r="F1437" s="37" t="n">
        <v>0</v>
      </c>
      <c r="G1437" s="37" t="n">
        <v>0</v>
      </c>
      <c r="H1437" s="37" t="n">
        <v>1</v>
      </c>
      <c r="I1437" s="37" t="n">
        <v>0</v>
      </c>
      <c r="J1437" s="37" t="n">
        <v>4</v>
      </c>
      <c r="K1437" s="16" t="n">
        <v>48</v>
      </c>
    </row>
    <row r="1438">
      <c r="A1438" s="30" t="n">
        <v>46323.77777777778</v>
      </c>
      <c r="B1438" s="30" t="n">
        <v>46323.80763888889</v>
      </c>
      <c r="C1438" s="9" t="n">
        <v>46325</v>
      </c>
      <c r="D1438" s="10" t="n">
        <v>0.9993055555555556</v>
      </c>
      <c r="E1438" s="36" t="n">
        <v>5</v>
      </c>
      <c r="F1438" s="36" t="n">
        <v>2</v>
      </c>
      <c r="G1438" s="36" t="n">
        <v>0</v>
      </c>
      <c r="H1438" s="36" t="n">
        <v>2</v>
      </c>
      <c r="I1438" s="36" t="n">
        <v>1</v>
      </c>
      <c r="J1438" s="36" t="n">
        <v>17</v>
      </c>
      <c r="K1438" s="12" t="n">
        <v>204</v>
      </c>
    </row>
    <row r="1439">
      <c r="A1439" s="33" t="n">
        <v>46323.77777777778</v>
      </c>
      <c r="B1439" s="33" t="n">
        <v>46323.80763888889</v>
      </c>
      <c r="C1439" s="13" t="n">
        <v>46326</v>
      </c>
      <c r="D1439" s="14" t="n">
        <v>0.8020833333333334</v>
      </c>
      <c r="E1439" s="37" t="n">
        <v>2</v>
      </c>
      <c r="F1439" s="37" t="n">
        <v>0</v>
      </c>
      <c r="G1439" s="37" t="n">
        <v>0</v>
      </c>
      <c r="H1439" s="37" t="n">
        <v>2</v>
      </c>
      <c r="I1439" s="37" t="n">
        <v>0</v>
      </c>
      <c r="J1439" s="37" t="n">
        <v>8</v>
      </c>
      <c r="K1439" s="16" t="n">
        <v>96</v>
      </c>
    </row>
    <row r="1440">
      <c r="A1440" s="30" t="n">
        <v>46323.77777777778</v>
      </c>
      <c r="B1440" s="30" t="n">
        <v>46323.80763888889</v>
      </c>
      <c r="C1440" s="9" t="n">
        <v>46327</v>
      </c>
      <c r="D1440" s="10" t="n">
        <v>0.96875</v>
      </c>
      <c r="E1440" s="36" t="n">
        <v>1</v>
      </c>
      <c r="F1440" s="36" t="n">
        <v>1</v>
      </c>
      <c r="G1440" s="36" t="n">
        <v>0</v>
      </c>
      <c r="H1440" s="36" t="n">
        <v>0</v>
      </c>
      <c r="I1440" s="36" t="n">
        <v>0</v>
      </c>
      <c r="J1440" s="36" t="n">
        <v>2</v>
      </c>
      <c r="K1440" s="12" t="n">
        <v>24</v>
      </c>
    </row>
    <row r="1441">
      <c r="A1441" s="33" t="n">
        <v>46323.80763888889</v>
      </c>
      <c r="B1441" s="33" t="n">
        <v>46323.81944444445</v>
      </c>
      <c r="C1441" s="13" t="n">
        <v>46324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46323.80763888889</v>
      </c>
      <c r="B1442" s="30" t="n">
        <v>46323.81944444445</v>
      </c>
      <c r="C1442" s="9" t="n">
        <v>46325</v>
      </c>
      <c r="D1442" s="10" t="n">
        <v>0.9993055555555556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46323.80763888889</v>
      </c>
      <c r="B1443" s="33" t="n">
        <v>46323.81944444445</v>
      </c>
      <c r="C1443" s="13" t="n">
        <v>46327</v>
      </c>
      <c r="D1443" s="14" t="n">
        <v>0.8020833333333334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46323.80763888889</v>
      </c>
      <c r="B1444" s="30" t="n">
        <v>46323.81944444445</v>
      </c>
      <c r="C1444" s="9" t="n">
        <v>46327</v>
      </c>
      <c r="D1444" s="10" t="n">
        <v>0.8854166666666666</v>
      </c>
      <c r="E1444" s="36" t="n">
        <v>2</v>
      </c>
      <c r="F1444" s="36" t="n">
        <v>0</v>
      </c>
      <c r="G1444" s="36" t="n">
        <v>0</v>
      </c>
      <c r="H1444" s="36" t="n">
        <v>2</v>
      </c>
      <c r="I1444" s="36" t="n">
        <v>0</v>
      </c>
      <c r="J1444" s="36" t="n">
        <v>8</v>
      </c>
      <c r="K1444" s="12" t="n">
        <v>96</v>
      </c>
    </row>
    <row r="1445">
      <c r="A1445" s="33" t="n">
        <v>46323.81944444445</v>
      </c>
      <c r="B1445" s="33" t="n">
        <v>46323.84444444445</v>
      </c>
      <c r="C1445" s="13" t="n">
        <v>46324</v>
      </c>
      <c r="D1445" s="14" t="n">
        <v>0.84375</v>
      </c>
      <c r="E1445" s="37" t="n">
        <v>3</v>
      </c>
      <c r="F1445" s="37" t="n">
        <v>1</v>
      </c>
      <c r="G1445" s="37" t="n">
        <v>0</v>
      </c>
      <c r="H1445" s="37" t="n">
        <v>0</v>
      </c>
      <c r="I1445" s="37" t="n">
        <v>2</v>
      </c>
      <c r="J1445" s="37" t="n">
        <v>12</v>
      </c>
      <c r="K1445" s="16" t="n">
        <v>144</v>
      </c>
    </row>
    <row r="1446">
      <c r="A1446" s="30" t="n">
        <v>46323.81944444445</v>
      </c>
      <c r="B1446" s="30" t="n">
        <v>46323.84444444445</v>
      </c>
      <c r="C1446" s="9" t="n">
        <v>46324</v>
      </c>
      <c r="D1446" s="10" t="n">
        <v>0.9993055555555556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46323.81944444445</v>
      </c>
      <c r="B1447" s="33" t="n">
        <v>46323.84444444445</v>
      </c>
      <c r="C1447" s="13" t="n">
        <v>46325</v>
      </c>
      <c r="D1447" s="14" t="n">
        <v>0.9993055555555556</v>
      </c>
      <c r="E1447" s="37" t="n">
        <v>3</v>
      </c>
      <c r="F1447" s="37" t="n">
        <v>1</v>
      </c>
      <c r="G1447" s="37" t="n">
        <v>0</v>
      </c>
      <c r="H1447" s="37" t="n">
        <v>0</v>
      </c>
      <c r="I1447" s="37" t="n">
        <v>2</v>
      </c>
      <c r="J1447" s="37" t="n">
        <v>12</v>
      </c>
      <c r="K1447" s="16" t="n">
        <v>144</v>
      </c>
    </row>
    <row r="1448">
      <c r="A1448" s="30" t="n">
        <v>46323.81944444445</v>
      </c>
      <c r="B1448" s="30" t="n">
        <v>46323.84444444445</v>
      </c>
      <c r="C1448" s="9" t="n">
        <v>46326</v>
      </c>
      <c r="D1448" s="10" t="n">
        <v>0.8020833333333334</v>
      </c>
      <c r="E1448" s="36" t="n">
        <v>2</v>
      </c>
      <c r="F1448" s="36" t="n">
        <v>1</v>
      </c>
      <c r="G1448" s="36" t="n">
        <v>1</v>
      </c>
      <c r="H1448" s="36" t="n">
        <v>0</v>
      </c>
      <c r="I1448" s="36" t="n">
        <v>0</v>
      </c>
      <c r="J1448" s="36" t="n">
        <v>5</v>
      </c>
      <c r="K1448" s="12" t="n">
        <v>60</v>
      </c>
    </row>
    <row r="1449">
      <c r="A1449" s="33" t="n">
        <v>46323.81944444445</v>
      </c>
      <c r="B1449" s="33" t="n">
        <v>46323.84444444445</v>
      </c>
      <c r="C1449" s="13" t="n">
        <v>46327</v>
      </c>
      <c r="D1449" s="14" t="n">
        <v>0.8020833333333334</v>
      </c>
      <c r="E1449" s="37" t="n">
        <v>1</v>
      </c>
      <c r="F1449" s="37" t="n">
        <v>0</v>
      </c>
      <c r="G1449" s="37" t="n">
        <v>0</v>
      </c>
      <c r="H1449" s="37" t="n">
        <v>0</v>
      </c>
      <c r="I1449" s="37" t="n">
        <v>1</v>
      </c>
      <c r="J1449" s="37" t="n">
        <v>5</v>
      </c>
      <c r="K1449" s="16" t="n">
        <v>60</v>
      </c>
    </row>
    <row r="1450">
      <c r="A1450" s="30" t="n">
        <v>46323.81944444445</v>
      </c>
      <c r="B1450" s="30" t="n">
        <v>46323.84444444445</v>
      </c>
      <c r="C1450" s="9" t="n">
        <v>46327</v>
      </c>
      <c r="D1450" s="10" t="n">
        <v>0.84375</v>
      </c>
      <c r="E1450" s="36" t="n">
        <v>1</v>
      </c>
      <c r="F1450" s="36" t="n">
        <v>0</v>
      </c>
      <c r="G1450" s="36" t="n">
        <v>0</v>
      </c>
      <c r="H1450" s="36" t="n">
        <v>1</v>
      </c>
      <c r="I1450" s="36" t="n">
        <v>0</v>
      </c>
      <c r="J1450" s="36" t="n">
        <v>4</v>
      </c>
      <c r="K1450" s="12" t="n">
        <v>48</v>
      </c>
    </row>
    <row r="1451">
      <c r="A1451" s="33" t="n">
        <v>46323.81944444445</v>
      </c>
      <c r="B1451" s="33" t="n">
        <v>46323.84444444445</v>
      </c>
      <c r="C1451" s="13" t="n">
        <v>46327</v>
      </c>
      <c r="D1451" s="14" t="n">
        <v>0.8854166666666666</v>
      </c>
      <c r="E1451" s="37" t="n">
        <v>1</v>
      </c>
      <c r="F1451" s="37" t="n">
        <v>1</v>
      </c>
      <c r="G1451" s="37" t="n">
        <v>0</v>
      </c>
      <c r="H1451" s="37" t="n">
        <v>0</v>
      </c>
      <c r="I1451" s="37" t="n">
        <v>0</v>
      </c>
      <c r="J1451" s="37" t="n">
        <v>2</v>
      </c>
      <c r="K1451" s="16" t="n">
        <v>24</v>
      </c>
    </row>
    <row r="1452">
      <c r="A1452" s="30" t="n">
        <v>46323.81944444445</v>
      </c>
      <c r="B1452" s="30" t="n">
        <v>46323.84444444445</v>
      </c>
      <c r="C1452" s="9" t="n">
        <v>46327</v>
      </c>
      <c r="D1452" s="10" t="n">
        <v>0.9270833333333334</v>
      </c>
      <c r="E1452" s="36" t="n">
        <v>1</v>
      </c>
      <c r="F1452" s="36" t="n">
        <v>1</v>
      </c>
      <c r="G1452" s="36" t="n">
        <v>0</v>
      </c>
      <c r="H1452" s="36" t="n">
        <v>0</v>
      </c>
      <c r="I1452" s="36" t="n">
        <v>0</v>
      </c>
      <c r="J1452" s="36" t="n">
        <v>2</v>
      </c>
      <c r="K1452" s="12" t="n">
        <v>24</v>
      </c>
    </row>
    <row r="1453">
      <c r="A1453" s="33" t="n">
        <v>46323.84444444445</v>
      </c>
      <c r="B1453" s="33" t="n">
        <v>46323.8625</v>
      </c>
      <c r="C1453" s="13" t="n">
        <v>46324</v>
      </c>
      <c r="D1453" s="14" t="n">
        <v>0.84375</v>
      </c>
      <c r="E1453" s="37" t="n">
        <v>1</v>
      </c>
      <c r="F1453" s="37" t="n">
        <v>1</v>
      </c>
      <c r="G1453" s="37" t="n">
        <v>0</v>
      </c>
      <c r="H1453" s="37" t="n">
        <v>-1</v>
      </c>
      <c r="I1453" s="37" t="n">
        <v>1</v>
      </c>
      <c r="J1453" s="37" t="n">
        <v>3</v>
      </c>
      <c r="K1453" s="16" t="n">
        <v>36</v>
      </c>
    </row>
    <row r="1454">
      <c r="A1454" s="30" t="n">
        <v>46323.84444444445</v>
      </c>
      <c r="B1454" s="30" t="n">
        <v>46323.8625</v>
      </c>
      <c r="C1454" s="9" t="n">
        <v>46324</v>
      </c>
      <c r="D1454" s="10" t="n">
        <v>0.9993055555555556</v>
      </c>
      <c r="E1454" s="36" t="n">
        <v>4</v>
      </c>
      <c r="F1454" s="36" t="n">
        <v>1</v>
      </c>
      <c r="G1454" s="36" t="n">
        <v>1</v>
      </c>
      <c r="H1454" s="36" t="n">
        <v>0</v>
      </c>
      <c r="I1454" s="36" t="n">
        <v>2</v>
      </c>
      <c r="J1454" s="36" t="n">
        <v>15</v>
      </c>
      <c r="K1454" s="12" t="n">
        <v>180</v>
      </c>
    </row>
    <row r="1455">
      <c r="A1455" s="33" t="n">
        <v>46323.84444444445</v>
      </c>
      <c r="B1455" s="33" t="n">
        <v>46323.8625</v>
      </c>
      <c r="C1455" s="13" t="n">
        <v>46327</v>
      </c>
      <c r="D1455" s="14" t="n">
        <v>0.8020833333333334</v>
      </c>
      <c r="E1455" s="37" t="n">
        <v>1</v>
      </c>
      <c r="F1455" s="37" t="n">
        <v>0</v>
      </c>
      <c r="G1455" s="37" t="n">
        <v>1</v>
      </c>
      <c r="H1455" s="37" t="n">
        <v>0</v>
      </c>
      <c r="I1455" s="37" t="n">
        <v>0</v>
      </c>
      <c r="J1455" s="37" t="n">
        <v>3</v>
      </c>
      <c r="K1455" s="16" t="n">
        <v>36</v>
      </c>
    </row>
    <row r="1456">
      <c r="A1456" s="30" t="n">
        <v>46323.84444444445</v>
      </c>
      <c r="B1456" s="30" t="n">
        <v>46323.8625</v>
      </c>
      <c r="C1456" s="9" t="n">
        <v>46327</v>
      </c>
      <c r="D1456" s="10" t="n">
        <v>0.9270833333333334</v>
      </c>
      <c r="E1456" s="36" t="n">
        <v>1</v>
      </c>
      <c r="F1456" s="36" t="n">
        <v>0</v>
      </c>
      <c r="G1456" s="36" t="n">
        <v>0</v>
      </c>
      <c r="H1456" s="36" t="n">
        <v>1</v>
      </c>
      <c r="I1456" s="36" t="n">
        <v>0</v>
      </c>
      <c r="J1456" s="36" t="n">
        <v>4</v>
      </c>
      <c r="K1456" s="12" t="n">
        <v>48</v>
      </c>
    </row>
    <row r="1457">
      <c r="A1457" s="33" t="n">
        <v>46323.8625</v>
      </c>
      <c r="B1457" s="33" t="n">
        <v>46323.89652777778</v>
      </c>
      <c r="C1457" s="13" t="n">
        <v>46324</v>
      </c>
      <c r="D1457" s="14" t="n">
        <v>0.9993055555555556</v>
      </c>
      <c r="E1457" s="37" t="n">
        <v>2</v>
      </c>
      <c r="F1457" s="37" t="n">
        <v>0</v>
      </c>
      <c r="G1457" s="37" t="n">
        <v>0</v>
      </c>
      <c r="H1457" s="37" t="n">
        <v>1</v>
      </c>
      <c r="I1457" s="37" t="n">
        <v>1</v>
      </c>
      <c r="J1457" s="37" t="n">
        <v>9</v>
      </c>
      <c r="K1457" s="16" t="n">
        <v>108</v>
      </c>
    </row>
    <row r="1458">
      <c r="A1458" s="30" t="n">
        <v>46323.8625</v>
      </c>
      <c r="B1458" s="30" t="n">
        <v>46323.89652777778</v>
      </c>
      <c r="C1458" s="9" t="n">
        <v>46325</v>
      </c>
      <c r="D1458" s="10" t="n">
        <v>0.8854166666666666</v>
      </c>
      <c r="E1458" s="36" t="n">
        <v>2</v>
      </c>
      <c r="F1458" s="36" t="n">
        <v>1</v>
      </c>
      <c r="G1458" s="36" t="n">
        <v>0</v>
      </c>
      <c r="H1458" s="36" t="n">
        <v>1</v>
      </c>
      <c r="I1458" s="36" t="n">
        <v>0</v>
      </c>
      <c r="J1458" s="36" t="n">
        <v>6</v>
      </c>
      <c r="K1458" s="12" t="n">
        <v>72</v>
      </c>
    </row>
    <row r="1459">
      <c r="A1459" s="33" t="n">
        <v>46323.8625</v>
      </c>
      <c r="B1459" s="33" t="n">
        <v>46323.89652777778</v>
      </c>
      <c r="C1459" s="13" t="n">
        <v>46325</v>
      </c>
      <c r="D1459" s="14" t="n">
        <v>0.9993055555555556</v>
      </c>
      <c r="E1459" s="37" t="n">
        <v>4</v>
      </c>
      <c r="F1459" s="37" t="n">
        <v>0</v>
      </c>
      <c r="G1459" s="37" t="n">
        <v>1</v>
      </c>
      <c r="H1459" s="37" t="n">
        <v>2</v>
      </c>
      <c r="I1459" s="37" t="n">
        <v>1</v>
      </c>
      <c r="J1459" s="37" t="n">
        <v>16</v>
      </c>
      <c r="K1459" s="16" t="n">
        <v>192</v>
      </c>
    </row>
    <row r="1460">
      <c r="A1460" s="30" t="n">
        <v>46323.8625</v>
      </c>
      <c r="B1460" s="30" t="n">
        <v>46323.89652777778</v>
      </c>
      <c r="C1460" s="9" t="n">
        <v>46326</v>
      </c>
      <c r="D1460" s="10" t="n">
        <v>0.8020833333333334</v>
      </c>
      <c r="E1460" s="36" t="n">
        <v>5</v>
      </c>
      <c r="F1460" s="36" t="n">
        <v>1</v>
      </c>
      <c r="G1460" s="36" t="n">
        <v>1</v>
      </c>
      <c r="H1460" s="36" t="n">
        <v>2</v>
      </c>
      <c r="I1460" s="36" t="n">
        <v>1</v>
      </c>
      <c r="J1460" s="36" t="n">
        <v>18</v>
      </c>
      <c r="K1460" s="12" t="n">
        <v>216</v>
      </c>
    </row>
    <row r="1461">
      <c r="A1461" s="33" t="n">
        <v>46323.8625</v>
      </c>
      <c r="B1461" s="33" t="n">
        <v>46323.89652777778</v>
      </c>
      <c r="C1461" s="13" t="n">
        <v>46327</v>
      </c>
      <c r="D1461" s="14" t="n">
        <v>0.8854166666666666</v>
      </c>
      <c r="E1461" s="37" t="n">
        <v>1</v>
      </c>
      <c r="F1461" s="37" t="n">
        <v>0</v>
      </c>
      <c r="G1461" s="37" t="n">
        <v>0</v>
      </c>
      <c r="H1461" s="37" t="n">
        <v>0</v>
      </c>
      <c r="I1461" s="37" t="n">
        <v>1</v>
      </c>
      <c r="J1461" s="37" t="n">
        <v>5</v>
      </c>
      <c r="K1461" s="16" t="n">
        <v>60</v>
      </c>
    </row>
    <row r="1462">
      <c r="A1462" s="30" t="n">
        <v>46323.8625</v>
      </c>
      <c r="B1462" s="30" t="n">
        <v>46323.89652777778</v>
      </c>
      <c r="C1462" s="9" t="n">
        <v>46327</v>
      </c>
      <c r="D1462" s="10" t="n">
        <v>0.96875</v>
      </c>
      <c r="E1462" s="36" t="n">
        <v>1</v>
      </c>
      <c r="F1462" s="36" t="n">
        <v>0</v>
      </c>
      <c r="G1462" s="36" t="n">
        <v>0</v>
      </c>
      <c r="H1462" s="36" t="n">
        <v>1</v>
      </c>
      <c r="I1462" s="36" t="n">
        <v>0</v>
      </c>
      <c r="J1462" s="36" t="n">
        <v>4</v>
      </c>
      <c r="K1462" s="12" t="n">
        <v>48</v>
      </c>
    </row>
    <row r="1463">
      <c r="A1463" s="33" t="n">
        <v>46323.89930555555</v>
      </c>
      <c r="B1463" s="33" t="n">
        <v>46323.93333333333</v>
      </c>
      <c r="C1463" s="13" t="n">
        <v>46324</v>
      </c>
      <c r="D1463" s="14" t="n">
        <v>0.84375</v>
      </c>
      <c r="E1463" s="37" t="n">
        <v>3</v>
      </c>
      <c r="F1463" s="37" t="n">
        <v>1</v>
      </c>
      <c r="G1463" s="37" t="n">
        <v>1</v>
      </c>
      <c r="H1463" s="37" t="n">
        <v>1</v>
      </c>
      <c r="I1463" s="37" t="n">
        <v>0</v>
      </c>
      <c r="J1463" s="37" t="n">
        <v>9</v>
      </c>
      <c r="K1463" s="16" t="n">
        <v>108</v>
      </c>
    </row>
    <row r="1464">
      <c r="A1464" s="30" t="n">
        <v>46323.89930555555</v>
      </c>
      <c r="B1464" s="30" t="n">
        <v>46323.93333333333</v>
      </c>
      <c r="C1464" s="9" t="n">
        <v>46324</v>
      </c>
      <c r="D1464" s="10" t="n">
        <v>0.9993055555555556</v>
      </c>
      <c r="E1464" s="36" t="n">
        <v>3</v>
      </c>
      <c r="F1464" s="36" t="n">
        <v>0</v>
      </c>
      <c r="G1464" s="36" t="n">
        <v>2</v>
      </c>
      <c r="H1464" s="36" t="n">
        <v>0</v>
      </c>
      <c r="I1464" s="36" t="n">
        <v>1</v>
      </c>
      <c r="J1464" s="36" t="n">
        <v>11</v>
      </c>
      <c r="K1464" s="12" t="n">
        <v>132</v>
      </c>
    </row>
    <row r="1465">
      <c r="A1465" s="33" t="n">
        <v>46323.89930555555</v>
      </c>
      <c r="B1465" s="33" t="n">
        <v>46323.93333333333</v>
      </c>
      <c r="C1465" s="13" t="n">
        <v>46325</v>
      </c>
      <c r="D1465" s="14" t="n">
        <v>0.8854166666666666</v>
      </c>
      <c r="E1465" s="37" t="n">
        <v>4</v>
      </c>
      <c r="F1465" s="37" t="n">
        <v>0</v>
      </c>
      <c r="G1465" s="37" t="n">
        <v>1</v>
      </c>
      <c r="H1465" s="37" t="n">
        <v>3</v>
      </c>
      <c r="I1465" s="37" t="n">
        <v>0</v>
      </c>
      <c r="J1465" s="37" t="n">
        <v>15</v>
      </c>
      <c r="K1465" s="16" t="n">
        <v>180</v>
      </c>
    </row>
    <row r="1466">
      <c r="A1466" s="30" t="n">
        <v>46323.89930555555</v>
      </c>
      <c r="B1466" s="30" t="n">
        <v>46323.93333333333</v>
      </c>
      <c r="C1466" s="9" t="n">
        <v>46325</v>
      </c>
      <c r="D1466" s="10" t="n">
        <v>0.9993055555555556</v>
      </c>
      <c r="E1466" s="36" t="n">
        <v>2</v>
      </c>
      <c r="F1466" s="36" t="n">
        <v>1</v>
      </c>
      <c r="G1466" s="36" t="n">
        <v>0</v>
      </c>
      <c r="H1466" s="36" t="n">
        <v>0</v>
      </c>
      <c r="I1466" s="36" t="n">
        <v>1</v>
      </c>
      <c r="J1466" s="36" t="n">
        <v>7</v>
      </c>
      <c r="K1466" s="12" t="n">
        <v>84</v>
      </c>
    </row>
    <row r="1467">
      <c r="A1467" s="33" t="n">
        <v>46323.89930555555</v>
      </c>
      <c r="B1467" s="33" t="n">
        <v>46323.93333333333</v>
      </c>
      <c r="C1467" s="13" t="n">
        <v>46326</v>
      </c>
      <c r="D1467" s="14" t="n">
        <v>0.8020833333333334</v>
      </c>
      <c r="E1467" s="37" t="n">
        <v>2</v>
      </c>
      <c r="F1467" s="37" t="n">
        <v>0</v>
      </c>
      <c r="G1467" s="37" t="n">
        <v>0</v>
      </c>
      <c r="H1467" s="37" t="n">
        <v>2</v>
      </c>
      <c r="I1467" s="37" t="n">
        <v>0</v>
      </c>
      <c r="J1467" s="37" t="n">
        <v>8</v>
      </c>
      <c r="K1467" s="16" t="n">
        <v>96</v>
      </c>
    </row>
    <row r="1468">
      <c r="A1468" s="30" t="n">
        <v>46323.89930555555</v>
      </c>
      <c r="B1468" s="30" t="n">
        <v>46323.93333333333</v>
      </c>
      <c r="C1468" s="9" t="n">
        <v>46327</v>
      </c>
      <c r="D1468" s="10" t="n">
        <v>0.84375</v>
      </c>
      <c r="E1468" s="36" t="n">
        <v>2</v>
      </c>
      <c r="F1468" s="36" t="n">
        <v>0</v>
      </c>
      <c r="G1468" s="36" t="n">
        <v>0</v>
      </c>
      <c r="H1468" s="36" t="n">
        <v>2</v>
      </c>
      <c r="I1468" s="36" t="n">
        <v>0</v>
      </c>
      <c r="J1468" s="36" t="n">
        <v>8</v>
      </c>
      <c r="K1468" s="12" t="n">
        <v>96</v>
      </c>
    </row>
    <row r="1469">
      <c r="A1469" s="33" t="n">
        <v>46323.89930555555</v>
      </c>
      <c r="B1469" s="33" t="n">
        <v>46323.93333333333</v>
      </c>
      <c r="C1469" s="13" t="n">
        <v>46327</v>
      </c>
      <c r="D1469" s="14" t="n">
        <v>0.9270833333333334</v>
      </c>
      <c r="E1469" s="37" t="n">
        <v>3</v>
      </c>
      <c r="F1469" s="37" t="n">
        <v>0</v>
      </c>
      <c r="G1469" s="37" t="n">
        <v>0</v>
      </c>
      <c r="H1469" s="37" t="n">
        <v>3</v>
      </c>
      <c r="I1469" s="37" t="n">
        <v>0</v>
      </c>
      <c r="J1469" s="37" t="n">
        <v>12</v>
      </c>
      <c r="K1469" s="16" t="n">
        <v>144</v>
      </c>
    </row>
    <row r="1470">
      <c r="A1470" s="30" t="n">
        <v>46323.89930555555</v>
      </c>
      <c r="B1470" s="30" t="n">
        <v>46323.93333333333</v>
      </c>
      <c r="C1470" s="9" t="n">
        <v>46327</v>
      </c>
      <c r="D1470" s="10" t="n">
        <v>0.96875</v>
      </c>
      <c r="E1470" s="36" t="n">
        <v>1</v>
      </c>
      <c r="F1470" s="36" t="n">
        <v>0</v>
      </c>
      <c r="G1470" s="36" t="n">
        <v>0</v>
      </c>
      <c r="H1470" s="36" t="n">
        <v>1</v>
      </c>
      <c r="I1470" s="36" t="n">
        <v>0</v>
      </c>
      <c r="J1470" s="36" t="n">
        <v>4</v>
      </c>
      <c r="K1470" s="12" t="n">
        <v>48</v>
      </c>
    </row>
    <row r="1471">
      <c r="A1471" s="33" t="n">
        <v>46323.93333333333</v>
      </c>
      <c r="B1471" s="33" t="n">
        <v>46323.94027777778</v>
      </c>
      <c r="C1471" s="13" t="n">
        <v>46325</v>
      </c>
      <c r="D1471" s="14" t="n">
        <v>0.9993055555555556</v>
      </c>
      <c r="E1471" s="37" t="n">
        <v>1</v>
      </c>
      <c r="F1471" s="37" t="n">
        <v>0</v>
      </c>
      <c r="G1471" s="37" t="n">
        <v>0</v>
      </c>
      <c r="H1471" s="37" t="n">
        <v>1</v>
      </c>
      <c r="I1471" s="37" t="n">
        <v>0</v>
      </c>
      <c r="J1471" s="37" t="n">
        <v>4</v>
      </c>
      <c r="K1471" s="16" t="n">
        <v>48</v>
      </c>
    </row>
    <row r="1472">
      <c r="A1472" s="30" t="n">
        <v>46323.94027777778</v>
      </c>
      <c r="B1472" s="30" t="n">
        <v>46323.95902777778</v>
      </c>
      <c r="C1472" s="9" t="n">
        <v>46325</v>
      </c>
      <c r="D1472" s="10" t="n">
        <v>0.8854166666666666</v>
      </c>
      <c r="E1472" s="36" t="n">
        <v>3</v>
      </c>
      <c r="F1472" s="36" t="n">
        <v>0</v>
      </c>
      <c r="G1472" s="36" t="n">
        <v>1</v>
      </c>
      <c r="H1472" s="36" t="n">
        <v>1</v>
      </c>
      <c r="I1472" s="36" t="n">
        <v>1</v>
      </c>
      <c r="J1472" s="36" t="n">
        <v>12</v>
      </c>
      <c r="K1472" s="12" t="n">
        <v>144</v>
      </c>
    </row>
    <row r="1473">
      <c r="A1473" s="33" t="n">
        <v>46323.94027777778</v>
      </c>
      <c r="B1473" s="33" t="n">
        <v>46323.95902777778</v>
      </c>
      <c r="C1473" s="13" t="n">
        <v>46325</v>
      </c>
      <c r="D1473" s="14" t="n">
        <v>0.9993055555555556</v>
      </c>
      <c r="E1473" s="37" t="n">
        <v>2</v>
      </c>
      <c r="F1473" s="37" t="n">
        <v>1</v>
      </c>
      <c r="G1473" s="37" t="n">
        <v>0</v>
      </c>
      <c r="H1473" s="37" t="n">
        <v>1</v>
      </c>
      <c r="I1473" s="37" t="n">
        <v>0</v>
      </c>
      <c r="J1473" s="37" t="n">
        <v>6</v>
      </c>
      <c r="K1473" s="16" t="n">
        <v>72</v>
      </c>
    </row>
    <row r="1474">
      <c r="A1474" s="30" t="n">
        <v>46323.94027777778</v>
      </c>
      <c r="B1474" s="30" t="n">
        <v>46323.95902777778</v>
      </c>
      <c r="C1474" s="9" t="n">
        <v>46326</v>
      </c>
      <c r="D1474" s="10" t="n">
        <v>0.8020833333333334</v>
      </c>
      <c r="E1474" s="36" t="n">
        <v>1</v>
      </c>
      <c r="F1474" s="36" t="n">
        <v>1</v>
      </c>
      <c r="G1474" s="36" t="n">
        <v>0</v>
      </c>
      <c r="H1474" s="36" t="n">
        <v>0</v>
      </c>
      <c r="I1474" s="36" t="n">
        <v>0</v>
      </c>
      <c r="J1474" s="36" t="n">
        <v>2</v>
      </c>
      <c r="K1474" s="12" t="n">
        <v>24</v>
      </c>
    </row>
    <row r="1475">
      <c r="A1475" s="33" t="n">
        <v>46323.94027777778</v>
      </c>
      <c r="B1475" s="33" t="n">
        <v>46323.95902777778</v>
      </c>
      <c r="C1475" s="13" t="n">
        <v>46327</v>
      </c>
      <c r="D1475" s="14" t="n">
        <v>0.9270833333333334</v>
      </c>
      <c r="E1475" s="37" t="n">
        <v>1</v>
      </c>
      <c r="F1475" s="37" t="n">
        <v>0</v>
      </c>
      <c r="G1475" s="37" t="n">
        <v>1</v>
      </c>
      <c r="H1475" s="37" t="n">
        <v>0</v>
      </c>
      <c r="I1475" s="37" t="n">
        <v>0</v>
      </c>
      <c r="J1475" s="37" t="n">
        <v>3</v>
      </c>
      <c r="K1475" s="16" t="n">
        <v>36</v>
      </c>
    </row>
    <row r="1476">
      <c r="A1476" s="30" t="n">
        <v>46323.94027777778</v>
      </c>
      <c r="B1476" s="30" t="n">
        <v>46323.95902777778</v>
      </c>
      <c r="C1476" s="9" t="n">
        <v>46327</v>
      </c>
      <c r="D1476" s="10" t="n">
        <v>0.96875</v>
      </c>
      <c r="E1476" s="36" t="n">
        <v>3</v>
      </c>
      <c r="F1476" s="36" t="n">
        <v>0</v>
      </c>
      <c r="G1476" s="36" t="n">
        <v>2</v>
      </c>
      <c r="H1476" s="36" t="n">
        <v>0</v>
      </c>
      <c r="I1476" s="36" t="n">
        <v>1</v>
      </c>
      <c r="J1476" s="36" t="n">
        <v>11</v>
      </c>
      <c r="K1476" s="12" t="n">
        <v>132</v>
      </c>
    </row>
    <row r="1477">
      <c r="A1477" s="33" t="n">
        <v>46323.94027777778</v>
      </c>
      <c r="B1477" s="33" t="n">
        <v>46323.95902777778</v>
      </c>
      <c r="C1477" s="13" t="n">
        <v>46327</v>
      </c>
      <c r="D1477" s="14" t="n">
        <v>0.9993055555555556</v>
      </c>
      <c r="E1477" s="37" t="n">
        <v>1</v>
      </c>
      <c r="F1477" s="37" t="n">
        <v>1</v>
      </c>
      <c r="G1477" s="37" t="n">
        <v>0</v>
      </c>
      <c r="H1477" s="37" t="n">
        <v>0</v>
      </c>
      <c r="I1477" s="37" t="n">
        <v>0</v>
      </c>
      <c r="J1477" s="37" t="n">
        <v>2</v>
      </c>
      <c r="K1477" s="16" t="n">
        <v>24</v>
      </c>
    </row>
    <row r="1478">
      <c r="A1478" s="30" t="n">
        <v>46323.95902777778</v>
      </c>
      <c r="B1478" s="30" t="n">
        <v>46323.98194444444</v>
      </c>
      <c r="C1478" s="9" t="n">
        <v>46324</v>
      </c>
      <c r="D1478" s="10" t="n">
        <v>0.84375</v>
      </c>
      <c r="E1478" s="36" t="n">
        <v>1</v>
      </c>
      <c r="F1478" s="36" t="n">
        <v>0</v>
      </c>
      <c r="G1478" s="36" t="n">
        <v>0</v>
      </c>
      <c r="H1478" s="36" t="n">
        <v>1</v>
      </c>
      <c r="I1478" s="36" t="n">
        <v>0</v>
      </c>
      <c r="J1478" s="36" t="n">
        <v>4</v>
      </c>
      <c r="K1478" s="12" t="n">
        <v>48</v>
      </c>
    </row>
    <row r="1479">
      <c r="A1479" s="33" t="n">
        <v>46323.95902777778</v>
      </c>
      <c r="B1479" s="33" t="n">
        <v>46323.98194444444</v>
      </c>
      <c r="C1479" s="13" t="n">
        <v>46325</v>
      </c>
      <c r="D1479" s="14" t="n">
        <v>0.84375</v>
      </c>
      <c r="E1479" s="37" t="n">
        <v>1</v>
      </c>
      <c r="F1479" s="37" t="n">
        <v>0</v>
      </c>
      <c r="G1479" s="37" t="n">
        <v>0</v>
      </c>
      <c r="H1479" s="37" t="n">
        <v>0</v>
      </c>
      <c r="I1479" s="37" t="n">
        <v>1</v>
      </c>
      <c r="J1479" s="37" t="n">
        <v>5</v>
      </c>
      <c r="K1479" s="16" t="n">
        <v>60</v>
      </c>
    </row>
    <row r="1480">
      <c r="A1480" s="30" t="n">
        <v>46323.95902777778</v>
      </c>
      <c r="B1480" s="30" t="n">
        <v>46323.98194444444</v>
      </c>
      <c r="C1480" s="9" t="n">
        <v>46325</v>
      </c>
      <c r="D1480" s="10" t="n">
        <v>0.8854166666666666</v>
      </c>
      <c r="E1480" s="36" t="n">
        <v>3</v>
      </c>
      <c r="F1480" s="36" t="n">
        <v>2</v>
      </c>
      <c r="G1480" s="36" t="n">
        <v>0</v>
      </c>
      <c r="H1480" s="36" t="n">
        <v>0</v>
      </c>
      <c r="I1480" s="36" t="n">
        <v>1</v>
      </c>
      <c r="J1480" s="36" t="n">
        <v>9</v>
      </c>
      <c r="K1480" s="12" t="n">
        <v>108</v>
      </c>
    </row>
    <row r="1481">
      <c r="A1481" s="33" t="n">
        <v>46323.95902777778</v>
      </c>
      <c r="B1481" s="33" t="n">
        <v>46323.98194444444</v>
      </c>
      <c r="C1481" s="13" t="n">
        <v>46325</v>
      </c>
      <c r="D1481" s="14" t="n">
        <v>0.9993055555555556</v>
      </c>
      <c r="E1481" s="37" t="n">
        <v>2</v>
      </c>
      <c r="F1481" s="37" t="n">
        <v>1</v>
      </c>
      <c r="G1481" s="37" t="n">
        <v>0</v>
      </c>
      <c r="H1481" s="37" t="n">
        <v>1</v>
      </c>
      <c r="I1481" s="37" t="n">
        <v>0</v>
      </c>
      <c r="J1481" s="37" t="n">
        <v>6</v>
      </c>
      <c r="K1481" s="16" t="n">
        <v>72</v>
      </c>
    </row>
    <row r="1482">
      <c r="A1482" s="30" t="n">
        <v>46323.95902777778</v>
      </c>
      <c r="B1482" s="30" t="n">
        <v>46323.98194444444</v>
      </c>
      <c r="C1482" s="9" t="n">
        <v>46326</v>
      </c>
      <c r="D1482" s="10" t="n">
        <v>0.8020833333333334</v>
      </c>
      <c r="E1482" s="36" t="n">
        <v>1</v>
      </c>
      <c r="F1482" s="36" t="n">
        <v>0</v>
      </c>
      <c r="G1482" s="36" t="n">
        <v>0</v>
      </c>
      <c r="H1482" s="36" t="n">
        <v>0</v>
      </c>
      <c r="I1482" s="36" t="n">
        <v>1</v>
      </c>
      <c r="J1482" s="36" t="n">
        <v>5</v>
      </c>
      <c r="K1482" s="12" t="n">
        <v>60</v>
      </c>
    </row>
    <row r="1483">
      <c r="A1483" s="33" t="n">
        <v>46323.95902777778</v>
      </c>
      <c r="B1483" s="33" t="n">
        <v>46323.98194444444</v>
      </c>
      <c r="C1483" s="13" t="n">
        <v>46326</v>
      </c>
      <c r="D1483" s="14" t="n">
        <v>0.84375</v>
      </c>
      <c r="E1483" s="37" t="n">
        <v>-1</v>
      </c>
      <c r="F1483" s="37" t="n">
        <v>0</v>
      </c>
      <c r="G1483" s="37" t="n">
        <v>0</v>
      </c>
      <c r="H1483" s="37" t="n">
        <v>-1</v>
      </c>
      <c r="I1483" s="37" t="n">
        <v>0</v>
      </c>
      <c r="J1483" s="37" t="n">
        <v>-4</v>
      </c>
      <c r="K1483" s="16" t="n">
        <v>-48</v>
      </c>
    </row>
    <row r="1484">
      <c r="A1484" s="30" t="n">
        <v>46323.95902777778</v>
      </c>
      <c r="B1484" s="30" t="n">
        <v>46323.98194444444</v>
      </c>
      <c r="C1484" s="9" t="n">
        <v>46327</v>
      </c>
      <c r="D1484" s="10" t="n">
        <v>0.9270833333333334</v>
      </c>
      <c r="E1484" s="36" t="n">
        <v>2</v>
      </c>
      <c r="F1484" s="36" t="n">
        <v>1</v>
      </c>
      <c r="G1484" s="36" t="n">
        <v>0</v>
      </c>
      <c r="H1484" s="36" t="n">
        <v>1</v>
      </c>
      <c r="I1484" s="36" t="n">
        <v>0</v>
      </c>
      <c r="J1484" s="36" t="n">
        <v>6</v>
      </c>
      <c r="K1484" s="12" t="n">
        <v>72</v>
      </c>
    </row>
    <row r="1485">
      <c r="A1485" s="33" t="n">
        <v>46323.98194444444</v>
      </c>
      <c r="B1485" s="33" t="n">
        <v>46324.00833333333</v>
      </c>
      <c r="C1485" s="13" t="n">
        <v>46324</v>
      </c>
      <c r="D1485" s="14" t="n">
        <v>0.9993055555555556</v>
      </c>
      <c r="E1485" s="37" t="n">
        <v>1</v>
      </c>
      <c r="F1485" s="37" t="n">
        <v>0</v>
      </c>
      <c r="G1485" s="37" t="n">
        <v>1</v>
      </c>
      <c r="H1485" s="37" t="n">
        <v>0</v>
      </c>
      <c r="I1485" s="37" t="n">
        <v>0</v>
      </c>
      <c r="J1485" s="37" t="n">
        <v>3</v>
      </c>
      <c r="K1485" s="16" t="n">
        <v>36</v>
      </c>
    </row>
    <row r="1486">
      <c r="A1486" s="30" t="n">
        <v>46323.98194444444</v>
      </c>
      <c r="B1486" s="30" t="n">
        <v>46324.00833333333</v>
      </c>
      <c r="C1486" s="9" t="n">
        <v>46325</v>
      </c>
      <c r="D1486" s="10" t="n">
        <v>0.84375</v>
      </c>
      <c r="E1486" s="36" t="n">
        <v>2</v>
      </c>
      <c r="F1486" s="36" t="n">
        <v>2</v>
      </c>
      <c r="G1486" s="36" t="n">
        <v>0</v>
      </c>
      <c r="H1486" s="36" t="n">
        <v>0</v>
      </c>
      <c r="I1486" s="36" t="n">
        <v>0</v>
      </c>
      <c r="J1486" s="36" t="n">
        <v>4</v>
      </c>
      <c r="K1486" s="12" t="n">
        <v>48</v>
      </c>
    </row>
    <row r="1487">
      <c r="A1487" s="33" t="n">
        <v>46323.98194444444</v>
      </c>
      <c r="B1487" s="33" t="n">
        <v>46324.00833333333</v>
      </c>
      <c r="C1487" s="13" t="n">
        <v>46325</v>
      </c>
      <c r="D1487" s="14" t="n">
        <v>0.9993055555555556</v>
      </c>
      <c r="E1487" s="37" t="n">
        <v>2</v>
      </c>
      <c r="F1487" s="37" t="n">
        <v>0</v>
      </c>
      <c r="G1487" s="37" t="n">
        <v>1</v>
      </c>
      <c r="H1487" s="37" t="n">
        <v>1</v>
      </c>
      <c r="I1487" s="37" t="n">
        <v>0</v>
      </c>
      <c r="J1487" s="37" t="n">
        <v>7</v>
      </c>
      <c r="K1487" s="16" t="n">
        <v>84</v>
      </c>
    </row>
    <row r="1488">
      <c r="A1488" s="30" t="n">
        <v>46323.98194444444</v>
      </c>
      <c r="B1488" s="30" t="n">
        <v>46324.00833333333</v>
      </c>
      <c r="C1488" s="9" t="n">
        <v>46326</v>
      </c>
      <c r="D1488" s="10" t="n">
        <v>0.8020833333333334</v>
      </c>
      <c r="E1488" s="36" t="n">
        <v>3</v>
      </c>
      <c r="F1488" s="36" t="n">
        <v>2</v>
      </c>
      <c r="G1488" s="36" t="n">
        <v>0</v>
      </c>
      <c r="H1488" s="36" t="n">
        <v>1</v>
      </c>
      <c r="I1488" s="36" t="n">
        <v>0</v>
      </c>
      <c r="J1488" s="36" t="n">
        <v>8</v>
      </c>
      <c r="K1488" s="12" t="n">
        <v>96</v>
      </c>
    </row>
    <row r="1489">
      <c r="A1489" s="33" t="n">
        <v>46323.98194444444</v>
      </c>
      <c r="B1489" s="33" t="n">
        <v>46324.00833333333</v>
      </c>
      <c r="C1489" s="13" t="n">
        <v>46326</v>
      </c>
      <c r="D1489" s="14" t="n">
        <v>0.84375</v>
      </c>
      <c r="E1489" s="37" t="n">
        <v>1</v>
      </c>
      <c r="F1489" s="37" t="n">
        <v>1</v>
      </c>
      <c r="G1489" s="37" t="n">
        <v>0</v>
      </c>
      <c r="H1489" s="37" t="n">
        <v>0</v>
      </c>
      <c r="I1489" s="37" t="n">
        <v>0</v>
      </c>
      <c r="J1489" s="37" t="n">
        <v>2</v>
      </c>
      <c r="K1489" s="16" t="n">
        <v>24</v>
      </c>
    </row>
    <row r="1490">
      <c r="A1490" s="30" t="n">
        <v>46323.98194444444</v>
      </c>
      <c r="B1490" s="30" t="n">
        <v>46324.00833333333</v>
      </c>
      <c r="C1490" s="9" t="n">
        <v>46327</v>
      </c>
      <c r="D1490" s="10" t="n">
        <v>0.96875</v>
      </c>
      <c r="E1490" s="36" t="n">
        <v>1</v>
      </c>
      <c r="F1490" s="36" t="n">
        <v>0</v>
      </c>
      <c r="G1490" s="36" t="n">
        <v>1</v>
      </c>
      <c r="H1490" s="36" t="n">
        <v>0</v>
      </c>
      <c r="I1490" s="36" t="n">
        <v>0</v>
      </c>
      <c r="J1490" s="36" t="n">
        <v>3</v>
      </c>
      <c r="K1490" s="12" t="n">
        <v>36</v>
      </c>
    </row>
    <row r="1491">
      <c r="A1491" s="33" t="n">
        <v>46324.00833333333</v>
      </c>
      <c r="B1491" s="33" t="n">
        <v>46324.02083333334</v>
      </c>
      <c r="C1491" s="13" t="n">
        <v>46324</v>
      </c>
      <c r="D1491" s="14" t="n">
        <v>0.9993055555555556</v>
      </c>
      <c r="E1491" s="37" t="n">
        <v>1</v>
      </c>
      <c r="F1491" s="37" t="n">
        <v>0</v>
      </c>
      <c r="G1491" s="37" t="n">
        <v>0</v>
      </c>
      <c r="H1491" s="37" t="n">
        <v>0</v>
      </c>
      <c r="I1491" s="37" t="n">
        <v>1</v>
      </c>
      <c r="J1491" s="37" t="n">
        <v>5</v>
      </c>
      <c r="K1491" s="16" t="n">
        <v>60</v>
      </c>
    </row>
    <row r="1492">
      <c r="A1492" s="30" t="n">
        <v>46324.00833333333</v>
      </c>
      <c r="B1492" s="30" t="n">
        <v>46324.02083333334</v>
      </c>
      <c r="C1492" s="9" t="n">
        <v>46325</v>
      </c>
      <c r="D1492" s="10" t="n">
        <v>0.9993055555555556</v>
      </c>
      <c r="E1492" s="36" t="n">
        <v>1</v>
      </c>
      <c r="F1492" s="36" t="n">
        <v>1</v>
      </c>
      <c r="G1492" s="36" t="n">
        <v>0</v>
      </c>
      <c r="H1492" s="36" t="n">
        <v>0</v>
      </c>
      <c r="I1492" s="36" t="n">
        <v>0</v>
      </c>
      <c r="J1492" s="36" t="n">
        <v>2</v>
      </c>
      <c r="K1492" s="12" t="n">
        <v>24</v>
      </c>
    </row>
    <row r="1493">
      <c r="A1493" s="33" t="n">
        <v>46324.00833333333</v>
      </c>
      <c r="B1493" s="33" t="n">
        <v>46324.02083333334</v>
      </c>
      <c r="C1493" s="13" t="n">
        <v>46327</v>
      </c>
      <c r="D1493" s="14" t="n">
        <v>0.9270833333333334</v>
      </c>
      <c r="E1493" s="37" t="n">
        <v>2</v>
      </c>
      <c r="F1493" s="37" t="n">
        <v>0</v>
      </c>
      <c r="G1493" s="37" t="n">
        <v>0</v>
      </c>
      <c r="H1493" s="37" t="n">
        <v>2</v>
      </c>
      <c r="I1493" s="37" t="n">
        <v>0</v>
      </c>
      <c r="J1493" s="37" t="n">
        <v>8</v>
      </c>
      <c r="K1493" s="16" t="n">
        <v>96</v>
      </c>
    </row>
    <row r="1494">
      <c r="A1494" s="30" t="n">
        <v>46324.02083333334</v>
      </c>
      <c r="B1494" s="30" t="n">
        <v>46324.0625</v>
      </c>
      <c r="C1494" s="9" t="n">
        <v>46324</v>
      </c>
      <c r="D1494" s="10" t="n">
        <v>0.9993055555555556</v>
      </c>
      <c r="E1494" s="36" t="n">
        <v>2</v>
      </c>
      <c r="F1494" s="36" t="n">
        <v>0</v>
      </c>
      <c r="G1494" s="36" t="n">
        <v>0</v>
      </c>
      <c r="H1494" s="36" t="n">
        <v>2</v>
      </c>
      <c r="I1494" s="36" t="n">
        <v>0</v>
      </c>
      <c r="J1494" s="36" t="n">
        <v>8</v>
      </c>
      <c r="K1494" s="12" t="n">
        <v>96</v>
      </c>
    </row>
    <row r="1495">
      <c r="A1495" s="33" t="n">
        <v>46324.02083333334</v>
      </c>
      <c r="B1495" s="33" t="n">
        <v>46324.0625</v>
      </c>
      <c r="C1495" s="13" t="n">
        <v>46325</v>
      </c>
      <c r="D1495" s="14" t="n">
        <v>0.9993055555555556</v>
      </c>
      <c r="E1495" s="37" t="n">
        <v>2</v>
      </c>
      <c r="F1495" s="37" t="n">
        <v>2</v>
      </c>
      <c r="G1495" s="37" t="n">
        <v>0</v>
      </c>
      <c r="H1495" s="37" t="n">
        <v>0</v>
      </c>
      <c r="I1495" s="37" t="n">
        <v>0</v>
      </c>
      <c r="J1495" s="37" t="n">
        <v>4</v>
      </c>
      <c r="K1495" s="16" t="n">
        <v>48</v>
      </c>
    </row>
    <row r="1496">
      <c r="A1496" s="30" t="n">
        <v>46324.02083333334</v>
      </c>
      <c r="B1496" s="30" t="n">
        <v>46324.0625</v>
      </c>
      <c r="C1496" s="9" t="n">
        <v>46327</v>
      </c>
      <c r="D1496" s="10" t="n">
        <v>0.8854166666666666</v>
      </c>
      <c r="E1496" s="36" t="n">
        <v>2</v>
      </c>
      <c r="F1496" s="36" t="n">
        <v>0</v>
      </c>
      <c r="G1496" s="36" t="n">
        <v>0</v>
      </c>
      <c r="H1496" s="36" t="n">
        <v>2</v>
      </c>
      <c r="I1496" s="36" t="n">
        <v>0</v>
      </c>
      <c r="J1496" s="36" t="n">
        <v>8</v>
      </c>
      <c r="K1496" s="12" t="n">
        <v>96</v>
      </c>
    </row>
    <row r="1497">
      <c r="A1497" s="33" t="n">
        <v>46324.0625</v>
      </c>
      <c r="B1497" s="33" t="n">
        <v>46324.07083333333</v>
      </c>
      <c r="C1497" s="13" t="n">
        <v>46325</v>
      </c>
      <c r="D1497" s="14" t="n">
        <v>0.9993055555555556</v>
      </c>
      <c r="E1497" s="37" t="n">
        <v>3</v>
      </c>
      <c r="F1497" s="37" t="n">
        <v>1</v>
      </c>
      <c r="G1497" s="37" t="n">
        <v>1</v>
      </c>
      <c r="H1497" s="37" t="n">
        <v>0</v>
      </c>
      <c r="I1497" s="37" t="n">
        <v>1</v>
      </c>
      <c r="J1497" s="37" t="n">
        <v>10</v>
      </c>
      <c r="K1497" s="16" t="n">
        <v>120</v>
      </c>
    </row>
    <row r="1498">
      <c r="A1498" s="30" t="n">
        <v>46324.0625</v>
      </c>
      <c r="B1498" s="30" t="n">
        <v>46324.07083333333</v>
      </c>
      <c r="C1498" s="9" t="n">
        <v>46327</v>
      </c>
      <c r="D1498" s="10" t="n">
        <v>0.9993055555555556</v>
      </c>
      <c r="E1498" s="36" t="n">
        <v>1</v>
      </c>
      <c r="F1498" s="36" t="n">
        <v>1</v>
      </c>
      <c r="G1498" s="36" t="n">
        <v>0</v>
      </c>
      <c r="H1498" s="36" t="n">
        <v>0</v>
      </c>
      <c r="I1498" s="36" t="n">
        <v>0</v>
      </c>
      <c r="J1498" s="36" t="n">
        <v>2</v>
      </c>
      <c r="K1498" s="12" t="n">
        <v>24</v>
      </c>
    </row>
    <row r="1499">
      <c r="A1499" s="33" t="n">
        <v>46324.07083333333</v>
      </c>
      <c r="B1499" s="33" t="n">
        <v>46324.11944444444</v>
      </c>
      <c r="C1499" s="13" t="n">
        <v>46327</v>
      </c>
      <c r="D1499" s="14" t="n">
        <v>0.96875</v>
      </c>
      <c r="E1499" s="37" t="n">
        <v>1</v>
      </c>
      <c r="F1499" s="37" t="n">
        <v>0</v>
      </c>
      <c r="G1499" s="37" t="n">
        <v>0</v>
      </c>
      <c r="H1499" s="37" t="n">
        <v>1</v>
      </c>
      <c r="I1499" s="37" t="n">
        <v>0</v>
      </c>
      <c r="J1499" s="37" t="n">
        <v>4</v>
      </c>
      <c r="K1499" s="16" t="n">
        <v>48</v>
      </c>
    </row>
    <row r="1500">
      <c r="A1500" s="30" t="n">
        <v>46324.23680555556</v>
      </c>
      <c r="B1500" s="30" t="n">
        <v>46324.27708333333</v>
      </c>
      <c r="C1500" s="9" t="n">
        <v>46325</v>
      </c>
      <c r="D1500" s="10" t="n">
        <v>0.9993055555555556</v>
      </c>
      <c r="E1500" s="36" t="n">
        <v>1</v>
      </c>
      <c r="F1500" s="36" t="n">
        <v>1</v>
      </c>
      <c r="G1500" s="36" t="n">
        <v>0</v>
      </c>
      <c r="H1500" s="36" t="n">
        <v>0</v>
      </c>
      <c r="I1500" s="36" t="n">
        <v>0</v>
      </c>
      <c r="J1500" s="36" t="n">
        <v>2</v>
      </c>
      <c r="K1500" s="12" t="n">
        <v>24</v>
      </c>
    </row>
    <row r="1501">
      <c r="A1501" s="33" t="n">
        <v>46324.27708333333</v>
      </c>
      <c r="B1501" s="33" t="n">
        <v>46324.32222222222</v>
      </c>
      <c r="C1501" s="13" t="n">
        <v>46327</v>
      </c>
      <c r="D1501" s="14" t="n">
        <v>0.8020833333333334</v>
      </c>
      <c r="E1501" s="37" t="n">
        <v>1</v>
      </c>
      <c r="F1501" s="37" t="n">
        <v>0</v>
      </c>
      <c r="G1501" s="37" t="n">
        <v>0</v>
      </c>
      <c r="H1501" s="37" t="n">
        <v>0</v>
      </c>
      <c r="I1501" s="37" t="n">
        <v>1</v>
      </c>
      <c r="J1501" s="37" t="n">
        <v>5</v>
      </c>
      <c r="K1501" s="16" t="n">
        <v>60</v>
      </c>
    </row>
    <row r="1502">
      <c r="A1502" s="30" t="n">
        <v>46324.27708333333</v>
      </c>
      <c r="B1502" s="30" t="n">
        <v>46324.32222222222</v>
      </c>
      <c r="C1502" s="9" t="n">
        <v>46327</v>
      </c>
      <c r="D1502" s="10" t="n">
        <v>0.8854166666666666</v>
      </c>
      <c r="E1502" s="36" t="n">
        <v>1</v>
      </c>
      <c r="F1502" s="36" t="n">
        <v>1</v>
      </c>
      <c r="G1502" s="36" t="n">
        <v>0</v>
      </c>
      <c r="H1502" s="36" t="n">
        <v>0</v>
      </c>
      <c r="I1502" s="36" t="n">
        <v>0</v>
      </c>
      <c r="J1502" s="36" t="n">
        <v>2</v>
      </c>
      <c r="K1502" s="12" t="n">
        <v>24</v>
      </c>
    </row>
    <row r="1503">
      <c r="A1503" s="33" t="n">
        <v>46324.32222222222</v>
      </c>
      <c r="B1503" s="33" t="n">
        <v>46324.37152777778</v>
      </c>
      <c r="C1503" s="13" t="n">
        <v>46324</v>
      </c>
      <c r="D1503" s="14" t="n">
        <v>0.84375</v>
      </c>
      <c r="E1503" s="37" t="n">
        <v>1</v>
      </c>
      <c r="F1503" s="37" t="n">
        <v>1</v>
      </c>
      <c r="G1503" s="37" t="n">
        <v>0</v>
      </c>
      <c r="H1503" s="37" t="n">
        <v>0</v>
      </c>
      <c r="I1503" s="37" t="n">
        <v>0</v>
      </c>
      <c r="J1503" s="37" t="n">
        <v>2</v>
      </c>
      <c r="K1503" s="16" t="n">
        <v>24</v>
      </c>
    </row>
    <row r="1504">
      <c r="A1504" s="30" t="n">
        <v>46324.32222222222</v>
      </c>
      <c r="B1504" s="30" t="n">
        <v>46324.37152777778</v>
      </c>
      <c r="C1504" s="9" t="n">
        <v>46325</v>
      </c>
      <c r="D1504" s="10" t="n">
        <v>0.8854166666666666</v>
      </c>
      <c r="E1504" s="36" t="n">
        <v>3</v>
      </c>
      <c r="F1504" s="36" t="n">
        <v>1</v>
      </c>
      <c r="G1504" s="36" t="n">
        <v>0</v>
      </c>
      <c r="H1504" s="36" t="n">
        <v>2</v>
      </c>
      <c r="I1504" s="36" t="n">
        <v>0</v>
      </c>
      <c r="J1504" s="36" t="n">
        <v>10</v>
      </c>
      <c r="K1504" s="12" t="n">
        <v>120</v>
      </c>
    </row>
    <row r="1505">
      <c r="A1505" s="33" t="n">
        <v>46324.32222222222</v>
      </c>
      <c r="B1505" s="33" t="n">
        <v>46324.37152777778</v>
      </c>
      <c r="C1505" s="13" t="n">
        <v>46325</v>
      </c>
      <c r="D1505" s="14" t="n">
        <v>0.9993055555555556</v>
      </c>
      <c r="E1505" s="37" t="n">
        <v>2</v>
      </c>
      <c r="F1505" s="37" t="n">
        <v>1</v>
      </c>
      <c r="G1505" s="37" t="n">
        <v>0</v>
      </c>
      <c r="H1505" s="37" t="n">
        <v>1</v>
      </c>
      <c r="I1505" s="37" t="n">
        <v>0</v>
      </c>
      <c r="J1505" s="37" t="n">
        <v>6</v>
      </c>
      <c r="K1505" s="16" t="n">
        <v>72</v>
      </c>
    </row>
    <row r="1506">
      <c r="A1506" s="30" t="n">
        <v>46324.32222222222</v>
      </c>
      <c r="B1506" s="30" t="n">
        <v>46324.37152777778</v>
      </c>
      <c r="C1506" s="9" t="n">
        <v>46326</v>
      </c>
      <c r="D1506" s="10" t="n">
        <v>0.8020833333333334</v>
      </c>
      <c r="E1506" s="36" t="n">
        <v>1</v>
      </c>
      <c r="F1506" s="36" t="n">
        <v>0</v>
      </c>
      <c r="G1506" s="36" t="n">
        <v>0</v>
      </c>
      <c r="H1506" s="36" t="n">
        <v>1</v>
      </c>
      <c r="I1506" s="36" t="n">
        <v>0</v>
      </c>
      <c r="J1506" s="36" t="n">
        <v>4</v>
      </c>
      <c r="K1506" s="12" t="n">
        <v>48</v>
      </c>
    </row>
    <row r="1507">
      <c r="A1507" s="33" t="n">
        <v>46324.37152777778</v>
      </c>
      <c r="B1507" s="33" t="n">
        <v>46324.39791666667</v>
      </c>
      <c r="C1507" s="13" t="n">
        <v>46324</v>
      </c>
      <c r="D1507" s="14" t="n">
        <v>0.84375</v>
      </c>
      <c r="E1507" s="37" t="n">
        <v>1</v>
      </c>
      <c r="F1507" s="37" t="n">
        <v>1</v>
      </c>
      <c r="G1507" s="37" t="n">
        <v>0</v>
      </c>
      <c r="H1507" s="37" t="n">
        <v>0</v>
      </c>
      <c r="I1507" s="37" t="n">
        <v>0</v>
      </c>
      <c r="J1507" s="37" t="n">
        <v>2</v>
      </c>
      <c r="K1507" s="16" t="n">
        <v>24</v>
      </c>
    </row>
    <row r="1508">
      <c r="A1508" s="30" t="n">
        <v>46324.37152777778</v>
      </c>
      <c r="B1508" s="30" t="n">
        <v>46324.39791666667</v>
      </c>
      <c r="C1508" s="9" t="n">
        <v>46327</v>
      </c>
      <c r="D1508" s="10" t="n">
        <v>0.96875</v>
      </c>
      <c r="E1508" s="36" t="n">
        <v>1</v>
      </c>
      <c r="F1508" s="36" t="n">
        <v>0</v>
      </c>
      <c r="G1508" s="36" t="n">
        <v>0</v>
      </c>
      <c r="H1508" s="36" t="n">
        <v>1</v>
      </c>
      <c r="I1508" s="36" t="n">
        <v>0</v>
      </c>
      <c r="J1508" s="36" t="n">
        <v>4</v>
      </c>
      <c r="K1508" s="12" t="n">
        <v>48</v>
      </c>
    </row>
    <row r="1509">
      <c r="A1509" s="33" t="n">
        <v>46324.39791666667</v>
      </c>
      <c r="B1509" s="33" t="n">
        <v>46324.40833333333</v>
      </c>
      <c r="C1509" s="13" t="n">
        <v>46324</v>
      </c>
      <c r="D1509" s="14" t="n">
        <v>0.9993055555555556</v>
      </c>
      <c r="E1509" s="37" t="n">
        <v>2</v>
      </c>
      <c r="F1509" s="37" t="n">
        <v>1</v>
      </c>
      <c r="G1509" s="37" t="n">
        <v>0</v>
      </c>
      <c r="H1509" s="37" t="n">
        <v>0</v>
      </c>
      <c r="I1509" s="37" t="n">
        <v>1</v>
      </c>
      <c r="J1509" s="37" t="n">
        <v>7</v>
      </c>
      <c r="K1509" s="16" t="n">
        <v>84</v>
      </c>
    </row>
    <row r="1510">
      <c r="A1510" s="30" t="n">
        <v>46324.39791666667</v>
      </c>
      <c r="B1510" s="30" t="n">
        <v>46324.40833333333</v>
      </c>
      <c r="C1510" s="9" t="n">
        <v>46325</v>
      </c>
      <c r="D1510" s="10" t="n">
        <v>0.9993055555555556</v>
      </c>
      <c r="E1510" s="36" t="n">
        <v>2</v>
      </c>
      <c r="F1510" s="36" t="n">
        <v>0</v>
      </c>
      <c r="G1510" s="36" t="n">
        <v>2</v>
      </c>
      <c r="H1510" s="36" t="n">
        <v>0</v>
      </c>
      <c r="I1510" s="36" t="n">
        <v>0</v>
      </c>
      <c r="J1510" s="36" t="n">
        <v>6</v>
      </c>
      <c r="K1510" s="12" t="n">
        <v>72</v>
      </c>
    </row>
    <row r="1511">
      <c r="A1511" s="33" t="n">
        <v>46324.39791666667</v>
      </c>
      <c r="B1511" s="33" t="n">
        <v>46324.40833333333</v>
      </c>
      <c r="C1511" s="13" t="n">
        <v>46326</v>
      </c>
      <c r="D1511" s="14" t="n">
        <v>0.8020833333333334</v>
      </c>
      <c r="E1511" s="37" t="n">
        <v>1</v>
      </c>
      <c r="F1511" s="37" t="n">
        <v>1</v>
      </c>
      <c r="G1511" s="37" t="n">
        <v>0</v>
      </c>
      <c r="H1511" s="37" t="n">
        <v>0</v>
      </c>
      <c r="I1511" s="37" t="n">
        <v>0</v>
      </c>
      <c r="J1511" s="37" t="n">
        <v>2</v>
      </c>
      <c r="K1511" s="16" t="n">
        <v>24</v>
      </c>
    </row>
    <row r="1512">
      <c r="A1512" s="30" t="n">
        <v>46324.40833333333</v>
      </c>
      <c r="B1512" s="30" t="n">
        <v>46324.43472222222</v>
      </c>
      <c r="C1512" s="9" t="n">
        <v>46324</v>
      </c>
      <c r="D1512" s="10" t="n">
        <v>0.84375</v>
      </c>
      <c r="E1512" s="36" t="n">
        <v>1</v>
      </c>
      <c r="F1512" s="36" t="n">
        <v>0</v>
      </c>
      <c r="G1512" s="36" t="n">
        <v>0</v>
      </c>
      <c r="H1512" s="36" t="n">
        <v>1</v>
      </c>
      <c r="I1512" s="36" t="n">
        <v>0</v>
      </c>
      <c r="J1512" s="36" t="n">
        <v>4</v>
      </c>
      <c r="K1512" s="12" t="n">
        <v>48</v>
      </c>
    </row>
    <row r="1513">
      <c r="A1513" s="33" t="n">
        <v>46324.40833333333</v>
      </c>
      <c r="B1513" s="33" t="n">
        <v>46324.43472222222</v>
      </c>
      <c r="C1513" s="13" t="n">
        <v>46325</v>
      </c>
      <c r="D1513" s="14" t="n">
        <v>0.8854166666666666</v>
      </c>
      <c r="E1513" s="37" t="n">
        <v>1</v>
      </c>
      <c r="F1513" s="37" t="n">
        <v>0</v>
      </c>
      <c r="G1513" s="37" t="n">
        <v>0</v>
      </c>
      <c r="H1513" s="37" t="n">
        <v>0</v>
      </c>
      <c r="I1513" s="37" t="n">
        <v>1</v>
      </c>
      <c r="J1513" s="37" t="n">
        <v>5</v>
      </c>
      <c r="K1513" s="16" t="n">
        <v>60</v>
      </c>
    </row>
    <row r="1514">
      <c r="A1514" s="30" t="n">
        <v>46324.40833333333</v>
      </c>
      <c r="B1514" s="30" t="n">
        <v>46324.43472222222</v>
      </c>
      <c r="C1514" s="9" t="n">
        <v>46327</v>
      </c>
      <c r="D1514" s="10" t="n">
        <v>0.9270833333333334</v>
      </c>
      <c r="E1514" s="36" t="n">
        <v>1</v>
      </c>
      <c r="F1514" s="36" t="n">
        <v>0</v>
      </c>
      <c r="G1514" s="36" t="n">
        <v>0</v>
      </c>
      <c r="H1514" s="36" t="n">
        <v>1</v>
      </c>
      <c r="I1514" s="36" t="n">
        <v>0</v>
      </c>
      <c r="J1514" s="36" t="n">
        <v>4</v>
      </c>
      <c r="K1514" s="12" t="n">
        <v>48</v>
      </c>
    </row>
    <row r="1515">
      <c r="A1515" s="33" t="n">
        <v>46324.43472222222</v>
      </c>
      <c r="B1515" s="33" t="n">
        <v>46324.44722222222</v>
      </c>
      <c r="C1515" s="13" t="n">
        <v>46325</v>
      </c>
      <c r="D1515" s="14" t="n">
        <v>0.84375</v>
      </c>
      <c r="E1515" s="37" t="n">
        <v>1</v>
      </c>
      <c r="F1515" s="37" t="n">
        <v>0</v>
      </c>
      <c r="G1515" s="37" t="n">
        <v>1</v>
      </c>
      <c r="H1515" s="37" t="n">
        <v>0</v>
      </c>
      <c r="I1515" s="37" t="n">
        <v>0</v>
      </c>
      <c r="J1515" s="37" t="n">
        <v>3</v>
      </c>
      <c r="K1515" s="16" t="n">
        <v>36</v>
      </c>
    </row>
    <row r="1516">
      <c r="A1516" s="30" t="n">
        <v>46324.43472222222</v>
      </c>
      <c r="B1516" s="30" t="n">
        <v>46324.44722222222</v>
      </c>
      <c r="C1516" s="9" t="n">
        <v>46325</v>
      </c>
      <c r="D1516" s="10" t="n">
        <v>0.9993055555555556</v>
      </c>
      <c r="E1516" s="36" t="n">
        <v>2</v>
      </c>
      <c r="F1516" s="36" t="n">
        <v>0</v>
      </c>
      <c r="G1516" s="36" t="n">
        <v>0</v>
      </c>
      <c r="H1516" s="36" t="n">
        <v>1</v>
      </c>
      <c r="I1516" s="36" t="n">
        <v>1</v>
      </c>
      <c r="J1516" s="36" t="n">
        <v>9</v>
      </c>
      <c r="K1516" s="12" t="n">
        <v>108</v>
      </c>
    </row>
    <row r="1517">
      <c r="A1517" s="33" t="n">
        <v>46324.44722222222</v>
      </c>
      <c r="B1517" s="33" t="n">
        <v>46324.47361111111</v>
      </c>
      <c r="C1517" s="13" t="n">
        <v>46324</v>
      </c>
      <c r="D1517" s="14" t="n">
        <v>0.84375</v>
      </c>
      <c r="E1517" s="37" t="n">
        <v>1</v>
      </c>
      <c r="F1517" s="37" t="n">
        <v>1</v>
      </c>
      <c r="G1517" s="37" t="n">
        <v>0</v>
      </c>
      <c r="H1517" s="37" t="n">
        <v>0</v>
      </c>
      <c r="I1517" s="37" t="n">
        <v>0</v>
      </c>
      <c r="J1517" s="37" t="n">
        <v>2</v>
      </c>
      <c r="K1517" s="16" t="n">
        <v>24</v>
      </c>
    </row>
    <row r="1518">
      <c r="A1518" s="30" t="n">
        <v>46324.44722222222</v>
      </c>
      <c r="B1518" s="30" t="n">
        <v>46324.47361111111</v>
      </c>
      <c r="C1518" s="9" t="n">
        <v>46324</v>
      </c>
      <c r="D1518" s="10" t="n">
        <v>0.9993055555555556</v>
      </c>
      <c r="E1518" s="36" t="n">
        <v>1</v>
      </c>
      <c r="F1518" s="36" t="n">
        <v>0</v>
      </c>
      <c r="G1518" s="36" t="n">
        <v>1</v>
      </c>
      <c r="H1518" s="36" t="n">
        <v>0</v>
      </c>
      <c r="I1518" s="36" t="n">
        <v>0</v>
      </c>
      <c r="J1518" s="36" t="n">
        <v>3</v>
      </c>
      <c r="K1518" s="12" t="n">
        <v>36</v>
      </c>
    </row>
    <row r="1519">
      <c r="A1519" s="33" t="n">
        <v>46324.44722222222</v>
      </c>
      <c r="B1519" s="33" t="n">
        <v>46324.47361111111</v>
      </c>
      <c r="C1519" s="13" t="n">
        <v>46325</v>
      </c>
      <c r="D1519" s="14" t="n">
        <v>0.8854166666666666</v>
      </c>
      <c r="E1519" s="37" t="n">
        <v>1</v>
      </c>
      <c r="F1519" s="37" t="n">
        <v>0</v>
      </c>
      <c r="G1519" s="37" t="n">
        <v>0</v>
      </c>
      <c r="H1519" s="37" t="n">
        <v>1</v>
      </c>
      <c r="I1519" s="37" t="n">
        <v>0</v>
      </c>
      <c r="J1519" s="37" t="n">
        <v>4</v>
      </c>
      <c r="K1519" s="16" t="n">
        <v>48</v>
      </c>
    </row>
    <row r="1520">
      <c r="A1520" s="30" t="n">
        <v>46324.44722222222</v>
      </c>
      <c r="B1520" s="30" t="n">
        <v>46324.47361111111</v>
      </c>
      <c r="C1520" s="9" t="n">
        <v>46325</v>
      </c>
      <c r="D1520" s="10" t="n">
        <v>0.9993055555555556</v>
      </c>
      <c r="E1520" s="36" t="n">
        <v>2</v>
      </c>
      <c r="F1520" s="36" t="n">
        <v>0</v>
      </c>
      <c r="G1520" s="36" t="n">
        <v>0</v>
      </c>
      <c r="H1520" s="36" t="n">
        <v>0</v>
      </c>
      <c r="I1520" s="36" t="n">
        <v>2</v>
      </c>
      <c r="J1520" s="36" t="n">
        <v>10</v>
      </c>
      <c r="K1520" s="12" t="n">
        <v>120</v>
      </c>
    </row>
    <row r="1521">
      <c r="A1521" s="33" t="n">
        <v>46324.44722222222</v>
      </c>
      <c r="B1521" s="33" t="n">
        <v>46324.47361111111</v>
      </c>
      <c r="C1521" s="13" t="n">
        <v>46327</v>
      </c>
      <c r="D1521" s="14" t="n">
        <v>0.8854166666666666</v>
      </c>
      <c r="E1521" s="37" t="n">
        <v>1</v>
      </c>
      <c r="F1521" s="37" t="n">
        <v>0</v>
      </c>
      <c r="G1521" s="37" t="n">
        <v>0</v>
      </c>
      <c r="H1521" s="37" t="n">
        <v>0</v>
      </c>
      <c r="I1521" s="37" t="n">
        <v>1</v>
      </c>
      <c r="J1521" s="37" t="n">
        <v>5</v>
      </c>
      <c r="K1521" s="16" t="n">
        <v>60</v>
      </c>
    </row>
    <row r="1522">
      <c r="A1522" s="30" t="n">
        <v>46324.44722222222</v>
      </c>
      <c r="B1522" s="30" t="n">
        <v>46324.47361111111</v>
      </c>
      <c r="C1522" s="9" t="n">
        <v>46327</v>
      </c>
      <c r="D1522" s="10" t="n">
        <v>0.9270833333333334</v>
      </c>
      <c r="E1522" s="36" t="n">
        <v>1</v>
      </c>
      <c r="F1522" s="36" t="n">
        <v>0</v>
      </c>
      <c r="G1522" s="36" t="n">
        <v>0</v>
      </c>
      <c r="H1522" s="36" t="n">
        <v>0</v>
      </c>
      <c r="I1522" s="36" t="n">
        <v>1</v>
      </c>
      <c r="J1522" s="36" t="n">
        <v>5</v>
      </c>
      <c r="K1522" s="12" t="n">
        <v>60</v>
      </c>
    </row>
    <row r="1523">
      <c r="A1523" s="33" t="n">
        <v>46324.47361111111</v>
      </c>
      <c r="B1523" s="33" t="n">
        <v>46324.4875</v>
      </c>
      <c r="C1523" s="13" t="n">
        <v>46324</v>
      </c>
      <c r="D1523" s="14" t="n">
        <v>0.84375</v>
      </c>
      <c r="E1523" s="37" t="n">
        <v>2</v>
      </c>
      <c r="F1523" s="37" t="n">
        <v>1</v>
      </c>
      <c r="G1523" s="37" t="n">
        <v>0</v>
      </c>
      <c r="H1523" s="37" t="n">
        <v>1</v>
      </c>
      <c r="I1523" s="37" t="n">
        <v>0</v>
      </c>
      <c r="J1523" s="37" t="n">
        <v>6</v>
      </c>
      <c r="K1523" s="16" t="n">
        <v>72</v>
      </c>
    </row>
    <row r="1524">
      <c r="A1524" s="30" t="n">
        <v>46324.47361111111</v>
      </c>
      <c r="B1524" s="30" t="n">
        <v>46324.4875</v>
      </c>
      <c r="C1524" s="9" t="n">
        <v>46324</v>
      </c>
      <c r="D1524" s="10" t="n">
        <v>0.9993055555555556</v>
      </c>
      <c r="E1524" s="36" t="n">
        <v>1</v>
      </c>
      <c r="F1524" s="36" t="n">
        <v>0</v>
      </c>
      <c r="G1524" s="36" t="n">
        <v>1</v>
      </c>
      <c r="H1524" s="36" t="n">
        <v>0</v>
      </c>
      <c r="I1524" s="36" t="n">
        <v>0</v>
      </c>
      <c r="J1524" s="36" t="n">
        <v>3</v>
      </c>
      <c r="K1524" s="12" t="n">
        <v>36</v>
      </c>
    </row>
    <row r="1525">
      <c r="A1525" s="33" t="n">
        <v>46324.47361111111</v>
      </c>
      <c r="B1525" s="33" t="n">
        <v>46324.4875</v>
      </c>
      <c r="C1525" s="13" t="n">
        <v>46325</v>
      </c>
      <c r="D1525" s="14" t="n">
        <v>0.8854166666666666</v>
      </c>
      <c r="E1525" s="37" t="n">
        <v>2</v>
      </c>
      <c r="F1525" s="37" t="n">
        <v>1</v>
      </c>
      <c r="G1525" s="37" t="n">
        <v>0</v>
      </c>
      <c r="H1525" s="37" t="n">
        <v>1</v>
      </c>
      <c r="I1525" s="37" t="n">
        <v>0</v>
      </c>
      <c r="J1525" s="37" t="n">
        <v>6</v>
      </c>
      <c r="K1525" s="16" t="n">
        <v>72</v>
      </c>
    </row>
    <row r="1526">
      <c r="A1526" s="30" t="n">
        <v>46324.47361111111</v>
      </c>
      <c r="B1526" s="30" t="n">
        <v>46324.4875</v>
      </c>
      <c r="C1526" s="9" t="n">
        <v>46325</v>
      </c>
      <c r="D1526" s="10" t="n">
        <v>0.9993055555555556</v>
      </c>
      <c r="E1526" s="36" t="n">
        <v>1</v>
      </c>
      <c r="F1526" s="36" t="n">
        <v>0</v>
      </c>
      <c r="G1526" s="36" t="n">
        <v>0</v>
      </c>
      <c r="H1526" s="36" t="n">
        <v>1</v>
      </c>
      <c r="I1526" s="36" t="n">
        <v>0</v>
      </c>
      <c r="J1526" s="36" t="n">
        <v>4</v>
      </c>
      <c r="K1526" s="12" t="n">
        <v>48</v>
      </c>
    </row>
    <row r="1527">
      <c r="A1527" s="33" t="n">
        <v>46324.47361111111</v>
      </c>
      <c r="B1527" s="33" t="n">
        <v>46324.4875</v>
      </c>
      <c r="C1527" s="13" t="n">
        <v>46326</v>
      </c>
      <c r="D1527" s="14" t="n">
        <v>0.8020833333333334</v>
      </c>
      <c r="E1527" s="37" t="n">
        <v>2</v>
      </c>
      <c r="F1527" s="37" t="n">
        <v>2</v>
      </c>
      <c r="G1527" s="37" t="n">
        <v>0</v>
      </c>
      <c r="H1527" s="37" t="n">
        <v>0</v>
      </c>
      <c r="I1527" s="37" t="n">
        <v>0</v>
      </c>
      <c r="J1527" s="37" t="n">
        <v>4</v>
      </c>
      <c r="K1527" s="16" t="n">
        <v>48</v>
      </c>
    </row>
    <row r="1528">
      <c r="A1528" s="30" t="n">
        <v>46324.4875</v>
      </c>
      <c r="B1528" s="30" t="n">
        <v>46324.52569444444</v>
      </c>
      <c r="C1528" s="9" t="n">
        <v>46324</v>
      </c>
      <c r="D1528" s="10" t="n">
        <v>0.84375</v>
      </c>
      <c r="E1528" s="36" t="n">
        <v>1</v>
      </c>
      <c r="F1528" s="36" t="n">
        <v>1</v>
      </c>
      <c r="G1528" s="36" t="n">
        <v>0</v>
      </c>
      <c r="H1528" s="36" t="n">
        <v>0</v>
      </c>
      <c r="I1528" s="36" t="n">
        <v>0</v>
      </c>
      <c r="J1528" s="36" t="n">
        <v>2</v>
      </c>
      <c r="K1528" s="12" t="n">
        <v>24</v>
      </c>
    </row>
    <row r="1529">
      <c r="A1529" s="33" t="n">
        <v>46324.4875</v>
      </c>
      <c r="B1529" s="33" t="n">
        <v>46324.52569444444</v>
      </c>
      <c r="C1529" s="13" t="n">
        <v>46324</v>
      </c>
      <c r="D1529" s="14" t="n">
        <v>0.9993055555555556</v>
      </c>
      <c r="E1529" s="37" t="n">
        <v>4</v>
      </c>
      <c r="F1529" s="37" t="n">
        <v>2</v>
      </c>
      <c r="G1529" s="37" t="n">
        <v>0</v>
      </c>
      <c r="H1529" s="37" t="n">
        <v>2</v>
      </c>
      <c r="I1529" s="37" t="n">
        <v>0</v>
      </c>
      <c r="J1529" s="37" t="n">
        <v>12</v>
      </c>
      <c r="K1529" s="16" t="n">
        <v>144</v>
      </c>
    </row>
    <row r="1530">
      <c r="A1530" s="30" t="n">
        <v>46324.4875</v>
      </c>
      <c r="B1530" s="30" t="n">
        <v>46324.52569444444</v>
      </c>
      <c r="C1530" s="9" t="n">
        <v>46325</v>
      </c>
      <c r="D1530" s="10" t="n">
        <v>0.8854166666666666</v>
      </c>
      <c r="E1530" s="36" t="n">
        <v>5</v>
      </c>
      <c r="F1530" s="36" t="n">
        <v>2</v>
      </c>
      <c r="G1530" s="36" t="n">
        <v>1</v>
      </c>
      <c r="H1530" s="36" t="n">
        <v>2</v>
      </c>
      <c r="I1530" s="36" t="n">
        <v>0</v>
      </c>
      <c r="J1530" s="36" t="n">
        <v>15</v>
      </c>
      <c r="K1530" s="12" t="n">
        <v>180</v>
      </c>
    </row>
    <row r="1531">
      <c r="A1531" s="33" t="n">
        <v>46324.4875</v>
      </c>
      <c r="B1531" s="33" t="n">
        <v>46324.52569444444</v>
      </c>
      <c r="C1531" s="13" t="n">
        <v>46325</v>
      </c>
      <c r="D1531" s="14" t="n">
        <v>0.9993055555555556</v>
      </c>
      <c r="E1531" s="37" t="n">
        <v>1</v>
      </c>
      <c r="F1531" s="37" t="n">
        <v>0</v>
      </c>
      <c r="G1531" s="37" t="n">
        <v>0</v>
      </c>
      <c r="H1531" s="37" t="n">
        <v>0</v>
      </c>
      <c r="I1531" s="37" t="n">
        <v>1</v>
      </c>
      <c r="J1531" s="37" t="n">
        <v>5</v>
      </c>
      <c r="K1531" s="16" t="n">
        <v>60</v>
      </c>
    </row>
    <row r="1532">
      <c r="A1532" s="30" t="n">
        <v>46324.4875</v>
      </c>
      <c r="B1532" s="30" t="n">
        <v>46324.52569444444</v>
      </c>
      <c r="C1532" s="9" t="n">
        <v>46326</v>
      </c>
      <c r="D1532" s="10" t="n">
        <v>0.8020833333333334</v>
      </c>
      <c r="E1532" s="36" t="n">
        <v>1</v>
      </c>
      <c r="F1532" s="36" t="n">
        <v>1</v>
      </c>
      <c r="G1532" s="36" t="n">
        <v>0</v>
      </c>
      <c r="H1532" s="36" t="n">
        <v>0</v>
      </c>
      <c r="I1532" s="36" t="n">
        <v>0</v>
      </c>
      <c r="J1532" s="36" t="n">
        <v>2</v>
      </c>
      <c r="K1532" s="12" t="n">
        <v>24</v>
      </c>
    </row>
    <row r="1533">
      <c r="A1533" s="33" t="n">
        <v>46324.4875</v>
      </c>
      <c r="B1533" s="33" t="n">
        <v>46324.52569444444</v>
      </c>
      <c r="C1533" s="13" t="n">
        <v>46327</v>
      </c>
      <c r="D1533" s="14" t="n">
        <v>0.84375</v>
      </c>
      <c r="E1533" s="37" t="n">
        <v>1</v>
      </c>
      <c r="F1533" s="37" t="n">
        <v>1</v>
      </c>
      <c r="G1533" s="37" t="n">
        <v>0</v>
      </c>
      <c r="H1533" s="37" t="n">
        <v>0</v>
      </c>
      <c r="I1533" s="37" t="n">
        <v>0</v>
      </c>
      <c r="J1533" s="37" t="n">
        <v>2</v>
      </c>
      <c r="K1533" s="16" t="n">
        <v>24</v>
      </c>
    </row>
    <row r="1534">
      <c r="A1534" s="30" t="n">
        <v>46324.4875</v>
      </c>
      <c r="B1534" s="30" t="n">
        <v>46324.52569444444</v>
      </c>
      <c r="C1534" s="9" t="n">
        <v>46327</v>
      </c>
      <c r="D1534" s="10" t="n">
        <v>0.8854166666666666</v>
      </c>
      <c r="E1534" s="36" t="n">
        <v>1</v>
      </c>
      <c r="F1534" s="36" t="n">
        <v>0</v>
      </c>
      <c r="G1534" s="36" t="n">
        <v>1</v>
      </c>
      <c r="H1534" s="36" t="n">
        <v>0</v>
      </c>
      <c r="I1534" s="36" t="n">
        <v>0</v>
      </c>
      <c r="J1534" s="36" t="n">
        <v>3</v>
      </c>
      <c r="K1534" s="12" t="n">
        <v>36</v>
      </c>
    </row>
    <row r="1535">
      <c r="A1535" s="33" t="n">
        <v>46324.4875</v>
      </c>
      <c r="B1535" s="33" t="n">
        <v>46324.52569444444</v>
      </c>
      <c r="C1535" s="13" t="n">
        <v>46327</v>
      </c>
      <c r="D1535" s="14" t="n">
        <v>0.9270833333333334</v>
      </c>
      <c r="E1535" s="37" t="n">
        <v>2</v>
      </c>
      <c r="F1535" s="37" t="n">
        <v>0</v>
      </c>
      <c r="G1535" s="37" t="n">
        <v>0</v>
      </c>
      <c r="H1535" s="37" t="n">
        <v>1</v>
      </c>
      <c r="I1535" s="37" t="n">
        <v>1</v>
      </c>
      <c r="J1535" s="37" t="n">
        <v>9</v>
      </c>
      <c r="K1535" s="16" t="n">
        <v>108</v>
      </c>
    </row>
    <row r="1536">
      <c r="A1536" s="30" t="n">
        <v>46324.4875</v>
      </c>
      <c r="B1536" s="30" t="n">
        <v>46324.52569444444</v>
      </c>
      <c r="C1536" s="9" t="n">
        <v>46327</v>
      </c>
      <c r="D1536" s="10" t="n">
        <v>0.96875</v>
      </c>
      <c r="E1536" s="36" t="n">
        <v>3</v>
      </c>
      <c r="F1536" s="36" t="n">
        <v>1</v>
      </c>
      <c r="G1536" s="36" t="n">
        <v>1</v>
      </c>
      <c r="H1536" s="36" t="n">
        <v>1</v>
      </c>
      <c r="I1536" s="36" t="n">
        <v>0</v>
      </c>
      <c r="J1536" s="36" t="n">
        <v>9</v>
      </c>
      <c r="K1536" s="12" t="n">
        <v>108</v>
      </c>
    </row>
    <row r="1537">
      <c r="A1537" s="33" t="n">
        <v>46324.52569444444</v>
      </c>
      <c r="B1537" s="33" t="n">
        <v>46324.57222222222</v>
      </c>
      <c r="C1537" s="13" t="n">
        <v>46324</v>
      </c>
      <c r="D1537" s="14" t="n">
        <v>0.84375</v>
      </c>
      <c r="E1537" s="37" t="n">
        <v>2</v>
      </c>
      <c r="F1537" s="37" t="n">
        <v>1</v>
      </c>
      <c r="G1537" s="37" t="n">
        <v>1</v>
      </c>
      <c r="H1537" s="37" t="n">
        <v>0</v>
      </c>
      <c r="I1537" s="37" t="n">
        <v>0</v>
      </c>
      <c r="J1537" s="37" t="n">
        <v>5</v>
      </c>
      <c r="K1537" s="16" t="n">
        <v>60</v>
      </c>
    </row>
    <row r="1538">
      <c r="A1538" s="30" t="n">
        <v>46324.52569444444</v>
      </c>
      <c r="B1538" s="30" t="n">
        <v>46324.57222222222</v>
      </c>
      <c r="C1538" s="9" t="n">
        <v>46324</v>
      </c>
      <c r="D1538" s="10" t="n">
        <v>0.9993055555555556</v>
      </c>
      <c r="E1538" s="36" t="n">
        <v>8</v>
      </c>
      <c r="F1538" s="36" t="n">
        <v>1</v>
      </c>
      <c r="G1538" s="36" t="n">
        <v>3</v>
      </c>
      <c r="H1538" s="36" t="n">
        <v>3</v>
      </c>
      <c r="I1538" s="36" t="n">
        <v>1</v>
      </c>
      <c r="J1538" s="36" t="n">
        <v>28</v>
      </c>
      <c r="K1538" s="12" t="n">
        <v>336</v>
      </c>
    </row>
    <row r="1539">
      <c r="A1539" s="33" t="n">
        <v>46324.52569444444</v>
      </c>
      <c r="B1539" s="33" t="n">
        <v>46324.57222222222</v>
      </c>
      <c r="C1539" s="13" t="n">
        <v>46325</v>
      </c>
      <c r="D1539" s="14" t="n">
        <v>0.8854166666666666</v>
      </c>
      <c r="E1539" s="37" t="n">
        <v>7</v>
      </c>
      <c r="F1539" s="37" t="n">
        <v>1</v>
      </c>
      <c r="G1539" s="37" t="n">
        <v>1</v>
      </c>
      <c r="H1539" s="37" t="n">
        <v>2</v>
      </c>
      <c r="I1539" s="37" t="n">
        <v>3</v>
      </c>
      <c r="J1539" s="37" t="n">
        <v>28</v>
      </c>
      <c r="K1539" s="16" t="n">
        <v>336</v>
      </c>
    </row>
    <row r="1540">
      <c r="A1540" s="30" t="n">
        <v>46324.52569444444</v>
      </c>
      <c r="B1540" s="30" t="n">
        <v>46324.57222222222</v>
      </c>
      <c r="C1540" s="9" t="n">
        <v>46326</v>
      </c>
      <c r="D1540" s="10" t="n">
        <v>0.8020833333333334</v>
      </c>
      <c r="E1540" s="36" t="n">
        <v>1</v>
      </c>
      <c r="F1540" s="36" t="n">
        <v>1</v>
      </c>
      <c r="G1540" s="36" t="n">
        <v>0</v>
      </c>
      <c r="H1540" s="36" t="n">
        <v>0</v>
      </c>
      <c r="I1540" s="36" t="n">
        <v>0</v>
      </c>
      <c r="J1540" s="36" t="n">
        <v>2</v>
      </c>
      <c r="K1540" s="12" t="n">
        <v>24</v>
      </c>
    </row>
    <row r="1541">
      <c r="A1541" s="33" t="n">
        <v>46324.52569444444</v>
      </c>
      <c r="B1541" s="33" t="n">
        <v>46324.57222222222</v>
      </c>
      <c r="C1541" s="13" t="n">
        <v>46327</v>
      </c>
      <c r="D1541" s="14" t="n">
        <v>0.8854166666666666</v>
      </c>
      <c r="E1541" s="37" t="n">
        <v>1</v>
      </c>
      <c r="F1541" s="37" t="n">
        <v>0</v>
      </c>
      <c r="G1541" s="37" t="n">
        <v>0</v>
      </c>
      <c r="H1541" s="37" t="n">
        <v>1</v>
      </c>
      <c r="I1541" s="37" t="n">
        <v>0</v>
      </c>
      <c r="J1541" s="37" t="n">
        <v>4</v>
      </c>
      <c r="K1541" s="16" t="n">
        <v>48</v>
      </c>
    </row>
    <row r="1542">
      <c r="A1542" s="30" t="n">
        <v>46324.52569444444</v>
      </c>
      <c r="B1542" s="30" t="n">
        <v>46324.57222222222</v>
      </c>
      <c r="C1542" s="9" t="n">
        <v>46327</v>
      </c>
      <c r="D1542" s="10" t="n">
        <v>0.9270833333333334</v>
      </c>
      <c r="E1542" s="36" t="n">
        <v>2</v>
      </c>
      <c r="F1542" s="36" t="n">
        <v>0</v>
      </c>
      <c r="G1542" s="36" t="n">
        <v>0</v>
      </c>
      <c r="H1542" s="36" t="n">
        <v>2</v>
      </c>
      <c r="I1542" s="36" t="n">
        <v>0</v>
      </c>
      <c r="J1542" s="36" t="n">
        <v>8</v>
      </c>
      <c r="K1542" s="12" t="n">
        <v>96</v>
      </c>
    </row>
    <row r="1543">
      <c r="A1543" s="33" t="n">
        <v>46324.52569444444</v>
      </c>
      <c r="B1543" s="33" t="n">
        <v>46324.57222222222</v>
      </c>
      <c r="C1543" s="13" t="n">
        <v>46327</v>
      </c>
      <c r="D1543" s="14" t="n">
        <v>0.96875</v>
      </c>
      <c r="E1543" s="37" t="n">
        <v>2</v>
      </c>
      <c r="F1543" s="37" t="n">
        <v>0</v>
      </c>
      <c r="G1543" s="37" t="n">
        <v>0</v>
      </c>
      <c r="H1543" s="37" t="n">
        <v>2</v>
      </c>
      <c r="I1543" s="37" t="n">
        <v>0</v>
      </c>
      <c r="J1543" s="37" t="n">
        <v>8</v>
      </c>
      <c r="K1543" s="16" t="n">
        <v>96</v>
      </c>
    </row>
    <row r="1544">
      <c r="A1544" s="30" t="n">
        <v>46324.57222222222</v>
      </c>
      <c r="B1544" s="30" t="n">
        <v>46324.62152777778</v>
      </c>
      <c r="C1544" s="9" t="n">
        <v>46324</v>
      </c>
      <c r="D1544" s="10" t="n">
        <v>0.84375</v>
      </c>
      <c r="E1544" s="36" t="n">
        <v>10</v>
      </c>
      <c r="F1544" s="36" t="n">
        <v>2</v>
      </c>
      <c r="G1544" s="36" t="n">
        <v>2</v>
      </c>
      <c r="H1544" s="36" t="n">
        <v>4</v>
      </c>
      <c r="I1544" s="36" t="n">
        <v>2</v>
      </c>
      <c r="J1544" s="36" t="n">
        <v>36</v>
      </c>
      <c r="K1544" s="12" t="n">
        <v>432</v>
      </c>
    </row>
    <row r="1545">
      <c r="A1545" s="33" t="n">
        <v>46324.57222222222</v>
      </c>
      <c r="B1545" s="33" t="n">
        <v>46324.62152777778</v>
      </c>
      <c r="C1545" s="13" t="n">
        <v>46324</v>
      </c>
      <c r="D1545" s="14" t="n">
        <v>0.9993055555555556</v>
      </c>
      <c r="E1545" s="37" t="n">
        <v>9</v>
      </c>
      <c r="F1545" s="37" t="n">
        <v>3</v>
      </c>
      <c r="G1545" s="37" t="n">
        <v>1</v>
      </c>
      <c r="H1545" s="37" t="n">
        <v>5</v>
      </c>
      <c r="I1545" s="37" t="n">
        <v>0</v>
      </c>
      <c r="J1545" s="37" t="n">
        <v>29</v>
      </c>
      <c r="K1545" s="16" t="n">
        <v>348</v>
      </c>
    </row>
    <row r="1546">
      <c r="A1546" s="30" t="n">
        <v>46324.57222222222</v>
      </c>
      <c r="B1546" s="30" t="n">
        <v>46324.62152777778</v>
      </c>
      <c r="C1546" s="9" t="n">
        <v>46325</v>
      </c>
      <c r="D1546" s="10" t="n">
        <v>0.84375</v>
      </c>
      <c r="E1546" s="36" t="n">
        <v>7</v>
      </c>
      <c r="F1546" s="36" t="n">
        <v>1</v>
      </c>
      <c r="G1546" s="36" t="n">
        <v>2</v>
      </c>
      <c r="H1546" s="36" t="n">
        <v>3</v>
      </c>
      <c r="I1546" s="36" t="n">
        <v>1</v>
      </c>
      <c r="J1546" s="36" t="n">
        <v>25</v>
      </c>
      <c r="K1546" s="12" t="n">
        <v>300</v>
      </c>
    </row>
    <row r="1547">
      <c r="A1547" s="33" t="n">
        <v>46324.57222222222</v>
      </c>
      <c r="B1547" s="33" t="n">
        <v>46324.62152777778</v>
      </c>
      <c r="C1547" s="13" t="n">
        <v>46325</v>
      </c>
      <c r="D1547" s="14" t="n">
        <v>0.8854166666666666</v>
      </c>
      <c r="E1547" s="37" t="n">
        <v>4</v>
      </c>
      <c r="F1547" s="37" t="n">
        <v>2</v>
      </c>
      <c r="G1547" s="37" t="n">
        <v>0</v>
      </c>
      <c r="H1547" s="37" t="n">
        <v>2</v>
      </c>
      <c r="I1547" s="37" t="n">
        <v>0</v>
      </c>
      <c r="J1547" s="37" t="n">
        <v>12</v>
      </c>
      <c r="K1547" s="16" t="n">
        <v>144</v>
      </c>
    </row>
    <row r="1548">
      <c r="A1548" s="30" t="n">
        <v>46324.57222222222</v>
      </c>
      <c r="B1548" s="30" t="n">
        <v>46324.62152777778</v>
      </c>
      <c r="C1548" s="9" t="n">
        <v>46326</v>
      </c>
      <c r="D1548" s="10" t="n">
        <v>0.8020833333333334</v>
      </c>
      <c r="E1548" s="36" t="n">
        <v>3</v>
      </c>
      <c r="F1548" s="36" t="n">
        <v>1</v>
      </c>
      <c r="G1548" s="36" t="n">
        <v>0</v>
      </c>
      <c r="H1548" s="36" t="n">
        <v>2</v>
      </c>
      <c r="I1548" s="36" t="n">
        <v>0</v>
      </c>
      <c r="J1548" s="36" t="n">
        <v>10</v>
      </c>
      <c r="K1548" s="12" t="n">
        <v>120</v>
      </c>
    </row>
    <row r="1549">
      <c r="A1549" s="33" t="n">
        <v>46324.57222222222</v>
      </c>
      <c r="B1549" s="33" t="n">
        <v>46324.62152777778</v>
      </c>
      <c r="C1549" s="13" t="n">
        <v>46327</v>
      </c>
      <c r="D1549" s="14" t="n">
        <v>0.8854166666666666</v>
      </c>
      <c r="E1549" s="37" t="n">
        <v>1</v>
      </c>
      <c r="F1549" s="37" t="n">
        <v>0</v>
      </c>
      <c r="G1549" s="37" t="n">
        <v>0</v>
      </c>
      <c r="H1549" s="37" t="n">
        <v>1</v>
      </c>
      <c r="I1549" s="37" t="n">
        <v>0</v>
      </c>
      <c r="J1549" s="37" t="n">
        <v>4</v>
      </c>
      <c r="K1549" s="16" t="n">
        <v>48</v>
      </c>
    </row>
    <row r="1550">
      <c r="A1550" s="30" t="n">
        <v>46324.57222222222</v>
      </c>
      <c r="B1550" s="30" t="n">
        <v>46324.62152777778</v>
      </c>
      <c r="C1550" s="9" t="n">
        <v>46327</v>
      </c>
      <c r="D1550" s="10" t="n">
        <v>0.96875</v>
      </c>
      <c r="E1550" s="36" t="n">
        <v>1</v>
      </c>
      <c r="F1550" s="36" t="n">
        <v>0</v>
      </c>
      <c r="G1550" s="36" t="n">
        <v>0</v>
      </c>
      <c r="H1550" s="36" t="n">
        <v>1</v>
      </c>
      <c r="I1550" s="36" t="n">
        <v>0</v>
      </c>
      <c r="J1550" s="36" t="n">
        <v>4</v>
      </c>
      <c r="K1550" s="12" t="n">
        <v>48</v>
      </c>
    </row>
    <row r="1551">
      <c r="A1551" s="33" t="n">
        <v>46324.57222222222</v>
      </c>
      <c r="B1551" s="33" t="n">
        <v>46324.62152777778</v>
      </c>
      <c r="C1551" s="13" t="n">
        <v>46327</v>
      </c>
      <c r="D1551" s="14" t="n">
        <v>0.9993055555555556</v>
      </c>
      <c r="E1551" s="37" t="n">
        <v>1</v>
      </c>
      <c r="F1551" s="37" t="n">
        <v>1</v>
      </c>
      <c r="G1551" s="37" t="n">
        <v>0</v>
      </c>
      <c r="H1551" s="37" t="n">
        <v>0</v>
      </c>
      <c r="I1551" s="37" t="n">
        <v>0</v>
      </c>
      <c r="J1551" s="37" t="n">
        <v>2</v>
      </c>
      <c r="K1551" s="16" t="n">
        <v>24</v>
      </c>
    </row>
    <row r="1552">
      <c r="A1552" s="30" t="n">
        <v>46324.62152777778</v>
      </c>
      <c r="B1552" s="30" t="n">
        <v>46324.63194444445</v>
      </c>
      <c r="C1552" s="9" t="n">
        <v>46324</v>
      </c>
      <c r="D1552" s="10" t="n">
        <v>0.84375</v>
      </c>
      <c r="E1552" s="36" t="n">
        <v>2</v>
      </c>
      <c r="F1552" s="36" t="n">
        <v>2</v>
      </c>
      <c r="G1552" s="36" t="n">
        <v>0</v>
      </c>
      <c r="H1552" s="36" t="n">
        <v>0</v>
      </c>
      <c r="I1552" s="36" t="n">
        <v>0</v>
      </c>
      <c r="J1552" s="36" t="n">
        <v>4</v>
      </c>
      <c r="K1552" s="12" t="n">
        <v>48</v>
      </c>
    </row>
    <row r="1553">
      <c r="A1553" s="33" t="n">
        <v>46324.62152777778</v>
      </c>
      <c r="B1553" s="33" t="n">
        <v>46324.63194444445</v>
      </c>
      <c r="C1553" s="13" t="n">
        <v>46324</v>
      </c>
      <c r="D1553" s="14" t="n">
        <v>0.9993055555555556</v>
      </c>
      <c r="E1553" s="37" t="n">
        <v>2</v>
      </c>
      <c r="F1553" s="37" t="n">
        <v>0</v>
      </c>
      <c r="G1553" s="37" t="n">
        <v>1</v>
      </c>
      <c r="H1553" s="37" t="n">
        <v>0</v>
      </c>
      <c r="I1553" s="37" t="n">
        <v>1</v>
      </c>
      <c r="J1553" s="37" t="n">
        <v>8</v>
      </c>
      <c r="K1553" s="16" t="n">
        <v>96</v>
      </c>
    </row>
    <row r="1554">
      <c r="A1554" s="30" t="n">
        <v>46324.62152777778</v>
      </c>
      <c r="B1554" s="30" t="n">
        <v>46324.63194444445</v>
      </c>
      <c r="C1554" s="9" t="n">
        <v>46325</v>
      </c>
      <c r="D1554" s="10" t="n">
        <v>0.84375</v>
      </c>
      <c r="E1554" s="36" t="n">
        <v>2</v>
      </c>
      <c r="F1554" s="36" t="n">
        <v>1</v>
      </c>
      <c r="G1554" s="36" t="n">
        <v>0</v>
      </c>
      <c r="H1554" s="36" t="n">
        <v>1</v>
      </c>
      <c r="I1554" s="36" t="n">
        <v>0</v>
      </c>
      <c r="J1554" s="36" t="n">
        <v>6</v>
      </c>
      <c r="K1554" s="12" t="n">
        <v>72</v>
      </c>
    </row>
    <row r="1555">
      <c r="A1555" s="33" t="n">
        <v>46324.62152777778</v>
      </c>
      <c r="B1555" s="33" t="n">
        <v>46324.63194444445</v>
      </c>
      <c r="C1555" s="13" t="n">
        <v>46326</v>
      </c>
      <c r="D1555" s="14" t="n">
        <v>0.8020833333333334</v>
      </c>
      <c r="E1555" s="37" t="n">
        <v>1</v>
      </c>
      <c r="F1555" s="37" t="n">
        <v>1</v>
      </c>
      <c r="G1555" s="37" t="n">
        <v>0</v>
      </c>
      <c r="H1555" s="37" t="n">
        <v>0</v>
      </c>
      <c r="I1555" s="37" t="n">
        <v>0</v>
      </c>
      <c r="J1555" s="37" t="n">
        <v>2</v>
      </c>
      <c r="K1555" s="16" t="n">
        <v>24</v>
      </c>
    </row>
    <row r="1556">
      <c r="A1556" s="30" t="n">
        <v>46324.62152777778</v>
      </c>
      <c r="B1556" s="30" t="n">
        <v>46324.63194444445</v>
      </c>
      <c r="C1556" s="9" t="n">
        <v>46327</v>
      </c>
      <c r="D1556" s="10" t="n">
        <v>0.84375</v>
      </c>
      <c r="E1556" s="36" t="n">
        <v>1</v>
      </c>
      <c r="F1556" s="36" t="n">
        <v>0</v>
      </c>
      <c r="G1556" s="36" t="n">
        <v>1</v>
      </c>
      <c r="H1556" s="36" t="n">
        <v>0</v>
      </c>
      <c r="I1556" s="36" t="n">
        <v>0</v>
      </c>
      <c r="J1556" s="36" t="n">
        <v>3</v>
      </c>
      <c r="K1556" s="12" t="n">
        <v>36</v>
      </c>
    </row>
    <row r="1557">
      <c r="A1557" s="33" t="n">
        <v>46324.63194444445</v>
      </c>
      <c r="B1557" s="33" t="n">
        <v>46324.64236111111</v>
      </c>
      <c r="C1557" s="13" t="n">
        <v>46324</v>
      </c>
      <c r="D1557" s="14" t="n">
        <v>0.84375</v>
      </c>
      <c r="E1557" s="37" t="n">
        <v>2</v>
      </c>
      <c r="F1557" s="37" t="n">
        <v>2</v>
      </c>
      <c r="G1557" s="37" t="n">
        <v>0</v>
      </c>
      <c r="H1557" s="37" t="n">
        <v>0</v>
      </c>
      <c r="I1557" s="37" t="n">
        <v>0</v>
      </c>
      <c r="J1557" s="37" t="n">
        <v>4</v>
      </c>
      <c r="K1557" s="16" t="n">
        <v>48</v>
      </c>
    </row>
    <row r="1558">
      <c r="A1558" s="30" t="n">
        <v>46324.63194444445</v>
      </c>
      <c r="B1558" s="30" t="n">
        <v>46324.64236111111</v>
      </c>
      <c r="C1558" s="9" t="n">
        <v>46325</v>
      </c>
      <c r="D1558" s="10" t="n">
        <v>0.84375</v>
      </c>
      <c r="E1558" s="36" t="n">
        <v>1</v>
      </c>
      <c r="F1558" s="36" t="n">
        <v>0</v>
      </c>
      <c r="G1558" s="36" t="n">
        <v>0</v>
      </c>
      <c r="H1558" s="36" t="n">
        <v>1</v>
      </c>
      <c r="I1558" s="36" t="n">
        <v>0</v>
      </c>
      <c r="J1558" s="36" t="n">
        <v>4</v>
      </c>
      <c r="K1558" s="12" t="n">
        <v>48</v>
      </c>
    </row>
    <row r="1559">
      <c r="A1559" s="33" t="n">
        <v>46324.63194444445</v>
      </c>
      <c r="B1559" s="33" t="n">
        <v>46324.64236111111</v>
      </c>
      <c r="C1559" s="13" t="n">
        <v>46327</v>
      </c>
      <c r="D1559" s="14" t="n">
        <v>0.96875</v>
      </c>
      <c r="E1559" s="37" t="n">
        <v>2</v>
      </c>
      <c r="F1559" s="37" t="n">
        <v>0</v>
      </c>
      <c r="G1559" s="37" t="n">
        <v>1</v>
      </c>
      <c r="H1559" s="37" t="n">
        <v>1</v>
      </c>
      <c r="I1559" s="37" t="n">
        <v>0</v>
      </c>
      <c r="J1559" s="37" t="n">
        <v>7</v>
      </c>
      <c r="K1559" s="16" t="n">
        <v>84</v>
      </c>
    </row>
    <row r="1560">
      <c r="A1560" s="30" t="n">
        <v>46324.64236111111</v>
      </c>
      <c r="B1560" s="30" t="n">
        <v>46324.64444444444</v>
      </c>
      <c r="C1560" s="9" t="n">
        <v>46327</v>
      </c>
      <c r="D1560" s="10" t="n">
        <v>0.9270833333333334</v>
      </c>
      <c r="E1560" s="36" t="n">
        <v>2</v>
      </c>
      <c r="F1560" s="36" t="n">
        <v>2</v>
      </c>
      <c r="G1560" s="36" t="n">
        <v>0</v>
      </c>
      <c r="H1560" s="36" t="n">
        <v>0</v>
      </c>
      <c r="I1560" s="36" t="n">
        <v>0</v>
      </c>
      <c r="J1560" s="36" t="n">
        <v>4</v>
      </c>
      <c r="K1560" s="12" t="n">
        <v>48</v>
      </c>
    </row>
    <row r="1561">
      <c r="A1561" s="33" t="n">
        <v>46324.64444444444</v>
      </c>
      <c r="B1561" s="33" t="n">
        <v>46324.68263888889</v>
      </c>
      <c r="C1561" s="13" t="n">
        <v>46324</v>
      </c>
      <c r="D1561" s="14" t="n">
        <v>0.84375</v>
      </c>
      <c r="E1561" s="37" t="n">
        <v>6</v>
      </c>
      <c r="F1561" s="37" t="n">
        <v>1</v>
      </c>
      <c r="G1561" s="37" t="n">
        <v>1</v>
      </c>
      <c r="H1561" s="37" t="n">
        <v>3</v>
      </c>
      <c r="I1561" s="37" t="n">
        <v>1</v>
      </c>
      <c r="J1561" s="37" t="n">
        <v>22</v>
      </c>
      <c r="K1561" s="16" t="n">
        <v>264</v>
      </c>
    </row>
    <row r="1562">
      <c r="A1562" s="30" t="n">
        <v>46324.64444444444</v>
      </c>
      <c r="B1562" s="30" t="n">
        <v>46324.68263888889</v>
      </c>
      <c r="C1562" s="9" t="n">
        <v>46325</v>
      </c>
      <c r="D1562" s="10" t="n">
        <v>0.84375</v>
      </c>
      <c r="E1562" s="36" t="n">
        <v>2</v>
      </c>
      <c r="F1562" s="36" t="n">
        <v>0</v>
      </c>
      <c r="G1562" s="36" t="n">
        <v>1</v>
      </c>
      <c r="H1562" s="36" t="n">
        <v>1</v>
      </c>
      <c r="I1562" s="36" t="n">
        <v>0</v>
      </c>
      <c r="J1562" s="36" t="n">
        <v>7</v>
      </c>
      <c r="K1562" s="12" t="n">
        <v>84</v>
      </c>
    </row>
    <row r="1563">
      <c r="A1563" s="33" t="n">
        <v>46324.64444444444</v>
      </c>
      <c r="B1563" s="33" t="n">
        <v>46324.68263888889</v>
      </c>
      <c r="C1563" s="13" t="n">
        <v>46326</v>
      </c>
      <c r="D1563" s="14" t="n">
        <v>0.8020833333333334</v>
      </c>
      <c r="E1563" s="37" t="n">
        <v>1</v>
      </c>
      <c r="F1563" s="37" t="n">
        <v>0</v>
      </c>
      <c r="G1563" s="37" t="n">
        <v>0</v>
      </c>
      <c r="H1563" s="37" t="n">
        <v>1</v>
      </c>
      <c r="I1563" s="37" t="n">
        <v>0</v>
      </c>
      <c r="J1563" s="37" t="n">
        <v>4</v>
      </c>
      <c r="K1563" s="16" t="n">
        <v>48</v>
      </c>
    </row>
    <row r="1564">
      <c r="A1564" s="30" t="n">
        <v>46324.64444444444</v>
      </c>
      <c r="B1564" s="30" t="n">
        <v>46324.68263888889</v>
      </c>
      <c r="C1564" s="9" t="n">
        <v>46327</v>
      </c>
      <c r="D1564" s="10" t="n">
        <v>0.8854166666666666</v>
      </c>
      <c r="E1564" s="36" t="n">
        <v>2</v>
      </c>
      <c r="F1564" s="36" t="n">
        <v>1</v>
      </c>
      <c r="G1564" s="36" t="n">
        <v>0</v>
      </c>
      <c r="H1564" s="36" t="n">
        <v>1</v>
      </c>
      <c r="I1564" s="36" t="n">
        <v>0</v>
      </c>
      <c r="J1564" s="36" t="n">
        <v>6</v>
      </c>
      <c r="K1564" s="12" t="n">
        <v>72</v>
      </c>
    </row>
    <row r="1565">
      <c r="A1565" s="33" t="n">
        <v>46324.64444444444</v>
      </c>
      <c r="B1565" s="33" t="n">
        <v>46324.68263888889</v>
      </c>
      <c r="C1565" s="13" t="n">
        <v>46327</v>
      </c>
      <c r="D1565" s="14" t="n">
        <v>0.9270833333333334</v>
      </c>
      <c r="E1565" s="37" t="n">
        <v>2</v>
      </c>
      <c r="F1565" s="37" t="n">
        <v>0</v>
      </c>
      <c r="G1565" s="37" t="n">
        <v>2</v>
      </c>
      <c r="H1565" s="37" t="n">
        <v>0</v>
      </c>
      <c r="I1565" s="37" t="n">
        <v>0</v>
      </c>
      <c r="J1565" s="37" t="n">
        <v>6</v>
      </c>
      <c r="K1565" s="16" t="n">
        <v>72</v>
      </c>
    </row>
    <row r="1566">
      <c r="A1566" s="30" t="n">
        <v>46324.64444444444</v>
      </c>
      <c r="B1566" s="30" t="n">
        <v>46324.68263888889</v>
      </c>
      <c r="C1566" s="9" t="n">
        <v>46327</v>
      </c>
      <c r="D1566" s="10" t="n">
        <v>0.96875</v>
      </c>
      <c r="E1566" s="36" t="n">
        <v>1</v>
      </c>
      <c r="F1566" s="36" t="n">
        <v>0</v>
      </c>
      <c r="G1566" s="36" t="n">
        <v>0</v>
      </c>
      <c r="H1566" s="36" t="n">
        <v>1</v>
      </c>
      <c r="I1566" s="36" t="n">
        <v>0</v>
      </c>
      <c r="J1566" s="36" t="n">
        <v>4</v>
      </c>
      <c r="K1566" s="12" t="n">
        <v>48</v>
      </c>
    </row>
    <row r="1567">
      <c r="A1567" s="33" t="n">
        <v>46324.64444444444</v>
      </c>
      <c r="B1567" s="33" t="n">
        <v>46324.68263888889</v>
      </c>
      <c r="C1567" s="13" t="n">
        <v>46327</v>
      </c>
      <c r="D1567" s="14" t="n">
        <v>0.9993055555555556</v>
      </c>
      <c r="E1567" s="37" t="n">
        <v>4</v>
      </c>
      <c r="F1567" s="37" t="n">
        <v>3</v>
      </c>
      <c r="G1567" s="37" t="n">
        <v>0</v>
      </c>
      <c r="H1567" s="37" t="n">
        <v>1</v>
      </c>
      <c r="I1567" s="37" t="n">
        <v>0</v>
      </c>
      <c r="J1567" s="37" t="n">
        <v>10</v>
      </c>
      <c r="K1567" s="16" t="n">
        <v>120</v>
      </c>
    </row>
    <row r="1568">
      <c r="A1568" s="30" t="n">
        <v>46324.68263888889</v>
      </c>
      <c r="B1568" s="30" t="n">
        <v>46324.71180555555</v>
      </c>
      <c r="C1568" s="9" t="n">
        <v>46324</v>
      </c>
      <c r="D1568" s="10" t="n">
        <v>0.84375</v>
      </c>
      <c r="E1568" s="36" t="n">
        <v>4</v>
      </c>
      <c r="F1568" s="36" t="n">
        <v>3</v>
      </c>
      <c r="G1568" s="36" t="n">
        <v>0</v>
      </c>
      <c r="H1568" s="36" t="n">
        <v>0</v>
      </c>
      <c r="I1568" s="36" t="n">
        <v>1</v>
      </c>
      <c r="J1568" s="36" t="n">
        <v>11</v>
      </c>
      <c r="K1568" s="12" t="n">
        <v>132</v>
      </c>
    </row>
    <row r="1569">
      <c r="A1569" s="33" t="n">
        <v>46324.68263888889</v>
      </c>
      <c r="B1569" s="33" t="n">
        <v>46324.71180555555</v>
      </c>
      <c r="C1569" s="13" t="n">
        <v>46325</v>
      </c>
      <c r="D1569" s="14" t="n">
        <v>0.84375</v>
      </c>
      <c r="E1569" s="37" t="n">
        <v>1</v>
      </c>
      <c r="F1569" s="37" t="n">
        <v>1</v>
      </c>
      <c r="G1569" s="37" t="n">
        <v>0</v>
      </c>
      <c r="H1569" s="37" t="n">
        <v>0</v>
      </c>
      <c r="I1569" s="37" t="n">
        <v>0</v>
      </c>
      <c r="J1569" s="37" t="n">
        <v>2</v>
      </c>
      <c r="K1569" s="16" t="n">
        <v>24</v>
      </c>
    </row>
    <row r="1570">
      <c r="A1570" s="30" t="n">
        <v>46324.68263888889</v>
      </c>
      <c r="B1570" s="30" t="n">
        <v>46324.71180555555</v>
      </c>
      <c r="C1570" s="9" t="n">
        <v>46326</v>
      </c>
      <c r="D1570" s="10" t="n">
        <v>0.8020833333333334</v>
      </c>
      <c r="E1570" s="36" t="n">
        <v>1</v>
      </c>
      <c r="F1570" s="36" t="n">
        <v>0</v>
      </c>
      <c r="G1570" s="36" t="n">
        <v>0</v>
      </c>
      <c r="H1570" s="36" t="n">
        <v>1</v>
      </c>
      <c r="I1570" s="36" t="n">
        <v>0</v>
      </c>
      <c r="J1570" s="36" t="n">
        <v>4</v>
      </c>
      <c r="K1570" s="12" t="n">
        <v>48</v>
      </c>
    </row>
    <row r="1571">
      <c r="A1571" s="33" t="n">
        <v>46324.68263888889</v>
      </c>
      <c r="B1571" s="33" t="n">
        <v>46324.71180555555</v>
      </c>
      <c r="C1571" s="13" t="n">
        <v>46327</v>
      </c>
      <c r="D1571" s="14" t="n">
        <v>0.96875</v>
      </c>
      <c r="E1571" s="37" t="n">
        <v>3</v>
      </c>
      <c r="F1571" s="37" t="n">
        <v>0</v>
      </c>
      <c r="G1571" s="37" t="n">
        <v>0</v>
      </c>
      <c r="H1571" s="37" t="n">
        <v>3</v>
      </c>
      <c r="I1571" s="37" t="n">
        <v>0</v>
      </c>
      <c r="J1571" s="37" t="n">
        <v>12</v>
      </c>
      <c r="K1571" s="16" t="n">
        <v>144</v>
      </c>
    </row>
    <row r="1572">
      <c r="A1572" s="30" t="n">
        <v>46324.68263888889</v>
      </c>
      <c r="B1572" s="30" t="n">
        <v>46324.71180555555</v>
      </c>
      <c r="C1572" s="9" t="n">
        <v>46327</v>
      </c>
      <c r="D1572" s="10" t="n">
        <v>0.9993055555555556</v>
      </c>
      <c r="E1572" s="36" t="n">
        <v>4</v>
      </c>
      <c r="F1572" s="36" t="n">
        <v>1</v>
      </c>
      <c r="G1572" s="36" t="n">
        <v>0</v>
      </c>
      <c r="H1572" s="36" t="n">
        <v>3</v>
      </c>
      <c r="I1572" s="36" t="n">
        <v>0</v>
      </c>
      <c r="J1572" s="36" t="n">
        <v>14</v>
      </c>
      <c r="K1572" s="12" t="n">
        <v>168</v>
      </c>
    </row>
    <row r="1573">
      <c r="A1573" s="33" t="n">
        <v>46324.71180555555</v>
      </c>
      <c r="B1573" s="33" t="n">
        <v>46324.73680555556</v>
      </c>
      <c r="C1573" s="13" t="n">
        <v>46324</v>
      </c>
      <c r="D1573" s="14" t="n">
        <v>0.84375</v>
      </c>
      <c r="E1573" s="37" t="n">
        <v>4</v>
      </c>
      <c r="F1573" s="37" t="n">
        <v>1</v>
      </c>
      <c r="G1573" s="37" t="n">
        <v>1</v>
      </c>
      <c r="H1573" s="37" t="n">
        <v>1</v>
      </c>
      <c r="I1573" s="37" t="n">
        <v>1</v>
      </c>
      <c r="J1573" s="37" t="n">
        <v>14</v>
      </c>
      <c r="K1573" s="16" t="n">
        <v>168</v>
      </c>
    </row>
    <row r="1574">
      <c r="A1574" s="30" t="n">
        <v>46324.71180555555</v>
      </c>
      <c r="B1574" s="30" t="n">
        <v>46324.73680555556</v>
      </c>
      <c r="C1574" s="9" t="n">
        <v>46325</v>
      </c>
      <c r="D1574" s="10" t="n">
        <v>0.84375</v>
      </c>
      <c r="E1574" s="36" t="n">
        <v>4</v>
      </c>
      <c r="F1574" s="36" t="n">
        <v>1</v>
      </c>
      <c r="G1574" s="36" t="n">
        <v>0</v>
      </c>
      <c r="H1574" s="36" t="n">
        <v>3</v>
      </c>
      <c r="I1574" s="36" t="n">
        <v>0</v>
      </c>
      <c r="J1574" s="36" t="n">
        <v>14</v>
      </c>
      <c r="K1574" s="12" t="n">
        <v>168</v>
      </c>
    </row>
    <row r="1575">
      <c r="A1575" s="33" t="n">
        <v>46324.71180555555</v>
      </c>
      <c r="B1575" s="33" t="n">
        <v>46324.73680555556</v>
      </c>
      <c r="C1575" s="13" t="n">
        <v>46326</v>
      </c>
      <c r="D1575" s="14" t="n">
        <v>0.8020833333333334</v>
      </c>
      <c r="E1575" s="37" t="n">
        <v>2</v>
      </c>
      <c r="F1575" s="37" t="n">
        <v>0</v>
      </c>
      <c r="G1575" s="37" t="n">
        <v>0</v>
      </c>
      <c r="H1575" s="37" t="n">
        <v>1</v>
      </c>
      <c r="I1575" s="37" t="n">
        <v>1</v>
      </c>
      <c r="J1575" s="37" t="n">
        <v>9</v>
      </c>
      <c r="K1575" s="16" t="n">
        <v>108</v>
      </c>
    </row>
    <row r="1576">
      <c r="A1576" s="30" t="n">
        <v>46324.71180555555</v>
      </c>
      <c r="B1576" s="30" t="n">
        <v>46324.73680555556</v>
      </c>
      <c r="C1576" s="9" t="n">
        <v>46327</v>
      </c>
      <c r="D1576" s="10" t="n">
        <v>0.96875</v>
      </c>
      <c r="E1576" s="36" t="n">
        <v>1</v>
      </c>
      <c r="F1576" s="36" t="n">
        <v>1</v>
      </c>
      <c r="G1576" s="36" t="n">
        <v>0</v>
      </c>
      <c r="H1576" s="36" t="n">
        <v>0</v>
      </c>
      <c r="I1576" s="36" t="n">
        <v>0</v>
      </c>
      <c r="J1576" s="36" t="n">
        <v>2</v>
      </c>
      <c r="K1576" s="12" t="n">
        <v>24</v>
      </c>
    </row>
    <row r="1577">
      <c r="A1577" s="33" t="n">
        <v>46324.74027777778</v>
      </c>
      <c r="B1577" s="33" t="n">
        <v>46324.74652777778</v>
      </c>
      <c r="C1577" s="13" t="n">
        <v>46324</v>
      </c>
      <c r="D1577" s="14" t="n">
        <v>0.84375</v>
      </c>
      <c r="E1577" s="37" t="n">
        <v>1</v>
      </c>
      <c r="F1577" s="37" t="n">
        <v>0</v>
      </c>
      <c r="G1577" s="37" t="n">
        <v>1</v>
      </c>
      <c r="H1577" s="37" t="n">
        <v>0</v>
      </c>
      <c r="I1577" s="37" t="n">
        <v>0</v>
      </c>
      <c r="J1577" s="37" t="n">
        <v>3</v>
      </c>
      <c r="K1577" s="16" t="n">
        <v>36</v>
      </c>
    </row>
    <row r="1578">
      <c r="A1578" s="30" t="n">
        <v>46324.74652777778</v>
      </c>
      <c r="B1578" s="30" t="n">
        <v>46324.76041666666</v>
      </c>
      <c r="C1578" s="9" t="n">
        <v>46324</v>
      </c>
      <c r="D1578" s="10" t="n">
        <v>0.84375</v>
      </c>
      <c r="E1578" s="36" t="n">
        <v>2</v>
      </c>
      <c r="F1578" s="36" t="n">
        <v>1</v>
      </c>
      <c r="G1578" s="36" t="n">
        <v>0</v>
      </c>
      <c r="H1578" s="36" t="n">
        <v>0</v>
      </c>
      <c r="I1578" s="36" t="n">
        <v>1</v>
      </c>
      <c r="J1578" s="36" t="n">
        <v>7</v>
      </c>
      <c r="K1578" s="12" t="n">
        <v>84</v>
      </c>
    </row>
    <row r="1579">
      <c r="A1579" s="33" t="n">
        <v>46324.74652777778</v>
      </c>
      <c r="B1579" s="33" t="n">
        <v>46324.76041666666</v>
      </c>
      <c r="C1579" s="13" t="n">
        <v>46325</v>
      </c>
      <c r="D1579" s="14" t="n">
        <v>0.84375</v>
      </c>
      <c r="E1579" s="37" t="n">
        <v>2</v>
      </c>
      <c r="F1579" s="37" t="n">
        <v>1</v>
      </c>
      <c r="G1579" s="37" t="n">
        <v>0</v>
      </c>
      <c r="H1579" s="37" t="n">
        <v>1</v>
      </c>
      <c r="I1579" s="37" t="n">
        <v>0</v>
      </c>
      <c r="J1579" s="37" t="n">
        <v>6</v>
      </c>
      <c r="K1579" s="16" t="n">
        <v>72</v>
      </c>
    </row>
    <row r="1580">
      <c r="A1580" s="30" t="n">
        <v>46324.74652777778</v>
      </c>
      <c r="B1580" s="30" t="n">
        <v>46324.76041666666</v>
      </c>
      <c r="C1580" s="9" t="n">
        <v>46326</v>
      </c>
      <c r="D1580" s="10" t="n">
        <v>0.8020833333333334</v>
      </c>
      <c r="E1580" s="36" t="n">
        <v>2</v>
      </c>
      <c r="F1580" s="36" t="n">
        <v>2</v>
      </c>
      <c r="G1580" s="36" t="n">
        <v>0</v>
      </c>
      <c r="H1580" s="36" t="n">
        <v>0</v>
      </c>
      <c r="I1580" s="36" t="n">
        <v>0</v>
      </c>
      <c r="J1580" s="36" t="n">
        <v>4</v>
      </c>
      <c r="K1580" s="12" t="n">
        <v>48</v>
      </c>
    </row>
    <row r="1581">
      <c r="A1581" s="33" t="n">
        <v>46324.74652777778</v>
      </c>
      <c r="B1581" s="33" t="n">
        <v>46324.76041666666</v>
      </c>
      <c r="C1581" s="13" t="n">
        <v>46327</v>
      </c>
      <c r="D1581" s="14" t="n">
        <v>0.9270833333333334</v>
      </c>
      <c r="E1581" s="37" t="n">
        <v>2</v>
      </c>
      <c r="F1581" s="37" t="n">
        <v>1</v>
      </c>
      <c r="G1581" s="37" t="n">
        <v>0</v>
      </c>
      <c r="H1581" s="37" t="n">
        <v>1</v>
      </c>
      <c r="I1581" s="37" t="n">
        <v>0</v>
      </c>
      <c r="J1581" s="37" t="n">
        <v>6</v>
      </c>
      <c r="K1581" s="16" t="n">
        <v>72</v>
      </c>
    </row>
    <row r="1582">
      <c r="A1582" s="30" t="n">
        <v>46324.74652777778</v>
      </c>
      <c r="B1582" s="30" t="n">
        <v>46324.76041666666</v>
      </c>
      <c r="C1582" s="9" t="n">
        <v>46327</v>
      </c>
      <c r="D1582" s="10" t="n">
        <v>0.96875</v>
      </c>
      <c r="E1582" s="36" t="n">
        <v>3</v>
      </c>
      <c r="F1582" s="36" t="n">
        <v>0</v>
      </c>
      <c r="G1582" s="36" t="n">
        <v>1</v>
      </c>
      <c r="H1582" s="36" t="n">
        <v>1</v>
      </c>
      <c r="I1582" s="36" t="n">
        <v>1</v>
      </c>
      <c r="J1582" s="36" t="n">
        <v>12</v>
      </c>
      <c r="K1582" s="12" t="n">
        <v>144</v>
      </c>
    </row>
    <row r="1583">
      <c r="A1583" s="33" t="n">
        <v>46324.76041666666</v>
      </c>
      <c r="B1583" s="33" t="n">
        <v>46324.77847222222</v>
      </c>
      <c r="C1583" s="13" t="n">
        <v>46324</v>
      </c>
      <c r="D1583" s="14" t="n">
        <v>0.84375</v>
      </c>
      <c r="E1583" s="37" t="n">
        <v>3</v>
      </c>
      <c r="F1583" s="37" t="n">
        <v>2</v>
      </c>
      <c r="G1583" s="37" t="n">
        <v>0</v>
      </c>
      <c r="H1583" s="37" t="n">
        <v>0</v>
      </c>
      <c r="I1583" s="37" t="n">
        <v>1</v>
      </c>
      <c r="J1583" s="37" t="n">
        <v>9</v>
      </c>
      <c r="K1583" s="16" t="n">
        <v>108</v>
      </c>
    </row>
    <row r="1584">
      <c r="A1584" s="30" t="n">
        <v>46324.76041666666</v>
      </c>
      <c r="B1584" s="30" t="n">
        <v>46324.77847222222</v>
      </c>
      <c r="C1584" s="9" t="n">
        <v>46325</v>
      </c>
      <c r="D1584" s="10" t="n">
        <v>0.84375</v>
      </c>
      <c r="E1584" s="36" t="n">
        <v>2</v>
      </c>
      <c r="F1584" s="36" t="n">
        <v>2</v>
      </c>
      <c r="G1584" s="36" t="n">
        <v>0</v>
      </c>
      <c r="H1584" s="36" t="n">
        <v>0</v>
      </c>
      <c r="I1584" s="36" t="n">
        <v>0</v>
      </c>
      <c r="J1584" s="36" t="n">
        <v>4</v>
      </c>
      <c r="K1584" s="12" t="n">
        <v>48</v>
      </c>
    </row>
    <row r="1585">
      <c r="A1585" s="33" t="n">
        <v>46324.76041666666</v>
      </c>
      <c r="B1585" s="33" t="n">
        <v>46324.77847222222</v>
      </c>
      <c r="C1585" s="13" t="n">
        <v>46327</v>
      </c>
      <c r="D1585" s="14" t="n">
        <v>0.96875</v>
      </c>
      <c r="E1585" s="37" t="n">
        <v>1</v>
      </c>
      <c r="F1585" s="37" t="n">
        <v>1</v>
      </c>
      <c r="G1585" s="37" t="n">
        <v>0</v>
      </c>
      <c r="H1585" s="37" t="n">
        <v>0</v>
      </c>
      <c r="I1585" s="37" t="n">
        <v>0</v>
      </c>
      <c r="J1585" s="37" t="n">
        <v>2</v>
      </c>
      <c r="K1585" s="16" t="n">
        <v>24</v>
      </c>
    </row>
    <row r="1586">
      <c r="A1586" s="30" t="n">
        <v>46324.76041666666</v>
      </c>
      <c r="B1586" s="30" t="n">
        <v>46324.77847222222</v>
      </c>
      <c r="C1586" s="9" t="n">
        <v>46327</v>
      </c>
      <c r="D1586" s="10" t="n">
        <v>0.9993055555555556</v>
      </c>
      <c r="E1586" s="36" t="n">
        <v>5</v>
      </c>
      <c r="F1586" s="36" t="n">
        <v>2</v>
      </c>
      <c r="G1586" s="36" t="n">
        <v>1</v>
      </c>
      <c r="H1586" s="36" t="n">
        <v>2</v>
      </c>
      <c r="I1586" s="36" t="n">
        <v>0</v>
      </c>
      <c r="J1586" s="36" t="n">
        <v>15</v>
      </c>
      <c r="K1586" s="12" t="n">
        <v>180</v>
      </c>
    </row>
    <row r="1587">
      <c r="A1587" s="33" t="n">
        <v>46324.77847222222</v>
      </c>
      <c r="B1587" s="33" t="n">
        <v>46324.78194444445</v>
      </c>
      <c r="C1587" s="13" t="n">
        <v>46325</v>
      </c>
      <c r="D1587" s="14" t="n">
        <v>0.84375</v>
      </c>
      <c r="E1587" s="37" t="n">
        <v>1</v>
      </c>
      <c r="F1587" s="37" t="n">
        <v>1</v>
      </c>
      <c r="G1587" s="37" t="n">
        <v>0</v>
      </c>
      <c r="H1587" s="37" t="n">
        <v>0</v>
      </c>
      <c r="I1587" s="37" t="n">
        <v>0</v>
      </c>
      <c r="J1587" s="37" t="n">
        <v>2</v>
      </c>
      <c r="K1587" s="16" t="n">
        <v>24</v>
      </c>
    </row>
    <row r="1588">
      <c r="A1588" s="30" t="n">
        <v>46324.77847222222</v>
      </c>
      <c r="B1588" s="30" t="n">
        <v>46324.78194444445</v>
      </c>
      <c r="C1588" s="9" t="n">
        <v>46326</v>
      </c>
      <c r="D1588" s="10" t="n">
        <v>0.8020833333333334</v>
      </c>
      <c r="E1588" s="36" t="n">
        <v>1</v>
      </c>
      <c r="F1588" s="36" t="n">
        <v>0</v>
      </c>
      <c r="G1588" s="36" t="n">
        <v>0</v>
      </c>
      <c r="H1588" s="36" t="n">
        <v>1</v>
      </c>
      <c r="I1588" s="36" t="n">
        <v>0</v>
      </c>
      <c r="J1588" s="36" t="n">
        <v>4</v>
      </c>
      <c r="K1588" s="12" t="n">
        <v>48</v>
      </c>
    </row>
    <row r="1589">
      <c r="A1589" s="33" t="n">
        <v>46324.77847222222</v>
      </c>
      <c r="B1589" s="33" t="n">
        <v>46324.78194444445</v>
      </c>
      <c r="C1589" s="13" t="n">
        <v>46327</v>
      </c>
      <c r="D1589" s="14" t="n">
        <v>0.8854166666666666</v>
      </c>
      <c r="E1589" s="37" t="n">
        <v>1</v>
      </c>
      <c r="F1589" s="37" t="n">
        <v>0</v>
      </c>
      <c r="G1589" s="37" t="n">
        <v>0</v>
      </c>
      <c r="H1589" s="37" t="n">
        <v>1</v>
      </c>
      <c r="I1589" s="37" t="n">
        <v>0</v>
      </c>
      <c r="J1589" s="37" t="n">
        <v>4</v>
      </c>
      <c r="K1589" s="16" t="n">
        <v>48</v>
      </c>
    </row>
    <row r="1590">
      <c r="A1590" s="30" t="n">
        <v>46324.78194444445</v>
      </c>
      <c r="B1590" s="30" t="n">
        <v>46324.81875</v>
      </c>
      <c r="C1590" s="9" t="n">
        <v>46325</v>
      </c>
      <c r="D1590" s="10" t="n">
        <v>0.84375</v>
      </c>
      <c r="E1590" s="36" t="n">
        <v>6</v>
      </c>
      <c r="F1590" s="36" t="n">
        <v>3</v>
      </c>
      <c r="G1590" s="36" t="n">
        <v>2</v>
      </c>
      <c r="H1590" s="36" t="n">
        <v>0</v>
      </c>
      <c r="I1590" s="36" t="n">
        <v>1</v>
      </c>
      <c r="J1590" s="36" t="n">
        <v>17</v>
      </c>
      <c r="K1590" s="12" t="n">
        <v>204</v>
      </c>
    </row>
    <row r="1591">
      <c r="A1591" s="33" t="n">
        <v>46324.78194444445</v>
      </c>
      <c r="B1591" s="33" t="n">
        <v>46324.81875</v>
      </c>
      <c r="C1591" s="13" t="n">
        <v>46326</v>
      </c>
      <c r="D1591" s="14" t="n">
        <v>0.8020833333333334</v>
      </c>
      <c r="E1591" s="37" t="n">
        <v>8</v>
      </c>
      <c r="F1591" s="37" t="n">
        <v>3</v>
      </c>
      <c r="G1591" s="37" t="n">
        <v>1</v>
      </c>
      <c r="H1591" s="37" t="n">
        <v>2</v>
      </c>
      <c r="I1591" s="37" t="n">
        <v>2</v>
      </c>
      <c r="J1591" s="37" t="n">
        <v>27</v>
      </c>
      <c r="K1591" s="16" t="n">
        <v>324</v>
      </c>
    </row>
    <row r="1592">
      <c r="A1592" s="30" t="n">
        <v>46324.78194444445</v>
      </c>
      <c r="B1592" s="30" t="n">
        <v>46324.81875</v>
      </c>
      <c r="C1592" s="9" t="n">
        <v>46327</v>
      </c>
      <c r="D1592" s="10" t="n">
        <v>0.8854166666666666</v>
      </c>
      <c r="E1592" s="36" t="n">
        <v>2</v>
      </c>
      <c r="F1592" s="36" t="n">
        <v>0</v>
      </c>
      <c r="G1592" s="36" t="n">
        <v>0</v>
      </c>
      <c r="H1592" s="36" t="n">
        <v>1</v>
      </c>
      <c r="I1592" s="36" t="n">
        <v>1</v>
      </c>
      <c r="J1592" s="36" t="n">
        <v>9</v>
      </c>
      <c r="K1592" s="12" t="n">
        <v>108</v>
      </c>
    </row>
    <row r="1593">
      <c r="A1593" s="33" t="n">
        <v>46324.78194444445</v>
      </c>
      <c r="B1593" s="33" t="n">
        <v>46324.81875</v>
      </c>
      <c r="C1593" s="13" t="n">
        <v>46327</v>
      </c>
      <c r="D1593" s="14" t="n">
        <v>0.9270833333333334</v>
      </c>
      <c r="E1593" s="37" t="n">
        <v>2</v>
      </c>
      <c r="F1593" s="37" t="n">
        <v>1</v>
      </c>
      <c r="G1593" s="37" t="n">
        <v>0</v>
      </c>
      <c r="H1593" s="37" t="n">
        <v>1</v>
      </c>
      <c r="I1593" s="37" t="n">
        <v>0</v>
      </c>
      <c r="J1593" s="37" t="n">
        <v>6</v>
      </c>
      <c r="K1593" s="16" t="n">
        <v>72</v>
      </c>
    </row>
    <row r="1594">
      <c r="A1594" s="30" t="n">
        <v>46324.78194444445</v>
      </c>
      <c r="B1594" s="30" t="n">
        <v>46324.81875</v>
      </c>
      <c r="C1594" s="9" t="n">
        <v>46327</v>
      </c>
      <c r="D1594" s="10" t="n">
        <v>0.9993055555555556</v>
      </c>
      <c r="E1594" s="36" t="n">
        <v>4</v>
      </c>
      <c r="F1594" s="36" t="n">
        <v>2</v>
      </c>
      <c r="G1594" s="36" t="n">
        <v>0</v>
      </c>
      <c r="H1594" s="36" t="n">
        <v>2</v>
      </c>
      <c r="I1594" s="36" t="n">
        <v>0</v>
      </c>
      <c r="J1594" s="36" t="n">
        <v>12</v>
      </c>
      <c r="K1594" s="12" t="n">
        <v>144</v>
      </c>
    </row>
    <row r="1595">
      <c r="A1595" s="33" t="n">
        <v>46324.82083333333</v>
      </c>
      <c r="B1595" s="33" t="n">
        <v>46324.85972222222</v>
      </c>
      <c r="C1595" s="13" t="n">
        <v>46325</v>
      </c>
      <c r="D1595" s="14" t="n">
        <v>0.84375</v>
      </c>
      <c r="E1595" s="37" t="n">
        <v>6</v>
      </c>
      <c r="F1595" s="37" t="n">
        <v>0</v>
      </c>
      <c r="G1595" s="37" t="n">
        <v>3</v>
      </c>
      <c r="H1595" s="37" t="n">
        <v>3</v>
      </c>
      <c r="I1595" s="37" t="n">
        <v>0</v>
      </c>
      <c r="J1595" s="37" t="n">
        <v>21</v>
      </c>
      <c r="K1595" s="16" t="n">
        <v>252</v>
      </c>
    </row>
    <row r="1596">
      <c r="A1596" s="30" t="n">
        <v>46324.82083333333</v>
      </c>
      <c r="B1596" s="30" t="n">
        <v>46324.85972222222</v>
      </c>
      <c r="C1596" s="9" t="n">
        <v>46326</v>
      </c>
      <c r="D1596" s="10" t="n">
        <v>0.8020833333333334</v>
      </c>
      <c r="E1596" s="36" t="n">
        <v>5</v>
      </c>
      <c r="F1596" s="36" t="n">
        <v>2</v>
      </c>
      <c r="G1596" s="36" t="n">
        <v>1</v>
      </c>
      <c r="H1596" s="36" t="n">
        <v>2</v>
      </c>
      <c r="I1596" s="36" t="n">
        <v>0</v>
      </c>
      <c r="J1596" s="36" t="n">
        <v>15</v>
      </c>
      <c r="K1596" s="12" t="n">
        <v>180</v>
      </c>
    </row>
    <row r="1597">
      <c r="A1597" s="33" t="n">
        <v>46324.82083333333</v>
      </c>
      <c r="B1597" s="33" t="n">
        <v>46324.85972222222</v>
      </c>
      <c r="C1597" s="13" t="n">
        <v>46327</v>
      </c>
      <c r="D1597" s="14" t="n">
        <v>0.84375</v>
      </c>
      <c r="E1597" s="37" t="n">
        <v>1</v>
      </c>
      <c r="F1597" s="37" t="n">
        <v>1</v>
      </c>
      <c r="G1597" s="37" t="n">
        <v>0</v>
      </c>
      <c r="H1597" s="37" t="n">
        <v>0</v>
      </c>
      <c r="I1597" s="37" t="n">
        <v>0</v>
      </c>
      <c r="J1597" s="37" t="n">
        <v>2</v>
      </c>
      <c r="K1597" s="16" t="n">
        <v>24</v>
      </c>
    </row>
    <row r="1598">
      <c r="A1598" s="30" t="n">
        <v>46324.82083333333</v>
      </c>
      <c r="B1598" s="30" t="n">
        <v>46324.85972222222</v>
      </c>
      <c r="C1598" s="9" t="n">
        <v>46327</v>
      </c>
      <c r="D1598" s="10" t="n">
        <v>0.8854166666666666</v>
      </c>
      <c r="E1598" s="36" t="n">
        <v>2</v>
      </c>
      <c r="F1598" s="36" t="n">
        <v>1</v>
      </c>
      <c r="G1598" s="36" t="n">
        <v>0</v>
      </c>
      <c r="H1598" s="36" t="n">
        <v>1</v>
      </c>
      <c r="I1598" s="36" t="n">
        <v>0</v>
      </c>
      <c r="J1598" s="36" t="n">
        <v>6</v>
      </c>
      <c r="K1598" s="12" t="n">
        <v>72</v>
      </c>
    </row>
    <row r="1599">
      <c r="A1599" s="33" t="n">
        <v>46324.82083333333</v>
      </c>
      <c r="B1599" s="33" t="n">
        <v>46324.85972222222</v>
      </c>
      <c r="C1599" s="13" t="n">
        <v>46327</v>
      </c>
      <c r="D1599" s="14" t="n">
        <v>0.9270833333333334</v>
      </c>
      <c r="E1599" s="37" t="n">
        <v>2</v>
      </c>
      <c r="F1599" s="37" t="n">
        <v>1</v>
      </c>
      <c r="G1599" s="37" t="n">
        <v>0</v>
      </c>
      <c r="H1599" s="37" t="n">
        <v>1</v>
      </c>
      <c r="I1599" s="37" t="n">
        <v>0</v>
      </c>
      <c r="J1599" s="37" t="n">
        <v>6</v>
      </c>
      <c r="K1599" s="16" t="n">
        <v>72</v>
      </c>
    </row>
    <row r="1600">
      <c r="A1600" s="30" t="n">
        <v>46324.82083333333</v>
      </c>
      <c r="B1600" s="30" t="n">
        <v>46324.85972222222</v>
      </c>
      <c r="C1600" s="9" t="n">
        <v>46327</v>
      </c>
      <c r="D1600" s="10" t="n">
        <v>0.96875</v>
      </c>
      <c r="E1600" s="36" t="n">
        <v>2</v>
      </c>
      <c r="F1600" s="36" t="n">
        <v>1</v>
      </c>
      <c r="G1600" s="36" t="n">
        <v>0</v>
      </c>
      <c r="H1600" s="36" t="n">
        <v>1</v>
      </c>
      <c r="I1600" s="36" t="n">
        <v>0</v>
      </c>
      <c r="J1600" s="36" t="n">
        <v>6</v>
      </c>
      <c r="K1600" s="12" t="n">
        <v>72</v>
      </c>
    </row>
    <row r="1601">
      <c r="A1601" s="33" t="n">
        <v>46324.82083333333</v>
      </c>
      <c r="B1601" s="33" t="n">
        <v>46324.85972222222</v>
      </c>
      <c r="C1601" s="13" t="n">
        <v>46327</v>
      </c>
      <c r="D1601" s="14" t="n">
        <v>0.9993055555555556</v>
      </c>
      <c r="E1601" s="37" t="n">
        <v>2</v>
      </c>
      <c r="F1601" s="37" t="n">
        <v>0</v>
      </c>
      <c r="G1601" s="37" t="n">
        <v>0</v>
      </c>
      <c r="H1601" s="37" t="n">
        <v>2</v>
      </c>
      <c r="I1601" s="37" t="n">
        <v>0</v>
      </c>
      <c r="J1601" s="37" t="n">
        <v>8</v>
      </c>
      <c r="K1601" s="16" t="n">
        <v>96</v>
      </c>
    </row>
    <row r="1602">
      <c r="A1602" s="30" t="n">
        <v>46324.85972222222</v>
      </c>
      <c r="B1602" s="30" t="n">
        <v>46324.86388888889</v>
      </c>
      <c r="C1602" s="9" t="n">
        <v>46325</v>
      </c>
      <c r="D1602" s="10" t="n">
        <v>0.84375</v>
      </c>
      <c r="E1602" s="36" t="n">
        <v>1</v>
      </c>
      <c r="F1602" s="36" t="n">
        <v>0</v>
      </c>
      <c r="G1602" s="36" t="n">
        <v>0</v>
      </c>
      <c r="H1602" s="36" t="n">
        <v>1</v>
      </c>
      <c r="I1602" s="36" t="n">
        <v>0</v>
      </c>
      <c r="J1602" s="36" t="n">
        <v>4</v>
      </c>
      <c r="K1602" s="12" t="n">
        <v>48</v>
      </c>
    </row>
    <row r="1603">
      <c r="A1603" s="33" t="n">
        <v>46324.86388888889</v>
      </c>
      <c r="B1603" s="33" t="n">
        <v>46324.89444444444</v>
      </c>
      <c r="C1603" s="13" t="n">
        <v>46325</v>
      </c>
      <c r="D1603" s="14" t="n">
        <v>0.84375</v>
      </c>
      <c r="E1603" s="37" t="n">
        <v>7</v>
      </c>
      <c r="F1603" s="37" t="n">
        <v>3</v>
      </c>
      <c r="G1603" s="37" t="n">
        <v>2</v>
      </c>
      <c r="H1603" s="37" t="n">
        <v>1</v>
      </c>
      <c r="I1603" s="37" t="n">
        <v>1</v>
      </c>
      <c r="J1603" s="37" t="n">
        <v>21</v>
      </c>
      <c r="K1603" s="16" t="n">
        <v>252</v>
      </c>
    </row>
    <row r="1604">
      <c r="A1604" s="30" t="n">
        <v>46324.86388888889</v>
      </c>
      <c r="B1604" s="30" t="n">
        <v>46324.89444444444</v>
      </c>
      <c r="C1604" s="9" t="n">
        <v>46326</v>
      </c>
      <c r="D1604" s="10" t="n">
        <v>0.8020833333333334</v>
      </c>
      <c r="E1604" s="36" t="n">
        <v>4</v>
      </c>
      <c r="F1604" s="36" t="n">
        <v>2</v>
      </c>
      <c r="G1604" s="36" t="n">
        <v>0</v>
      </c>
      <c r="H1604" s="36" t="n">
        <v>1</v>
      </c>
      <c r="I1604" s="36" t="n">
        <v>1</v>
      </c>
      <c r="J1604" s="36" t="n">
        <v>13</v>
      </c>
      <c r="K1604" s="12" t="n">
        <v>156</v>
      </c>
    </row>
    <row r="1605">
      <c r="A1605" s="33" t="n">
        <v>46324.86388888889</v>
      </c>
      <c r="B1605" s="33" t="n">
        <v>46324.89444444444</v>
      </c>
      <c r="C1605" s="13" t="n">
        <v>46327</v>
      </c>
      <c r="D1605" s="14" t="n">
        <v>0.8020833333333334</v>
      </c>
      <c r="E1605" s="37" t="n">
        <v>2</v>
      </c>
      <c r="F1605" s="37" t="n">
        <v>1</v>
      </c>
      <c r="G1605" s="37" t="n">
        <v>0</v>
      </c>
      <c r="H1605" s="37" t="n">
        <v>1</v>
      </c>
      <c r="I1605" s="37" t="n">
        <v>0</v>
      </c>
      <c r="J1605" s="37" t="n">
        <v>6</v>
      </c>
      <c r="K1605" s="16" t="n">
        <v>72</v>
      </c>
    </row>
    <row r="1606">
      <c r="A1606" s="30" t="n">
        <v>46324.86388888889</v>
      </c>
      <c r="B1606" s="30" t="n">
        <v>46324.89444444444</v>
      </c>
      <c r="C1606" s="9" t="n">
        <v>46327</v>
      </c>
      <c r="D1606" s="10" t="n">
        <v>0.9270833333333334</v>
      </c>
      <c r="E1606" s="36" t="n">
        <v>1</v>
      </c>
      <c r="F1606" s="36" t="n">
        <v>0</v>
      </c>
      <c r="G1606" s="36" t="n">
        <v>0</v>
      </c>
      <c r="H1606" s="36" t="n">
        <v>1</v>
      </c>
      <c r="I1606" s="36" t="n">
        <v>0</v>
      </c>
      <c r="J1606" s="36" t="n">
        <v>4</v>
      </c>
      <c r="K1606" s="12" t="n">
        <v>48</v>
      </c>
    </row>
    <row r="1607">
      <c r="A1607" s="33" t="n">
        <v>46324.86388888889</v>
      </c>
      <c r="B1607" s="33" t="n">
        <v>46324.89444444444</v>
      </c>
      <c r="C1607" s="13" t="n">
        <v>46327</v>
      </c>
      <c r="D1607" s="14" t="n">
        <v>0.96875</v>
      </c>
      <c r="E1607" s="37" t="n">
        <v>1</v>
      </c>
      <c r="F1607" s="37" t="n">
        <v>0</v>
      </c>
      <c r="G1607" s="37" t="n">
        <v>0</v>
      </c>
      <c r="H1607" s="37" t="n">
        <v>1</v>
      </c>
      <c r="I1607" s="37" t="n">
        <v>0</v>
      </c>
      <c r="J1607" s="37" t="n">
        <v>4</v>
      </c>
      <c r="K1607" s="16" t="n">
        <v>48</v>
      </c>
    </row>
    <row r="1608">
      <c r="A1608" s="30" t="n">
        <v>46324.86388888889</v>
      </c>
      <c r="B1608" s="30" t="n">
        <v>46324.89444444444</v>
      </c>
      <c r="C1608" s="9" t="n">
        <v>46327</v>
      </c>
      <c r="D1608" s="10" t="n">
        <v>0.9993055555555556</v>
      </c>
      <c r="E1608" s="36" t="n">
        <v>2</v>
      </c>
      <c r="F1608" s="36" t="n">
        <v>1</v>
      </c>
      <c r="G1608" s="36" t="n">
        <v>0</v>
      </c>
      <c r="H1608" s="36" t="n">
        <v>1</v>
      </c>
      <c r="I1608" s="36" t="n">
        <v>0</v>
      </c>
      <c r="J1608" s="36" t="n">
        <v>6</v>
      </c>
      <c r="K1608" s="12" t="n">
        <v>72</v>
      </c>
    </row>
    <row r="1609">
      <c r="A1609" s="33" t="n">
        <v>46324.89444444444</v>
      </c>
      <c r="B1609" s="33" t="n">
        <v>46324.90138888889</v>
      </c>
      <c r="C1609" s="13" t="n">
        <v>46325</v>
      </c>
      <c r="D1609" s="14" t="n">
        <v>0.84375</v>
      </c>
      <c r="E1609" s="37" t="n">
        <v>1</v>
      </c>
      <c r="F1609" s="37" t="n">
        <v>0</v>
      </c>
      <c r="G1609" s="37" t="n">
        <v>0</v>
      </c>
      <c r="H1609" s="37" t="n">
        <v>0</v>
      </c>
      <c r="I1609" s="37" t="n">
        <v>1</v>
      </c>
      <c r="J1609" s="37" t="n">
        <v>5</v>
      </c>
      <c r="K1609" s="16" t="n">
        <v>60</v>
      </c>
    </row>
    <row r="1610">
      <c r="A1610" s="30" t="n">
        <v>46324.89444444444</v>
      </c>
      <c r="B1610" s="30" t="n">
        <v>46324.90138888889</v>
      </c>
      <c r="C1610" s="9" t="n">
        <v>46327</v>
      </c>
      <c r="D1610" s="10" t="n">
        <v>0.8854166666666666</v>
      </c>
      <c r="E1610" s="36" t="n">
        <v>1</v>
      </c>
      <c r="F1610" s="36" t="n">
        <v>0</v>
      </c>
      <c r="G1610" s="36" t="n">
        <v>0</v>
      </c>
      <c r="H1610" s="36" t="n">
        <v>1</v>
      </c>
      <c r="I1610" s="36" t="n">
        <v>0</v>
      </c>
      <c r="J1610" s="36" t="n">
        <v>4</v>
      </c>
      <c r="K1610" s="12" t="n">
        <v>48</v>
      </c>
    </row>
    <row r="1611">
      <c r="A1611" s="33" t="n">
        <v>46324.90138888889</v>
      </c>
      <c r="B1611" s="33" t="n">
        <v>46324.90694444445</v>
      </c>
      <c r="C1611" s="13" t="n">
        <v>46326</v>
      </c>
      <c r="D1611" s="14" t="n">
        <v>0.8020833333333334</v>
      </c>
      <c r="E1611" s="37" t="n">
        <v>2</v>
      </c>
      <c r="F1611" s="37" t="n">
        <v>0</v>
      </c>
      <c r="G1611" s="37" t="n">
        <v>0</v>
      </c>
      <c r="H1611" s="37" t="n">
        <v>1</v>
      </c>
      <c r="I1611" s="37" t="n">
        <v>1</v>
      </c>
      <c r="J1611" s="37" t="n">
        <v>9</v>
      </c>
      <c r="K1611" s="16" t="n">
        <v>108</v>
      </c>
    </row>
    <row r="1612">
      <c r="A1612" s="30" t="n">
        <v>46324.90138888889</v>
      </c>
      <c r="B1612" s="30" t="n">
        <v>46324.90694444445</v>
      </c>
      <c r="C1612" s="9" t="n">
        <v>46327</v>
      </c>
      <c r="D1612" s="10" t="n">
        <v>0.9270833333333334</v>
      </c>
      <c r="E1612" s="36" t="n">
        <v>1</v>
      </c>
      <c r="F1612" s="36" t="n">
        <v>0</v>
      </c>
      <c r="G1612" s="36" t="n">
        <v>0</v>
      </c>
      <c r="H1612" s="36" t="n">
        <v>0</v>
      </c>
      <c r="I1612" s="36" t="n">
        <v>1</v>
      </c>
      <c r="J1612" s="36" t="n">
        <v>5</v>
      </c>
      <c r="K1612" s="12" t="n">
        <v>60</v>
      </c>
    </row>
    <row r="1613">
      <c r="A1613" s="33" t="n">
        <v>46324.90694444445</v>
      </c>
      <c r="B1613" s="33" t="n">
        <v>46324.94097222222</v>
      </c>
      <c r="C1613" s="13" t="n">
        <v>46325</v>
      </c>
      <c r="D1613" s="14" t="n">
        <v>0.84375</v>
      </c>
      <c r="E1613" s="37" t="n">
        <v>1</v>
      </c>
      <c r="F1613" s="37" t="n">
        <v>1</v>
      </c>
      <c r="G1613" s="37" t="n">
        <v>0</v>
      </c>
      <c r="H1613" s="37" t="n">
        <v>0</v>
      </c>
      <c r="I1613" s="37" t="n">
        <v>0</v>
      </c>
      <c r="J1613" s="37" t="n">
        <v>2</v>
      </c>
      <c r="K1613" s="16" t="n">
        <v>24</v>
      </c>
    </row>
    <row r="1614">
      <c r="A1614" s="30" t="n">
        <v>46324.90694444445</v>
      </c>
      <c r="B1614" s="30" t="n">
        <v>46324.94097222222</v>
      </c>
      <c r="C1614" s="9" t="n">
        <v>46326</v>
      </c>
      <c r="D1614" s="10" t="n">
        <v>0.8020833333333334</v>
      </c>
      <c r="E1614" s="36" t="n">
        <v>1</v>
      </c>
      <c r="F1614" s="36" t="n">
        <v>0</v>
      </c>
      <c r="G1614" s="36" t="n">
        <v>0</v>
      </c>
      <c r="H1614" s="36" t="n">
        <v>1</v>
      </c>
      <c r="I1614" s="36" t="n">
        <v>0</v>
      </c>
      <c r="J1614" s="36" t="n">
        <v>4</v>
      </c>
      <c r="K1614" s="12" t="n">
        <v>48</v>
      </c>
    </row>
    <row r="1615">
      <c r="A1615" s="33" t="n">
        <v>46324.90694444445</v>
      </c>
      <c r="B1615" s="33" t="n">
        <v>46324.94097222222</v>
      </c>
      <c r="C1615" s="13" t="n">
        <v>46327</v>
      </c>
      <c r="D1615" s="14" t="n">
        <v>0.8854166666666666</v>
      </c>
      <c r="E1615" s="37" t="n">
        <v>2</v>
      </c>
      <c r="F1615" s="37" t="n">
        <v>1</v>
      </c>
      <c r="G1615" s="37" t="n">
        <v>0</v>
      </c>
      <c r="H1615" s="37" t="n">
        <v>1</v>
      </c>
      <c r="I1615" s="37" t="n">
        <v>0</v>
      </c>
      <c r="J1615" s="37" t="n">
        <v>6</v>
      </c>
      <c r="K1615" s="16" t="n">
        <v>72</v>
      </c>
    </row>
    <row r="1616">
      <c r="A1616" s="30" t="n">
        <v>46324.90694444445</v>
      </c>
      <c r="B1616" s="30" t="n">
        <v>46324.94097222222</v>
      </c>
      <c r="C1616" s="9" t="n">
        <v>46327</v>
      </c>
      <c r="D1616" s="10" t="n">
        <v>0.9270833333333334</v>
      </c>
      <c r="E1616" s="36" t="n">
        <v>3</v>
      </c>
      <c r="F1616" s="36" t="n">
        <v>1</v>
      </c>
      <c r="G1616" s="36" t="n">
        <v>1</v>
      </c>
      <c r="H1616" s="36" t="n">
        <v>1</v>
      </c>
      <c r="I1616" s="36" t="n">
        <v>0</v>
      </c>
      <c r="J1616" s="36" t="n">
        <v>9</v>
      </c>
      <c r="K1616" s="12" t="n">
        <v>108</v>
      </c>
    </row>
    <row r="1617">
      <c r="A1617" s="33" t="n">
        <v>46324.90694444445</v>
      </c>
      <c r="B1617" s="33" t="n">
        <v>46324.94097222222</v>
      </c>
      <c r="C1617" s="13" t="n">
        <v>46327</v>
      </c>
      <c r="D1617" s="14" t="n">
        <v>0.96875</v>
      </c>
      <c r="E1617" s="37" t="n">
        <v>6</v>
      </c>
      <c r="F1617" s="37" t="n">
        <v>0</v>
      </c>
      <c r="G1617" s="37" t="n">
        <v>1</v>
      </c>
      <c r="H1617" s="37" t="n">
        <v>5</v>
      </c>
      <c r="I1617" s="37" t="n">
        <v>0</v>
      </c>
      <c r="J1617" s="37" t="n">
        <v>23</v>
      </c>
      <c r="K1617" s="16" t="n">
        <v>276</v>
      </c>
    </row>
    <row r="1618">
      <c r="A1618" s="30" t="n">
        <v>46324.90694444445</v>
      </c>
      <c r="B1618" s="30" t="n">
        <v>46324.94097222222</v>
      </c>
      <c r="C1618" s="9" t="n">
        <v>46327</v>
      </c>
      <c r="D1618" s="10" t="n">
        <v>0.9993055555555556</v>
      </c>
      <c r="E1618" s="36" t="n">
        <v>2</v>
      </c>
      <c r="F1618" s="36" t="n">
        <v>1</v>
      </c>
      <c r="G1618" s="36" t="n">
        <v>0</v>
      </c>
      <c r="H1618" s="36" t="n">
        <v>1</v>
      </c>
      <c r="I1618" s="36" t="n">
        <v>0</v>
      </c>
      <c r="J1618" s="36" t="n">
        <v>6</v>
      </c>
      <c r="K1618" s="12" t="n">
        <v>72</v>
      </c>
    </row>
    <row r="1619">
      <c r="A1619" s="33" t="n">
        <v>46324.90694444445</v>
      </c>
      <c r="B1619" s="33" t="n">
        <v>46324.94097222222</v>
      </c>
      <c r="C1619" s="13" t="n">
        <v>46328</v>
      </c>
      <c r="D1619" s="14" t="n">
        <v>0.9270833333333334</v>
      </c>
      <c r="E1619" s="37" t="n">
        <v>0</v>
      </c>
      <c r="F1619" s="37" t="n">
        <v>0</v>
      </c>
      <c r="G1619" s="37" t="n">
        <v>0</v>
      </c>
      <c r="H1619" s="37" t="n">
        <v>0</v>
      </c>
      <c r="I1619" s="37" t="n">
        <v>0</v>
      </c>
      <c r="J1619" s="37" t="n">
        <v>2</v>
      </c>
      <c r="K1619" s="16" t="n">
        <v>30</v>
      </c>
    </row>
    <row r="1620">
      <c r="A1620" s="30" t="n">
        <v>46324.94097222222</v>
      </c>
      <c r="B1620" s="30" t="n">
        <v>46324.94375</v>
      </c>
      <c r="C1620" s="9" t="n">
        <v>46325</v>
      </c>
      <c r="D1620" s="10" t="n">
        <v>0.84375</v>
      </c>
      <c r="E1620" s="36" t="n">
        <v>2</v>
      </c>
      <c r="F1620" s="36" t="n">
        <v>1</v>
      </c>
      <c r="G1620" s="36" t="n">
        <v>0</v>
      </c>
      <c r="H1620" s="36" t="n">
        <v>1</v>
      </c>
      <c r="I1620" s="36" t="n">
        <v>0</v>
      </c>
      <c r="J1620" s="36" t="n">
        <v>6</v>
      </c>
      <c r="K1620" s="12" t="n">
        <v>72</v>
      </c>
    </row>
    <row r="1621">
      <c r="A1621" s="33" t="n">
        <v>46324.94097222222</v>
      </c>
      <c r="B1621" s="33" t="n">
        <v>46324.94375</v>
      </c>
      <c r="C1621" s="13" t="n">
        <v>46326</v>
      </c>
      <c r="D1621" s="14" t="n">
        <v>0.8020833333333334</v>
      </c>
      <c r="E1621" s="37" t="n">
        <v>1</v>
      </c>
      <c r="F1621" s="37" t="n">
        <v>0</v>
      </c>
      <c r="G1621" s="37" t="n">
        <v>0</v>
      </c>
      <c r="H1621" s="37" t="n">
        <v>1</v>
      </c>
      <c r="I1621" s="37" t="n">
        <v>0</v>
      </c>
      <c r="J1621" s="37" t="n">
        <v>4</v>
      </c>
      <c r="K1621" s="16" t="n">
        <v>48</v>
      </c>
    </row>
    <row r="1622">
      <c r="A1622" s="30" t="n">
        <v>46324.94375</v>
      </c>
      <c r="B1622" s="30" t="n">
        <v>46324.95486111111</v>
      </c>
      <c r="C1622" s="9" t="n">
        <v>46326</v>
      </c>
      <c r="D1622" s="10" t="n">
        <v>0.8020833333333334</v>
      </c>
      <c r="E1622" s="36" t="n">
        <v>1</v>
      </c>
      <c r="F1622" s="36" t="n">
        <v>0</v>
      </c>
      <c r="G1622" s="36" t="n">
        <v>1</v>
      </c>
      <c r="H1622" s="36" t="n">
        <v>0</v>
      </c>
      <c r="I1622" s="36" t="n">
        <v>0</v>
      </c>
      <c r="J1622" s="36" t="n">
        <v>3</v>
      </c>
      <c r="K1622" s="12" t="n">
        <v>36</v>
      </c>
    </row>
    <row r="1623">
      <c r="A1623" s="33" t="n">
        <v>46324.94375</v>
      </c>
      <c r="B1623" s="33" t="n">
        <v>46324.95486111111</v>
      </c>
      <c r="C1623" s="13" t="n">
        <v>46327</v>
      </c>
      <c r="D1623" s="14" t="n">
        <v>0.96875</v>
      </c>
      <c r="E1623" s="37" t="n">
        <v>1</v>
      </c>
      <c r="F1623" s="37" t="n">
        <v>0</v>
      </c>
      <c r="G1623" s="37" t="n">
        <v>1</v>
      </c>
      <c r="H1623" s="37" t="n">
        <v>0</v>
      </c>
      <c r="I1623" s="37" t="n">
        <v>0</v>
      </c>
      <c r="J1623" s="37" t="n">
        <v>3</v>
      </c>
      <c r="K1623" s="16" t="n">
        <v>36</v>
      </c>
    </row>
    <row r="1624">
      <c r="A1624" s="30" t="n">
        <v>46324.94375</v>
      </c>
      <c r="B1624" s="30" t="n">
        <v>46324.95486111111</v>
      </c>
      <c r="C1624" s="9" t="n">
        <v>46327</v>
      </c>
      <c r="D1624" s="10" t="n">
        <v>0.9993055555555556</v>
      </c>
      <c r="E1624" s="36" t="n">
        <v>1</v>
      </c>
      <c r="F1624" s="36" t="n">
        <v>1</v>
      </c>
      <c r="G1624" s="36" t="n">
        <v>0</v>
      </c>
      <c r="H1624" s="36" t="n">
        <v>0</v>
      </c>
      <c r="I1624" s="36" t="n">
        <v>0</v>
      </c>
      <c r="J1624" s="36" t="n">
        <v>2</v>
      </c>
      <c r="K1624" s="12" t="n">
        <v>24</v>
      </c>
    </row>
    <row r="1625">
      <c r="A1625" s="33" t="n">
        <v>46324.95486111111</v>
      </c>
      <c r="B1625" s="33" t="n">
        <v>46324.99513888889</v>
      </c>
      <c r="C1625" s="13" t="n">
        <v>46325</v>
      </c>
      <c r="D1625" s="14" t="n">
        <v>0.84375</v>
      </c>
      <c r="E1625" s="37" t="n">
        <v>3</v>
      </c>
      <c r="F1625" s="37" t="n">
        <v>0</v>
      </c>
      <c r="G1625" s="37" t="n">
        <v>0</v>
      </c>
      <c r="H1625" s="37" t="n">
        <v>3</v>
      </c>
      <c r="I1625" s="37" t="n">
        <v>0</v>
      </c>
      <c r="J1625" s="37" t="n">
        <v>12</v>
      </c>
      <c r="K1625" s="16" t="n">
        <v>144</v>
      </c>
    </row>
    <row r="1626">
      <c r="A1626" s="30" t="n">
        <v>46324.95486111111</v>
      </c>
      <c r="B1626" s="30" t="n">
        <v>46324.99513888889</v>
      </c>
      <c r="C1626" s="9" t="n">
        <v>46326</v>
      </c>
      <c r="D1626" s="10" t="n">
        <v>0.8020833333333334</v>
      </c>
      <c r="E1626" s="36" t="n">
        <v>4</v>
      </c>
      <c r="F1626" s="36" t="n">
        <v>2</v>
      </c>
      <c r="G1626" s="36" t="n">
        <v>0</v>
      </c>
      <c r="H1626" s="36" t="n">
        <v>1</v>
      </c>
      <c r="I1626" s="36" t="n">
        <v>1</v>
      </c>
      <c r="J1626" s="36" t="n">
        <v>13</v>
      </c>
      <c r="K1626" s="12" t="n">
        <v>156</v>
      </c>
    </row>
    <row r="1627">
      <c r="A1627" s="33" t="n">
        <v>46324.95486111111</v>
      </c>
      <c r="B1627" s="33" t="n">
        <v>46324.99513888889</v>
      </c>
      <c r="C1627" s="13" t="n">
        <v>46327</v>
      </c>
      <c r="D1627" s="14" t="n">
        <v>0.8020833333333334</v>
      </c>
      <c r="E1627" s="37" t="n">
        <v>1</v>
      </c>
      <c r="F1627" s="37" t="n">
        <v>0</v>
      </c>
      <c r="G1627" s="37" t="n">
        <v>0</v>
      </c>
      <c r="H1627" s="37" t="n">
        <v>1</v>
      </c>
      <c r="I1627" s="37" t="n">
        <v>0</v>
      </c>
      <c r="J1627" s="37" t="n">
        <v>4</v>
      </c>
      <c r="K1627" s="16" t="n">
        <v>48</v>
      </c>
    </row>
    <row r="1628">
      <c r="A1628" s="30" t="n">
        <v>46324.95486111111</v>
      </c>
      <c r="B1628" s="30" t="n">
        <v>46324.99513888889</v>
      </c>
      <c r="C1628" s="9" t="n">
        <v>46327</v>
      </c>
      <c r="D1628" s="10" t="n">
        <v>0.84375</v>
      </c>
      <c r="E1628" s="36" t="n">
        <v>1</v>
      </c>
      <c r="F1628" s="36" t="n">
        <v>1</v>
      </c>
      <c r="G1628" s="36" t="n">
        <v>0</v>
      </c>
      <c r="H1628" s="36" t="n">
        <v>0</v>
      </c>
      <c r="I1628" s="36" t="n">
        <v>0</v>
      </c>
      <c r="J1628" s="36" t="n">
        <v>2</v>
      </c>
      <c r="K1628" s="12" t="n">
        <v>24</v>
      </c>
    </row>
    <row r="1629">
      <c r="A1629" s="33" t="n">
        <v>46324.95486111111</v>
      </c>
      <c r="B1629" s="33" t="n">
        <v>46324.99513888889</v>
      </c>
      <c r="C1629" s="13" t="n">
        <v>46327</v>
      </c>
      <c r="D1629" s="14" t="n">
        <v>0.8854166666666666</v>
      </c>
      <c r="E1629" s="37" t="n">
        <v>3</v>
      </c>
      <c r="F1629" s="37" t="n">
        <v>0</v>
      </c>
      <c r="G1629" s="37" t="n">
        <v>1</v>
      </c>
      <c r="H1629" s="37" t="n">
        <v>1</v>
      </c>
      <c r="I1629" s="37" t="n">
        <v>1</v>
      </c>
      <c r="J1629" s="37" t="n">
        <v>12</v>
      </c>
      <c r="K1629" s="16" t="n">
        <v>144</v>
      </c>
    </row>
    <row r="1630">
      <c r="A1630" s="30" t="n">
        <v>46324.95486111111</v>
      </c>
      <c r="B1630" s="30" t="n">
        <v>46324.99513888889</v>
      </c>
      <c r="C1630" s="9" t="n">
        <v>46327</v>
      </c>
      <c r="D1630" s="10" t="n">
        <v>0.9270833333333334</v>
      </c>
      <c r="E1630" s="36" t="n">
        <v>1</v>
      </c>
      <c r="F1630" s="36" t="n">
        <v>0</v>
      </c>
      <c r="G1630" s="36" t="n">
        <v>0</v>
      </c>
      <c r="H1630" s="36" t="n">
        <v>0</v>
      </c>
      <c r="I1630" s="36" t="n">
        <v>1</v>
      </c>
      <c r="J1630" s="36" t="n">
        <v>5</v>
      </c>
      <c r="K1630" s="12" t="n">
        <v>60</v>
      </c>
    </row>
    <row r="1631">
      <c r="A1631" s="33" t="n">
        <v>46324.95486111111</v>
      </c>
      <c r="B1631" s="33" t="n">
        <v>46324.99513888889</v>
      </c>
      <c r="C1631" s="13" t="n">
        <v>46327</v>
      </c>
      <c r="D1631" s="14" t="n">
        <v>0.96875</v>
      </c>
      <c r="E1631" s="37" t="n">
        <v>1</v>
      </c>
      <c r="F1631" s="37" t="n">
        <v>1</v>
      </c>
      <c r="G1631" s="37" t="n">
        <v>0</v>
      </c>
      <c r="H1631" s="37" t="n">
        <v>0</v>
      </c>
      <c r="I1631" s="37" t="n">
        <v>0</v>
      </c>
      <c r="J1631" s="37" t="n">
        <v>2</v>
      </c>
      <c r="K1631" s="16" t="n">
        <v>24</v>
      </c>
    </row>
    <row r="1632">
      <c r="A1632" s="30" t="n">
        <v>46324.95486111111</v>
      </c>
      <c r="B1632" s="30" t="n">
        <v>46324.99513888889</v>
      </c>
      <c r="C1632" s="9" t="n">
        <v>46327</v>
      </c>
      <c r="D1632" s="10" t="n">
        <v>0.9993055555555556</v>
      </c>
      <c r="E1632" s="36" t="n">
        <v>1</v>
      </c>
      <c r="F1632" s="36" t="n">
        <v>1</v>
      </c>
      <c r="G1632" s="36" t="n">
        <v>0</v>
      </c>
      <c r="H1632" s="36" t="n">
        <v>0</v>
      </c>
      <c r="I1632" s="36" t="n">
        <v>0</v>
      </c>
      <c r="J1632" s="36" t="n">
        <v>2</v>
      </c>
      <c r="K1632" s="12" t="n">
        <v>24</v>
      </c>
    </row>
    <row r="1633">
      <c r="A1633" s="33" t="n">
        <v>46324.99513888889</v>
      </c>
      <c r="B1633" s="33" t="n">
        <v>46325.01944444444</v>
      </c>
      <c r="C1633" s="13" t="n">
        <v>46325</v>
      </c>
      <c r="D1633" s="14" t="n">
        <v>0.84375</v>
      </c>
      <c r="E1633" s="37" t="n">
        <v>1</v>
      </c>
      <c r="F1633" s="37" t="n">
        <v>0</v>
      </c>
      <c r="G1633" s="37" t="n">
        <v>0</v>
      </c>
      <c r="H1633" s="37" t="n">
        <v>0</v>
      </c>
      <c r="I1633" s="37" t="n">
        <v>1</v>
      </c>
      <c r="J1633" s="37" t="n">
        <v>5</v>
      </c>
      <c r="K1633" s="16" t="n">
        <v>60</v>
      </c>
    </row>
    <row r="1634">
      <c r="A1634" s="30" t="n">
        <v>46324.99513888889</v>
      </c>
      <c r="B1634" s="30" t="n">
        <v>46325.01944444444</v>
      </c>
      <c r="C1634" s="9" t="n">
        <v>46327</v>
      </c>
      <c r="D1634" s="10" t="n">
        <v>0.96875</v>
      </c>
      <c r="E1634" s="36" t="n">
        <v>3</v>
      </c>
      <c r="F1634" s="36" t="n">
        <v>0</v>
      </c>
      <c r="G1634" s="36" t="n">
        <v>1</v>
      </c>
      <c r="H1634" s="36" t="n">
        <v>1</v>
      </c>
      <c r="I1634" s="36" t="n">
        <v>1</v>
      </c>
      <c r="J1634" s="36" t="n">
        <v>12</v>
      </c>
      <c r="K1634" s="12" t="n">
        <v>144</v>
      </c>
    </row>
    <row r="1635">
      <c r="A1635" s="33" t="n">
        <v>46325.01944444444</v>
      </c>
      <c r="B1635" s="33" t="n">
        <v>46325.03472222222</v>
      </c>
      <c r="C1635" s="13" t="n">
        <v>46325</v>
      </c>
      <c r="D1635" s="14" t="n">
        <v>0.84375</v>
      </c>
      <c r="E1635" s="37" t="n">
        <v>2</v>
      </c>
      <c r="F1635" s="37" t="n">
        <v>1</v>
      </c>
      <c r="G1635" s="37" t="n">
        <v>1</v>
      </c>
      <c r="H1635" s="37" t="n">
        <v>0</v>
      </c>
      <c r="I1635" s="37" t="n">
        <v>0</v>
      </c>
      <c r="J1635" s="37" t="n">
        <v>5</v>
      </c>
      <c r="K1635" s="16" t="n">
        <v>60</v>
      </c>
    </row>
    <row r="1636">
      <c r="A1636" s="30" t="n">
        <v>46325.01944444444</v>
      </c>
      <c r="B1636" s="30" t="n">
        <v>46325.03472222222</v>
      </c>
      <c r="C1636" s="9" t="n">
        <v>46327</v>
      </c>
      <c r="D1636" s="10" t="n">
        <v>0.9993055555555556</v>
      </c>
      <c r="E1636" s="36" t="n">
        <v>1</v>
      </c>
      <c r="F1636" s="36" t="n">
        <v>1</v>
      </c>
      <c r="G1636" s="36" t="n">
        <v>0</v>
      </c>
      <c r="H1636" s="36" t="n">
        <v>0</v>
      </c>
      <c r="I1636" s="36" t="n">
        <v>0</v>
      </c>
      <c r="J1636" s="36" t="n">
        <v>2</v>
      </c>
      <c r="K1636" s="12" t="n">
        <v>24</v>
      </c>
    </row>
    <row r="1637">
      <c r="A1637" s="33" t="n">
        <v>46325.03541666667</v>
      </c>
      <c r="B1637" s="33" t="n">
        <v>46325.11388888889</v>
      </c>
      <c r="C1637" s="13" t="n">
        <v>46325</v>
      </c>
      <c r="D1637" s="14" t="n">
        <v>0.84375</v>
      </c>
      <c r="E1637" s="37" t="n">
        <v>1</v>
      </c>
      <c r="F1637" s="37" t="n">
        <v>1</v>
      </c>
      <c r="G1637" s="37" t="n">
        <v>0</v>
      </c>
      <c r="H1637" s="37" t="n">
        <v>0</v>
      </c>
      <c r="I1637" s="37" t="n">
        <v>0</v>
      </c>
      <c r="J1637" s="37" t="n">
        <v>2</v>
      </c>
      <c r="K1637" s="16" t="n">
        <v>24</v>
      </c>
    </row>
    <row r="1638">
      <c r="A1638" s="30" t="n">
        <v>46325.03541666667</v>
      </c>
      <c r="B1638" s="30" t="n">
        <v>46325.11388888889</v>
      </c>
      <c r="C1638" s="9" t="n">
        <v>46326</v>
      </c>
      <c r="D1638" s="10" t="n">
        <v>0.8020833333333334</v>
      </c>
      <c r="E1638" s="36" t="n">
        <v>1</v>
      </c>
      <c r="F1638" s="36" t="n">
        <v>0</v>
      </c>
      <c r="G1638" s="36" t="n">
        <v>0</v>
      </c>
      <c r="H1638" s="36" t="n">
        <v>1</v>
      </c>
      <c r="I1638" s="36" t="n">
        <v>0</v>
      </c>
      <c r="J1638" s="36" t="n">
        <v>4</v>
      </c>
      <c r="K1638" s="12" t="n">
        <v>48</v>
      </c>
    </row>
    <row r="1639">
      <c r="A1639" s="33" t="n">
        <v>46325.03541666667</v>
      </c>
      <c r="B1639" s="33" t="n">
        <v>46325.11388888889</v>
      </c>
      <c r="C1639" s="13" t="n">
        <v>46327</v>
      </c>
      <c r="D1639" s="14" t="n">
        <v>0.96875</v>
      </c>
      <c r="E1639" s="37" t="n">
        <v>3</v>
      </c>
      <c r="F1639" s="37" t="n">
        <v>0</v>
      </c>
      <c r="G1639" s="37" t="n">
        <v>0</v>
      </c>
      <c r="H1639" s="37" t="n">
        <v>3</v>
      </c>
      <c r="I1639" s="37" t="n">
        <v>0</v>
      </c>
      <c r="J1639" s="37" t="n">
        <v>12</v>
      </c>
      <c r="K1639" s="16" t="n">
        <v>144</v>
      </c>
    </row>
    <row r="1640">
      <c r="A1640" s="30" t="n">
        <v>46325.11388888889</v>
      </c>
      <c r="B1640" s="30" t="n">
        <v>46325.38958333333</v>
      </c>
      <c r="C1640" s="9" t="n">
        <v>46325</v>
      </c>
      <c r="D1640" s="10" t="n">
        <v>0.84375</v>
      </c>
      <c r="E1640" s="36" t="n">
        <v>2</v>
      </c>
      <c r="F1640" s="36" t="n">
        <v>0</v>
      </c>
      <c r="G1640" s="36" t="n">
        <v>1</v>
      </c>
      <c r="H1640" s="36" t="n">
        <v>0</v>
      </c>
      <c r="I1640" s="36" t="n">
        <v>1</v>
      </c>
      <c r="J1640" s="36" t="n">
        <v>8</v>
      </c>
      <c r="K1640" s="12" t="n">
        <v>96</v>
      </c>
    </row>
    <row r="1641">
      <c r="A1641" s="33" t="n">
        <v>46325.11388888889</v>
      </c>
      <c r="B1641" s="33" t="n">
        <v>46325.38958333333</v>
      </c>
      <c r="C1641" s="13" t="n">
        <v>46326</v>
      </c>
      <c r="D1641" s="14" t="n">
        <v>0.8020833333333334</v>
      </c>
      <c r="E1641" s="37" t="n">
        <v>4</v>
      </c>
      <c r="F1641" s="37" t="n">
        <v>3</v>
      </c>
      <c r="G1641" s="37" t="n">
        <v>0</v>
      </c>
      <c r="H1641" s="37" t="n">
        <v>1</v>
      </c>
      <c r="I1641" s="37" t="n">
        <v>0</v>
      </c>
      <c r="J1641" s="37" t="n">
        <v>10</v>
      </c>
      <c r="K1641" s="16" t="n">
        <v>120</v>
      </c>
    </row>
    <row r="1642">
      <c r="A1642" s="30" t="n">
        <v>46325.11388888889</v>
      </c>
      <c r="B1642" s="30" t="n">
        <v>46325.38958333333</v>
      </c>
      <c r="C1642" s="9" t="n">
        <v>46327</v>
      </c>
      <c r="D1642" s="10" t="n">
        <v>0.96875</v>
      </c>
      <c r="E1642" s="36" t="n">
        <v>1</v>
      </c>
      <c r="F1642" s="36" t="n">
        <v>1</v>
      </c>
      <c r="G1642" s="36" t="n">
        <v>0</v>
      </c>
      <c r="H1642" s="36" t="n">
        <v>0</v>
      </c>
      <c r="I1642" s="36" t="n">
        <v>0</v>
      </c>
      <c r="J1642" s="36" t="n">
        <v>2</v>
      </c>
      <c r="K1642" s="12" t="n">
        <v>24</v>
      </c>
    </row>
    <row r="1643">
      <c r="A1643" s="33" t="n">
        <v>46325.38958333333</v>
      </c>
      <c r="B1643" s="33" t="n">
        <v>46325.53055555555</v>
      </c>
      <c r="C1643" s="13" t="n">
        <v>46325</v>
      </c>
      <c r="D1643" s="14" t="n">
        <v>0.84375</v>
      </c>
      <c r="E1643" s="37" t="n">
        <v>3</v>
      </c>
      <c r="F1643" s="37" t="n">
        <v>1</v>
      </c>
      <c r="G1643" s="37" t="n">
        <v>0</v>
      </c>
      <c r="H1643" s="37" t="n">
        <v>2</v>
      </c>
      <c r="I1643" s="37" t="n">
        <v>0</v>
      </c>
      <c r="J1643" s="37" t="n">
        <v>10</v>
      </c>
      <c r="K1643" s="16" t="n">
        <v>120</v>
      </c>
    </row>
    <row r="1644">
      <c r="A1644" s="30" t="n">
        <v>46325.38958333333</v>
      </c>
      <c r="B1644" s="30" t="n">
        <v>46325.53055555555</v>
      </c>
      <c r="C1644" s="9" t="n">
        <v>46326</v>
      </c>
      <c r="D1644" s="10" t="n">
        <v>0.8020833333333334</v>
      </c>
      <c r="E1644" s="36" t="n">
        <v>1</v>
      </c>
      <c r="F1644" s="36" t="n">
        <v>0</v>
      </c>
      <c r="G1644" s="36" t="n">
        <v>1</v>
      </c>
      <c r="H1644" s="36" t="n">
        <v>0</v>
      </c>
      <c r="I1644" s="36" t="n">
        <v>0</v>
      </c>
      <c r="J1644" s="36" t="n">
        <v>3</v>
      </c>
      <c r="K1644" s="12" t="n">
        <v>36</v>
      </c>
    </row>
    <row r="1645">
      <c r="A1645" s="33" t="n">
        <v>46325.38958333333</v>
      </c>
      <c r="B1645" s="33" t="n">
        <v>46325.53055555555</v>
      </c>
      <c r="C1645" s="13" t="n">
        <v>46327</v>
      </c>
      <c r="D1645" s="14" t="n">
        <v>0.8020833333333334</v>
      </c>
      <c r="E1645" s="37" t="n">
        <v>4</v>
      </c>
      <c r="F1645" s="37" t="n">
        <v>3</v>
      </c>
      <c r="G1645" s="37" t="n">
        <v>0</v>
      </c>
      <c r="H1645" s="37" t="n">
        <v>1</v>
      </c>
      <c r="I1645" s="37" t="n">
        <v>0</v>
      </c>
      <c r="J1645" s="37" t="n">
        <v>10</v>
      </c>
      <c r="K1645" s="16" t="n">
        <v>120</v>
      </c>
    </row>
    <row r="1646">
      <c r="A1646" s="30" t="n">
        <v>46325.38958333333</v>
      </c>
      <c r="B1646" s="30" t="n">
        <v>46325.53055555555</v>
      </c>
      <c r="C1646" s="9" t="n">
        <v>46327</v>
      </c>
      <c r="D1646" s="10" t="n">
        <v>0.84375</v>
      </c>
      <c r="E1646" s="36" t="n">
        <v>7</v>
      </c>
      <c r="F1646" s="36" t="n">
        <v>3</v>
      </c>
      <c r="G1646" s="36" t="n">
        <v>2</v>
      </c>
      <c r="H1646" s="36" t="n">
        <v>1</v>
      </c>
      <c r="I1646" s="36" t="n">
        <v>1</v>
      </c>
      <c r="J1646" s="36" t="n">
        <v>21</v>
      </c>
      <c r="K1646" s="12" t="n">
        <v>252</v>
      </c>
    </row>
    <row r="1647">
      <c r="A1647" s="33" t="n">
        <v>46325.38958333333</v>
      </c>
      <c r="B1647" s="33" t="n">
        <v>46325.53055555555</v>
      </c>
      <c r="C1647" s="13" t="n">
        <v>46327</v>
      </c>
      <c r="D1647" s="14" t="n">
        <v>0.8854166666666666</v>
      </c>
      <c r="E1647" s="37" t="n">
        <v>7</v>
      </c>
      <c r="F1647" s="37" t="n">
        <v>5</v>
      </c>
      <c r="G1647" s="37" t="n">
        <v>0</v>
      </c>
      <c r="H1647" s="37" t="n">
        <v>1</v>
      </c>
      <c r="I1647" s="37" t="n">
        <v>1</v>
      </c>
      <c r="J1647" s="37" t="n">
        <v>19</v>
      </c>
      <c r="K1647" s="16" t="n">
        <v>228</v>
      </c>
    </row>
    <row r="1648">
      <c r="A1648" s="30" t="n">
        <v>46325.38958333333</v>
      </c>
      <c r="B1648" s="30" t="n">
        <v>46325.53055555555</v>
      </c>
      <c r="C1648" s="9" t="n">
        <v>46327</v>
      </c>
      <c r="D1648" s="10" t="n">
        <v>0.96875</v>
      </c>
      <c r="E1648" s="36" t="n">
        <v>4</v>
      </c>
      <c r="F1648" s="36" t="n">
        <v>3</v>
      </c>
      <c r="G1648" s="36" t="n">
        <v>1</v>
      </c>
      <c r="H1648" s="36" t="n">
        <v>-1</v>
      </c>
      <c r="I1648" s="36" t="n">
        <v>1</v>
      </c>
      <c r="J1648" s="36" t="n">
        <v>10</v>
      </c>
      <c r="K1648" s="12" t="n">
        <v>120</v>
      </c>
    </row>
    <row r="1649">
      <c r="A1649" s="33" t="n">
        <v>46325.38958333333</v>
      </c>
      <c r="B1649" s="33" t="n">
        <v>46325.53055555555</v>
      </c>
      <c r="C1649" s="13" t="n">
        <v>46327</v>
      </c>
      <c r="D1649" s="14" t="n">
        <v>0.9993055555555556</v>
      </c>
      <c r="E1649" s="37" t="n">
        <v>1</v>
      </c>
      <c r="F1649" s="37" t="n">
        <v>0</v>
      </c>
      <c r="G1649" s="37" t="n">
        <v>0</v>
      </c>
      <c r="H1649" s="37" t="n">
        <v>1</v>
      </c>
      <c r="I1649" s="37" t="n">
        <v>0</v>
      </c>
      <c r="J1649" s="37" t="n">
        <v>4</v>
      </c>
      <c r="K1649" s="16" t="n">
        <v>48</v>
      </c>
    </row>
    <row r="1650">
      <c r="A1650" s="30" t="n">
        <v>46325.53055555555</v>
      </c>
      <c r="B1650" s="30" t="n">
        <v>46325.55208333334</v>
      </c>
      <c r="C1650" s="9" t="n">
        <v>46327</v>
      </c>
      <c r="D1650" s="10" t="n">
        <v>0.8020833333333334</v>
      </c>
      <c r="E1650" s="36" t="n">
        <v>1</v>
      </c>
      <c r="F1650" s="36" t="n">
        <v>1</v>
      </c>
      <c r="G1650" s="36" t="n">
        <v>0</v>
      </c>
      <c r="H1650" s="36" t="n">
        <v>0</v>
      </c>
      <c r="I1650" s="36" t="n">
        <v>0</v>
      </c>
      <c r="J1650" s="36" t="n">
        <v>2</v>
      </c>
      <c r="K1650" s="12" t="n">
        <v>24</v>
      </c>
    </row>
    <row r="1651">
      <c r="A1651" s="33" t="n">
        <v>46325.53055555555</v>
      </c>
      <c r="B1651" s="33" t="n">
        <v>46325.55208333334</v>
      </c>
      <c r="C1651" s="13" t="n">
        <v>46327</v>
      </c>
      <c r="D1651" s="14" t="n">
        <v>0.96875</v>
      </c>
      <c r="E1651" s="37" t="n">
        <v>4</v>
      </c>
      <c r="F1651" s="37" t="n">
        <v>1</v>
      </c>
      <c r="G1651" s="37" t="n">
        <v>0</v>
      </c>
      <c r="H1651" s="37" t="n">
        <v>3</v>
      </c>
      <c r="I1651" s="37" t="n">
        <v>0</v>
      </c>
      <c r="J1651" s="37" t="n">
        <v>14</v>
      </c>
      <c r="K1651" s="16" t="n">
        <v>168</v>
      </c>
    </row>
    <row r="1652">
      <c r="A1652" s="30" t="n">
        <v>46325.53055555555</v>
      </c>
      <c r="B1652" s="30" t="n">
        <v>46325.55208333334</v>
      </c>
      <c r="C1652" s="9" t="n">
        <v>46327</v>
      </c>
      <c r="D1652" s="10" t="n">
        <v>0.9993055555555556</v>
      </c>
      <c r="E1652" s="36" t="n">
        <v>1</v>
      </c>
      <c r="F1652" s="36" t="n">
        <v>1</v>
      </c>
      <c r="G1652" s="36" t="n">
        <v>0</v>
      </c>
      <c r="H1652" s="36" t="n">
        <v>0</v>
      </c>
      <c r="I1652" s="36" t="n">
        <v>0</v>
      </c>
      <c r="J1652" s="36" t="n">
        <v>2</v>
      </c>
      <c r="K1652" s="12" t="n">
        <v>24</v>
      </c>
    </row>
    <row r="1653">
      <c r="A1653" s="33" t="n">
        <v>46325.55208333334</v>
      </c>
      <c r="B1653" s="33" t="n">
        <v>46325.56805555556</v>
      </c>
      <c r="C1653" s="13" t="n">
        <v>46327</v>
      </c>
      <c r="D1653" s="14" t="n">
        <v>0.8020833333333334</v>
      </c>
      <c r="E1653" s="37" t="n">
        <v>2</v>
      </c>
      <c r="F1653" s="37" t="n">
        <v>0</v>
      </c>
      <c r="G1653" s="37" t="n">
        <v>0</v>
      </c>
      <c r="H1653" s="37" t="n">
        <v>2</v>
      </c>
      <c r="I1653" s="37" t="n">
        <v>0</v>
      </c>
      <c r="J1653" s="37" t="n">
        <v>8</v>
      </c>
      <c r="K1653" s="16" t="n">
        <v>96</v>
      </c>
    </row>
    <row r="1654">
      <c r="A1654" s="30" t="n">
        <v>46325.55208333334</v>
      </c>
      <c r="B1654" s="30" t="n">
        <v>46325.56805555556</v>
      </c>
      <c r="C1654" s="9" t="n">
        <v>46327</v>
      </c>
      <c r="D1654" s="10" t="n">
        <v>0.96875</v>
      </c>
      <c r="E1654" s="36" t="n">
        <v>1</v>
      </c>
      <c r="F1654" s="36" t="n">
        <v>0</v>
      </c>
      <c r="G1654" s="36" t="n">
        <v>0</v>
      </c>
      <c r="H1654" s="36" t="n">
        <v>1</v>
      </c>
      <c r="I1654" s="36" t="n">
        <v>0</v>
      </c>
      <c r="J1654" s="36" t="n">
        <v>4</v>
      </c>
      <c r="K1654" s="12" t="n">
        <v>48</v>
      </c>
    </row>
    <row r="1655">
      <c r="A1655" s="33" t="n">
        <v>46325.56805555556</v>
      </c>
      <c r="B1655" s="33" t="n">
        <v>46325.58402777778</v>
      </c>
      <c r="C1655" s="13" t="n">
        <v>46327</v>
      </c>
      <c r="D1655" s="14" t="n">
        <v>0.8854166666666666</v>
      </c>
      <c r="E1655" s="37" t="n">
        <v>3</v>
      </c>
      <c r="F1655" s="37" t="n">
        <v>2</v>
      </c>
      <c r="G1655" s="37" t="n">
        <v>0</v>
      </c>
      <c r="H1655" s="37" t="n">
        <v>1</v>
      </c>
      <c r="I1655" s="37" t="n">
        <v>0</v>
      </c>
      <c r="J1655" s="37" t="n">
        <v>8</v>
      </c>
      <c r="K1655" s="16" t="n">
        <v>96</v>
      </c>
    </row>
    <row r="1656">
      <c r="A1656" s="30" t="n">
        <v>46325.56805555556</v>
      </c>
      <c r="B1656" s="30" t="n">
        <v>46325.58402777778</v>
      </c>
      <c r="C1656" s="9" t="n">
        <v>46327</v>
      </c>
      <c r="D1656" s="10" t="n">
        <v>0.96875</v>
      </c>
      <c r="E1656" s="36" t="n">
        <v>1</v>
      </c>
      <c r="F1656" s="36" t="n">
        <v>0</v>
      </c>
      <c r="G1656" s="36" t="n">
        <v>0</v>
      </c>
      <c r="H1656" s="36" t="n">
        <v>1</v>
      </c>
      <c r="I1656" s="36" t="n">
        <v>0</v>
      </c>
      <c r="J1656" s="36" t="n">
        <v>4</v>
      </c>
      <c r="K1656" s="12" t="n">
        <v>48</v>
      </c>
    </row>
    <row r="1657">
      <c r="A1657" s="33" t="n">
        <v>46325.58402777778</v>
      </c>
      <c r="B1657" s="33" t="n">
        <v>46325.59236111111</v>
      </c>
      <c r="C1657" s="13" t="n">
        <v>46327</v>
      </c>
      <c r="D1657" s="14" t="n">
        <v>0.8020833333333334</v>
      </c>
      <c r="E1657" s="37" t="n">
        <v>2</v>
      </c>
      <c r="F1657" s="37" t="n">
        <v>0</v>
      </c>
      <c r="G1657" s="37" t="n">
        <v>0</v>
      </c>
      <c r="H1657" s="37" t="n">
        <v>2</v>
      </c>
      <c r="I1657" s="37" t="n">
        <v>0</v>
      </c>
      <c r="J1657" s="37" t="n">
        <v>8</v>
      </c>
      <c r="K1657" s="16" t="n">
        <v>96</v>
      </c>
    </row>
    <row r="1658">
      <c r="A1658" s="30" t="n">
        <v>46325.58402777778</v>
      </c>
      <c r="B1658" s="30" t="n">
        <v>46325.59236111111</v>
      </c>
      <c r="C1658" s="9" t="n">
        <v>46327</v>
      </c>
      <c r="D1658" s="10" t="n">
        <v>0.8854166666666666</v>
      </c>
      <c r="E1658" s="36" t="n">
        <v>2</v>
      </c>
      <c r="F1658" s="36" t="n">
        <v>0</v>
      </c>
      <c r="G1658" s="36" t="n">
        <v>1</v>
      </c>
      <c r="H1658" s="36" t="n">
        <v>0</v>
      </c>
      <c r="I1658" s="36" t="n">
        <v>1</v>
      </c>
      <c r="J1658" s="36" t="n">
        <v>8</v>
      </c>
      <c r="K1658" s="12" t="n">
        <v>96</v>
      </c>
    </row>
    <row r="1659">
      <c r="A1659" s="33" t="n">
        <v>46325.58402777778</v>
      </c>
      <c r="B1659" s="33" t="n">
        <v>46325.59236111111</v>
      </c>
      <c r="C1659" s="13" t="n">
        <v>46327</v>
      </c>
      <c r="D1659" s="14" t="n">
        <v>0.96875</v>
      </c>
      <c r="E1659" s="37" t="n">
        <v>2</v>
      </c>
      <c r="F1659" s="37" t="n">
        <v>1</v>
      </c>
      <c r="G1659" s="37" t="n">
        <v>0</v>
      </c>
      <c r="H1659" s="37" t="n">
        <v>1</v>
      </c>
      <c r="I1659" s="37" t="n">
        <v>0</v>
      </c>
      <c r="J1659" s="37" t="n">
        <v>6</v>
      </c>
      <c r="K1659" s="16" t="n">
        <v>72</v>
      </c>
    </row>
    <row r="1660">
      <c r="A1660" s="30" t="n">
        <v>46325.58402777778</v>
      </c>
      <c r="B1660" s="30" t="n">
        <v>46325.59236111111</v>
      </c>
      <c r="C1660" s="9" t="n">
        <v>46327</v>
      </c>
      <c r="D1660" s="10" t="n">
        <v>0.9993055555555556</v>
      </c>
      <c r="E1660" s="36" t="n">
        <v>1</v>
      </c>
      <c r="F1660" s="36" t="n">
        <v>0</v>
      </c>
      <c r="G1660" s="36" t="n">
        <v>1</v>
      </c>
      <c r="H1660" s="36" t="n">
        <v>0</v>
      </c>
      <c r="I1660" s="36" t="n">
        <v>0</v>
      </c>
      <c r="J1660" s="36" t="n">
        <v>3</v>
      </c>
      <c r="K1660" s="12" t="n">
        <v>36</v>
      </c>
    </row>
    <row r="1661">
      <c r="A1661" s="33" t="n">
        <v>46325.59236111111</v>
      </c>
      <c r="B1661" s="33" t="n">
        <v>46325.60277777778</v>
      </c>
      <c r="C1661" s="13" t="n">
        <v>46327</v>
      </c>
      <c r="D1661" s="14" t="n">
        <v>0.8020833333333334</v>
      </c>
      <c r="E1661" s="37" t="n">
        <v>1</v>
      </c>
      <c r="F1661" s="37" t="n">
        <v>1</v>
      </c>
      <c r="G1661" s="37" t="n">
        <v>0</v>
      </c>
      <c r="H1661" s="37" t="n">
        <v>0</v>
      </c>
      <c r="I1661" s="37" t="n">
        <v>0</v>
      </c>
      <c r="J1661" s="37" t="n">
        <v>2</v>
      </c>
      <c r="K1661" s="16" t="n">
        <v>24</v>
      </c>
    </row>
    <row r="1662">
      <c r="A1662" s="30" t="n">
        <v>46325.59236111111</v>
      </c>
      <c r="B1662" s="30" t="n">
        <v>46325.60277777778</v>
      </c>
      <c r="C1662" s="9" t="n">
        <v>46327</v>
      </c>
      <c r="D1662" s="10" t="n">
        <v>0.8854166666666666</v>
      </c>
      <c r="E1662" s="36" t="n">
        <v>1</v>
      </c>
      <c r="F1662" s="36" t="n">
        <v>1</v>
      </c>
      <c r="G1662" s="36" t="n">
        <v>0</v>
      </c>
      <c r="H1662" s="36" t="n">
        <v>0</v>
      </c>
      <c r="I1662" s="36" t="n">
        <v>0</v>
      </c>
      <c r="J1662" s="36" t="n">
        <v>2</v>
      </c>
      <c r="K1662" s="12" t="n">
        <v>24</v>
      </c>
    </row>
    <row r="1663">
      <c r="A1663" s="33" t="n">
        <v>46325.59236111111</v>
      </c>
      <c r="B1663" s="33" t="n">
        <v>46325.60277777778</v>
      </c>
      <c r="C1663" s="13" t="n">
        <v>46327</v>
      </c>
      <c r="D1663" s="14" t="n">
        <v>0.9993055555555556</v>
      </c>
      <c r="E1663" s="37" t="n">
        <v>1</v>
      </c>
      <c r="F1663" s="37" t="n">
        <v>1</v>
      </c>
      <c r="G1663" s="37" t="n">
        <v>0</v>
      </c>
      <c r="H1663" s="37" t="n">
        <v>0</v>
      </c>
      <c r="I1663" s="37" t="n">
        <v>0</v>
      </c>
      <c r="J1663" s="37" t="n">
        <v>2</v>
      </c>
      <c r="K1663" s="16" t="n">
        <v>24</v>
      </c>
    </row>
    <row r="1664">
      <c r="A1664" s="30" t="n">
        <v>46325.60277777778</v>
      </c>
      <c r="B1664" s="30" t="n">
        <v>46325.61944444444</v>
      </c>
      <c r="C1664" s="9" t="n">
        <v>46327</v>
      </c>
      <c r="D1664" s="10" t="n">
        <v>0.84375</v>
      </c>
      <c r="E1664" s="36" t="n">
        <v>2</v>
      </c>
      <c r="F1664" s="36" t="n">
        <v>0</v>
      </c>
      <c r="G1664" s="36" t="n">
        <v>1</v>
      </c>
      <c r="H1664" s="36" t="n">
        <v>0</v>
      </c>
      <c r="I1664" s="36" t="n">
        <v>1</v>
      </c>
      <c r="J1664" s="36" t="n">
        <v>8</v>
      </c>
      <c r="K1664" s="12" t="n">
        <v>96</v>
      </c>
    </row>
    <row r="1665">
      <c r="A1665" s="33" t="n">
        <v>46325.60277777778</v>
      </c>
      <c r="B1665" s="33" t="n">
        <v>46325.61944444444</v>
      </c>
      <c r="C1665" s="13" t="n">
        <v>46327</v>
      </c>
      <c r="D1665" s="14" t="n">
        <v>0.8854166666666666</v>
      </c>
      <c r="E1665" s="37" t="n">
        <v>2</v>
      </c>
      <c r="F1665" s="37" t="n">
        <v>1</v>
      </c>
      <c r="G1665" s="37" t="n">
        <v>0</v>
      </c>
      <c r="H1665" s="37" t="n">
        <v>1</v>
      </c>
      <c r="I1665" s="37" t="n">
        <v>0</v>
      </c>
      <c r="J1665" s="37" t="n">
        <v>6</v>
      </c>
      <c r="K1665" s="16" t="n">
        <v>72</v>
      </c>
    </row>
    <row r="1666">
      <c r="A1666" s="30" t="n">
        <v>46325.60277777778</v>
      </c>
      <c r="B1666" s="30" t="n">
        <v>46325.61944444444</v>
      </c>
      <c r="C1666" s="9" t="n">
        <v>46327</v>
      </c>
      <c r="D1666" s="10" t="n">
        <v>0.96875</v>
      </c>
      <c r="E1666" s="36" t="n">
        <v>1</v>
      </c>
      <c r="F1666" s="36" t="n">
        <v>1</v>
      </c>
      <c r="G1666" s="36" t="n">
        <v>0</v>
      </c>
      <c r="H1666" s="36" t="n">
        <v>0</v>
      </c>
      <c r="I1666" s="36" t="n">
        <v>0</v>
      </c>
      <c r="J1666" s="36" t="n">
        <v>2</v>
      </c>
      <c r="K1666" s="12" t="n">
        <v>24</v>
      </c>
    </row>
    <row r="1667">
      <c r="A1667" s="33" t="n">
        <v>46325.62152777778</v>
      </c>
      <c r="B1667" s="33" t="n">
        <v>46325.65416666667</v>
      </c>
      <c r="C1667" s="13" t="n">
        <v>46327</v>
      </c>
      <c r="D1667" s="14" t="n">
        <v>0.84375</v>
      </c>
      <c r="E1667" s="37" t="n">
        <v>1</v>
      </c>
      <c r="F1667" s="37" t="n">
        <v>1</v>
      </c>
      <c r="G1667" s="37" t="n">
        <v>0</v>
      </c>
      <c r="H1667" s="37" t="n">
        <v>0</v>
      </c>
      <c r="I1667" s="37" t="n">
        <v>0</v>
      </c>
      <c r="J1667" s="37" t="n">
        <v>2</v>
      </c>
      <c r="K1667" s="16" t="n">
        <v>24</v>
      </c>
    </row>
    <row r="1668">
      <c r="A1668" s="30" t="n">
        <v>46325.62152777778</v>
      </c>
      <c r="B1668" s="30" t="n">
        <v>46325.65416666667</v>
      </c>
      <c r="C1668" s="9" t="n">
        <v>46327</v>
      </c>
      <c r="D1668" s="10" t="n">
        <v>0.8854166666666666</v>
      </c>
      <c r="E1668" s="36" t="n">
        <v>6</v>
      </c>
      <c r="F1668" s="36" t="n">
        <v>3</v>
      </c>
      <c r="G1668" s="36" t="n">
        <v>2</v>
      </c>
      <c r="H1668" s="36" t="n">
        <v>0</v>
      </c>
      <c r="I1668" s="36" t="n">
        <v>1</v>
      </c>
      <c r="J1668" s="36" t="n">
        <v>17</v>
      </c>
      <c r="K1668" s="12" t="n">
        <v>204</v>
      </c>
    </row>
    <row r="1669">
      <c r="A1669" s="33" t="n">
        <v>46325.62152777778</v>
      </c>
      <c r="B1669" s="33" t="n">
        <v>46325.65416666667</v>
      </c>
      <c r="C1669" s="13" t="n">
        <v>46327</v>
      </c>
      <c r="D1669" s="14" t="n">
        <v>0.96875</v>
      </c>
      <c r="E1669" s="37" t="n">
        <v>2</v>
      </c>
      <c r="F1669" s="37" t="n">
        <v>2</v>
      </c>
      <c r="G1669" s="37" t="n">
        <v>0</v>
      </c>
      <c r="H1669" s="37" t="n">
        <v>0</v>
      </c>
      <c r="I1669" s="37" t="n">
        <v>0</v>
      </c>
      <c r="J1669" s="37" t="n">
        <v>4</v>
      </c>
      <c r="K1669" s="16" t="n">
        <v>48</v>
      </c>
    </row>
    <row r="1670">
      <c r="A1670" s="30" t="n">
        <v>46325.65416666667</v>
      </c>
      <c r="B1670" s="30" t="n">
        <v>46325.67638888889</v>
      </c>
      <c r="C1670" s="9" t="n">
        <v>46327</v>
      </c>
      <c r="D1670" s="10" t="n">
        <v>0.8854166666666666</v>
      </c>
      <c r="E1670" s="36" t="n">
        <v>1</v>
      </c>
      <c r="F1670" s="36" t="n">
        <v>1</v>
      </c>
      <c r="G1670" s="36" t="n">
        <v>0</v>
      </c>
      <c r="H1670" s="36" t="n">
        <v>0</v>
      </c>
      <c r="I1670" s="36" t="n">
        <v>0</v>
      </c>
      <c r="J1670" s="36" t="n">
        <v>2</v>
      </c>
      <c r="K1670" s="12" t="n">
        <v>24</v>
      </c>
    </row>
    <row r="1671">
      <c r="A1671" s="33" t="n">
        <v>46325.65416666667</v>
      </c>
      <c r="B1671" s="33" t="n">
        <v>46325.67638888889</v>
      </c>
      <c r="C1671" s="13" t="n">
        <v>46327</v>
      </c>
      <c r="D1671" s="14" t="n">
        <v>0.96875</v>
      </c>
      <c r="E1671" s="37" t="n">
        <v>2</v>
      </c>
      <c r="F1671" s="37" t="n">
        <v>1</v>
      </c>
      <c r="G1671" s="37" t="n">
        <v>0</v>
      </c>
      <c r="H1671" s="37" t="n">
        <v>1</v>
      </c>
      <c r="I1671" s="37" t="n">
        <v>0</v>
      </c>
      <c r="J1671" s="37" t="n">
        <v>6</v>
      </c>
      <c r="K1671" s="16" t="n">
        <v>72</v>
      </c>
    </row>
    <row r="1672">
      <c r="A1672" s="30" t="n">
        <v>46325.67638888889</v>
      </c>
      <c r="B1672" s="30" t="n">
        <v>46325.68263888889</v>
      </c>
      <c r="C1672" s="9" t="n">
        <v>46327</v>
      </c>
      <c r="D1672" s="10" t="n">
        <v>0.8020833333333334</v>
      </c>
      <c r="E1672" s="36" t="n">
        <v>1</v>
      </c>
      <c r="F1672" s="36" t="n">
        <v>1</v>
      </c>
      <c r="G1672" s="36" t="n">
        <v>0</v>
      </c>
      <c r="H1672" s="36" t="n">
        <v>0</v>
      </c>
      <c r="I1672" s="36" t="n">
        <v>0</v>
      </c>
      <c r="J1672" s="36" t="n">
        <v>2</v>
      </c>
      <c r="K1672" s="12" t="n">
        <v>24</v>
      </c>
    </row>
    <row r="1673">
      <c r="A1673" s="33" t="n">
        <v>46325.67638888889</v>
      </c>
      <c r="B1673" s="33" t="n">
        <v>46325.68263888889</v>
      </c>
      <c r="C1673" s="13" t="n">
        <v>46327</v>
      </c>
      <c r="D1673" s="14" t="n">
        <v>0.96875</v>
      </c>
      <c r="E1673" s="37" t="n">
        <v>1</v>
      </c>
      <c r="F1673" s="37" t="n">
        <v>0</v>
      </c>
      <c r="G1673" s="37" t="n">
        <v>1</v>
      </c>
      <c r="H1673" s="37" t="n">
        <v>0</v>
      </c>
      <c r="I1673" s="37" t="n">
        <v>0</v>
      </c>
      <c r="J1673" s="37" t="n">
        <v>3</v>
      </c>
      <c r="K1673" s="16" t="n">
        <v>36</v>
      </c>
    </row>
    <row r="1674">
      <c r="A1674" s="30" t="n">
        <v>46325.68263888889</v>
      </c>
      <c r="B1674" s="30" t="n">
        <v>46325.69722222222</v>
      </c>
      <c r="C1674" s="9" t="n">
        <v>46327</v>
      </c>
      <c r="D1674" s="10" t="n">
        <v>0.84375</v>
      </c>
      <c r="E1674" s="36" t="n">
        <v>1</v>
      </c>
      <c r="F1674" s="36" t="n">
        <v>0</v>
      </c>
      <c r="G1674" s="36" t="n">
        <v>1</v>
      </c>
      <c r="H1674" s="36" t="n">
        <v>0</v>
      </c>
      <c r="I1674" s="36" t="n">
        <v>0</v>
      </c>
      <c r="J1674" s="36" t="n">
        <v>3</v>
      </c>
      <c r="K1674" s="12" t="n">
        <v>36</v>
      </c>
    </row>
    <row r="1675">
      <c r="A1675" s="33" t="n">
        <v>46325.68263888889</v>
      </c>
      <c r="B1675" s="33" t="n">
        <v>46325.69722222222</v>
      </c>
      <c r="C1675" s="13" t="n">
        <v>46327</v>
      </c>
      <c r="D1675" s="14" t="n">
        <v>0.8854166666666666</v>
      </c>
      <c r="E1675" s="37" t="n">
        <v>1</v>
      </c>
      <c r="F1675" s="37" t="n">
        <v>1</v>
      </c>
      <c r="G1675" s="37" t="n">
        <v>0</v>
      </c>
      <c r="H1675" s="37" t="n">
        <v>0</v>
      </c>
      <c r="I1675" s="37" t="n">
        <v>0</v>
      </c>
      <c r="J1675" s="37" t="n">
        <v>2</v>
      </c>
      <c r="K1675" s="16" t="n">
        <v>24</v>
      </c>
    </row>
    <row r="1676">
      <c r="A1676" s="30" t="n">
        <v>46325.68263888889</v>
      </c>
      <c r="B1676" s="30" t="n">
        <v>46325.69722222222</v>
      </c>
      <c r="C1676" s="9" t="n">
        <v>46327</v>
      </c>
      <c r="D1676" s="10" t="n">
        <v>0.96875</v>
      </c>
      <c r="E1676" s="36" t="n">
        <v>2</v>
      </c>
      <c r="F1676" s="36" t="n">
        <v>0</v>
      </c>
      <c r="G1676" s="36" t="n">
        <v>1</v>
      </c>
      <c r="H1676" s="36" t="n">
        <v>1</v>
      </c>
      <c r="I1676" s="36" t="n">
        <v>0</v>
      </c>
      <c r="J1676" s="36" t="n">
        <v>7</v>
      </c>
      <c r="K1676" s="12" t="n">
        <v>84</v>
      </c>
    </row>
    <row r="1677">
      <c r="A1677" s="33" t="n">
        <v>46325.68263888889</v>
      </c>
      <c r="B1677" s="33" t="n">
        <v>46325.69722222222</v>
      </c>
      <c r="C1677" s="13" t="n">
        <v>46327</v>
      </c>
      <c r="D1677" s="14" t="n">
        <v>0.9993055555555556</v>
      </c>
      <c r="E1677" s="37" t="n">
        <v>4</v>
      </c>
      <c r="F1677" s="37" t="n">
        <v>2</v>
      </c>
      <c r="G1677" s="37" t="n">
        <v>2</v>
      </c>
      <c r="H1677" s="37" t="n">
        <v>0</v>
      </c>
      <c r="I1677" s="37" t="n">
        <v>0</v>
      </c>
      <c r="J1677" s="37" t="n">
        <v>10</v>
      </c>
      <c r="K1677" s="16" t="n">
        <v>120</v>
      </c>
    </row>
    <row r="1678">
      <c r="A1678" s="30" t="n">
        <v>46325.69722222222</v>
      </c>
      <c r="B1678" s="30" t="n">
        <v>46325.71041666667</v>
      </c>
      <c r="C1678" s="9" t="n">
        <v>46327</v>
      </c>
      <c r="D1678" s="10" t="n">
        <v>0.8020833333333334</v>
      </c>
      <c r="E1678" s="36" t="n">
        <v>1</v>
      </c>
      <c r="F1678" s="36" t="n">
        <v>0</v>
      </c>
      <c r="G1678" s="36" t="n">
        <v>0</v>
      </c>
      <c r="H1678" s="36" t="n">
        <v>1</v>
      </c>
      <c r="I1678" s="36" t="n">
        <v>0</v>
      </c>
      <c r="J1678" s="36" t="n">
        <v>4</v>
      </c>
      <c r="K1678" s="12" t="n">
        <v>48</v>
      </c>
    </row>
    <row r="1679">
      <c r="A1679" s="33" t="n">
        <v>46325.69722222222</v>
      </c>
      <c r="B1679" s="33" t="n">
        <v>46325.71041666667</v>
      </c>
      <c r="C1679" s="13" t="n">
        <v>46327</v>
      </c>
      <c r="D1679" s="14" t="n">
        <v>0.84375</v>
      </c>
      <c r="E1679" s="37" t="n">
        <v>2</v>
      </c>
      <c r="F1679" s="37" t="n">
        <v>1</v>
      </c>
      <c r="G1679" s="37" t="n">
        <v>0</v>
      </c>
      <c r="H1679" s="37" t="n">
        <v>1</v>
      </c>
      <c r="I1679" s="37" t="n">
        <v>0</v>
      </c>
      <c r="J1679" s="37" t="n">
        <v>6</v>
      </c>
      <c r="K1679" s="16" t="n">
        <v>72</v>
      </c>
    </row>
    <row r="1680">
      <c r="A1680" s="30" t="n">
        <v>46325.69722222222</v>
      </c>
      <c r="B1680" s="30" t="n">
        <v>46325.71041666667</v>
      </c>
      <c r="C1680" s="9" t="n">
        <v>46327</v>
      </c>
      <c r="D1680" s="10" t="n">
        <v>0.8854166666666666</v>
      </c>
      <c r="E1680" s="36" t="n">
        <v>1</v>
      </c>
      <c r="F1680" s="36" t="n">
        <v>0</v>
      </c>
      <c r="G1680" s="36" t="n">
        <v>0</v>
      </c>
      <c r="H1680" s="36" t="n">
        <v>1</v>
      </c>
      <c r="I1680" s="36" t="n">
        <v>0</v>
      </c>
      <c r="J1680" s="36" t="n">
        <v>4</v>
      </c>
      <c r="K1680" s="12" t="n">
        <v>48</v>
      </c>
    </row>
    <row r="1681">
      <c r="A1681" s="33" t="n">
        <v>46325.72430555556</v>
      </c>
      <c r="B1681" s="33" t="n">
        <v>46325.75347222222</v>
      </c>
      <c r="C1681" s="13" t="n">
        <v>46327</v>
      </c>
      <c r="D1681" s="14" t="n">
        <v>0.8020833333333334</v>
      </c>
      <c r="E1681" s="37" t="n">
        <v>3</v>
      </c>
      <c r="F1681" s="37" t="n">
        <v>2</v>
      </c>
      <c r="G1681" s="37" t="n">
        <v>0</v>
      </c>
      <c r="H1681" s="37" t="n">
        <v>1</v>
      </c>
      <c r="I1681" s="37" t="n">
        <v>0</v>
      </c>
      <c r="J1681" s="37" t="n">
        <v>8</v>
      </c>
      <c r="K1681" s="16" t="n">
        <v>96</v>
      </c>
    </row>
    <row r="1682">
      <c r="A1682" s="30" t="n">
        <v>46325.72430555556</v>
      </c>
      <c r="B1682" s="30" t="n">
        <v>46325.75347222222</v>
      </c>
      <c r="C1682" s="9" t="n">
        <v>46327</v>
      </c>
      <c r="D1682" s="10" t="n">
        <v>0.84375</v>
      </c>
      <c r="E1682" s="36" t="n">
        <v>2</v>
      </c>
      <c r="F1682" s="36" t="n">
        <v>2</v>
      </c>
      <c r="G1682" s="36" t="n">
        <v>0</v>
      </c>
      <c r="H1682" s="36" t="n">
        <v>0</v>
      </c>
      <c r="I1682" s="36" t="n">
        <v>0</v>
      </c>
      <c r="J1682" s="36" t="n">
        <v>4</v>
      </c>
      <c r="K1682" s="12" t="n">
        <v>48</v>
      </c>
    </row>
    <row r="1683">
      <c r="A1683" s="33" t="n">
        <v>46325.72430555556</v>
      </c>
      <c r="B1683" s="33" t="n">
        <v>46325.75347222222</v>
      </c>
      <c r="C1683" s="13" t="n">
        <v>46327</v>
      </c>
      <c r="D1683" s="14" t="n">
        <v>0.96875</v>
      </c>
      <c r="E1683" s="37" t="n">
        <v>2</v>
      </c>
      <c r="F1683" s="37" t="n">
        <v>0</v>
      </c>
      <c r="G1683" s="37" t="n">
        <v>0</v>
      </c>
      <c r="H1683" s="37" t="n">
        <v>1</v>
      </c>
      <c r="I1683" s="37" t="n">
        <v>1</v>
      </c>
      <c r="J1683" s="37" t="n">
        <v>9</v>
      </c>
      <c r="K1683" s="16" t="n">
        <v>108</v>
      </c>
    </row>
    <row r="1684">
      <c r="A1684" s="30" t="n">
        <v>46325.72430555556</v>
      </c>
      <c r="B1684" s="30" t="n">
        <v>46325.75347222222</v>
      </c>
      <c r="C1684" s="9" t="n">
        <v>46327</v>
      </c>
      <c r="D1684" s="10" t="n">
        <v>0.9993055555555556</v>
      </c>
      <c r="E1684" s="36" t="n">
        <v>1</v>
      </c>
      <c r="F1684" s="36" t="n">
        <v>0</v>
      </c>
      <c r="G1684" s="36" t="n">
        <v>0</v>
      </c>
      <c r="H1684" s="36" t="n">
        <v>1</v>
      </c>
      <c r="I1684" s="36" t="n">
        <v>0</v>
      </c>
      <c r="J1684" s="36" t="n">
        <v>4</v>
      </c>
      <c r="K1684" s="12" t="n">
        <v>48</v>
      </c>
    </row>
    <row r="1685">
      <c r="A1685" s="33" t="n">
        <v>46325.75347222222</v>
      </c>
      <c r="B1685" s="33" t="n">
        <v>46325.77569444444</v>
      </c>
      <c r="C1685" s="13" t="n">
        <v>46327</v>
      </c>
      <c r="D1685" s="14" t="n">
        <v>0.84375</v>
      </c>
      <c r="E1685" s="37" t="n">
        <v>3</v>
      </c>
      <c r="F1685" s="37" t="n">
        <v>3</v>
      </c>
      <c r="G1685" s="37" t="n">
        <v>0</v>
      </c>
      <c r="H1685" s="37" t="n">
        <v>0</v>
      </c>
      <c r="I1685" s="37" t="n">
        <v>0</v>
      </c>
      <c r="J1685" s="37" t="n">
        <v>6</v>
      </c>
      <c r="K1685" s="16" t="n">
        <v>72</v>
      </c>
    </row>
    <row r="1686">
      <c r="A1686" s="30" t="n">
        <v>46325.75347222222</v>
      </c>
      <c r="B1686" s="30" t="n">
        <v>46325.77569444444</v>
      </c>
      <c r="C1686" s="9" t="n">
        <v>46327</v>
      </c>
      <c r="D1686" s="10" t="n">
        <v>0.96875</v>
      </c>
      <c r="E1686" s="36" t="n">
        <v>1</v>
      </c>
      <c r="F1686" s="36" t="n">
        <v>0</v>
      </c>
      <c r="G1686" s="36" t="n">
        <v>0</v>
      </c>
      <c r="H1686" s="36" t="n">
        <v>1</v>
      </c>
      <c r="I1686" s="36" t="n">
        <v>0</v>
      </c>
      <c r="J1686" s="36" t="n">
        <v>4</v>
      </c>
      <c r="K1686" s="12" t="n">
        <v>48</v>
      </c>
    </row>
    <row r="1687">
      <c r="A1687" s="33" t="n">
        <v>46325.75347222222</v>
      </c>
      <c r="B1687" s="33" t="n">
        <v>46325.77569444444</v>
      </c>
      <c r="C1687" s="13" t="n">
        <v>46327</v>
      </c>
      <c r="D1687" s="14" t="n">
        <v>0.9993055555555556</v>
      </c>
      <c r="E1687" s="37" t="n">
        <v>3</v>
      </c>
      <c r="F1687" s="37" t="n">
        <v>2</v>
      </c>
      <c r="G1687" s="37" t="n">
        <v>0</v>
      </c>
      <c r="H1687" s="37" t="n">
        <v>0</v>
      </c>
      <c r="I1687" s="37" t="n">
        <v>1</v>
      </c>
      <c r="J1687" s="37" t="n">
        <v>9</v>
      </c>
      <c r="K1687" s="16" t="n">
        <v>108</v>
      </c>
    </row>
    <row r="1688">
      <c r="A1688" s="30" t="n">
        <v>46325.77569444444</v>
      </c>
      <c r="B1688" s="30" t="n">
        <v>46325.7875</v>
      </c>
      <c r="C1688" s="9" t="n">
        <v>46327</v>
      </c>
      <c r="D1688" s="10" t="n">
        <v>0.84375</v>
      </c>
      <c r="E1688" s="36" t="n">
        <v>1</v>
      </c>
      <c r="F1688" s="36" t="n">
        <v>0</v>
      </c>
      <c r="G1688" s="36" t="n">
        <v>0</v>
      </c>
      <c r="H1688" s="36" t="n">
        <v>0</v>
      </c>
      <c r="I1688" s="36" t="n">
        <v>1</v>
      </c>
      <c r="J1688" s="36" t="n">
        <v>5</v>
      </c>
      <c r="K1688" s="12" t="n">
        <v>60</v>
      </c>
    </row>
  </sheetData>
  <autoFilter ref="A1:K168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9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58</v>
      </c>
      <c r="H4" s="11" t="n">
        <v>202</v>
      </c>
      <c r="I4" s="12" t="n">
        <v>2424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47</v>
      </c>
      <c r="H5" s="11" t="n">
        <v>154</v>
      </c>
      <c r="I5" s="12" t="n">
        <v>1848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5</v>
      </c>
      <c r="H6" s="11" t="n">
        <v>17</v>
      </c>
      <c r="I6" s="12" t="n">
        <v>204</v>
      </c>
      <c r="K6" s="38" t="inlineStr">
        <is>
          <t>Mercoledì</t>
        </is>
      </c>
      <c r="L6" s="11" t="n">
        <v>352</v>
      </c>
      <c r="M6" s="11" t="n">
        <v>1147</v>
      </c>
      <c r="N6" s="12" t="n">
        <v>13764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415</v>
      </c>
      <c r="M7" s="11" t="n">
        <v>1348</v>
      </c>
      <c r="N7" s="12" t="n">
        <v>16182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322</v>
      </c>
      <c r="M8" s="11" t="n">
        <v>975</v>
      </c>
      <c r="N8" s="12" t="n">
        <v>11715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12</v>
      </c>
      <c r="H10" s="11" t="n">
        <v>36</v>
      </c>
      <c r="I10" s="12" t="n">
        <v>432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10</v>
      </c>
      <c r="H11" s="11" t="n">
        <v>35</v>
      </c>
      <c r="I11" s="12" t="n">
        <v>420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29</v>
      </c>
      <c r="H12" s="11" t="n">
        <v>83</v>
      </c>
      <c r="I12" s="12" t="n">
        <v>996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45</v>
      </c>
      <c r="H13" s="11" t="n">
        <v>135</v>
      </c>
      <c r="I13" s="12" t="n">
        <v>1620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73</v>
      </c>
      <c r="H14" s="11" t="n">
        <v>235</v>
      </c>
      <c r="I14" s="12" t="n">
        <v>2820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130</v>
      </c>
      <c r="H15" s="11" t="n">
        <v>406</v>
      </c>
      <c r="I15" s="12" t="n">
        <v>4872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113</v>
      </c>
      <c r="H16" s="11" t="n">
        <v>348</v>
      </c>
      <c r="I16" s="12" t="n">
        <v>4176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151</v>
      </c>
      <c r="H17" s="11" t="n">
        <v>474</v>
      </c>
      <c r="I17" s="12" t="n">
        <v>5688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208</v>
      </c>
      <c r="H18" s="11" t="n">
        <v>669</v>
      </c>
      <c r="I18" s="12" t="n">
        <v>8028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173</v>
      </c>
      <c r="H19" s="11" t="n">
        <v>555</v>
      </c>
      <c r="I19" s="12" t="n">
        <v>6660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189</v>
      </c>
      <c r="H20" s="11" t="n">
        <v>598</v>
      </c>
      <c r="I20" s="12" t="n">
        <v>7176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148</v>
      </c>
      <c r="H21" s="11" t="n">
        <v>452</v>
      </c>
      <c r="I21" s="12" t="n">
        <v>5424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232</v>
      </c>
      <c r="H22" s="11" t="n">
        <v>706</v>
      </c>
      <c r="I22" s="12" t="n">
        <v>8472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231</v>
      </c>
      <c r="H23" s="11" t="n">
        <v>713</v>
      </c>
      <c r="I23" s="12" t="n">
        <v>8556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146</v>
      </c>
      <c r="H24" s="11" t="n">
        <v>458</v>
      </c>
      <c r="I24" s="12" t="n">
        <v>5502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261</v>
      </c>
      <c r="H25" s="11" t="n">
        <v>840</v>
      </c>
      <c r="I25" s="12" t="n">
        <v>10089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212</v>
      </c>
      <c r="H26" s="11" t="n">
        <v>679</v>
      </c>
      <c r="I26" s="12" t="n">
        <v>8166</v>
      </c>
    </row>
    <row r="27">
      <c r="A27" s="9" t="n">
        <v>46323</v>
      </c>
      <c r="B27" s="11" t="n">
        <v>260</v>
      </c>
      <c r="C27" s="11" t="n">
        <v>882</v>
      </c>
      <c r="D27" s="12" t="n">
        <v>10584</v>
      </c>
      <c r="F27" s="38" t="inlineStr">
        <is>
          <t>23:00-00:00</t>
        </is>
      </c>
      <c r="G27" s="11" t="n">
        <v>134</v>
      </c>
      <c r="H27" s="11" t="n">
        <v>453</v>
      </c>
      <c r="I27" s="12" t="n">
        <v>5445</v>
      </c>
    </row>
    <row r="28">
      <c r="A28" s="9" t="n">
        <v>46324</v>
      </c>
      <c r="B28" s="11" t="n">
        <v>315</v>
      </c>
      <c r="C28" s="11" t="n">
        <v>1043</v>
      </c>
      <c r="D28" s="12" t="n">
        <v>12522</v>
      </c>
    </row>
    <row r="29">
      <c r="A29" s="9" t="n">
        <v>46325</v>
      </c>
      <c r="B29" s="11" t="n">
        <v>116</v>
      </c>
      <c r="C29" s="11" t="n">
        <v>349</v>
      </c>
      <c r="D29" s="12" t="n">
        <v>4188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2026-10-30T17:54:53Z</dcterms:created>
  <dcterms:modified xsi:type="dcterms:W3CDTF">2026-10-30T17:54:54Z</dcterms:modified>
</cp:coreProperties>
</file>