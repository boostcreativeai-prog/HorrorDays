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'Storico'!$A$1:$G$784</definedName>
    <definedName name="_xlnm._FilterDatabase" localSheetId="8" hidden="1">'Registro vendite'!$A$1:$K$1303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'Storico'!$H$2:$H$784</f>
            </numRef>
          </cat>
          <val>
            <numRef>
              <f>'Storico'!$C$2:$C$784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432</v>
      </c>
      <c r="K66" s="12" t="n">
        <v>0</v>
      </c>
      <c r="L66" s="12" t="n">
        <v>392.76</v>
      </c>
      <c r="M66" s="12" t="n">
        <v>39.24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4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1104</v>
      </c>
      <c r="K74" s="12" t="n">
        <v>0</v>
      </c>
      <c r="L74" s="12" t="n">
        <v>1003.72</v>
      </c>
      <c r="M74" s="12" t="n">
        <v>100.28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780</v>
      </c>
      <c r="K76" s="12" t="n">
        <v>0</v>
      </c>
      <c r="L76" s="12" t="n">
        <v>709.15</v>
      </c>
      <c r="M76" s="12" t="n">
        <v>70.84999999999999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432</v>
      </c>
      <c r="K83" s="16" t="n">
        <v>0</v>
      </c>
      <c r="L83" s="16" t="n">
        <v>392.76</v>
      </c>
      <c r="M83" s="16" t="n">
        <v>39.24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864</v>
      </c>
      <c r="K91" s="16" t="n">
        <v>0</v>
      </c>
      <c r="L91" s="16" t="n">
        <v>785.52</v>
      </c>
      <c r="M91" s="16" t="n">
        <v>78.48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18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384</v>
      </c>
      <c r="K94" s="12" t="n">
        <v>0</v>
      </c>
      <c r="L94" s="12" t="n">
        <v>349.12</v>
      </c>
      <c r="M94" s="12" t="n">
        <v>34.88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624</v>
      </c>
      <c r="K101" s="16" t="n">
        <v>0</v>
      </c>
      <c r="L101" s="16" t="n">
        <v>567.3200000000001</v>
      </c>
      <c r="M101" s="16" t="n">
        <v>56.68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13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4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300</v>
      </c>
      <c r="K103" s="16" t="n">
        <v>0</v>
      </c>
      <c r="L103" s="16" t="n">
        <v>272.75</v>
      </c>
      <c r="M103" s="16" t="n">
        <v>27.25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312</v>
      </c>
      <c r="K104" s="12" t="n">
        <v>0</v>
      </c>
      <c r="L104" s="12" t="n">
        <v>283.66</v>
      </c>
      <c r="M104" s="12" t="n">
        <v>28.34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13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336</v>
      </c>
      <c r="K121" s="16" t="n">
        <v>0</v>
      </c>
      <c r="L121" s="16" t="n">
        <v>305.48</v>
      </c>
      <c r="M121" s="16" t="n">
        <v>30.52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7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72</v>
      </c>
      <c r="K122" s="12" t="n">
        <v>0</v>
      </c>
      <c r="L122" s="12" t="n">
        <v>65.45999999999999</v>
      </c>
      <c r="M122" s="12" t="n">
        <v>6.54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120</v>
      </c>
      <c r="K123" s="16" t="n">
        <v>0</v>
      </c>
      <c r="L123" s="16" t="n">
        <v>109.1</v>
      </c>
      <c r="M123" s="16" t="n">
        <v>10.9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120</v>
      </c>
      <c r="K124" s="12" t="n">
        <v>0</v>
      </c>
      <c r="L124" s="12" t="n">
        <v>109.1</v>
      </c>
      <c r="M124" s="12" t="n">
        <v>10.9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384</v>
      </c>
      <c r="K125" s="16" t="n">
        <v>0</v>
      </c>
      <c r="L125" s="16" t="n">
        <v>349.12</v>
      </c>
      <c r="M125" s="16" t="n">
        <v>34.88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8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4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264</v>
      </c>
      <c r="K128" s="12" t="n">
        <v>0</v>
      </c>
      <c r="L128" s="12" t="n">
        <v>240.02</v>
      </c>
      <c r="M128" s="12" t="n">
        <v>23.98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624</v>
      </c>
      <c r="K129" s="16" t="n">
        <v>0</v>
      </c>
      <c r="L129" s="16" t="n">
        <v>567.3200000000001</v>
      </c>
      <c r="M129" s="16" t="n">
        <v>56.68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108</v>
      </c>
      <c r="K130" s="12" t="n">
        <v>0</v>
      </c>
      <c r="L130" s="12" t="n">
        <v>98.19</v>
      </c>
      <c r="M130" s="12" t="n">
        <v>9.81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408</v>
      </c>
      <c r="K132" s="12" t="n">
        <v>0</v>
      </c>
      <c r="L132" s="12" t="n">
        <v>370.94</v>
      </c>
      <c r="M132" s="12" t="n">
        <v>37.06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17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72</v>
      </c>
      <c r="K134" s="12" t="n">
        <v>0</v>
      </c>
      <c r="L134" s="12" t="n">
        <v>65.45999999999999</v>
      </c>
      <c r="M134" s="12" t="n">
        <v>6.54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48</v>
      </c>
      <c r="K136" s="12" t="n">
        <v>0</v>
      </c>
      <c r="L136" s="12" t="n">
        <v>43.64</v>
      </c>
      <c r="M136" s="12" t="n">
        <v>4.36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96</v>
      </c>
      <c r="K137" s="16" t="n">
        <v>0</v>
      </c>
      <c r="L137" s="16" t="n">
        <v>87.28</v>
      </c>
      <c r="M137" s="16" t="n">
        <v>8.720000000000001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20261101_2359</t>
        </is>
      </c>
      <c r="B138" s="9" t="n">
        <v>46327</v>
      </c>
      <c r="C138" s="10" t="n">
        <v>0.9993055555555556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60</v>
      </c>
      <c r="K138" s="12" t="n">
        <v>0</v>
      </c>
      <c r="L138" s="12" t="n">
        <v>54.55</v>
      </c>
      <c r="M138" s="12" t="n">
        <v>5.45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24</v>
      </c>
      <c r="K139" s="16" t="n">
        <v>0</v>
      </c>
      <c r="L139" s="16" t="n">
        <v>21.82</v>
      </c>
      <c r="M139" s="16" t="n">
        <v>2.18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  <row r="140">
      <c r="A140" s="22" t="inlineStr">
        <is>
          <t>20261102_2015</t>
        </is>
      </c>
      <c r="B140" s="9" t="n">
        <v>46328</v>
      </c>
      <c r="C140" s="10" t="n">
        <v>0.84375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30</v>
      </c>
      <c r="K140" s="12" t="n">
        <v>0</v>
      </c>
      <c r="L140" s="12" t="n">
        <v>27.28</v>
      </c>
      <c r="M140" s="12" t="n">
        <v>2.72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</v>
      </c>
      <c r="R140" s="11">
        <f>IFERROR(INDEX(Tariffe!$E$2:$E$200,MATCH(E140,Tariffe!$A$2:$A$200,0))*1,1)</f>
        <v/>
      </c>
    </row>
    <row r="141">
      <c r="A141" s="23" t="inlineStr">
        <is>
          <t>20261102_2215</t>
        </is>
      </c>
      <c r="B141" s="13" t="n">
        <v>46328</v>
      </c>
      <c r="C141" s="14" t="n">
        <v>0.9270833333333334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90</v>
      </c>
      <c r="K141" s="16" t="n">
        <v>0</v>
      </c>
      <c r="L141" s="16" t="n">
        <v>81.84</v>
      </c>
      <c r="M141" s="16" t="n">
        <v>8.16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20261102_2315</t>
        </is>
      </c>
      <c r="B142" s="9" t="n">
        <v>46328</v>
      </c>
      <c r="C142" s="10" t="n">
        <v>0.96875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45</v>
      </c>
      <c r="K142" s="12" t="n">
        <v>0</v>
      </c>
      <c r="L142" s="12" t="n">
        <v>40.92</v>
      </c>
      <c r="M142" s="12" t="n">
        <v>4.08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</v>
      </c>
      <c r="R142" s="11">
        <f>IFERROR(INDEX(Tariffe!$E$2:$E$200,MATCH(E142,Tariffe!$A$2:$A$200,0))*1,1)</f>
        <v/>
      </c>
    </row>
    <row r="143">
      <c r="A143" s="23" t="inlineStr">
        <is>
          <t>20261102_2359</t>
        </is>
      </c>
      <c r="B143" s="13" t="n">
        <v>46328</v>
      </c>
      <c r="C143" s="14" t="n">
        <v>0.9993055555555556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15</v>
      </c>
      <c r="K143" s="16" t="n">
        <v>0</v>
      </c>
      <c r="L143" s="16" t="n">
        <v>13.64</v>
      </c>
      <c r="M143" s="16" t="n">
        <v>1.36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</sheetData>
  <autoFilter ref="A1:R1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</sheetData>
  <autoFilter ref="A1:G7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</sheetData>
  <autoFilter ref="A1:K13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297</v>
      </c>
      <c r="M5" s="11" t="n">
        <v>942</v>
      </c>
      <c r="N5" s="12" t="n">
        <v>11304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199</v>
      </c>
      <c r="C26" s="11" t="n">
        <v>653</v>
      </c>
      <c r="D26" s="12" t="n">
        <v>7836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2026-10-27T19:46:17Z</dcterms:created>
  <dcterms:modified xsi:type="dcterms:W3CDTF">2026-10-27T19:46:18Z</dcterms:modified>
</cp:coreProperties>
</file>