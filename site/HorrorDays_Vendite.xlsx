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'Vendite'!$A$1:$R$154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'Storico'!$A$1:$G$902</definedName>
    <definedName name="_xlnm._FilterDatabase" localSheetId="8" hidden="1">'Registro vendite'!$A$1:$K$1696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'Storico'!$H$2:$H$902</f>
            </numRef>
          </cat>
          <val>
            <numRef>
              <f>'Storico'!$C$2:$C$902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MAX(Storico!A2:A902)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1008</v>
      </c>
      <c r="K130" s="12" t="n">
        <v>0</v>
      </c>
      <c r="L130" s="12" t="n">
        <v>916.4400000000001</v>
      </c>
      <c r="M130" s="12" t="n">
        <v>91.56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21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324</v>
      </c>
      <c r="K131" s="16" t="n">
        <v>0</v>
      </c>
      <c r="L131" s="16" t="n">
        <v>294.57</v>
      </c>
      <c r="M131" s="16" t="n">
        <v>29.43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9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648</v>
      </c>
      <c r="K133" s="16" t="n">
        <v>0</v>
      </c>
      <c r="L133" s="16" t="n">
        <v>589.14</v>
      </c>
      <c r="M133" s="16" t="n">
        <v>58.86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1248</v>
      </c>
      <c r="K146" s="12" t="n">
        <v>0</v>
      </c>
      <c r="L146" s="12" t="n">
        <v>1134.64</v>
      </c>
      <c r="M146" s="12" t="n">
        <v>113.36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240</v>
      </c>
      <c r="K148" s="12" t="n">
        <v>0</v>
      </c>
      <c r="L148" s="12" t="n">
        <v>218.2</v>
      </c>
      <c r="M148" s="12" t="n">
        <v>21.8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4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648</v>
      </c>
      <c r="K149" s="16" t="n">
        <v>0</v>
      </c>
      <c r="L149" s="16" t="n">
        <v>589.14</v>
      </c>
      <c r="M149" s="16" t="n">
        <v>58.86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27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48€</t>
        </is>
      </c>
      <c r="F151" s="23">
        <f>IFERROR(INDEX(Tariffe!$B$2:$B$200,MATCH(E151,Tariffe!$A$2:$A$200,0)),"DA DEFINIRE")</f>
        <v/>
      </c>
      <c r="G151" s="16" t="n">
        <v>48</v>
      </c>
      <c r="H151" s="15">
        <f>Q151*R151</f>
        <v/>
      </c>
      <c r="I151" s="15" t="n">
        <v>0</v>
      </c>
      <c r="J151" s="16" t="n">
        <v>48</v>
      </c>
      <c r="K151" s="16" t="n">
        <v>0</v>
      </c>
      <c r="L151" s="16" t="n">
        <v>43.64</v>
      </c>
      <c r="M151" s="16" t="n">
        <v>4.36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48</v>
      </c>
      <c r="K152" s="12" t="n">
        <v>0</v>
      </c>
      <c r="L152" s="12" t="n">
        <v>43.64</v>
      </c>
      <c r="M152" s="12" t="n">
        <v>4.36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48€</t>
        </is>
      </c>
      <c r="F153" s="23">
        <f>IFERROR(INDEX(Tariffe!$B$2:$B$200,MATCH(E153,Tariffe!$A$2:$A$200,0)),"DA DEFINIRE")</f>
        <v/>
      </c>
      <c r="G153" s="16" t="n">
        <v>48</v>
      </c>
      <c r="H153" s="15">
        <f>Q153*R153</f>
        <v/>
      </c>
      <c r="I153" s="15" t="n">
        <v>0</v>
      </c>
      <c r="J153" s="16" t="n">
        <v>48</v>
      </c>
      <c r="K153" s="16" t="n">
        <v>0</v>
      </c>
      <c r="L153" s="16" t="n">
        <v>43.64</v>
      </c>
      <c r="M153" s="16" t="n">
        <v>4.36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20261102_2359</t>
        </is>
      </c>
      <c r="B154" s="9" t="n">
        <v>46328</v>
      </c>
      <c r="C154" s="10" t="n">
        <v>0.9993055555555556</v>
      </c>
      <c r="D154" s="22" t="inlineStr">
        <is>
          <t>UN Unico</t>
        </is>
      </c>
      <c r="E154" s="22" t="inlineStr">
        <is>
          <t>I8 24€</t>
        </is>
      </c>
      <c r="F154" s="22">
        <f>IFERROR(INDEX(Tariffe!$B$2:$B$200,MATCH(E154,Tariffe!$A$2:$A$200,0)),"DA DEFINIRE")</f>
        <v/>
      </c>
      <c r="G154" s="12" t="n">
        <v>24</v>
      </c>
      <c r="H154" s="11">
        <f>Q154*R154</f>
        <v/>
      </c>
      <c r="I154" s="11" t="n">
        <v>0</v>
      </c>
      <c r="J154" s="12" t="n">
        <v>24</v>
      </c>
      <c r="K154" s="12" t="n">
        <v>0</v>
      </c>
      <c r="L154" s="12" t="n">
        <v>21.82</v>
      </c>
      <c r="M154" s="12" t="n">
        <v>2.18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1</v>
      </c>
      <c r="R154" s="11">
        <f>IFERROR(INDEX(Tariffe!$E$2:$E$200,MATCH(E154,Tariffe!$A$2:$A$200,0))*1,1)</f>
        <v/>
      </c>
    </row>
  </sheetData>
  <autoFilter ref="A1:R15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</sheetData>
  <autoFilter ref="A1:G9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</sheetData>
  <autoFilter ref="A1:K16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365</v>
      </c>
      <c r="M8" s="11" t="n">
        <v>1110</v>
      </c>
      <c r="N8" s="12" t="n">
        <v>13320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955</v>
      </c>
      <c r="N9" s="12" t="n">
        <v>11460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450</v>
      </c>
      <c r="I27" s="12" t="n">
        <v>5400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159</v>
      </c>
      <c r="C29" s="11" t="n">
        <v>489</v>
      </c>
      <c r="D29" s="12" t="n">
        <v>5868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2026-10-30T21:45:47Z</dcterms:created>
  <dcterms:modified xsi:type="dcterms:W3CDTF">2026-10-30T21:45:48Z</dcterms:modified>
</cp:coreProperties>
</file>