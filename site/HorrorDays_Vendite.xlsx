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'Vendite'!$A$1:$P$37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'Storico'!$A$1:$G$74</definedName>
    <definedName name="_xlnm._FilterDatabase" localSheetId="8" hidden="1">'Registro vendite'!$A$1:$K$56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'Storico'!$H$2:$H$74</f>
            </numRef>
          </cat>
          <val>
            <numRef>
              <f>'Storico'!$C$2:$C$74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vendite'!$A$4:$A$6</f>
            </numRef>
          </cat>
          <val>
            <numRef>
              <f>'Picchi vendite'!$B$4:$B$6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MAX(Storico!A2:A74)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3</v>
      </c>
      <c r="I4" s="11" t="n">
        <v>0</v>
      </c>
      <c r="J4" s="12" t="n">
        <v>72</v>
      </c>
      <c r="K4" s="12" t="n">
        <v>0</v>
      </c>
      <c r="L4" s="12" t="n">
        <v>65.45999999999999</v>
      </c>
      <c r="M4" s="12" t="n">
        <v>6.54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2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2</v>
      </c>
      <c r="I7" s="15" t="n">
        <v>0</v>
      </c>
      <c r="J7" s="16" t="n">
        <v>48</v>
      </c>
      <c r="K7" s="16" t="n">
        <v>0</v>
      </c>
      <c r="L7" s="16" t="n">
        <v>43.64</v>
      </c>
      <c r="M7" s="16" t="n">
        <v>4.36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4</v>
      </c>
      <c r="I10" s="11" t="n">
        <v>0</v>
      </c>
      <c r="J10" s="12" t="n">
        <v>96</v>
      </c>
      <c r="K10" s="12" t="n">
        <v>0</v>
      </c>
      <c r="L10" s="12" t="n">
        <v>87.28</v>
      </c>
      <c r="M10" s="12" t="n">
        <v>8.720000000000001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20261023_2358</t>
        </is>
      </c>
      <c r="B11" s="13" t="n">
        <v>46318</v>
      </c>
      <c r="C11" s="14" t="n">
        <v>0.9986111111111111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1</v>
      </c>
      <c r="I11" s="15" t="n">
        <v>0</v>
      </c>
      <c r="J11" s="16" t="n">
        <v>48</v>
      </c>
      <c r="K11" s="16" t="n">
        <v>0</v>
      </c>
      <c r="L11" s="16" t="n">
        <v>43.64</v>
      </c>
      <c r="M11" s="16" t="n">
        <v>4.36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20261023_2358</t>
        </is>
      </c>
      <c r="B12" s="9" t="n">
        <v>46318</v>
      </c>
      <c r="C12" s="10" t="n">
        <v>0.9986111111111111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3</v>
      </c>
      <c r="I12" s="11" t="n">
        <v>0</v>
      </c>
      <c r="J12" s="12" t="n">
        <v>72</v>
      </c>
      <c r="K12" s="12" t="n">
        <v>0</v>
      </c>
      <c r="L12" s="12" t="n">
        <v>65.45999999999999</v>
      </c>
      <c r="M12" s="12" t="n">
        <v>6.54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20261024_2115</t>
        </is>
      </c>
      <c r="B13" s="13" t="n">
        <v>46319</v>
      </c>
      <c r="C13" s="14" t="n">
        <v>0.8854166666666666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20261024_2115</t>
        </is>
      </c>
      <c r="B14" s="9" t="n">
        <v>46319</v>
      </c>
      <c r="C14" s="10" t="n">
        <v>0.8854166666666666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2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20261024_2215</t>
        </is>
      </c>
      <c r="B15" s="13" t="n">
        <v>46319</v>
      </c>
      <c r="C15" s="14" t="n">
        <v>0.9270833333333334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20261024_2215</t>
        </is>
      </c>
      <c r="B16" s="9" t="n">
        <v>46319</v>
      </c>
      <c r="C16" s="10" t="n">
        <v>0.9270833333333334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20261024_2315</t>
        </is>
      </c>
      <c r="B17" s="13" t="n">
        <v>46319</v>
      </c>
      <c r="C17" s="14" t="n">
        <v>0.96875</v>
      </c>
      <c r="D17" s="23" t="inlineStr">
        <is>
          <t>UN Unico</t>
        </is>
      </c>
      <c r="E17" s="23" t="inlineStr">
        <is>
          <t>I2</t>
        </is>
      </c>
      <c r="F17" s="23">
        <f>IFERROR(INDEX(Tariffe!$B$2:$B$200,MATCH(E17,Tariffe!$A$2:$A$200,0)),"DA DEFINIRE")</f>
        <v/>
      </c>
      <c r="G17" s="16" t="n">
        <v>36</v>
      </c>
      <c r="H17" s="15" t="n">
        <v>1</v>
      </c>
      <c r="I17" s="15" t="n">
        <v>0</v>
      </c>
      <c r="J17" s="16" t="n">
        <v>36</v>
      </c>
      <c r="K17" s="16" t="n">
        <v>0</v>
      </c>
      <c r="L17" s="16" t="n">
        <v>32.73</v>
      </c>
      <c r="M17" s="16" t="n">
        <v>3.27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20261024_2315</t>
        </is>
      </c>
      <c r="B18" s="9" t="n">
        <v>46319</v>
      </c>
      <c r="C18" s="10" t="n">
        <v>0.96875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2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20261024_2359</t>
        </is>
      </c>
      <c r="B19" s="13" t="n">
        <v>46319</v>
      </c>
      <c r="C19" s="14" t="n">
        <v>0.9993055555555556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1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20261024_2359</t>
        </is>
      </c>
      <c r="B20" s="9" t="n">
        <v>46319</v>
      </c>
      <c r="C20" s="10" t="n">
        <v>0.9993055555555556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2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20261025_2015</t>
        </is>
      </c>
      <c r="B21" s="13" t="n">
        <v>46320</v>
      </c>
      <c r="C21" s="14" t="n">
        <v>0.84375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1</v>
      </c>
      <c r="I21" s="15" t="n">
        <v>0</v>
      </c>
      <c r="J21" s="16" t="n">
        <v>48</v>
      </c>
      <c r="K21" s="16" t="n">
        <v>0</v>
      </c>
      <c r="L21" s="16" t="n">
        <v>43.64</v>
      </c>
      <c r="M21" s="16" t="n">
        <v>4.36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20261025_2015</t>
        </is>
      </c>
      <c r="B22" s="9" t="n">
        <v>46320</v>
      </c>
      <c r="C22" s="10" t="n">
        <v>0.84375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1</v>
      </c>
      <c r="I22" s="11" t="n">
        <v>0</v>
      </c>
      <c r="J22" s="12" t="n">
        <v>24</v>
      </c>
      <c r="K22" s="12" t="n">
        <v>0</v>
      </c>
      <c r="L22" s="12" t="n">
        <v>21.82</v>
      </c>
      <c r="M22" s="12" t="n">
        <v>2.18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20261025_2115</t>
        </is>
      </c>
      <c r="B23" s="13" t="n">
        <v>46320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1</v>
      </c>
      <c r="I23" s="15" t="n">
        <v>0</v>
      </c>
      <c r="J23" s="16" t="n">
        <v>24</v>
      </c>
      <c r="K23" s="16" t="n">
        <v>0</v>
      </c>
      <c r="L23" s="16" t="n">
        <v>21.82</v>
      </c>
      <c r="M23" s="16" t="n">
        <v>2.18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20261025_2215</t>
        </is>
      </c>
      <c r="B24" s="9" t="n">
        <v>46320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1</v>
      </c>
      <c r="I24" s="11" t="n">
        <v>0</v>
      </c>
      <c r="J24" s="12" t="n">
        <v>24</v>
      </c>
      <c r="K24" s="12" t="n">
        <v>0</v>
      </c>
      <c r="L24" s="12" t="n">
        <v>21.82</v>
      </c>
      <c r="M24" s="12" t="n">
        <v>2.18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20261025_2315</t>
        </is>
      </c>
      <c r="B25" s="13" t="n">
        <v>46320</v>
      </c>
      <c r="C25" s="14" t="n">
        <v>0.96875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1</v>
      </c>
      <c r="I25" s="15" t="n">
        <v>0</v>
      </c>
      <c r="J25" s="16" t="n">
        <v>24</v>
      </c>
      <c r="K25" s="16" t="n">
        <v>0</v>
      </c>
      <c r="L25" s="16" t="n">
        <v>21.82</v>
      </c>
      <c r="M25" s="16" t="n">
        <v>2.18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20261029_2015</t>
        </is>
      </c>
      <c r="B26" s="9" t="n">
        <v>46324</v>
      </c>
      <c r="C26" s="10" t="n">
        <v>0.84375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20261029_2215</t>
        </is>
      </c>
      <c r="B27" s="13" t="n">
        <v>46324</v>
      </c>
      <c r="C27" s="14" t="n">
        <v>0.9270833333333334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20261029_2215</t>
        </is>
      </c>
      <c r="B28" s="9" t="n">
        <v>46324</v>
      </c>
      <c r="C28" s="10" t="n">
        <v>0.9270833333333334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20261029_2215</t>
        </is>
      </c>
      <c r="B29" s="13" t="n">
        <v>46324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20261029_2359</t>
        </is>
      </c>
      <c r="B30" s="9" t="n">
        <v>46324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20261030_2215</t>
        </is>
      </c>
      <c r="B31" s="13" t="n">
        <v>46325</v>
      </c>
      <c r="C31" s="14" t="n">
        <v>0.9270833333333334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</v>
      </c>
      <c r="I31" s="15" t="n">
        <v>0</v>
      </c>
      <c r="J31" s="16" t="n">
        <v>24</v>
      </c>
      <c r="K31" s="16" t="n">
        <v>0</v>
      </c>
      <c r="L31" s="16" t="n">
        <v>21.82</v>
      </c>
      <c r="M31" s="16" t="n">
        <v>2.18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20261030_2315</t>
        </is>
      </c>
      <c r="B32" s="9" t="n">
        <v>46325</v>
      </c>
      <c r="C32" s="10" t="n">
        <v>0.96875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2</v>
      </c>
      <c r="I32" s="11" t="n">
        <v>0</v>
      </c>
      <c r="J32" s="12" t="n">
        <v>96</v>
      </c>
      <c r="K32" s="12" t="n">
        <v>0</v>
      </c>
      <c r="L32" s="12" t="n">
        <v>87.28</v>
      </c>
      <c r="M32" s="12" t="n">
        <v>8.720000000000001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20261030_2359</t>
        </is>
      </c>
      <c r="B33" s="13" t="n">
        <v>46325</v>
      </c>
      <c r="C33" s="14" t="n">
        <v>0.9993055555555556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20261031_2115</t>
        </is>
      </c>
      <c r="B34" s="9" t="n">
        <v>46326</v>
      </c>
      <c r="C34" s="10" t="n">
        <v>0.8854166666666666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1</v>
      </c>
      <c r="I34" s="11" t="n">
        <v>0</v>
      </c>
      <c r="J34" s="12" t="n">
        <v>48</v>
      </c>
      <c r="K34" s="12" t="n">
        <v>0</v>
      </c>
      <c r="L34" s="12" t="n">
        <v>43.64</v>
      </c>
      <c r="M34" s="12" t="n">
        <v>4.36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20261031_2315</t>
        </is>
      </c>
      <c r="B35" s="13" t="n">
        <v>46326</v>
      </c>
      <c r="C35" s="14" t="n">
        <v>0.96875</v>
      </c>
      <c r="D35" s="23" t="inlineStr">
        <is>
          <t>UN Unico</t>
        </is>
      </c>
      <c r="E35" s="23" t="inlineStr">
        <is>
          <t>I1</t>
        </is>
      </c>
      <c r="F35" s="23">
        <f>IFERROR(INDEX(Tariffe!$B$2:$B$200,MATCH(E35,Tariffe!$A$2:$A$200,0)),"DA DEFINIRE")</f>
        <v/>
      </c>
      <c r="G35" s="16" t="n">
        <v>48</v>
      </c>
      <c r="H35" s="15" t="n">
        <v>2</v>
      </c>
      <c r="I35" s="15" t="n">
        <v>0</v>
      </c>
      <c r="J35" s="16" t="n">
        <v>96</v>
      </c>
      <c r="K35" s="16" t="n">
        <v>0</v>
      </c>
      <c r="L35" s="16" t="n">
        <v>87.28</v>
      </c>
      <c r="M35" s="16" t="n">
        <v>8.720000000000001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20261031_2315</t>
        </is>
      </c>
      <c r="B36" s="9" t="n">
        <v>46326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20261031_2359</t>
        </is>
      </c>
      <c r="B37" s="13" t="n">
        <v>46326</v>
      </c>
      <c r="C37" s="14" t="n">
        <v>0.9993055555555556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</sheetData>
  <autoFilter ref="A1:P3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</sheetData>
  <autoFilter ref="A1:G7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</sheetData>
  <autoFilter ref="A1:K5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7</v>
      </c>
      <c r="C6" s="11" t="n">
        <v>20</v>
      </c>
      <c r="D6" s="12" t="n">
        <v>240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7</v>
      </c>
      <c r="M6" s="11" t="n">
        <v>20</v>
      </c>
      <c r="N6" s="12" t="n">
        <v>240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4</v>
      </c>
      <c r="H16" s="11" t="n">
        <v>12</v>
      </c>
      <c r="I16" s="12" t="n">
        <v>144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3</v>
      </c>
      <c r="H22" s="11" t="n">
        <v>10</v>
      </c>
      <c r="I22" s="12" t="n">
        <v>120</v>
      </c>
    </row>
    <row r="23">
      <c r="F23" s="38" t="inlineStr">
        <is>
          <t>19:00-20:00</t>
        </is>
      </c>
      <c r="G23" s="11" t="n">
        <v>2</v>
      </c>
      <c r="H23" s="11" t="n">
        <v>6</v>
      </c>
      <c r="I23" s="12" t="n">
        <v>72</v>
      </c>
    </row>
    <row r="24">
      <c r="F24" s="38" t="inlineStr">
        <is>
          <t>20:00-21:00</t>
        </is>
      </c>
      <c r="G24" s="11" t="n">
        <v>4</v>
      </c>
      <c r="H24" s="11" t="n">
        <v>12</v>
      </c>
      <c r="I24" s="12" t="n">
        <v>144</v>
      </c>
    </row>
    <row r="25">
      <c r="F25" s="38" t="inlineStr">
        <is>
          <t>21:00-22:00</t>
        </is>
      </c>
      <c r="G25" s="11" t="n">
        <v>2</v>
      </c>
      <c r="H25" s="11" t="n">
        <v>6</v>
      </c>
      <c r="I25" s="12" t="n">
        <v>72</v>
      </c>
    </row>
    <row r="26">
      <c r="F26" s="38" t="inlineStr">
        <is>
          <t>22:00-23:00</t>
        </is>
      </c>
      <c r="G26" s="11" t="n">
        <v>16</v>
      </c>
      <c r="H26" s="11" t="n">
        <v>41</v>
      </c>
      <c r="I26" s="12" t="n">
        <v>492</v>
      </c>
    </row>
    <row r="27">
      <c r="F27" s="38" t="inlineStr">
        <is>
          <t>23:00-00:00</t>
        </is>
      </c>
      <c r="G27" s="11" t="n">
        <v>3</v>
      </c>
      <c r="H27" s="11" t="n">
        <v>8</v>
      </c>
      <c r="I27" s="12" t="n">
        <v>96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2026-10-07T12:21:30Z</dcterms:created>
  <dcterms:modified xsi:type="dcterms:W3CDTF">2026-10-07T12:21:30Z</dcterms:modified>
</cp:coreProperties>
</file>