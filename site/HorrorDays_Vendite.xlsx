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'Spettacoli'!$A$1:$R$36</definedName>
    <definedName name="_xlnm._FilterDatabase" localSheetId="4" hidden="1">'Vendite'!$A$1:$P$95</definedName>
    <definedName name="_xlnm._FilterDatabase" localSheetId="5" hidden="1">'Per tariffa'!$A$1:$G$5</definedName>
    <definedName name="_xlnm._FilterDatabase" localSheetId="6" hidden="1">'Per serata'!$A$1:$S$8</definedName>
    <definedName name="_xlnm._FilterDatabase" localSheetId="7" hidden="1">'Storico'!$A$1:$G$425</definedName>
    <definedName name="_xlnm._FilterDatabase" localSheetId="8" hidden="1">'Registro vendite'!$A$1:$K$347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serata'!$P$2:$P$8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serata'!$Q$2:$Q$8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serata'!$R$2:$R$8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serata'!$S$2:$S$8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'Storico'!$H$2:$H$425</f>
            </numRef>
          </cat>
          <val>
            <numRef>
              <f>'Storico'!$C$2:$C$425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vendite'!$A$4:$A$17</f>
            </numRef>
          </cat>
          <val>
            <numRef>
              <f>'Picchi vendite'!$B$4:$B$17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INDEX(Spettacoli!$B$2:$B$36,MATCH(LARGE(Spettacoli!$R$2:$R$36,1),Spettacoli!$R$2:$R$36,0))</f>
        <v/>
      </c>
      <c r="L6" s="10">
        <f>INDEX(Spettacoli!$D$2:$D$36,MATCH(LARGE(Spettacoli!$R$2:$R$36,1),Spettacoli!$R$2:$R$36,0))</f>
        <v/>
      </c>
      <c r="M6" s="11">
        <f>INDEX(Spettacoli!$F$2:$F$36,MATCH(LARGE(Spettacoli!$R$2:$R$36,1),Spettacoli!$R$2:$R$36,0))</f>
        <v/>
      </c>
      <c r="N6" s="11">
        <f>INDEX(Spettacoli!$G$2:$G$36,MATCH(LARGE(Spettacoli!$R$2:$R$36,1),Spettacoli!$R$2:$R$36,0))</f>
        <v/>
      </c>
      <c r="O6" s="12">
        <f>INDEX(Spettacoli!$M$2:$M$36,MATCH(LARGE(Spettacoli!$R$2:$R$36,1),Spettacoli!$R$2:$R$36,0))</f>
        <v/>
      </c>
    </row>
    <row r="7">
      <c r="K7" s="13">
        <f>INDEX(Spettacoli!$B$2:$B$36,MATCH(LARGE(Spettacoli!$R$2:$R$36,2),Spettacoli!$R$2:$R$36,0))</f>
        <v/>
      </c>
      <c r="L7" s="14">
        <f>INDEX(Spettacoli!$D$2:$D$36,MATCH(LARGE(Spettacoli!$R$2:$R$36,2),Spettacoli!$R$2:$R$36,0))</f>
        <v/>
      </c>
      <c r="M7" s="15">
        <f>INDEX(Spettacoli!$F$2:$F$36,MATCH(LARGE(Spettacoli!$R$2:$R$36,2),Spettacoli!$R$2:$R$36,0))</f>
        <v/>
      </c>
      <c r="N7" s="15">
        <f>INDEX(Spettacoli!$G$2:$G$36,MATCH(LARGE(Spettacoli!$R$2:$R$36,2),Spettacoli!$R$2:$R$36,0))</f>
        <v/>
      </c>
      <c r="O7" s="16">
        <f>INDEX(Spettacoli!$M$2:$M$36,MATCH(LARGE(Spettacoli!$R$2:$R$36,2),Spettacoli!$R$2:$R$36,0))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INDEX(Spettacoli!$B$2:$B$36,MATCH(LARGE(Spettacoli!$R$2:$R$36,3),Spettacoli!$R$2:$R$36,0))</f>
        <v/>
      </c>
      <c r="L8" s="10">
        <f>INDEX(Spettacoli!$D$2:$D$36,MATCH(LARGE(Spettacoli!$R$2:$R$36,3),Spettacoli!$R$2:$R$36,0))</f>
        <v/>
      </c>
      <c r="M8" s="11">
        <f>INDEX(Spettacoli!$F$2:$F$36,MATCH(LARGE(Spettacoli!$R$2:$R$36,3),Spettacoli!$R$2:$R$36,0))</f>
        <v/>
      </c>
      <c r="N8" s="11">
        <f>INDEX(Spettacoli!$G$2:$G$36,MATCH(LARGE(Spettacoli!$R$2:$R$36,3),Spettacoli!$R$2:$R$36,0))</f>
        <v/>
      </c>
      <c r="O8" s="12">
        <f>INDEX(Spettacoli!$M$2:$M$36,MATCH(LARGE(Spettacoli!$R$2:$R$36,3),Spettacoli!$R$2:$R$36,0))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IF(SUM(Spettacoli!E2:E36)&gt;0,SUM(Spettacoli!F2:F36)/SUM(Spettacoli!E2:E36),0)</f>
        <v/>
      </c>
      <c r="F9" s="5" t="n"/>
      <c r="H9" s="19">
        <f>COUNTIF(Spettacoli!$Q$2:$Q$36,"Venduto")&amp;" / "&amp;COUNTA(Spettacoli!A2:A36)</f>
        <v/>
      </c>
      <c r="I9" s="5" t="n"/>
      <c r="K9" s="13">
        <f>INDEX(Spettacoli!$B$2:$B$36,MATCH(LARGE(Spettacoli!$R$2:$R$36,4),Spettacoli!$R$2:$R$36,0))</f>
        <v/>
      </c>
      <c r="L9" s="14">
        <f>INDEX(Spettacoli!$D$2:$D$36,MATCH(LARGE(Spettacoli!$R$2:$R$36,4),Spettacoli!$R$2:$R$36,0))</f>
        <v/>
      </c>
      <c r="M9" s="15">
        <f>INDEX(Spettacoli!$F$2:$F$36,MATCH(LARGE(Spettacoli!$R$2:$R$36,4),Spettacoli!$R$2:$R$36,0))</f>
        <v/>
      </c>
      <c r="N9" s="15">
        <f>INDEX(Spettacoli!$G$2:$G$36,MATCH(LARGE(Spettacoli!$R$2:$R$36,4),Spettacoli!$R$2:$R$36,0))</f>
        <v/>
      </c>
      <c r="O9" s="16">
        <f>INDEX(Spettacoli!$M$2:$M$36,MATCH(LARGE(Spettacoli!$R$2:$R$36,4),Spettacoli!$R$2:$R$36,0))</f>
        <v/>
      </c>
    </row>
    <row r="10">
      <c r="K10" s="9">
        <f>INDEX(Spettacoli!$B$2:$B$36,MATCH(LARGE(Spettacoli!$R$2:$R$36,5),Spettacoli!$R$2:$R$36,0))</f>
        <v/>
      </c>
      <c r="L10" s="10">
        <f>INDEX(Spettacoli!$D$2:$D$36,MATCH(LARGE(Spettacoli!$R$2:$R$36,5),Spettacoli!$R$2:$R$36,0))</f>
        <v/>
      </c>
      <c r="M10" s="11">
        <f>INDEX(Spettacoli!$F$2:$F$36,MATCH(LARGE(Spettacoli!$R$2:$R$36,5),Spettacoli!$R$2:$R$36,0))</f>
        <v/>
      </c>
      <c r="N10" s="11">
        <f>INDEX(Spettacoli!$G$2:$G$36,MATCH(LARGE(Spettacoli!$R$2:$R$36,5),Spettacoli!$R$2:$R$36,0))</f>
        <v/>
      </c>
      <c r="O10" s="12">
        <f>INDEX(Spettacoli!$M$2:$M$36,MATCH(LARGE(Spettacoli!$R$2:$R$36,5),Spettacoli!$R$2:$R$36,0))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MAX(Storico!A2:A425)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</sheetData>
  <autoFilter ref="A1:R36"/>
  <conditionalFormatting sqref="Q2:Q36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9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</t>
        </is>
      </c>
      <c r="F2" s="22">
        <f>IFERROR(INDEX(Tariffe!$B$2:$B$200,MATCH(E2,Tariffe!$A$2:$A$200,0)),"DA DEFINIRE")</f>
        <v/>
      </c>
      <c r="G2" s="12" t="n">
        <v>48</v>
      </c>
      <c r="H2" s="11" t="n">
        <v>4</v>
      </c>
      <c r="I2" s="11" t="n">
        <v>0</v>
      </c>
      <c r="J2" s="12" t="n">
        <v>192</v>
      </c>
      <c r="K2" s="12" t="n">
        <v>0</v>
      </c>
      <c r="L2" s="12" t="n">
        <v>174.56</v>
      </c>
      <c r="M2" s="12" t="n">
        <v>17.44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</t>
        </is>
      </c>
      <c r="F3" s="23">
        <f>IFERROR(INDEX(Tariffe!$B$2:$B$200,MATCH(E3,Tariffe!$A$2:$A$200,0)),"DA DEFINIRE")</f>
        <v/>
      </c>
      <c r="G3" s="16" t="n">
        <v>36</v>
      </c>
      <c r="H3" s="15" t="n">
        <v>4</v>
      </c>
      <c r="I3" s="15" t="n">
        <v>0</v>
      </c>
      <c r="J3" s="16" t="n">
        <v>144</v>
      </c>
      <c r="K3" s="16" t="n">
        <v>0</v>
      </c>
      <c r="L3" s="16" t="n">
        <v>130.92</v>
      </c>
      <c r="M3" s="16" t="n">
        <v>13.08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I5</t>
        </is>
      </c>
      <c r="F4" s="22">
        <f>IFERROR(INDEX(Tariffe!$B$2:$B$200,MATCH(E4,Tariffe!$A$2:$A$200,0)),"DA DEFINIRE")</f>
        <v/>
      </c>
      <c r="G4" s="12" t="n">
        <v>60</v>
      </c>
      <c r="H4" s="11" t="n">
        <v>1</v>
      </c>
      <c r="I4" s="11" t="n">
        <v>0</v>
      </c>
      <c r="J4" s="12" t="n">
        <v>60</v>
      </c>
      <c r="K4" s="12" t="n">
        <v>0</v>
      </c>
      <c r="L4" s="12" t="n">
        <v>54.55</v>
      </c>
      <c r="M4" s="12" t="n">
        <v>5.45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20261023_2015</t>
        </is>
      </c>
      <c r="B5" s="13" t="n">
        <v>46318</v>
      </c>
      <c r="C5" s="14" t="n">
        <v>0.84375</v>
      </c>
      <c r="D5" s="23" t="inlineStr">
        <is>
          <t>UN Unico</t>
        </is>
      </c>
      <c r="E5" s="23" t="inlineStr">
        <is>
          <t>I8</t>
        </is>
      </c>
      <c r="F5" s="23">
        <f>IFERROR(INDEX(Tariffe!$B$2:$B$200,MATCH(E5,Tariffe!$A$2:$A$200,0)),"DA DEFINIRE")</f>
        <v/>
      </c>
      <c r="G5" s="16" t="n">
        <v>24</v>
      </c>
      <c r="H5" s="15" t="n">
        <v>8</v>
      </c>
      <c r="I5" s="15" t="n">
        <v>0</v>
      </c>
      <c r="J5" s="16" t="n">
        <v>192</v>
      </c>
      <c r="K5" s="16" t="n">
        <v>0</v>
      </c>
      <c r="L5" s="16" t="n">
        <v>174.56</v>
      </c>
      <c r="M5" s="16" t="n">
        <v>17.44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I1</t>
        </is>
      </c>
      <c r="F6" s="22">
        <f>IFERROR(INDEX(Tariffe!$B$2:$B$200,MATCH(E6,Tariffe!$A$2:$A$200,0)),"DA DEFINIRE")</f>
        <v/>
      </c>
      <c r="G6" s="12" t="n">
        <v>48</v>
      </c>
      <c r="H6" s="11" t="n">
        <v>9</v>
      </c>
      <c r="I6" s="11" t="n">
        <v>1</v>
      </c>
      <c r="J6" s="12" t="n">
        <v>432</v>
      </c>
      <c r="K6" s="12" t="n">
        <v>0</v>
      </c>
      <c r="L6" s="12" t="n">
        <v>392.76</v>
      </c>
      <c r="M6" s="12" t="n">
        <v>39.24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I2</t>
        </is>
      </c>
      <c r="F7" s="23">
        <f>IFERROR(INDEX(Tariffe!$B$2:$B$200,MATCH(E7,Tariffe!$A$2:$A$200,0)),"DA DEFINIRE")</f>
        <v/>
      </c>
      <c r="G7" s="16" t="n">
        <v>36</v>
      </c>
      <c r="H7" s="15" t="n">
        <v>7</v>
      </c>
      <c r="I7" s="15" t="n">
        <v>0</v>
      </c>
      <c r="J7" s="16" t="n">
        <v>252</v>
      </c>
      <c r="K7" s="16" t="n">
        <v>0</v>
      </c>
      <c r="L7" s="16" t="n">
        <v>229.11</v>
      </c>
      <c r="M7" s="16" t="n">
        <v>22.89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I5</t>
        </is>
      </c>
      <c r="F8" s="22">
        <f>IFERROR(INDEX(Tariffe!$B$2:$B$200,MATCH(E8,Tariffe!$A$2:$A$200,0)),"DA DEFINIRE")</f>
        <v/>
      </c>
      <c r="G8" s="12" t="n">
        <v>60</v>
      </c>
      <c r="H8" s="11" t="n">
        <v>3</v>
      </c>
      <c r="I8" s="11" t="n">
        <v>0</v>
      </c>
      <c r="J8" s="12" t="n">
        <v>180</v>
      </c>
      <c r="K8" s="12" t="n">
        <v>0</v>
      </c>
      <c r="L8" s="12" t="n">
        <v>163.65</v>
      </c>
      <c r="M8" s="12" t="n">
        <v>16.35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20261023_2115</t>
        </is>
      </c>
      <c r="B9" s="13" t="n">
        <v>46318</v>
      </c>
      <c r="C9" s="14" t="n">
        <v>0.8854166666666666</v>
      </c>
      <c r="D9" s="23" t="inlineStr">
        <is>
          <t>UN Unico</t>
        </is>
      </c>
      <c r="E9" s="23" t="inlineStr">
        <is>
          <t>I8</t>
        </is>
      </c>
      <c r="F9" s="23">
        <f>IFERROR(INDEX(Tariffe!$B$2:$B$200,MATCH(E9,Tariffe!$A$2:$A$200,0)),"DA DEFINIRE")</f>
        <v/>
      </c>
      <c r="G9" s="16" t="n">
        <v>24</v>
      </c>
      <c r="H9" s="15" t="n">
        <v>18</v>
      </c>
      <c r="I9" s="15" t="n">
        <v>0</v>
      </c>
      <c r="J9" s="16" t="n">
        <v>432</v>
      </c>
      <c r="K9" s="16" t="n">
        <v>0</v>
      </c>
      <c r="L9" s="16" t="n">
        <v>392.76</v>
      </c>
      <c r="M9" s="16" t="n">
        <v>39.24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I1</t>
        </is>
      </c>
      <c r="F10" s="22">
        <f>IFERROR(INDEX(Tariffe!$B$2:$B$200,MATCH(E10,Tariffe!$A$2:$A$200,0)),"DA DEFINIRE")</f>
        <v/>
      </c>
      <c r="G10" s="12" t="n">
        <v>48</v>
      </c>
      <c r="H10" s="11" t="n">
        <v>12</v>
      </c>
      <c r="I10" s="11" t="n">
        <v>0</v>
      </c>
      <c r="J10" s="12" t="n">
        <v>576</v>
      </c>
      <c r="K10" s="12" t="n">
        <v>0</v>
      </c>
      <c r="L10" s="12" t="n">
        <v>523.6799999999999</v>
      </c>
      <c r="M10" s="12" t="n">
        <v>52.32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I2</t>
        </is>
      </c>
      <c r="F11" s="23">
        <f>IFERROR(INDEX(Tariffe!$B$2:$B$200,MATCH(E11,Tariffe!$A$2:$A$200,0)),"DA DEFINIRE")</f>
        <v/>
      </c>
      <c r="G11" s="16" t="n">
        <v>36</v>
      </c>
      <c r="H11" s="15" t="n">
        <v>3</v>
      </c>
      <c r="I11" s="15" t="n">
        <v>0</v>
      </c>
      <c r="J11" s="16" t="n">
        <v>108</v>
      </c>
      <c r="K11" s="16" t="n">
        <v>0</v>
      </c>
      <c r="L11" s="16" t="n">
        <v>98.19</v>
      </c>
      <c r="M11" s="16" t="n">
        <v>9.81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I5</t>
        </is>
      </c>
      <c r="F12" s="22">
        <f>IFERROR(INDEX(Tariffe!$B$2:$B$200,MATCH(E12,Tariffe!$A$2:$A$200,0)),"DA DEFINIRE")</f>
        <v/>
      </c>
      <c r="G12" s="12" t="n">
        <v>60</v>
      </c>
      <c r="H12" s="11" t="n">
        <v>5</v>
      </c>
      <c r="I12" s="11" t="n">
        <v>0</v>
      </c>
      <c r="J12" s="12" t="n">
        <v>300</v>
      </c>
      <c r="K12" s="12" t="n">
        <v>0</v>
      </c>
      <c r="L12" s="12" t="n">
        <v>272.75</v>
      </c>
      <c r="M12" s="12" t="n">
        <v>27.25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20261023_2215</t>
        </is>
      </c>
      <c r="B13" s="13" t="n">
        <v>46318</v>
      </c>
      <c r="C13" s="14" t="n">
        <v>0.9270833333333334</v>
      </c>
      <c r="D13" s="23" t="inlineStr">
        <is>
          <t>UN Unico</t>
        </is>
      </c>
      <c r="E13" s="23" t="inlineStr">
        <is>
          <t>I8</t>
        </is>
      </c>
      <c r="F13" s="23">
        <f>IFERROR(INDEX(Tariffe!$B$2:$B$200,MATCH(E13,Tariffe!$A$2:$A$200,0)),"DA DEFINIRE")</f>
        <v/>
      </c>
      <c r="G13" s="16" t="n">
        <v>24</v>
      </c>
      <c r="H13" s="15" t="n">
        <v>11</v>
      </c>
      <c r="I13" s="15" t="n">
        <v>0</v>
      </c>
      <c r="J13" s="16" t="n">
        <v>264</v>
      </c>
      <c r="K13" s="16" t="n">
        <v>0</v>
      </c>
      <c r="L13" s="16" t="n">
        <v>240.02</v>
      </c>
      <c r="M13" s="16" t="n">
        <v>23.98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I1</t>
        </is>
      </c>
      <c r="F14" s="22">
        <f>IFERROR(INDEX(Tariffe!$B$2:$B$200,MATCH(E14,Tariffe!$A$2:$A$200,0)),"DA DEFINIRE")</f>
        <v/>
      </c>
      <c r="G14" s="12" t="n">
        <v>48</v>
      </c>
      <c r="H14" s="11" t="n">
        <v>6</v>
      </c>
      <c r="I14" s="11" t="n">
        <v>1</v>
      </c>
      <c r="J14" s="12" t="n">
        <v>288</v>
      </c>
      <c r="K14" s="12" t="n">
        <v>0</v>
      </c>
      <c r="L14" s="12" t="n">
        <v>261.84</v>
      </c>
      <c r="M14" s="12" t="n">
        <v>26.16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I2</t>
        </is>
      </c>
      <c r="F15" s="23">
        <f>IFERROR(INDEX(Tariffe!$B$2:$B$200,MATCH(E15,Tariffe!$A$2:$A$200,0)),"DA DEFINIRE")</f>
        <v/>
      </c>
      <c r="G15" s="16" t="n">
        <v>36</v>
      </c>
      <c r="H15" s="15" t="n">
        <v>5</v>
      </c>
      <c r="I15" s="15" t="n">
        <v>0</v>
      </c>
      <c r="J15" s="16" t="n">
        <v>180</v>
      </c>
      <c r="K15" s="16" t="n">
        <v>0</v>
      </c>
      <c r="L15" s="16" t="n">
        <v>163.65</v>
      </c>
      <c r="M15" s="16" t="n">
        <v>16.35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I5</t>
        </is>
      </c>
      <c r="F16" s="22">
        <f>IFERROR(INDEX(Tariffe!$B$2:$B$200,MATCH(E16,Tariffe!$A$2:$A$200,0)),"DA DEFINIRE")</f>
        <v/>
      </c>
      <c r="G16" s="12" t="n">
        <v>60</v>
      </c>
      <c r="H16" s="11" t="n">
        <v>2</v>
      </c>
      <c r="I16" s="11" t="n">
        <v>0</v>
      </c>
      <c r="J16" s="12" t="n">
        <v>120</v>
      </c>
      <c r="K16" s="12" t="n">
        <v>0</v>
      </c>
      <c r="L16" s="12" t="n">
        <v>109.1</v>
      </c>
      <c r="M16" s="12" t="n">
        <v>10.9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20261023_2315</t>
        </is>
      </c>
      <c r="B17" s="13" t="n">
        <v>46318</v>
      </c>
      <c r="C17" s="14" t="n">
        <v>0.96875</v>
      </c>
      <c r="D17" s="23" t="inlineStr">
        <is>
          <t>UN Unico</t>
        </is>
      </c>
      <c r="E17" s="23" t="inlineStr">
        <is>
          <t>I8</t>
        </is>
      </c>
      <c r="F17" s="23">
        <f>IFERROR(INDEX(Tariffe!$B$2:$B$200,MATCH(E17,Tariffe!$A$2:$A$200,0)),"DA DEFINIRE")</f>
        <v/>
      </c>
      <c r="G17" s="16" t="n">
        <v>24</v>
      </c>
      <c r="H17" s="15" t="n">
        <v>14</v>
      </c>
      <c r="I17" s="15" t="n">
        <v>0</v>
      </c>
      <c r="J17" s="16" t="n">
        <v>336</v>
      </c>
      <c r="K17" s="16" t="n">
        <v>0</v>
      </c>
      <c r="L17" s="16" t="n">
        <v>305.48</v>
      </c>
      <c r="M17" s="16" t="n">
        <v>30.52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I1</t>
        </is>
      </c>
      <c r="F18" s="22">
        <f>IFERROR(INDEX(Tariffe!$B$2:$B$200,MATCH(E18,Tariffe!$A$2:$A$200,0)),"DA DEFINIRE")</f>
        <v/>
      </c>
      <c r="G18" s="12" t="n">
        <v>48</v>
      </c>
      <c r="H18" s="11" t="n">
        <v>5</v>
      </c>
      <c r="I18" s="11" t="n">
        <v>0</v>
      </c>
      <c r="J18" s="12" t="n">
        <v>240</v>
      </c>
      <c r="K18" s="12" t="n">
        <v>0</v>
      </c>
      <c r="L18" s="12" t="n">
        <v>218.2</v>
      </c>
      <c r="M18" s="12" t="n">
        <v>21.8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I2</t>
        </is>
      </c>
      <c r="F19" s="23">
        <f>IFERROR(INDEX(Tariffe!$B$2:$B$200,MATCH(E19,Tariffe!$A$2:$A$200,0)),"DA DEFINIRE")</f>
        <v/>
      </c>
      <c r="G19" s="16" t="n">
        <v>36</v>
      </c>
      <c r="H19" s="15" t="n">
        <v>1</v>
      </c>
      <c r="I19" s="15" t="n">
        <v>1</v>
      </c>
      <c r="J19" s="16" t="n">
        <v>36</v>
      </c>
      <c r="K19" s="16" t="n">
        <v>0</v>
      </c>
      <c r="L19" s="16" t="n">
        <v>32.73</v>
      </c>
      <c r="M19" s="16" t="n">
        <v>3.27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20261023_2358</t>
        </is>
      </c>
      <c r="B20" s="9" t="n">
        <v>46318</v>
      </c>
      <c r="C20" s="10" t="n">
        <v>0.9986111111111111</v>
      </c>
      <c r="D20" s="22" t="inlineStr">
        <is>
          <t>UN Unico</t>
        </is>
      </c>
      <c r="E20" s="22" t="inlineStr">
        <is>
          <t>I8</t>
        </is>
      </c>
      <c r="F20" s="22">
        <f>IFERROR(INDEX(Tariffe!$B$2:$B$200,MATCH(E20,Tariffe!$A$2:$A$200,0)),"DA DEFINIRE")</f>
        <v/>
      </c>
      <c r="G20" s="12" t="n">
        <v>24</v>
      </c>
      <c r="H20" s="11" t="n">
        <v>6</v>
      </c>
      <c r="I20" s="11" t="n">
        <v>0</v>
      </c>
      <c r="J20" s="12" t="n">
        <v>144</v>
      </c>
      <c r="K20" s="12" t="n">
        <v>0</v>
      </c>
      <c r="L20" s="12" t="n">
        <v>130.92</v>
      </c>
      <c r="M20" s="12" t="n">
        <v>13.08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20261024_2015</t>
        </is>
      </c>
      <c r="B21" s="13" t="n">
        <v>46319</v>
      </c>
      <c r="C21" s="14" t="n">
        <v>0.84375</v>
      </c>
      <c r="D21" s="23" t="inlineStr">
        <is>
          <t>UN Unico</t>
        </is>
      </c>
      <c r="E21" s="23" t="inlineStr">
        <is>
          <t>I1</t>
        </is>
      </c>
      <c r="F21" s="23">
        <f>IFERROR(INDEX(Tariffe!$B$2:$B$200,MATCH(E21,Tariffe!$A$2:$A$200,0)),"DA DEFINIRE")</f>
        <v/>
      </c>
      <c r="G21" s="16" t="n">
        <v>48</v>
      </c>
      <c r="H21" s="15" t="n">
        <v>2</v>
      </c>
      <c r="I21" s="15" t="n">
        <v>0</v>
      </c>
      <c r="J21" s="16" t="n">
        <v>96</v>
      </c>
      <c r="K21" s="16" t="n">
        <v>0</v>
      </c>
      <c r="L21" s="16" t="n">
        <v>87.28</v>
      </c>
      <c r="M21" s="16" t="n">
        <v>8.720000000000001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I5</t>
        </is>
      </c>
      <c r="F22" s="22">
        <f>IFERROR(INDEX(Tariffe!$B$2:$B$200,MATCH(E22,Tariffe!$A$2:$A$200,0)),"DA DEFINIRE")</f>
        <v/>
      </c>
      <c r="G22" s="12" t="n">
        <v>60</v>
      </c>
      <c r="H22" s="11" t="n">
        <v>1</v>
      </c>
      <c r="I22" s="11" t="n">
        <v>0</v>
      </c>
      <c r="J22" s="12" t="n">
        <v>60</v>
      </c>
      <c r="K22" s="12" t="n">
        <v>0</v>
      </c>
      <c r="L22" s="12" t="n">
        <v>54.55</v>
      </c>
      <c r="M22" s="12" t="n">
        <v>5.45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20261024_2015</t>
        </is>
      </c>
      <c r="B23" s="13" t="n">
        <v>46319</v>
      </c>
      <c r="C23" s="14" t="n">
        <v>0.84375</v>
      </c>
      <c r="D23" s="23" t="inlineStr">
        <is>
          <t>UN Unico</t>
        </is>
      </c>
      <c r="E23" s="23" t="inlineStr">
        <is>
          <t>I8</t>
        </is>
      </c>
      <c r="F23" s="23">
        <f>IFERROR(INDEX(Tariffe!$B$2:$B$200,MATCH(E23,Tariffe!$A$2:$A$200,0)),"DA DEFINIRE")</f>
        <v/>
      </c>
      <c r="G23" s="16" t="n">
        <v>24</v>
      </c>
      <c r="H23" s="15" t="n">
        <v>3</v>
      </c>
      <c r="I23" s="15" t="n">
        <v>0</v>
      </c>
      <c r="J23" s="16" t="n">
        <v>72</v>
      </c>
      <c r="K23" s="16" t="n">
        <v>0</v>
      </c>
      <c r="L23" s="16" t="n">
        <v>65.45999999999999</v>
      </c>
      <c r="M23" s="16" t="n">
        <v>6.54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20261024_2115</t>
        </is>
      </c>
      <c r="B24" s="9" t="n">
        <v>46319</v>
      </c>
      <c r="C24" s="10" t="n">
        <v>0.8854166666666666</v>
      </c>
      <c r="D24" s="22" t="inlineStr">
        <is>
          <t>UN Unico</t>
        </is>
      </c>
      <c r="E24" s="22" t="inlineStr">
        <is>
          <t>I1</t>
        </is>
      </c>
      <c r="F24" s="22">
        <f>IFERROR(INDEX(Tariffe!$B$2:$B$200,MATCH(E24,Tariffe!$A$2:$A$200,0)),"DA DEFINIRE")</f>
        <v/>
      </c>
      <c r="G24" s="12" t="n">
        <v>48</v>
      </c>
      <c r="H24" s="11" t="n">
        <v>4</v>
      </c>
      <c r="I24" s="11" t="n">
        <v>0</v>
      </c>
      <c r="J24" s="12" t="n">
        <v>192</v>
      </c>
      <c r="K24" s="12" t="n">
        <v>0</v>
      </c>
      <c r="L24" s="12" t="n">
        <v>174.56</v>
      </c>
      <c r="M24" s="12" t="n">
        <v>17.44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20261024_2115</t>
        </is>
      </c>
      <c r="B25" s="13" t="n">
        <v>46319</v>
      </c>
      <c r="C25" s="14" t="n">
        <v>0.8854166666666666</v>
      </c>
      <c r="D25" s="23" t="inlineStr">
        <is>
          <t>UN Unico</t>
        </is>
      </c>
      <c r="E25" s="23" t="inlineStr">
        <is>
          <t>I2</t>
        </is>
      </c>
      <c r="F25" s="23">
        <f>IFERROR(INDEX(Tariffe!$B$2:$B$200,MATCH(E25,Tariffe!$A$2:$A$200,0)),"DA DEFINIRE")</f>
        <v/>
      </c>
      <c r="G25" s="16" t="n">
        <v>36</v>
      </c>
      <c r="H25" s="15" t="n">
        <v>1</v>
      </c>
      <c r="I25" s="15" t="n">
        <v>0</v>
      </c>
      <c r="J25" s="16" t="n">
        <v>36</v>
      </c>
      <c r="K25" s="16" t="n">
        <v>0</v>
      </c>
      <c r="L25" s="16" t="n">
        <v>32.73</v>
      </c>
      <c r="M25" s="16" t="n">
        <v>3.27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I5</t>
        </is>
      </c>
      <c r="F26" s="22">
        <f>IFERROR(INDEX(Tariffe!$B$2:$B$200,MATCH(E26,Tariffe!$A$2:$A$200,0)),"DA DEFINIRE")</f>
        <v/>
      </c>
      <c r="G26" s="12" t="n">
        <v>60</v>
      </c>
      <c r="H26" s="11" t="n">
        <v>2</v>
      </c>
      <c r="I26" s="11" t="n">
        <v>4</v>
      </c>
      <c r="J26" s="12" t="n">
        <v>120</v>
      </c>
      <c r="K26" s="12" t="n">
        <v>0</v>
      </c>
      <c r="L26" s="12" t="n">
        <v>109.1</v>
      </c>
      <c r="M26" s="12" t="n">
        <v>10.9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20261024_2115</t>
        </is>
      </c>
      <c r="B27" s="13" t="n">
        <v>46319</v>
      </c>
      <c r="C27" s="14" t="n">
        <v>0.8854166666666666</v>
      </c>
      <c r="D27" s="23" t="inlineStr">
        <is>
          <t>UN Unico</t>
        </is>
      </c>
      <c r="E27" s="23" t="inlineStr">
        <is>
          <t>I8</t>
        </is>
      </c>
      <c r="F27" s="23">
        <f>IFERROR(INDEX(Tariffe!$B$2:$B$200,MATCH(E27,Tariffe!$A$2:$A$200,0)),"DA DEFINIRE")</f>
        <v/>
      </c>
      <c r="G27" s="16" t="n">
        <v>24</v>
      </c>
      <c r="H27" s="15" t="n">
        <v>8</v>
      </c>
      <c r="I27" s="15" t="n">
        <v>1</v>
      </c>
      <c r="J27" s="16" t="n">
        <v>192</v>
      </c>
      <c r="K27" s="16" t="n">
        <v>0</v>
      </c>
      <c r="L27" s="16" t="n">
        <v>174.56</v>
      </c>
      <c r="M27" s="16" t="n">
        <v>17.44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20261024_2215</t>
        </is>
      </c>
      <c r="B28" s="9" t="n">
        <v>46319</v>
      </c>
      <c r="C28" s="10" t="n">
        <v>0.9270833333333334</v>
      </c>
      <c r="D28" s="22" t="inlineStr">
        <is>
          <t>UN Unico</t>
        </is>
      </c>
      <c r="E28" s="22" t="inlineStr">
        <is>
          <t>I1</t>
        </is>
      </c>
      <c r="F28" s="22">
        <f>IFERROR(INDEX(Tariffe!$B$2:$B$200,MATCH(E28,Tariffe!$A$2:$A$200,0)),"DA DEFINIRE")</f>
        <v/>
      </c>
      <c r="G28" s="12" t="n">
        <v>48</v>
      </c>
      <c r="H28" s="11" t="n">
        <v>4</v>
      </c>
      <c r="I28" s="11" t="n">
        <v>0</v>
      </c>
      <c r="J28" s="12" t="n">
        <v>192</v>
      </c>
      <c r="K28" s="12" t="n">
        <v>0</v>
      </c>
      <c r="L28" s="12" t="n">
        <v>174.56</v>
      </c>
      <c r="M28" s="12" t="n">
        <v>17.44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20261024_2215</t>
        </is>
      </c>
      <c r="B29" s="13" t="n">
        <v>46319</v>
      </c>
      <c r="C29" s="14" t="n">
        <v>0.9270833333333334</v>
      </c>
      <c r="D29" s="23" t="inlineStr">
        <is>
          <t>UN Unico</t>
        </is>
      </c>
      <c r="E29" s="23" t="inlineStr">
        <is>
          <t>I2</t>
        </is>
      </c>
      <c r="F29" s="23">
        <f>IFERROR(INDEX(Tariffe!$B$2:$B$200,MATCH(E29,Tariffe!$A$2:$A$200,0)),"DA DEFINIRE")</f>
        <v/>
      </c>
      <c r="G29" s="16" t="n">
        <v>36</v>
      </c>
      <c r="H29" s="15" t="n">
        <v>2</v>
      </c>
      <c r="I29" s="15" t="n">
        <v>0</v>
      </c>
      <c r="J29" s="16" t="n">
        <v>72</v>
      </c>
      <c r="K29" s="16" t="n">
        <v>0</v>
      </c>
      <c r="L29" s="16" t="n">
        <v>65.45999999999999</v>
      </c>
      <c r="M29" s="16" t="n">
        <v>6.54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I5</t>
        </is>
      </c>
      <c r="F30" s="22">
        <f>IFERROR(INDEX(Tariffe!$B$2:$B$200,MATCH(E30,Tariffe!$A$2:$A$200,0)),"DA DEFINIRE")</f>
        <v/>
      </c>
      <c r="G30" s="12" t="n">
        <v>60</v>
      </c>
      <c r="H30" s="11" t="n">
        <v>2</v>
      </c>
      <c r="I30" s="11" t="n">
        <v>0</v>
      </c>
      <c r="J30" s="12" t="n">
        <v>120</v>
      </c>
      <c r="K30" s="12" t="n">
        <v>0</v>
      </c>
      <c r="L30" s="12" t="n">
        <v>109.1</v>
      </c>
      <c r="M30" s="12" t="n">
        <v>10.9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20261024_2215</t>
        </is>
      </c>
      <c r="B31" s="13" t="n">
        <v>46319</v>
      </c>
      <c r="C31" s="14" t="n">
        <v>0.9270833333333334</v>
      </c>
      <c r="D31" s="23" t="inlineStr">
        <is>
          <t>UN Unico</t>
        </is>
      </c>
      <c r="E31" s="23" t="inlineStr">
        <is>
          <t>I8</t>
        </is>
      </c>
      <c r="F31" s="23">
        <f>IFERROR(INDEX(Tariffe!$B$2:$B$200,MATCH(E31,Tariffe!$A$2:$A$200,0)),"DA DEFINIRE")</f>
        <v/>
      </c>
      <c r="G31" s="16" t="n">
        <v>24</v>
      </c>
      <c r="H31" s="15" t="n">
        <v>12</v>
      </c>
      <c r="I31" s="15" t="n">
        <v>0</v>
      </c>
      <c r="J31" s="16" t="n">
        <v>288</v>
      </c>
      <c r="K31" s="16" t="n">
        <v>0</v>
      </c>
      <c r="L31" s="16" t="n">
        <v>261.84</v>
      </c>
      <c r="M31" s="16" t="n">
        <v>26.16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20261024_2315</t>
        </is>
      </c>
      <c r="B32" s="9" t="n">
        <v>46319</v>
      </c>
      <c r="C32" s="10" t="n">
        <v>0.96875</v>
      </c>
      <c r="D32" s="22" t="inlineStr">
        <is>
          <t>UN Unico</t>
        </is>
      </c>
      <c r="E32" s="22" t="inlineStr">
        <is>
          <t>I1</t>
        </is>
      </c>
      <c r="F32" s="22">
        <f>IFERROR(INDEX(Tariffe!$B$2:$B$200,MATCH(E32,Tariffe!$A$2:$A$200,0)),"DA DEFINIRE")</f>
        <v/>
      </c>
      <c r="G32" s="12" t="n">
        <v>48</v>
      </c>
      <c r="H32" s="11" t="n">
        <v>3</v>
      </c>
      <c r="I32" s="11" t="n">
        <v>0</v>
      </c>
      <c r="J32" s="12" t="n">
        <v>144</v>
      </c>
      <c r="K32" s="12" t="n">
        <v>0</v>
      </c>
      <c r="L32" s="12" t="n">
        <v>130.92</v>
      </c>
      <c r="M32" s="12" t="n">
        <v>13.08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20261024_2315</t>
        </is>
      </c>
      <c r="B33" s="13" t="n">
        <v>46319</v>
      </c>
      <c r="C33" s="14" t="n">
        <v>0.96875</v>
      </c>
      <c r="D33" s="23" t="inlineStr">
        <is>
          <t>UN Unico</t>
        </is>
      </c>
      <c r="E33" s="23" t="inlineStr">
        <is>
          <t>I2</t>
        </is>
      </c>
      <c r="F33" s="23">
        <f>IFERROR(INDEX(Tariffe!$B$2:$B$200,MATCH(E33,Tariffe!$A$2:$A$200,0)),"DA DEFINIRE")</f>
        <v/>
      </c>
      <c r="G33" s="16" t="n">
        <v>36</v>
      </c>
      <c r="H33" s="15" t="n">
        <v>2</v>
      </c>
      <c r="I33" s="15" t="n">
        <v>0</v>
      </c>
      <c r="J33" s="16" t="n">
        <v>72</v>
      </c>
      <c r="K33" s="16" t="n">
        <v>0</v>
      </c>
      <c r="L33" s="16" t="n">
        <v>65.45999999999999</v>
      </c>
      <c r="M33" s="16" t="n">
        <v>6.54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I5</t>
        </is>
      </c>
      <c r="F34" s="22">
        <f>IFERROR(INDEX(Tariffe!$B$2:$B$200,MATCH(E34,Tariffe!$A$2:$A$200,0)),"DA DEFINIRE")</f>
        <v/>
      </c>
      <c r="G34" s="12" t="n">
        <v>60</v>
      </c>
      <c r="H34" s="11" t="n">
        <v>5</v>
      </c>
      <c r="I34" s="11" t="n">
        <v>0</v>
      </c>
      <c r="J34" s="12" t="n">
        <v>300</v>
      </c>
      <c r="K34" s="12" t="n">
        <v>0</v>
      </c>
      <c r="L34" s="12" t="n">
        <v>272.75</v>
      </c>
      <c r="M34" s="12" t="n">
        <v>27.25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20261024_2315</t>
        </is>
      </c>
      <c r="B35" s="13" t="n">
        <v>46319</v>
      </c>
      <c r="C35" s="14" t="n">
        <v>0.96875</v>
      </c>
      <c r="D35" s="23" t="inlineStr">
        <is>
          <t>UN Unico</t>
        </is>
      </c>
      <c r="E35" s="23" t="inlineStr">
        <is>
          <t>I8</t>
        </is>
      </c>
      <c r="F35" s="23">
        <f>IFERROR(INDEX(Tariffe!$B$2:$B$200,MATCH(E35,Tariffe!$A$2:$A$200,0)),"DA DEFINIRE")</f>
        <v/>
      </c>
      <c r="G35" s="16" t="n">
        <v>24</v>
      </c>
      <c r="H35" s="15" t="n">
        <v>11</v>
      </c>
      <c r="I35" s="15" t="n">
        <v>0</v>
      </c>
      <c r="J35" s="16" t="n">
        <v>264</v>
      </c>
      <c r="K35" s="16" t="n">
        <v>0</v>
      </c>
      <c r="L35" s="16" t="n">
        <v>240.02</v>
      </c>
      <c r="M35" s="16" t="n">
        <v>23.98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20261024_2359</t>
        </is>
      </c>
      <c r="B36" s="9" t="n">
        <v>46319</v>
      </c>
      <c r="C36" s="10" t="n">
        <v>0.9993055555555556</v>
      </c>
      <c r="D36" s="22" t="inlineStr">
        <is>
          <t>UN Unico</t>
        </is>
      </c>
      <c r="E36" s="22" t="inlineStr">
        <is>
          <t>I1</t>
        </is>
      </c>
      <c r="F36" s="22">
        <f>IFERROR(INDEX(Tariffe!$B$2:$B$200,MATCH(E36,Tariffe!$A$2:$A$200,0)),"DA DEFINIRE")</f>
        <v/>
      </c>
      <c r="G36" s="12" t="n">
        <v>48</v>
      </c>
      <c r="H36" s="11" t="n">
        <v>4</v>
      </c>
      <c r="I36" s="11" t="n">
        <v>0</v>
      </c>
      <c r="J36" s="12" t="n">
        <v>192</v>
      </c>
      <c r="K36" s="12" t="n">
        <v>0</v>
      </c>
      <c r="L36" s="12" t="n">
        <v>174.56</v>
      </c>
      <c r="M36" s="12" t="n">
        <v>17.44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20261024_2359</t>
        </is>
      </c>
      <c r="B37" s="13" t="n">
        <v>46319</v>
      </c>
      <c r="C37" s="14" t="n">
        <v>0.9993055555555556</v>
      </c>
      <c r="D37" s="23" t="inlineStr">
        <is>
          <t>UN Unico</t>
        </is>
      </c>
      <c r="E37" s="23" t="inlineStr">
        <is>
          <t>I8</t>
        </is>
      </c>
      <c r="F37" s="23">
        <f>IFERROR(INDEX(Tariffe!$B$2:$B$200,MATCH(E37,Tariffe!$A$2:$A$200,0)),"DA DEFINIRE")</f>
        <v/>
      </c>
      <c r="G37" s="16" t="n">
        <v>24</v>
      </c>
      <c r="H37" s="15" t="n">
        <v>8</v>
      </c>
      <c r="I37" s="15" t="n">
        <v>0</v>
      </c>
      <c r="J37" s="16" t="n">
        <v>192</v>
      </c>
      <c r="K37" s="16" t="n">
        <v>0</v>
      </c>
      <c r="L37" s="16" t="n">
        <v>174.56</v>
      </c>
      <c r="M37" s="16" t="n">
        <v>17.44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20261025_2015</t>
        </is>
      </c>
      <c r="B38" s="9" t="n">
        <v>46320</v>
      </c>
      <c r="C38" s="10" t="n">
        <v>0.84375</v>
      </c>
      <c r="D38" s="22" t="inlineStr">
        <is>
          <t>UN Unico</t>
        </is>
      </c>
      <c r="E38" s="22" t="inlineStr">
        <is>
          <t>I1</t>
        </is>
      </c>
      <c r="F38" s="22">
        <f>IFERROR(INDEX(Tariffe!$B$2:$B$200,MATCH(E38,Tariffe!$A$2:$A$200,0)),"DA DEFINIRE")</f>
        <v/>
      </c>
      <c r="G38" s="12" t="n">
        <v>48</v>
      </c>
      <c r="H38" s="11" t="n">
        <v>3</v>
      </c>
      <c r="I38" s="11" t="n">
        <v>0</v>
      </c>
      <c r="J38" s="12" t="n">
        <v>144</v>
      </c>
      <c r="K38" s="12" t="n">
        <v>0</v>
      </c>
      <c r="L38" s="12" t="n">
        <v>130.92</v>
      </c>
      <c r="M38" s="12" t="n">
        <v>13.08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20261025_2015</t>
        </is>
      </c>
      <c r="B39" s="13" t="n">
        <v>46320</v>
      </c>
      <c r="C39" s="14" t="n">
        <v>0.84375</v>
      </c>
      <c r="D39" s="23" t="inlineStr">
        <is>
          <t>UN Unico</t>
        </is>
      </c>
      <c r="E39" s="23" t="inlineStr">
        <is>
          <t>I2</t>
        </is>
      </c>
      <c r="F39" s="23">
        <f>IFERROR(INDEX(Tariffe!$B$2:$B$200,MATCH(E39,Tariffe!$A$2:$A$200,0)),"DA DEFINIRE")</f>
        <v/>
      </c>
      <c r="G39" s="16" t="n">
        <v>36</v>
      </c>
      <c r="H39" s="15" t="n">
        <v>1</v>
      </c>
      <c r="I39" s="15" t="n">
        <v>0</v>
      </c>
      <c r="J39" s="16" t="n">
        <v>36</v>
      </c>
      <c r="K39" s="16" t="n">
        <v>0</v>
      </c>
      <c r="L39" s="16" t="n">
        <v>32.73</v>
      </c>
      <c r="M39" s="16" t="n">
        <v>3.27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20261025_2015</t>
        </is>
      </c>
      <c r="B40" s="9" t="n">
        <v>46320</v>
      </c>
      <c r="C40" s="10" t="n">
        <v>0.84375</v>
      </c>
      <c r="D40" s="22" t="inlineStr">
        <is>
          <t>UN Unico</t>
        </is>
      </c>
      <c r="E40" s="22" t="inlineStr">
        <is>
          <t>I5</t>
        </is>
      </c>
      <c r="F40" s="22">
        <f>IFERROR(INDEX(Tariffe!$B$2:$B$200,MATCH(E40,Tariffe!$A$2:$A$200,0)),"DA DEFINIRE")</f>
        <v/>
      </c>
      <c r="G40" s="12" t="n">
        <v>60</v>
      </c>
      <c r="H40" s="11" t="n">
        <v>1</v>
      </c>
      <c r="I40" s="11" t="n">
        <v>0</v>
      </c>
      <c r="J40" s="12" t="n">
        <v>60</v>
      </c>
      <c r="K40" s="12" t="n">
        <v>0</v>
      </c>
      <c r="L40" s="12" t="n">
        <v>54.55</v>
      </c>
      <c r="M40" s="12" t="n">
        <v>5.45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20261025_2015</t>
        </is>
      </c>
      <c r="B41" s="13" t="n">
        <v>46320</v>
      </c>
      <c r="C41" s="14" t="n">
        <v>0.84375</v>
      </c>
      <c r="D41" s="23" t="inlineStr">
        <is>
          <t>UN Unico</t>
        </is>
      </c>
      <c r="E41" s="23" t="inlineStr">
        <is>
          <t>I8</t>
        </is>
      </c>
      <c r="F41" s="23">
        <f>IFERROR(INDEX(Tariffe!$B$2:$B$200,MATCH(E41,Tariffe!$A$2:$A$200,0)),"DA DEFINIRE")</f>
        <v/>
      </c>
      <c r="G41" s="16" t="n">
        <v>24</v>
      </c>
      <c r="H41" s="15" t="n">
        <v>2</v>
      </c>
      <c r="I41" s="15" t="n">
        <v>0</v>
      </c>
      <c r="J41" s="16" t="n">
        <v>48</v>
      </c>
      <c r="K41" s="16" t="n">
        <v>0</v>
      </c>
      <c r="L41" s="16" t="n">
        <v>43.64</v>
      </c>
      <c r="M41" s="16" t="n">
        <v>4.36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20261025_2115</t>
        </is>
      </c>
      <c r="B42" s="9" t="n">
        <v>46320</v>
      </c>
      <c r="C42" s="10" t="n">
        <v>0.8854166666666666</v>
      </c>
      <c r="D42" s="22" t="inlineStr">
        <is>
          <t>UN Unico</t>
        </is>
      </c>
      <c r="E42" s="22" t="inlineStr">
        <is>
          <t>I1</t>
        </is>
      </c>
      <c r="F42" s="22">
        <f>IFERROR(INDEX(Tariffe!$B$2:$B$200,MATCH(E42,Tariffe!$A$2:$A$200,0)),"DA DEFINIRE")</f>
        <v/>
      </c>
      <c r="G42" s="12" t="n">
        <v>48</v>
      </c>
      <c r="H42" s="11" t="n">
        <v>4</v>
      </c>
      <c r="I42" s="11" t="n">
        <v>0</v>
      </c>
      <c r="J42" s="12" t="n">
        <v>192</v>
      </c>
      <c r="K42" s="12" t="n">
        <v>0</v>
      </c>
      <c r="L42" s="12" t="n">
        <v>174.56</v>
      </c>
      <c r="M42" s="12" t="n">
        <v>17.44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20261025_2115</t>
        </is>
      </c>
      <c r="B43" s="13" t="n">
        <v>46320</v>
      </c>
      <c r="C43" s="14" t="n">
        <v>0.8854166666666666</v>
      </c>
      <c r="D43" s="23" t="inlineStr">
        <is>
          <t>UN Unico</t>
        </is>
      </c>
      <c r="E43" s="23" t="inlineStr">
        <is>
          <t>I5</t>
        </is>
      </c>
      <c r="F43" s="23">
        <f>IFERROR(INDEX(Tariffe!$B$2:$B$200,MATCH(E43,Tariffe!$A$2:$A$200,0)),"DA DEFINIRE")</f>
        <v/>
      </c>
      <c r="G43" s="16" t="n">
        <v>60</v>
      </c>
      <c r="H43" s="15" t="n">
        <v>1</v>
      </c>
      <c r="I43" s="15" t="n">
        <v>0</v>
      </c>
      <c r="J43" s="16" t="n">
        <v>60</v>
      </c>
      <c r="K43" s="16" t="n">
        <v>0</v>
      </c>
      <c r="L43" s="16" t="n">
        <v>54.55</v>
      </c>
      <c r="M43" s="16" t="n">
        <v>5.45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20261025_2115</t>
        </is>
      </c>
      <c r="B44" s="9" t="n">
        <v>46320</v>
      </c>
      <c r="C44" s="10" t="n">
        <v>0.8854166666666666</v>
      </c>
      <c r="D44" s="22" t="inlineStr">
        <is>
          <t>UN Unico</t>
        </is>
      </c>
      <c r="E44" s="22" t="inlineStr">
        <is>
          <t>I8</t>
        </is>
      </c>
      <c r="F44" s="22">
        <f>IFERROR(INDEX(Tariffe!$B$2:$B$200,MATCH(E44,Tariffe!$A$2:$A$200,0)),"DA DEFINIRE")</f>
        <v/>
      </c>
      <c r="G44" s="12" t="n">
        <v>24</v>
      </c>
      <c r="H44" s="11" t="n">
        <v>7</v>
      </c>
      <c r="I44" s="11" t="n">
        <v>0</v>
      </c>
      <c r="J44" s="12" t="n">
        <v>168</v>
      </c>
      <c r="K44" s="12" t="n">
        <v>0</v>
      </c>
      <c r="L44" s="12" t="n">
        <v>152.74</v>
      </c>
      <c r="M44" s="12" t="n">
        <v>15.26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20261025_2215</t>
        </is>
      </c>
      <c r="B45" s="13" t="n">
        <v>46320</v>
      </c>
      <c r="C45" s="14" t="n">
        <v>0.9270833333333334</v>
      </c>
      <c r="D45" s="23" t="inlineStr">
        <is>
          <t>UN Unico</t>
        </is>
      </c>
      <c r="E45" s="23" t="inlineStr">
        <is>
          <t>I1</t>
        </is>
      </c>
      <c r="F45" s="23">
        <f>IFERROR(INDEX(Tariffe!$B$2:$B$200,MATCH(E45,Tariffe!$A$2:$A$200,0)),"DA DEFINIRE")</f>
        <v/>
      </c>
      <c r="G45" s="16" t="n">
        <v>48</v>
      </c>
      <c r="H45" s="15" t="n">
        <v>1</v>
      </c>
      <c r="I45" s="15" t="n">
        <v>0</v>
      </c>
      <c r="J45" s="16" t="n">
        <v>48</v>
      </c>
      <c r="K45" s="16" t="n">
        <v>0</v>
      </c>
      <c r="L45" s="16" t="n">
        <v>43.64</v>
      </c>
      <c r="M45" s="16" t="n">
        <v>4.36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20261025_2215</t>
        </is>
      </c>
      <c r="B46" s="9" t="n">
        <v>46320</v>
      </c>
      <c r="C46" s="10" t="n">
        <v>0.9270833333333334</v>
      </c>
      <c r="D46" s="22" t="inlineStr">
        <is>
          <t>UN Unico</t>
        </is>
      </c>
      <c r="E46" s="22" t="inlineStr">
        <is>
          <t>I2</t>
        </is>
      </c>
      <c r="F46" s="22">
        <f>IFERROR(INDEX(Tariffe!$B$2:$B$200,MATCH(E46,Tariffe!$A$2:$A$200,0)),"DA DEFINIRE")</f>
        <v/>
      </c>
      <c r="G46" s="12" t="n">
        <v>36</v>
      </c>
      <c r="H46" s="11" t="n">
        <v>1</v>
      </c>
      <c r="I46" s="11" t="n">
        <v>0</v>
      </c>
      <c r="J46" s="12" t="n">
        <v>36</v>
      </c>
      <c r="K46" s="12" t="n">
        <v>0</v>
      </c>
      <c r="L46" s="12" t="n">
        <v>32.73</v>
      </c>
      <c r="M46" s="12" t="n">
        <v>3.27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20261025_2215</t>
        </is>
      </c>
      <c r="B47" s="13" t="n">
        <v>46320</v>
      </c>
      <c r="C47" s="14" t="n">
        <v>0.9270833333333334</v>
      </c>
      <c r="D47" s="23" t="inlineStr">
        <is>
          <t>UN Unico</t>
        </is>
      </c>
      <c r="E47" s="23" t="inlineStr">
        <is>
          <t>I8</t>
        </is>
      </c>
      <c r="F47" s="23">
        <f>IFERROR(INDEX(Tariffe!$B$2:$B$200,MATCH(E47,Tariffe!$A$2:$A$200,0)),"DA DEFINIRE")</f>
        <v/>
      </c>
      <c r="G47" s="16" t="n">
        <v>24</v>
      </c>
      <c r="H47" s="15" t="n">
        <v>6</v>
      </c>
      <c r="I47" s="15" t="n">
        <v>0</v>
      </c>
      <c r="J47" s="16" t="n">
        <v>144</v>
      </c>
      <c r="K47" s="16" t="n">
        <v>0</v>
      </c>
      <c r="L47" s="16" t="n">
        <v>130.92</v>
      </c>
      <c r="M47" s="16" t="n">
        <v>13.08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20261025_2315</t>
        </is>
      </c>
      <c r="B48" s="9" t="n">
        <v>46320</v>
      </c>
      <c r="C48" s="10" t="n">
        <v>0.96875</v>
      </c>
      <c r="D48" s="22" t="inlineStr">
        <is>
          <t>UN Unico</t>
        </is>
      </c>
      <c r="E48" s="22" t="inlineStr">
        <is>
          <t>I1</t>
        </is>
      </c>
      <c r="F48" s="22">
        <f>IFERROR(INDEX(Tariffe!$B$2:$B$200,MATCH(E48,Tariffe!$A$2:$A$200,0)),"DA DEFINIRE")</f>
        <v/>
      </c>
      <c r="G48" s="12" t="n">
        <v>48</v>
      </c>
      <c r="H48" s="11" t="n">
        <v>3</v>
      </c>
      <c r="I48" s="11" t="n">
        <v>0</v>
      </c>
      <c r="J48" s="12" t="n">
        <v>144</v>
      </c>
      <c r="K48" s="12" t="n">
        <v>0</v>
      </c>
      <c r="L48" s="12" t="n">
        <v>130.92</v>
      </c>
      <c r="M48" s="12" t="n">
        <v>13.08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20261025_2315</t>
        </is>
      </c>
      <c r="B49" s="13" t="n">
        <v>46320</v>
      </c>
      <c r="C49" s="14" t="n">
        <v>0.96875</v>
      </c>
      <c r="D49" s="23" t="inlineStr">
        <is>
          <t>UN Unico</t>
        </is>
      </c>
      <c r="E49" s="23" t="inlineStr">
        <is>
          <t>I2</t>
        </is>
      </c>
      <c r="F49" s="23">
        <f>IFERROR(INDEX(Tariffe!$B$2:$B$200,MATCH(E49,Tariffe!$A$2:$A$200,0)),"DA DEFINIRE")</f>
        <v/>
      </c>
      <c r="G49" s="16" t="n">
        <v>36</v>
      </c>
      <c r="H49" s="15" t="n">
        <v>1</v>
      </c>
      <c r="I49" s="15" t="n">
        <v>0</v>
      </c>
      <c r="J49" s="16" t="n">
        <v>36</v>
      </c>
      <c r="K49" s="16" t="n">
        <v>0</v>
      </c>
      <c r="L49" s="16" t="n">
        <v>32.73</v>
      </c>
      <c r="M49" s="16" t="n">
        <v>3.27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20261025_2315</t>
        </is>
      </c>
      <c r="B50" s="9" t="n">
        <v>46320</v>
      </c>
      <c r="C50" s="10" t="n">
        <v>0.96875</v>
      </c>
      <c r="D50" s="22" t="inlineStr">
        <is>
          <t>UN Unico</t>
        </is>
      </c>
      <c r="E50" s="22" t="inlineStr">
        <is>
          <t>I8</t>
        </is>
      </c>
      <c r="F50" s="22">
        <f>IFERROR(INDEX(Tariffe!$B$2:$B$200,MATCH(E50,Tariffe!$A$2:$A$200,0)),"DA DEFINIRE")</f>
        <v/>
      </c>
      <c r="G50" s="12" t="n">
        <v>24</v>
      </c>
      <c r="H50" s="11" t="n">
        <v>2</v>
      </c>
      <c r="I50" s="11" t="n">
        <v>0</v>
      </c>
      <c r="J50" s="12" t="n">
        <v>48</v>
      </c>
      <c r="K50" s="12" t="n">
        <v>0</v>
      </c>
      <c r="L50" s="12" t="n">
        <v>43.64</v>
      </c>
      <c r="M50" s="12" t="n">
        <v>4.36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20261025_2359</t>
        </is>
      </c>
      <c r="B51" s="13" t="n">
        <v>46320</v>
      </c>
      <c r="C51" s="14" t="n">
        <v>0.9993055555555556</v>
      </c>
      <c r="D51" s="23" t="inlineStr">
        <is>
          <t>UN Unico</t>
        </is>
      </c>
      <c r="E51" s="23" t="inlineStr">
        <is>
          <t>I5</t>
        </is>
      </c>
      <c r="F51" s="23">
        <f>IFERROR(INDEX(Tariffe!$B$2:$B$200,MATCH(E51,Tariffe!$A$2:$A$200,0)),"DA DEFINIRE")</f>
        <v/>
      </c>
      <c r="G51" s="16" t="n">
        <v>60</v>
      </c>
      <c r="H51" s="15" t="n">
        <v>1</v>
      </c>
      <c r="I51" s="15" t="n">
        <v>0</v>
      </c>
      <c r="J51" s="16" t="n">
        <v>60</v>
      </c>
      <c r="K51" s="16" t="n">
        <v>0</v>
      </c>
      <c r="L51" s="16" t="n">
        <v>54.55</v>
      </c>
      <c r="M51" s="16" t="n">
        <v>5.45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20261025_2359</t>
        </is>
      </c>
      <c r="B52" s="9" t="n">
        <v>46320</v>
      </c>
      <c r="C52" s="10" t="n">
        <v>0.9993055555555556</v>
      </c>
      <c r="D52" s="22" t="inlineStr">
        <is>
          <t>UN Unico</t>
        </is>
      </c>
      <c r="E52" s="22" t="inlineStr">
        <is>
          <t>I8</t>
        </is>
      </c>
      <c r="F52" s="22">
        <f>IFERROR(INDEX(Tariffe!$B$2:$B$200,MATCH(E52,Tariffe!$A$2:$A$200,0)),"DA DEFINIRE")</f>
        <v/>
      </c>
      <c r="G52" s="12" t="n">
        <v>24</v>
      </c>
      <c r="H52" s="11" t="n">
        <v>3</v>
      </c>
      <c r="I52" s="11" t="n">
        <v>0</v>
      </c>
      <c r="J52" s="12" t="n">
        <v>72</v>
      </c>
      <c r="K52" s="12" t="n">
        <v>0</v>
      </c>
      <c r="L52" s="12" t="n">
        <v>65.45999999999999</v>
      </c>
      <c r="M52" s="12" t="n">
        <v>6.54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20261029_2015</t>
        </is>
      </c>
      <c r="B53" s="13" t="n">
        <v>46324</v>
      </c>
      <c r="C53" s="14" t="n">
        <v>0.84375</v>
      </c>
      <c r="D53" s="23" t="inlineStr">
        <is>
          <t>UN Unico</t>
        </is>
      </c>
      <c r="E53" s="23" t="inlineStr">
        <is>
          <t>I1</t>
        </is>
      </c>
      <c r="F53" s="23">
        <f>IFERROR(INDEX(Tariffe!$B$2:$B$200,MATCH(E53,Tariffe!$A$2:$A$200,0)),"DA DEFINIRE")</f>
        <v/>
      </c>
      <c r="G53" s="16" t="n">
        <v>48</v>
      </c>
      <c r="H53" s="15" t="n">
        <v>1</v>
      </c>
      <c r="I53" s="15" t="n">
        <v>0</v>
      </c>
      <c r="J53" s="16" t="n">
        <v>48</v>
      </c>
      <c r="K53" s="16" t="n">
        <v>0</v>
      </c>
      <c r="L53" s="16" t="n">
        <v>43.64</v>
      </c>
      <c r="M53" s="16" t="n">
        <v>4.36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20261029_2015</t>
        </is>
      </c>
      <c r="B54" s="9" t="n">
        <v>46324</v>
      </c>
      <c r="C54" s="10" t="n">
        <v>0.84375</v>
      </c>
      <c r="D54" s="22" t="inlineStr">
        <is>
          <t>UN Unico</t>
        </is>
      </c>
      <c r="E54" s="22" t="inlineStr">
        <is>
          <t>I5</t>
        </is>
      </c>
      <c r="F54" s="22">
        <f>IFERROR(INDEX(Tariffe!$B$2:$B$200,MATCH(E54,Tariffe!$A$2:$A$200,0)),"DA DEFINIRE")</f>
        <v/>
      </c>
      <c r="G54" s="12" t="n">
        <v>60</v>
      </c>
      <c r="H54" s="11" t="n">
        <v>2</v>
      </c>
      <c r="I54" s="11" t="n">
        <v>0</v>
      </c>
      <c r="J54" s="12" t="n">
        <v>120</v>
      </c>
      <c r="K54" s="12" t="n">
        <v>0</v>
      </c>
      <c r="L54" s="12" t="n">
        <v>109.1</v>
      </c>
      <c r="M54" s="12" t="n">
        <v>10.9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20261029_2015</t>
        </is>
      </c>
      <c r="B55" s="13" t="n">
        <v>46324</v>
      </c>
      <c r="C55" s="14" t="n">
        <v>0.84375</v>
      </c>
      <c r="D55" s="23" t="inlineStr">
        <is>
          <t>UN Unico</t>
        </is>
      </c>
      <c r="E55" s="23" t="inlineStr">
        <is>
          <t>I8</t>
        </is>
      </c>
      <c r="F55" s="23">
        <f>IFERROR(INDEX(Tariffe!$B$2:$B$200,MATCH(E55,Tariffe!$A$2:$A$200,0)),"DA DEFINIRE")</f>
        <v/>
      </c>
      <c r="G55" s="16" t="n">
        <v>24</v>
      </c>
      <c r="H55" s="15" t="n">
        <v>1</v>
      </c>
      <c r="I55" s="15" t="n">
        <v>0</v>
      </c>
      <c r="J55" s="16" t="n">
        <v>24</v>
      </c>
      <c r="K55" s="16" t="n">
        <v>0</v>
      </c>
      <c r="L55" s="16" t="n">
        <v>21.82</v>
      </c>
      <c r="M55" s="16" t="n">
        <v>2.18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20261029_2115</t>
        </is>
      </c>
      <c r="B56" s="9" t="n">
        <v>46324</v>
      </c>
      <c r="C56" s="10" t="n">
        <v>0.8854166666666666</v>
      </c>
      <c r="D56" s="22" t="inlineStr">
        <is>
          <t>UN Unico</t>
        </is>
      </c>
      <c r="E56" s="22" t="inlineStr">
        <is>
          <t>I5</t>
        </is>
      </c>
      <c r="F56" s="22">
        <f>IFERROR(INDEX(Tariffe!$B$2:$B$200,MATCH(E56,Tariffe!$A$2:$A$200,0)),"DA DEFINIRE")</f>
        <v/>
      </c>
      <c r="G56" s="12" t="n">
        <v>60</v>
      </c>
      <c r="H56" s="11" t="n">
        <v>1</v>
      </c>
      <c r="I56" s="11" t="n">
        <v>0</v>
      </c>
      <c r="J56" s="12" t="n">
        <v>60</v>
      </c>
      <c r="K56" s="12" t="n">
        <v>0</v>
      </c>
      <c r="L56" s="12" t="n">
        <v>54.55</v>
      </c>
      <c r="M56" s="12" t="n">
        <v>5.45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20261029_2115</t>
        </is>
      </c>
      <c r="B57" s="13" t="n">
        <v>46324</v>
      </c>
      <c r="C57" s="14" t="n">
        <v>0.8854166666666666</v>
      </c>
      <c r="D57" s="23" t="inlineStr">
        <is>
          <t>UN Unico</t>
        </is>
      </c>
      <c r="E57" s="23" t="inlineStr">
        <is>
          <t>I8</t>
        </is>
      </c>
      <c r="F57" s="23">
        <f>IFERROR(INDEX(Tariffe!$B$2:$B$200,MATCH(E57,Tariffe!$A$2:$A$200,0)),"DA DEFINIRE")</f>
        <v/>
      </c>
      <c r="G57" s="16" t="n">
        <v>24</v>
      </c>
      <c r="H57" s="15" t="n">
        <v>1</v>
      </c>
      <c r="I57" s="15" t="n">
        <v>0</v>
      </c>
      <c r="J57" s="16" t="n">
        <v>24</v>
      </c>
      <c r="K57" s="16" t="n">
        <v>0</v>
      </c>
      <c r="L57" s="16" t="n">
        <v>21.82</v>
      </c>
      <c r="M57" s="16" t="n">
        <v>2.18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20261029_2215</t>
        </is>
      </c>
      <c r="B58" s="9" t="n">
        <v>46324</v>
      </c>
      <c r="C58" s="10" t="n">
        <v>0.9270833333333334</v>
      </c>
      <c r="D58" s="22" t="inlineStr">
        <is>
          <t>UN Unico</t>
        </is>
      </c>
      <c r="E58" s="22" t="inlineStr">
        <is>
          <t>I1</t>
        </is>
      </c>
      <c r="F58" s="22">
        <f>IFERROR(INDEX(Tariffe!$B$2:$B$200,MATCH(E58,Tariffe!$A$2:$A$200,0)),"DA DEFINIRE")</f>
        <v/>
      </c>
      <c r="G58" s="12" t="n">
        <v>48</v>
      </c>
      <c r="H58" s="11" t="n">
        <v>3</v>
      </c>
      <c r="I58" s="11" t="n">
        <v>0</v>
      </c>
      <c r="J58" s="12" t="n">
        <v>144</v>
      </c>
      <c r="K58" s="12" t="n">
        <v>0</v>
      </c>
      <c r="L58" s="12" t="n">
        <v>130.92</v>
      </c>
      <c r="M58" s="12" t="n">
        <v>13.08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20261029_2215</t>
        </is>
      </c>
      <c r="B59" s="13" t="n">
        <v>46324</v>
      </c>
      <c r="C59" s="14" t="n">
        <v>0.9270833333333334</v>
      </c>
      <c r="D59" s="23" t="inlineStr">
        <is>
          <t>UN Unico</t>
        </is>
      </c>
      <c r="E59" s="23" t="inlineStr">
        <is>
          <t>I2</t>
        </is>
      </c>
      <c r="F59" s="23">
        <f>IFERROR(INDEX(Tariffe!$B$2:$B$200,MATCH(E59,Tariffe!$A$2:$A$200,0)),"DA DEFINIRE")</f>
        <v/>
      </c>
      <c r="G59" s="16" t="n">
        <v>36</v>
      </c>
      <c r="H59" s="15" t="n">
        <v>2</v>
      </c>
      <c r="I59" s="15" t="n">
        <v>0</v>
      </c>
      <c r="J59" s="16" t="n">
        <v>72</v>
      </c>
      <c r="K59" s="16" t="n">
        <v>0</v>
      </c>
      <c r="L59" s="16" t="n">
        <v>65.45999999999999</v>
      </c>
      <c r="M59" s="16" t="n">
        <v>6.54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20261029_2215</t>
        </is>
      </c>
      <c r="B60" s="9" t="n">
        <v>46324</v>
      </c>
      <c r="C60" s="10" t="n">
        <v>0.9270833333333334</v>
      </c>
      <c r="D60" s="22" t="inlineStr">
        <is>
          <t>UN Unico</t>
        </is>
      </c>
      <c r="E60" s="22" t="inlineStr">
        <is>
          <t>I8</t>
        </is>
      </c>
      <c r="F60" s="22">
        <f>IFERROR(INDEX(Tariffe!$B$2:$B$200,MATCH(E60,Tariffe!$A$2:$A$200,0)),"DA DEFINIRE")</f>
        <v/>
      </c>
      <c r="G60" s="12" t="n">
        <v>24</v>
      </c>
      <c r="H60" s="11" t="n">
        <v>5</v>
      </c>
      <c r="I60" s="11" t="n">
        <v>0</v>
      </c>
      <c r="J60" s="12" t="n">
        <v>120</v>
      </c>
      <c r="K60" s="12" t="n">
        <v>0</v>
      </c>
      <c r="L60" s="12" t="n">
        <v>109.1</v>
      </c>
      <c r="M60" s="12" t="n">
        <v>10.9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H60*O60</f>
        <v/>
      </c>
    </row>
    <row r="61">
      <c r="A61" s="23" t="inlineStr">
        <is>
          <t>20261029_2315</t>
        </is>
      </c>
      <c r="B61" s="13" t="n">
        <v>46324</v>
      </c>
      <c r="C61" s="14" t="n">
        <v>0.96875</v>
      </c>
      <c r="D61" s="23" t="inlineStr">
        <is>
          <t>UN Unico</t>
        </is>
      </c>
      <c r="E61" s="23" t="inlineStr">
        <is>
          <t>I1</t>
        </is>
      </c>
      <c r="F61" s="23">
        <f>IFERROR(INDEX(Tariffe!$B$2:$B$200,MATCH(E61,Tariffe!$A$2:$A$200,0)),"DA DEFINIRE")</f>
        <v/>
      </c>
      <c r="G61" s="16" t="n">
        <v>48</v>
      </c>
      <c r="H61" s="15" t="n">
        <v>6</v>
      </c>
      <c r="I61" s="15" t="n">
        <v>0</v>
      </c>
      <c r="J61" s="16" t="n">
        <v>288</v>
      </c>
      <c r="K61" s="16" t="n">
        <v>0</v>
      </c>
      <c r="L61" s="16" t="n">
        <v>261.84</v>
      </c>
      <c r="M61" s="16" t="n">
        <v>26.16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H61*O61</f>
        <v/>
      </c>
    </row>
    <row r="62">
      <c r="A62" s="22" t="inlineStr">
        <is>
          <t>20261029_2315</t>
        </is>
      </c>
      <c r="B62" s="9" t="n">
        <v>46324</v>
      </c>
      <c r="C62" s="10" t="n">
        <v>0.96875</v>
      </c>
      <c r="D62" s="22" t="inlineStr">
        <is>
          <t>UN Unico</t>
        </is>
      </c>
      <c r="E62" s="22" t="inlineStr">
        <is>
          <t>I2</t>
        </is>
      </c>
      <c r="F62" s="22">
        <f>IFERROR(INDEX(Tariffe!$B$2:$B$200,MATCH(E62,Tariffe!$A$2:$A$200,0)),"DA DEFINIRE")</f>
        <v/>
      </c>
      <c r="G62" s="12" t="n">
        <v>36</v>
      </c>
      <c r="H62" s="11" t="n">
        <v>1</v>
      </c>
      <c r="I62" s="11" t="n">
        <v>0</v>
      </c>
      <c r="J62" s="12" t="n">
        <v>36</v>
      </c>
      <c r="K62" s="12" t="n">
        <v>0</v>
      </c>
      <c r="L62" s="12" t="n">
        <v>32.73</v>
      </c>
      <c r="M62" s="12" t="n">
        <v>3.27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H62*O62</f>
        <v/>
      </c>
    </row>
    <row r="63">
      <c r="A63" s="23" t="inlineStr">
        <is>
          <t>20261029_2315</t>
        </is>
      </c>
      <c r="B63" s="13" t="n">
        <v>46324</v>
      </c>
      <c r="C63" s="14" t="n">
        <v>0.96875</v>
      </c>
      <c r="D63" s="23" t="inlineStr">
        <is>
          <t>UN Unico</t>
        </is>
      </c>
      <c r="E63" s="23" t="inlineStr">
        <is>
          <t>I5</t>
        </is>
      </c>
      <c r="F63" s="23">
        <f>IFERROR(INDEX(Tariffe!$B$2:$B$200,MATCH(E63,Tariffe!$A$2:$A$200,0)),"DA DEFINIRE")</f>
        <v/>
      </c>
      <c r="G63" s="16" t="n">
        <v>60</v>
      </c>
      <c r="H63" s="15" t="n">
        <v>4</v>
      </c>
      <c r="I63" s="15" t="n">
        <v>0</v>
      </c>
      <c r="J63" s="16" t="n">
        <v>240</v>
      </c>
      <c r="K63" s="16" t="n">
        <v>0</v>
      </c>
      <c r="L63" s="16" t="n">
        <v>218.2</v>
      </c>
      <c r="M63" s="16" t="n">
        <v>21.8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H63*O63</f>
        <v/>
      </c>
    </row>
    <row r="64">
      <c r="A64" s="22" t="inlineStr">
        <is>
          <t>20261029_2315</t>
        </is>
      </c>
      <c r="B64" s="9" t="n">
        <v>46324</v>
      </c>
      <c r="C64" s="10" t="n">
        <v>0.96875</v>
      </c>
      <c r="D64" s="22" t="inlineStr">
        <is>
          <t>UN Unico</t>
        </is>
      </c>
      <c r="E64" s="22" t="inlineStr">
        <is>
          <t>I8</t>
        </is>
      </c>
      <c r="F64" s="22">
        <f>IFERROR(INDEX(Tariffe!$B$2:$B$200,MATCH(E64,Tariffe!$A$2:$A$200,0)),"DA DEFINIRE")</f>
        <v/>
      </c>
      <c r="G64" s="12" t="n">
        <v>24</v>
      </c>
      <c r="H64" s="11" t="n">
        <v>3</v>
      </c>
      <c r="I64" s="11" t="n">
        <v>0</v>
      </c>
      <c r="J64" s="12" t="n">
        <v>72</v>
      </c>
      <c r="K64" s="12" t="n">
        <v>0</v>
      </c>
      <c r="L64" s="12" t="n">
        <v>65.45999999999999</v>
      </c>
      <c r="M64" s="12" t="n">
        <v>6.54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H64*O64</f>
        <v/>
      </c>
    </row>
    <row r="65">
      <c r="A65" s="23" t="inlineStr">
        <is>
          <t>20261029_2359</t>
        </is>
      </c>
      <c r="B65" s="13" t="n">
        <v>46324</v>
      </c>
      <c r="C65" s="14" t="n">
        <v>0.9993055555555556</v>
      </c>
      <c r="D65" s="23" t="inlineStr">
        <is>
          <t>UN Unico</t>
        </is>
      </c>
      <c r="E65" s="23" t="inlineStr">
        <is>
          <t>I8</t>
        </is>
      </c>
      <c r="F65" s="23">
        <f>IFERROR(INDEX(Tariffe!$B$2:$B$200,MATCH(E65,Tariffe!$A$2:$A$200,0)),"DA DEFINIRE")</f>
        <v/>
      </c>
      <c r="G65" s="16" t="n">
        <v>24</v>
      </c>
      <c r="H65" s="15" t="n">
        <v>2</v>
      </c>
      <c r="I65" s="15" t="n">
        <v>0</v>
      </c>
      <c r="J65" s="16" t="n">
        <v>48</v>
      </c>
      <c r="K65" s="16" t="n">
        <v>0</v>
      </c>
      <c r="L65" s="16" t="n">
        <v>43.64</v>
      </c>
      <c r="M65" s="16" t="n">
        <v>4.36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H65*O65</f>
        <v/>
      </c>
    </row>
    <row r="66">
      <c r="A66" s="22" t="inlineStr">
        <is>
          <t>20261030_2015</t>
        </is>
      </c>
      <c r="B66" s="9" t="n">
        <v>46325</v>
      </c>
      <c r="C66" s="10" t="n">
        <v>0.84375</v>
      </c>
      <c r="D66" s="22" t="inlineStr">
        <is>
          <t>UN Unico</t>
        </is>
      </c>
      <c r="E66" s="22" t="inlineStr">
        <is>
          <t>I1</t>
        </is>
      </c>
      <c r="F66" s="22">
        <f>IFERROR(INDEX(Tariffe!$B$2:$B$200,MATCH(E66,Tariffe!$A$2:$A$200,0)),"DA DEFINIRE")</f>
        <v/>
      </c>
      <c r="G66" s="12" t="n">
        <v>48</v>
      </c>
      <c r="H66" s="11" t="n">
        <v>1</v>
      </c>
      <c r="I66" s="11" t="n">
        <v>0</v>
      </c>
      <c r="J66" s="12" t="n">
        <v>48</v>
      </c>
      <c r="K66" s="12" t="n">
        <v>0</v>
      </c>
      <c r="L66" s="12" t="n">
        <v>43.64</v>
      </c>
      <c r="M66" s="12" t="n">
        <v>4.36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H66*O66</f>
        <v/>
      </c>
    </row>
    <row r="67">
      <c r="A67" s="23" t="inlineStr">
        <is>
          <t>20261030_2015</t>
        </is>
      </c>
      <c r="B67" s="13" t="n">
        <v>46325</v>
      </c>
      <c r="C67" s="14" t="n">
        <v>0.84375</v>
      </c>
      <c r="D67" s="23" t="inlineStr">
        <is>
          <t>UN Unico</t>
        </is>
      </c>
      <c r="E67" s="23" t="inlineStr">
        <is>
          <t>I8</t>
        </is>
      </c>
      <c r="F67" s="23">
        <f>IFERROR(INDEX(Tariffe!$B$2:$B$200,MATCH(E67,Tariffe!$A$2:$A$200,0)),"DA DEFINIRE")</f>
        <v/>
      </c>
      <c r="G67" s="16" t="n">
        <v>24</v>
      </c>
      <c r="H67" s="15" t="n">
        <v>1</v>
      </c>
      <c r="I67" s="15" t="n">
        <v>0</v>
      </c>
      <c r="J67" s="16" t="n">
        <v>24</v>
      </c>
      <c r="K67" s="16" t="n">
        <v>0</v>
      </c>
      <c r="L67" s="16" t="n">
        <v>21.82</v>
      </c>
      <c r="M67" s="16" t="n">
        <v>2.18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H67*O67</f>
        <v/>
      </c>
    </row>
    <row r="68">
      <c r="A68" s="22" t="inlineStr">
        <is>
          <t>20261030_2115</t>
        </is>
      </c>
      <c r="B68" s="9" t="n">
        <v>46325</v>
      </c>
      <c r="C68" s="10" t="n">
        <v>0.8854166666666666</v>
      </c>
      <c r="D68" s="22" t="inlineStr">
        <is>
          <t>UN Unico</t>
        </is>
      </c>
      <c r="E68" s="22" t="inlineStr">
        <is>
          <t>I1</t>
        </is>
      </c>
      <c r="F68" s="22">
        <f>IFERROR(INDEX(Tariffe!$B$2:$B$200,MATCH(E68,Tariffe!$A$2:$A$200,0)),"DA DEFINIRE")</f>
        <v/>
      </c>
      <c r="G68" s="12" t="n">
        <v>48</v>
      </c>
      <c r="H68" s="11" t="n">
        <v>1</v>
      </c>
      <c r="I68" s="11" t="n">
        <v>0</v>
      </c>
      <c r="J68" s="12" t="n">
        <v>48</v>
      </c>
      <c r="K68" s="12" t="n">
        <v>0</v>
      </c>
      <c r="L68" s="12" t="n">
        <v>43.64</v>
      </c>
      <c r="M68" s="12" t="n">
        <v>4.36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H68*O68</f>
        <v/>
      </c>
    </row>
    <row r="69">
      <c r="A69" s="23" t="inlineStr">
        <is>
          <t>20261030_2115</t>
        </is>
      </c>
      <c r="B69" s="13" t="n">
        <v>46325</v>
      </c>
      <c r="C69" s="14" t="n">
        <v>0.8854166666666666</v>
      </c>
      <c r="D69" s="23" t="inlineStr">
        <is>
          <t>UN Unico</t>
        </is>
      </c>
      <c r="E69" s="23" t="inlineStr">
        <is>
          <t>I8</t>
        </is>
      </c>
      <c r="F69" s="23">
        <f>IFERROR(INDEX(Tariffe!$B$2:$B$200,MATCH(E69,Tariffe!$A$2:$A$200,0)),"DA DEFINIRE")</f>
        <v/>
      </c>
      <c r="G69" s="16" t="n">
        <v>24</v>
      </c>
      <c r="H69" s="15" t="n">
        <v>3</v>
      </c>
      <c r="I69" s="15" t="n">
        <v>0</v>
      </c>
      <c r="J69" s="16" t="n">
        <v>72</v>
      </c>
      <c r="K69" s="16" t="n">
        <v>0</v>
      </c>
      <c r="L69" s="16" t="n">
        <v>65.45999999999999</v>
      </c>
      <c r="M69" s="16" t="n">
        <v>6.54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H69*O69</f>
        <v/>
      </c>
    </row>
    <row r="70">
      <c r="A70" s="22" t="inlineStr">
        <is>
          <t>20261030_2215</t>
        </is>
      </c>
      <c r="B70" s="9" t="n">
        <v>46325</v>
      </c>
      <c r="C70" s="10" t="n">
        <v>0.9270833333333334</v>
      </c>
      <c r="D70" s="22" t="inlineStr">
        <is>
          <t>UN Unico</t>
        </is>
      </c>
      <c r="E70" s="22" t="inlineStr">
        <is>
          <t>I1</t>
        </is>
      </c>
      <c r="F70" s="22">
        <f>IFERROR(INDEX(Tariffe!$B$2:$B$200,MATCH(E70,Tariffe!$A$2:$A$200,0)),"DA DEFINIRE")</f>
        <v/>
      </c>
      <c r="G70" s="12" t="n">
        <v>48</v>
      </c>
      <c r="H70" s="11" t="n">
        <v>7</v>
      </c>
      <c r="I70" s="11" t="n">
        <v>0</v>
      </c>
      <c r="J70" s="12" t="n">
        <v>336</v>
      </c>
      <c r="K70" s="12" t="n">
        <v>0</v>
      </c>
      <c r="L70" s="12" t="n">
        <v>305.48</v>
      </c>
      <c r="M70" s="12" t="n">
        <v>30.52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H70*O70</f>
        <v/>
      </c>
    </row>
    <row r="71">
      <c r="A71" s="23" t="inlineStr">
        <is>
          <t>20261030_2215</t>
        </is>
      </c>
      <c r="B71" s="13" t="n">
        <v>46325</v>
      </c>
      <c r="C71" s="14" t="n">
        <v>0.9270833333333334</v>
      </c>
      <c r="D71" s="23" t="inlineStr">
        <is>
          <t>UN Unico</t>
        </is>
      </c>
      <c r="E71" s="23" t="inlineStr">
        <is>
          <t>I8</t>
        </is>
      </c>
      <c r="F71" s="23">
        <f>IFERROR(INDEX(Tariffe!$B$2:$B$200,MATCH(E71,Tariffe!$A$2:$A$200,0)),"DA DEFINIRE")</f>
        <v/>
      </c>
      <c r="G71" s="16" t="n">
        <v>24</v>
      </c>
      <c r="H71" s="15" t="n">
        <v>6</v>
      </c>
      <c r="I71" s="15" t="n">
        <v>3</v>
      </c>
      <c r="J71" s="16" t="n">
        <v>144</v>
      </c>
      <c r="K71" s="16" t="n">
        <v>0</v>
      </c>
      <c r="L71" s="16" t="n">
        <v>130.92</v>
      </c>
      <c r="M71" s="16" t="n">
        <v>13.08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H71*O71</f>
        <v/>
      </c>
    </row>
    <row r="72">
      <c r="A72" s="22" t="inlineStr">
        <is>
          <t>20261030_2315</t>
        </is>
      </c>
      <c r="B72" s="9" t="n">
        <v>46325</v>
      </c>
      <c r="C72" s="10" t="n">
        <v>0.96875</v>
      </c>
      <c r="D72" s="22" t="inlineStr">
        <is>
          <t>UN Unico</t>
        </is>
      </c>
      <c r="E72" s="22" t="inlineStr">
        <is>
          <t>I1</t>
        </is>
      </c>
      <c r="F72" s="22">
        <f>IFERROR(INDEX(Tariffe!$B$2:$B$200,MATCH(E72,Tariffe!$A$2:$A$200,0)),"DA DEFINIRE")</f>
        <v/>
      </c>
      <c r="G72" s="12" t="n">
        <v>48</v>
      </c>
      <c r="H72" s="11" t="n">
        <v>4</v>
      </c>
      <c r="I72" s="11" t="n">
        <v>0</v>
      </c>
      <c r="J72" s="12" t="n">
        <v>192</v>
      </c>
      <c r="K72" s="12" t="n">
        <v>0</v>
      </c>
      <c r="L72" s="12" t="n">
        <v>174.56</v>
      </c>
      <c r="M72" s="12" t="n">
        <v>17.44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H72*O72</f>
        <v/>
      </c>
    </row>
    <row r="73">
      <c r="A73" s="23" t="inlineStr">
        <is>
          <t>20261030_2315</t>
        </is>
      </c>
      <c r="B73" s="13" t="n">
        <v>46325</v>
      </c>
      <c r="C73" s="14" t="n">
        <v>0.96875</v>
      </c>
      <c r="D73" s="23" t="inlineStr">
        <is>
          <t>UN Unico</t>
        </is>
      </c>
      <c r="E73" s="23" t="inlineStr">
        <is>
          <t>I5</t>
        </is>
      </c>
      <c r="F73" s="23">
        <f>IFERROR(INDEX(Tariffe!$B$2:$B$200,MATCH(E73,Tariffe!$A$2:$A$200,0)),"DA DEFINIRE")</f>
        <v/>
      </c>
      <c r="G73" s="16" t="n">
        <v>60</v>
      </c>
      <c r="H73" s="15" t="n">
        <v>1</v>
      </c>
      <c r="I73" s="15" t="n">
        <v>0</v>
      </c>
      <c r="J73" s="16" t="n">
        <v>60</v>
      </c>
      <c r="K73" s="16" t="n">
        <v>0</v>
      </c>
      <c r="L73" s="16" t="n">
        <v>54.55</v>
      </c>
      <c r="M73" s="16" t="n">
        <v>5.45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H73*O73</f>
        <v/>
      </c>
    </row>
    <row r="74">
      <c r="A74" s="22" t="inlineStr">
        <is>
          <t>20261030_2315</t>
        </is>
      </c>
      <c r="B74" s="9" t="n">
        <v>46325</v>
      </c>
      <c r="C74" s="10" t="n">
        <v>0.96875</v>
      </c>
      <c r="D74" s="22" t="inlineStr">
        <is>
          <t>UN Unico</t>
        </is>
      </c>
      <c r="E74" s="22" t="inlineStr">
        <is>
          <t>I8</t>
        </is>
      </c>
      <c r="F74" s="22">
        <f>IFERROR(INDEX(Tariffe!$B$2:$B$200,MATCH(E74,Tariffe!$A$2:$A$200,0)),"DA DEFINIRE")</f>
        <v/>
      </c>
      <c r="G74" s="12" t="n">
        <v>24</v>
      </c>
      <c r="H74" s="11" t="n">
        <v>4</v>
      </c>
      <c r="I74" s="11" t="n">
        <v>0</v>
      </c>
      <c r="J74" s="12" t="n">
        <v>96</v>
      </c>
      <c r="K74" s="12" t="n">
        <v>0</v>
      </c>
      <c r="L74" s="12" t="n">
        <v>87.28</v>
      </c>
      <c r="M74" s="12" t="n">
        <v>8.720000000000001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H74*O74</f>
        <v/>
      </c>
    </row>
    <row r="75">
      <c r="A75" s="23" t="inlineStr">
        <is>
          <t>20261030_2359</t>
        </is>
      </c>
      <c r="B75" s="13" t="n">
        <v>46325</v>
      </c>
      <c r="C75" s="14" t="n">
        <v>0.9993055555555556</v>
      </c>
      <c r="D75" s="23" t="inlineStr">
        <is>
          <t>UN Unico</t>
        </is>
      </c>
      <c r="E75" s="23" t="inlineStr">
        <is>
          <t>I1</t>
        </is>
      </c>
      <c r="F75" s="23">
        <f>IFERROR(INDEX(Tariffe!$B$2:$B$200,MATCH(E75,Tariffe!$A$2:$A$200,0)),"DA DEFINIRE")</f>
        <v/>
      </c>
      <c r="G75" s="16" t="n">
        <v>48</v>
      </c>
      <c r="H75" s="15" t="n">
        <v>1</v>
      </c>
      <c r="I75" s="15" t="n">
        <v>0</v>
      </c>
      <c r="J75" s="16" t="n">
        <v>48</v>
      </c>
      <c r="K75" s="16" t="n">
        <v>0</v>
      </c>
      <c r="L75" s="16" t="n">
        <v>43.64</v>
      </c>
      <c r="M75" s="16" t="n">
        <v>4.36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H75*O75</f>
        <v/>
      </c>
    </row>
    <row r="76">
      <c r="A76" s="22" t="inlineStr">
        <is>
          <t>20261030_2359</t>
        </is>
      </c>
      <c r="B76" s="9" t="n">
        <v>46325</v>
      </c>
      <c r="C76" s="10" t="n">
        <v>0.9993055555555556</v>
      </c>
      <c r="D76" s="22" t="inlineStr">
        <is>
          <t>UN Unico</t>
        </is>
      </c>
      <c r="E76" s="22" t="inlineStr">
        <is>
          <t>I5</t>
        </is>
      </c>
      <c r="F76" s="22">
        <f>IFERROR(INDEX(Tariffe!$B$2:$B$200,MATCH(E76,Tariffe!$A$2:$A$200,0)),"DA DEFINIRE")</f>
        <v/>
      </c>
      <c r="G76" s="12" t="n">
        <v>60</v>
      </c>
      <c r="H76" s="11" t="n">
        <v>1</v>
      </c>
      <c r="I76" s="11" t="n">
        <v>0</v>
      </c>
      <c r="J76" s="12" t="n">
        <v>60</v>
      </c>
      <c r="K76" s="12" t="n">
        <v>0</v>
      </c>
      <c r="L76" s="12" t="n">
        <v>54.55</v>
      </c>
      <c r="M76" s="12" t="n">
        <v>5.45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H76*O76</f>
        <v/>
      </c>
    </row>
    <row r="77">
      <c r="A77" s="23" t="inlineStr">
        <is>
          <t>20261030_2359</t>
        </is>
      </c>
      <c r="B77" s="13" t="n">
        <v>46325</v>
      </c>
      <c r="C77" s="14" t="n">
        <v>0.9993055555555556</v>
      </c>
      <c r="D77" s="23" t="inlineStr">
        <is>
          <t>UN Unico</t>
        </is>
      </c>
      <c r="E77" s="23" t="inlineStr">
        <is>
          <t>I8</t>
        </is>
      </c>
      <c r="F77" s="23">
        <f>IFERROR(INDEX(Tariffe!$B$2:$B$200,MATCH(E77,Tariffe!$A$2:$A$200,0)),"DA DEFINIRE")</f>
        <v/>
      </c>
      <c r="G77" s="16" t="n">
        <v>24</v>
      </c>
      <c r="H77" s="15" t="n">
        <v>6</v>
      </c>
      <c r="I77" s="15" t="n">
        <v>0</v>
      </c>
      <c r="J77" s="16" t="n">
        <v>144</v>
      </c>
      <c r="K77" s="16" t="n">
        <v>0</v>
      </c>
      <c r="L77" s="16" t="n">
        <v>130.92</v>
      </c>
      <c r="M77" s="16" t="n">
        <v>13.08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H77*O77</f>
        <v/>
      </c>
    </row>
    <row r="78">
      <c r="A78" s="22" t="inlineStr">
        <is>
          <t>20261031_2015</t>
        </is>
      </c>
      <c r="B78" s="9" t="n">
        <v>46326</v>
      </c>
      <c r="C78" s="10" t="n">
        <v>0.84375</v>
      </c>
      <c r="D78" s="22" t="inlineStr">
        <is>
          <t>UN Unico</t>
        </is>
      </c>
      <c r="E78" s="22" t="inlineStr">
        <is>
          <t>I1</t>
        </is>
      </c>
      <c r="F78" s="22">
        <f>IFERROR(INDEX(Tariffe!$B$2:$B$200,MATCH(E78,Tariffe!$A$2:$A$200,0)),"DA DEFINIRE")</f>
        <v/>
      </c>
      <c r="G78" s="12" t="n">
        <v>48</v>
      </c>
      <c r="H78" s="11" t="n">
        <v>1</v>
      </c>
      <c r="I78" s="11" t="n">
        <v>0</v>
      </c>
      <c r="J78" s="12" t="n">
        <v>48</v>
      </c>
      <c r="K78" s="12" t="n">
        <v>0</v>
      </c>
      <c r="L78" s="12" t="n">
        <v>43.64</v>
      </c>
      <c r="M78" s="12" t="n">
        <v>4.36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H78*O78</f>
        <v/>
      </c>
    </row>
    <row r="79">
      <c r="A79" s="23" t="inlineStr">
        <is>
          <t>20261031_2015</t>
        </is>
      </c>
      <c r="B79" s="13" t="n">
        <v>46326</v>
      </c>
      <c r="C79" s="14" t="n">
        <v>0.84375</v>
      </c>
      <c r="D79" s="23" t="inlineStr">
        <is>
          <t>UN Unico</t>
        </is>
      </c>
      <c r="E79" s="23" t="inlineStr">
        <is>
          <t>I5</t>
        </is>
      </c>
      <c r="F79" s="23">
        <f>IFERROR(INDEX(Tariffe!$B$2:$B$200,MATCH(E79,Tariffe!$A$2:$A$200,0)),"DA DEFINIRE")</f>
        <v/>
      </c>
      <c r="G79" s="16" t="n">
        <v>60</v>
      </c>
      <c r="H79" s="15" t="n">
        <v>3</v>
      </c>
      <c r="I79" s="15" t="n">
        <v>2</v>
      </c>
      <c r="J79" s="16" t="n">
        <v>180</v>
      </c>
      <c r="K79" s="16" t="n">
        <v>0</v>
      </c>
      <c r="L79" s="16" t="n">
        <v>163.65</v>
      </c>
      <c r="M79" s="16" t="n">
        <v>16.35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H79*O79</f>
        <v/>
      </c>
    </row>
    <row r="80">
      <c r="A80" s="22" t="inlineStr">
        <is>
          <t>20261031_2015</t>
        </is>
      </c>
      <c r="B80" s="9" t="n">
        <v>46326</v>
      </c>
      <c r="C80" s="10" t="n">
        <v>0.84375</v>
      </c>
      <c r="D80" s="22" t="inlineStr">
        <is>
          <t>UN Unico</t>
        </is>
      </c>
      <c r="E80" s="22" t="inlineStr">
        <is>
          <t>I8</t>
        </is>
      </c>
      <c r="F80" s="22">
        <f>IFERROR(INDEX(Tariffe!$B$2:$B$200,MATCH(E80,Tariffe!$A$2:$A$200,0)),"DA DEFINIRE")</f>
        <v/>
      </c>
      <c r="G80" s="12" t="n">
        <v>24</v>
      </c>
      <c r="H80" s="11" t="n">
        <v>1</v>
      </c>
      <c r="I80" s="11" t="n">
        <v>0</v>
      </c>
      <c r="J80" s="12" t="n">
        <v>24</v>
      </c>
      <c r="K80" s="12" t="n">
        <v>0</v>
      </c>
      <c r="L80" s="12" t="n">
        <v>21.82</v>
      </c>
      <c r="M80" s="12" t="n">
        <v>2.18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H80*O80</f>
        <v/>
      </c>
    </row>
    <row r="81">
      <c r="A81" s="23" t="inlineStr">
        <is>
          <t>20261031_2115</t>
        </is>
      </c>
      <c r="B81" s="13" t="n">
        <v>46326</v>
      </c>
      <c r="C81" s="14" t="n">
        <v>0.8854166666666666</v>
      </c>
      <c r="D81" s="23" t="inlineStr">
        <is>
          <t>UN Unico</t>
        </is>
      </c>
      <c r="E81" s="23" t="inlineStr">
        <is>
          <t>I1</t>
        </is>
      </c>
      <c r="F81" s="23">
        <f>IFERROR(INDEX(Tariffe!$B$2:$B$200,MATCH(E81,Tariffe!$A$2:$A$200,0)),"DA DEFINIRE")</f>
        <v/>
      </c>
      <c r="G81" s="16" t="n">
        <v>48</v>
      </c>
      <c r="H81" s="15" t="n">
        <v>5</v>
      </c>
      <c r="I81" s="15" t="n">
        <v>0</v>
      </c>
      <c r="J81" s="16" t="n">
        <v>240</v>
      </c>
      <c r="K81" s="16" t="n">
        <v>0</v>
      </c>
      <c r="L81" s="16" t="n">
        <v>218.2</v>
      </c>
      <c r="M81" s="16" t="n">
        <v>21.8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H81*O81</f>
        <v/>
      </c>
    </row>
    <row r="82">
      <c r="A82" s="22" t="inlineStr">
        <is>
          <t>20261031_2115</t>
        </is>
      </c>
      <c r="B82" s="9" t="n">
        <v>46326</v>
      </c>
      <c r="C82" s="10" t="n">
        <v>0.8854166666666666</v>
      </c>
      <c r="D82" s="22" t="inlineStr">
        <is>
          <t>UN Unico</t>
        </is>
      </c>
      <c r="E82" s="22" t="inlineStr">
        <is>
          <t>I8</t>
        </is>
      </c>
      <c r="F82" s="22">
        <f>IFERROR(INDEX(Tariffe!$B$2:$B$200,MATCH(E82,Tariffe!$A$2:$A$200,0)),"DA DEFINIRE")</f>
        <v/>
      </c>
      <c r="G82" s="12" t="n">
        <v>24</v>
      </c>
      <c r="H82" s="11" t="n">
        <v>5</v>
      </c>
      <c r="I82" s="11" t="n">
        <v>0</v>
      </c>
      <c r="J82" s="12" t="n">
        <v>120</v>
      </c>
      <c r="K82" s="12" t="n">
        <v>0</v>
      </c>
      <c r="L82" s="12" t="n">
        <v>109.1</v>
      </c>
      <c r="M82" s="12" t="n">
        <v>10.9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H82*O82</f>
        <v/>
      </c>
    </row>
    <row r="83">
      <c r="A83" s="23" t="inlineStr">
        <is>
          <t>20261031_2215</t>
        </is>
      </c>
      <c r="B83" s="13" t="n">
        <v>46326</v>
      </c>
      <c r="C83" s="14" t="n">
        <v>0.9270833333333334</v>
      </c>
      <c r="D83" s="23" t="inlineStr">
        <is>
          <t>UN Unico</t>
        </is>
      </c>
      <c r="E83" s="23" t="inlineStr">
        <is>
          <t>I1</t>
        </is>
      </c>
      <c r="F83" s="23">
        <f>IFERROR(INDEX(Tariffe!$B$2:$B$200,MATCH(E83,Tariffe!$A$2:$A$200,0)),"DA DEFINIRE")</f>
        <v/>
      </c>
      <c r="G83" s="16" t="n">
        <v>48</v>
      </c>
      <c r="H83" s="15" t="n">
        <v>5</v>
      </c>
      <c r="I83" s="15" t="n">
        <v>3</v>
      </c>
      <c r="J83" s="16" t="n">
        <v>240</v>
      </c>
      <c r="K83" s="16" t="n">
        <v>0</v>
      </c>
      <c r="L83" s="16" t="n">
        <v>218.2</v>
      </c>
      <c r="M83" s="16" t="n">
        <v>21.8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H83*O83</f>
        <v/>
      </c>
    </row>
    <row r="84">
      <c r="A84" s="22" t="inlineStr">
        <is>
          <t>20261031_2215</t>
        </is>
      </c>
      <c r="B84" s="9" t="n">
        <v>46326</v>
      </c>
      <c r="C84" s="10" t="n">
        <v>0.9270833333333334</v>
      </c>
      <c r="D84" s="22" t="inlineStr">
        <is>
          <t>UN Unico</t>
        </is>
      </c>
      <c r="E84" s="22" t="inlineStr">
        <is>
          <t>I2</t>
        </is>
      </c>
      <c r="F84" s="22">
        <f>IFERROR(INDEX(Tariffe!$B$2:$B$200,MATCH(E84,Tariffe!$A$2:$A$200,0)),"DA DEFINIRE")</f>
        <v/>
      </c>
      <c r="G84" s="12" t="n">
        <v>36</v>
      </c>
      <c r="H84" s="11" t="n">
        <v>1</v>
      </c>
      <c r="I84" s="11" t="n">
        <v>0</v>
      </c>
      <c r="J84" s="12" t="n">
        <v>36</v>
      </c>
      <c r="K84" s="12" t="n">
        <v>0</v>
      </c>
      <c r="L84" s="12" t="n">
        <v>32.73</v>
      </c>
      <c r="M84" s="12" t="n">
        <v>3.27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H84*O84</f>
        <v/>
      </c>
    </row>
    <row r="85">
      <c r="A85" s="23" t="inlineStr">
        <is>
          <t>20261031_2215</t>
        </is>
      </c>
      <c r="B85" s="13" t="n">
        <v>46326</v>
      </c>
      <c r="C85" s="14" t="n">
        <v>0.9270833333333334</v>
      </c>
      <c r="D85" s="23" t="inlineStr">
        <is>
          <t>UN Unico</t>
        </is>
      </c>
      <c r="E85" s="23" t="inlineStr">
        <is>
          <t>I8</t>
        </is>
      </c>
      <c r="F85" s="23">
        <f>IFERROR(INDEX(Tariffe!$B$2:$B$200,MATCH(E85,Tariffe!$A$2:$A$200,0)),"DA DEFINIRE")</f>
        <v/>
      </c>
      <c r="G85" s="16" t="n">
        <v>24</v>
      </c>
      <c r="H85" s="15" t="n">
        <v>11</v>
      </c>
      <c r="I85" s="15" t="n">
        <v>0</v>
      </c>
      <c r="J85" s="16" t="n">
        <v>264</v>
      </c>
      <c r="K85" s="16" t="n">
        <v>0</v>
      </c>
      <c r="L85" s="16" t="n">
        <v>240.02</v>
      </c>
      <c r="M85" s="16" t="n">
        <v>23.98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H85*O85</f>
        <v/>
      </c>
    </row>
    <row r="86">
      <c r="A86" s="22" t="inlineStr">
        <is>
          <t>20261031_2315</t>
        </is>
      </c>
      <c r="B86" s="9" t="n">
        <v>46326</v>
      </c>
      <c r="C86" s="10" t="n">
        <v>0.96875</v>
      </c>
      <c r="D86" s="22" t="inlineStr">
        <is>
          <t>UN Unico</t>
        </is>
      </c>
      <c r="E86" s="22" t="inlineStr">
        <is>
          <t>I1</t>
        </is>
      </c>
      <c r="F86" s="22">
        <f>IFERROR(INDEX(Tariffe!$B$2:$B$200,MATCH(E86,Tariffe!$A$2:$A$200,0)),"DA DEFINIRE")</f>
        <v/>
      </c>
      <c r="G86" s="12" t="n">
        <v>48</v>
      </c>
      <c r="H86" s="11" t="n">
        <v>12</v>
      </c>
      <c r="I86" s="11" t="n">
        <v>0</v>
      </c>
      <c r="J86" s="12" t="n">
        <v>576</v>
      </c>
      <c r="K86" s="12" t="n">
        <v>0</v>
      </c>
      <c r="L86" s="12" t="n">
        <v>523.6799999999999</v>
      </c>
      <c r="M86" s="12" t="n">
        <v>52.32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H86*O86</f>
        <v/>
      </c>
    </row>
    <row r="87">
      <c r="A87" s="23" t="inlineStr">
        <is>
          <t>20261031_2315</t>
        </is>
      </c>
      <c r="B87" s="13" t="n">
        <v>46326</v>
      </c>
      <c r="C87" s="14" t="n">
        <v>0.96875</v>
      </c>
      <c r="D87" s="23" t="inlineStr">
        <is>
          <t>UN Unico</t>
        </is>
      </c>
      <c r="E87" s="23" t="inlineStr">
        <is>
          <t>I8</t>
        </is>
      </c>
      <c r="F87" s="23">
        <f>IFERROR(INDEX(Tariffe!$B$2:$B$200,MATCH(E87,Tariffe!$A$2:$A$200,0)),"DA DEFINIRE")</f>
        <v/>
      </c>
      <c r="G87" s="16" t="n">
        <v>24</v>
      </c>
      <c r="H87" s="15" t="n">
        <v>12</v>
      </c>
      <c r="I87" s="15" t="n">
        <v>0</v>
      </c>
      <c r="J87" s="16" t="n">
        <v>288</v>
      </c>
      <c r="K87" s="16" t="n">
        <v>0</v>
      </c>
      <c r="L87" s="16" t="n">
        <v>261.84</v>
      </c>
      <c r="M87" s="16" t="n">
        <v>26.16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H87*O87</f>
        <v/>
      </c>
    </row>
    <row r="88">
      <c r="A88" s="22" t="inlineStr">
        <is>
          <t>20261031_2359</t>
        </is>
      </c>
      <c r="B88" s="9" t="n">
        <v>46326</v>
      </c>
      <c r="C88" s="10" t="n">
        <v>0.9993055555555556</v>
      </c>
      <c r="D88" s="22" t="inlineStr">
        <is>
          <t>UN Unico</t>
        </is>
      </c>
      <c r="E88" s="22" t="inlineStr">
        <is>
          <t>I1</t>
        </is>
      </c>
      <c r="F88" s="22">
        <f>IFERROR(INDEX(Tariffe!$B$2:$B$200,MATCH(E88,Tariffe!$A$2:$A$200,0)),"DA DEFINIRE")</f>
        <v/>
      </c>
      <c r="G88" s="12" t="n">
        <v>48</v>
      </c>
      <c r="H88" s="11" t="n">
        <v>6</v>
      </c>
      <c r="I88" s="11" t="n">
        <v>0</v>
      </c>
      <c r="J88" s="12" t="n">
        <v>288</v>
      </c>
      <c r="K88" s="12" t="n">
        <v>0</v>
      </c>
      <c r="L88" s="12" t="n">
        <v>261.84</v>
      </c>
      <c r="M88" s="12" t="n">
        <v>26.16</v>
      </c>
      <c r="N88" s="22" t="inlineStr">
        <is>
          <t>10/2026</t>
        </is>
      </c>
      <c r="O88" s="11">
        <f>IFERROR(INDEX(Tariffe!$D$2:$D$200,MATCH(E88,Tariffe!$A$2:$A$200,0))*1,0)</f>
        <v/>
      </c>
      <c r="P88" s="11">
        <f>H88*O88</f>
        <v/>
      </c>
    </row>
    <row r="89">
      <c r="A89" s="23" t="inlineStr">
        <is>
          <t>20261031_2359</t>
        </is>
      </c>
      <c r="B89" s="13" t="n">
        <v>46326</v>
      </c>
      <c r="C89" s="14" t="n">
        <v>0.9993055555555556</v>
      </c>
      <c r="D89" s="23" t="inlineStr">
        <is>
          <t>UN Unico</t>
        </is>
      </c>
      <c r="E89" s="23" t="inlineStr">
        <is>
          <t>I5</t>
        </is>
      </c>
      <c r="F89" s="23">
        <f>IFERROR(INDEX(Tariffe!$B$2:$B$200,MATCH(E89,Tariffe!$A$2:$A$200,0)),"DA DEFINIRE")</f>
        <v/>
      </c>
      <c r="G89" s="16" t="n">
        <v>60</v>
      </c>
      <c r="H89" s="15" t="n">
        <v>1</v>
      </c>
      <c r="I89" s="15" t="n">
        <v>0</v>
      </c>
      <c r="J89" s="16" t="n">
        <v>60</v>
      </c>
      <c r="K89" s="16" t="n">
        <v>0</v>
      </c>
      <c r="L89" s="16" t="n">
        <v>54.55</v>
      </c>
      <c r="M89" s="16" t="n">
        <v>5.45</v>
      </c>
      <c r="N89" s="23" t="inlineStr">
        <is>
          <t>10/2026</t>
        </is>
      </c>
      <c r="O89" s="15">
        <f>IFERROR(INDEX(Tariffe!$D$2:$D$200,MATCH(E89,Tariffe!$A$2:$A$200,0))*1,0)</f>
        <v/>
      </c>
      <c r="P89" s="15">
        <f>H89*O89</f>
        <v/>
      </c>
    </row>
    <row r="90">
      <c r="A90" s="22" t="inlineStr">
        <is>
          <t>20261031_2359</t>
        </is>
      </c>
      <c r="B90" s="9" t="n">
        <v>46326</v>
      </c>
      <c r="C90" s="10" t="n">
        <v>0.9993055555555556</v>
      </c>
      <c r="D90" s="22" t="inlineStr">
        <is>
          <t>UN Unico</t>
        </is>
      </c>
      <c r="E90" s="22" t="inlineStr">
        <is>
          <t>I8</t>
        </is>
      </c>
      <c r="F90" s="22">
        <f>IFERROR(INDEX(Tariffe!$B$2:$B$200,MATCH(E90,Tariffe!$A$2:$A$200,0)),"DA DEFINIRE")</f>
        <v/>
      </c>
      <c r="G90" s="12" t="n">
        <v>24</v>
      </c>
      <c r="H90" s="11" t="n">
        <v>5</v>
      </c>
      <c r="I90" s="11" t="n">
        <v>0</v>
      </c>
      <c r="J90" s="12" t="n">
        <v>120</v>
      </c>
      <c r="K90" s="12" t="n">
        <v>0</v>
      </c>
      <c r="L90" s="12" t="n">
        <v>109.1</v>
      </c>
      <c r="M90" s="12" t="n">
        <v>10.9</v>
      </c>
      <c r="N90" s="22" t="inlineStr">
        <is>
          <t>10/2026</t>
        </is>
      </c>
      <c r="O90" s="11">
        <f>IFERROR(INDEX(Tariffe!$D$2:$D$200,MATCH(E90,Tariffe!$A$2:$A$200,0))*1,0)</f>
        <v/>
      </c>
      <c r="P90" s="11">
        <f>H90*O90</f>
        <v/>
      </c>
    </row>
    <row r="91">
      <c r="A91" s="23" t="inlineStr">
        <is>
          <t>20261101_2015</t>
        </is>
      </c>
      <c r="B91" s="13" t="n">
        <v>46327</v>
      </c>
      <c r="C91" s="14" t="n">
        <v>0.84375</v>
      </c>
      <c r="D91" s="23" t="inlineStr">
        <is>
          <t>UN Unico</t>
        </is>
      </c>
      <c r="E91" s="23" t="inlineStr">
        <is>
          <t>I1</t>
        </is>
      </c>
      <c r="F91" s="23">
        <f>IFERROR(INDEX(Tariffe!$B$2:$B$200,MATCH(E91,Tariffe!$A$2:$A$200,0)),"DA DEFINIRE")</f>
        <v/>
      </c>
      <c r="G91" s="16" t="n">
        <v>48</v>
      </c>
      <c r="H91" s="15" t="n">
        <v>1</v>
      </c>
      <c r="I91" s="15" t="n">
        <v>0</v>
      </c>
      <c r="J91" s="16" t="n">
        <v>48</v>
      </c>
      <c r="K91" s="16" t="n">
        <v>0</v>
      </c>
      <c r="L91" s="16" t="n">
        <v>43.64</v>
      </c>
      <c r="M91" s="16" t="n">
        <v>4.36</v>
      </c>
      <c r="N91" s="23" t="inlineStr">
        <is>
          <t>11/2026</t>
        </is>
      </c>
      <c r="O91" s="15">
        <f>IFERROR(INDEX(Tariffe!$D$2:$D$200,MATCH(E91,Tariffe!$A$2:$A$200,0))*1,0)</f>
        <v/>
      </c>
      <c r="P91" s="15">
        <f>H91*O91</f>
        <v/>
      </c>
    </row>
    <row r="92">
      <c r="A92" s="22" t="inlineStr">
        <is>
          <t>20261101_2115</t>
        </is>
      </c>
      <c r="B92" s="9" t="n">
        <v>46327</v>
      </c>
      <c r="C92" s="10" t="n">
        <v>0.8854166666666666</v>
      </c>
      <c r="D92" s="22" t="inlineStr">
        <is>
          <t>UN Unico</t>
        </is>
      </c>
      <c r="E92" s="22" t="inlineStr">
        <is>
          <t>I8</t>
        </is>
      </c>
      <c r="F92" s="22">
        <f>IFERROR(INDEX(Tariffe!$B$2:$B$200,MATCH(E92,Tariffe!$A$2:$A$200,0)),"DA DEFINIRE")</f>
        <v/>
      </c>
      <c r="G92" s="12" t="n">
        <v>24</v>
      </c>
      <c r="H92" s="11" t="n">
        <v>3</v>
      </c>
      <c r="I92" s="11" t="n">
        <v>0</v>
      </c>
      <c r="J92" s="12" t="n">
        <v>72</v>
      </c>
      <c r="K92" s="12" t="n">
        <v>0</v>
      </c>
      <c r="L92" s="12" t="n">
        <v>65.45999999999999</v>
      </c>
      <c r="M92" s="12" t="n">
        <v>6.54</v>
      </c>
      <c r="N92" s="22" t="inlineStr">
        <is>
          <t>11/2026</t>
        </is>
      </c>
      <c r="O92" s="11">
        <f>IFERROR(INDEX(Tariffe!$D$2:$D$200,MATCH(E92,Tariffe!$A$2:$A$200,0))*1,0)</f>
        <v/>
      </c>
      <c r="P92" s="11">
        <f>H92*O92</f>
        <v/>
      </c>
    </row>
    <row r="93">
      <c r="A93" s="23" t="inlineStr">
        <is>
          <t>20261101_2215</t>
        </is>
      </c>
      <c r="B93" s="13" t="n">
        <v>46327</v>
      </c>
      <c r="C93" s="14" t="n">
        <v>0.9270833333333334</v>
      </c>
      <c r="D93" s="23" t="inlineStr">
        <is>
          <t>UN Unico</t>
        </is>
      </c>
      <c r="E93" s="23" t="inlineStr">
        <is>
          <t>I5</t>
        </is>
      </c>
      <c r="F93" s="23">
        <f>IFERROR(INDEX(Tariffe!$B$2:$B$200,MATCH(E93,Tariffe!$A$2:$A$200,0)),"DA DEFINIRE")</f>
        <v/>
      </c>
      <c r="G93" s="16" t="n">
        <v>60</v>
      </c>
      <c r="H93" s="15" t="n">
        <v>1</v>
      </c>
      <c r="I93" s="15" t="n">
        <v>0</v>
      </c>
      <c r="J93" s="16" t="n">
        <v>60</v>
      </c>
      <c r="K93" s="16" t="n">
        <v>0</v>
      </c>
      <c r="L93" s="16" t="n">
        <v>54.55</v>
      </c>
      <c r="M93" s="16" t="n">
        <v>5.45</v>
      </c>
      <c r="N93" s="23" t="inlineStr">
        <is>
          <t>11/2026</t>
        </is>
      </c>
      <c r="O93" s="15">
        <f>IFERROR(INDEX(Tariffe!$D$2:$D$200,MATCH(E93,Tariffe!$A$2:$A$200,0))*1,0)</f>
        <v/>
      </c>
      <c r="P93" s="15">
        <f>H93*O93</f>
        <v/>
      </c>
    </row>
    <row r="94">
      <c r="A94" s="22" t="inlineStr">
        <is>
          <t>20261101_2215</t>
        </is>
      </c>
      <c r="B94" s="9" t="n">
        <v>46327</v>
      </c>
      <c r="C94" s="10" t="n">
        <v>0.9270833333333334</v>
      </c>
      <c r="D94" s="22" t="inlineStr">
        <is>
          <t>UN Unico</t>
        </is>
      </c>
      <c r="E94" s="22" t="inlineStr">
        <is>
          <t>I8</t>
        </is>
      </c>
      <c r="F94" s="22">
        <f>IFERROR(INDEX(Tariffe!$B$2:$B$200,MATCH(E94,Tariffe!$A$2:$A$200,0)),"DA DEFINIRE")</f>
        <v/>
      </c>
      <c r="G94" s="12" t="n">
        <v>24</v>
      </c>
      <c r="H94" s="11" t="n">
        <v>3</v>
      </c>
      <c r="I94" s="11" t="n">
        <v>0</v>
      </c>
      <c r="J94" s="12" t="n">
        <v>72</v>
      </c>
      <c r="K94" s="12" t="n">
        <v>0</v>
      </c>
      <c r="L94" s="12" t="n">
        <v>65.45999999999999</v>
      </c>
      <c r="M94" s="12" t="n">
        <v>6.54</v>
      </c>
      <c r="N94" s="22" t="inlineStr">
        <is>
          <t>11/2026</t>
        </is>
      </c>
      <c r="O94" s="11">
        <f>IFERROR(INDEX(Tariffe!$D$2:$D$200,MATCH(E94,Tariffe!$A$2:$A$200,0))*1,0)</f>
        <v/>
      </c>
      <c r="P94" s="11">
        <f>H94*O94</f>
        <v/>
      </c>
    </row>
    <row r="95">
      <c r="A95" s="23" t="inlineStr">
        <is>
          <t>20261101_2359</t>
        </is>
      </c>
      <c r="B95" s="13" t="n">
        <v>46327</v>
      </c>
      <c r="C95" s="14" t="n">
        <v>0.9993055555555556</v>
      </c>
      <c r="D95" s="23" t="inlineStr">
        <is>
          <t>UN Unico</t>
        </is>
      </c>
      <c r="E95" s="23" t="inlineStr">
        <is>
          <t>I5</t>
        </is>
      </c>
      <c r="F95" s="23">
        <f>IFERROR(INDEX(Tariffe!$B$2:$B$200,MATCH(E95,Tariffe!$A$2:$A$200,0)),"DA DEFINIRE")</f>
        <v/>
      </c>
      <c r="G95" s="16" t="n">
        <v>60</v>
      </c>
      <c r="H95" s="15" t="n">
        <v>1</v>
      </c>
      <c r="I95" s="15" t="n">
        <v>0</v>
      </c>
      <c r="J95" s="16" t="n">
        <v>60</v>
      </c>
      <c r="K95" s="16" t="n">
        <v>0</v>
      </c>
      <c r="L95" s="16" t="n">
        <v>54.55</v>
      </c>
      <c r="M95" s="16" t="n">
        <v>5.45</v>
      </c>
      <c r="N95" s="23" t="inlineStr">
        <is>
          <t>11/2026</t>
        </is>
      </c>
      <c r="O95" s="15">
        <f>IFERROR(INDEX(Tariffe!$D$2:$D$200,MATCH(E95,Tariffe!$A$2:$A$200,0))*1,0)</f>
        <v/>
      </c>
      <c r="P95" s="15">
        <f>H95*O95</f>
        <v/>
      </c>
    </row>
  </sheetData>
  <autoFilter ref="A1:P95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</sheetData>
  <autoFilter ref="A1:S8"/>
  <conditionalFormatting sqref="F2:J8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8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  <row r="410">
      <c r="A410" s="30" t="n">
        <v>46312.80625</v>
      </c>
      <c r="B410" s="11" t="n">
        <v>355</v>
      </c>
      <c r="C410" s="11" t="n">
        <v>1056</v>
      </c>
      <c r="D410" s="12" t="n">
        <v>12672</v>
      </c>
      <c r="E410" s="31">
        <f>B410-B409</f>
        <v/>
      </c>
      <c r="F410" s="31">
        <f>C410-C409</f>
        <v/>
      </c>
      <c r="G410" s="32">
        <f>D410-D409</f>
        <v/>
      </c>
      <c r="H410">
        <f>TEXT(A410,"DD/MM HH:MM")</f>
        <v/>
      </c>
    </row>
    <row r="411">
      <c r="A411" s="33" t="n">
        <v>46312.84861111111</v>
      </c>
      <c r="B411" s="15" t="n">
        <v>361</v>
      </c>
      <c r="C411" s="15" t="n">
        <v>1081</v>
      </c>
      <c r="D411" s="16" t="n">
        <v>12972</v>
      </c>
      <c r="E411" s="34">
        <f>B411-B410</f>
        <v/>
      </c>
      <c r="F411" s="34">
        <f>C411-C410</f>
        <v/>
      </c>
      <c r="G411" s="35">
        <f>D411-D410</f>
        <v/>
      </c>
      <c r="H411">
        <f>TEXT(A411,"DD/MM HH:MM")</f>
        <v/>
      </c>
    </row>
    <row r="412">
      <c r="A412" s="30" t="n">
        <v>46312.86458333334</v>
      </c>
      <c r="B412" s="11" t="n">
        <v>362</v>
      </c>
      <c r="C412" s="11" t="n">
        <v>1083</v>
      </c>
      <c r="D412" s="12" t="n">
        <v>12996</v>
      </c>
      <c r="E412" s="31">
        <f>B412-B411</f>
        <v/>
      </c>
      <c r="F412" s="31">
        <f>C412-C411</f>
        <v/>
      </c>
      <c r="G412" s="32">
        <f>D412-D411</f>
        <v/>
      </c>
      <c r="H412">
        <f>TEXT(A412,"DD/MM HH:MM")</f>
        <v/>
      </c>
    </row>
    <row r="413">
      <c r="A413" s="33" t="n">
        <v>46312.88888888889</v>
      </c>
      <c r="B413" s="15" t="n">
        <v>368</v>
      </c>
      <c r="C413" s="15" t="n">
        <v>1101</v>
      </c>
      <c r="D413" s="16" t="n">
        <v>13212</v>
      </c>
      <c r="E413" s="34">
        <f>B413-B412</f>
        <v/>
      </c>
      <c r="F413" s="34">
        <f>C413-C412</f>
        <v/>
      </c>
      <c r="G413" s="35">
        <f>D413-D412</f>
        <v/>
      </c>
      <c r="H413">
        <f>TEXT(A413,"DD/MM HH:MM")</f>
        <v/>
      </c>
    </row>
    <row r="414">
      <c r="A414" s="30" t="n">
        <v>46312.90555555555</v>
      </c>
      <c r="B414" s="11" t="n">
        <v>368</v>
      </c>
      <c r="C414" s="11" t="n">
        <v>1100</v>
      </c>
      <c r="D414" s="12" t="n">
        <v>13200</v>
      </c>
      <c r="E414" s="31">
        <f>B414-B413</f>
        <v/>
      </c>
      <c r="F414" s="31">
        <f>C414-C413</f>
        <v/>
      </c>
      <c r="G414" s="32">
        <f>D414-D413</f>
        <v/>
      </c>
      <c r="H414">
        <f>TEXT(A414,"DD/MM HH:MM")</f>
        <v/>
      </c>
    </row>
    <row r="415">
      <c r="A415" s="33" t="n">
        <v>46312.93055555555</v>
      </c>
      <c r="B415" s="15" t="n">
        <v>371</v>
      </c>
      <c r="C415" s="15" t="n">
        <v>1111</v>
      </c>
      <c r="D415" s="16" t="n">
        <v>13332</v>
      </c>
      <c r="E415" s="34">
        <f>B415-B414</f>
        <v/>
      </c>
      <c r="F415" s="34">
        <f>C415-C414</f>
        <v/>
      </c>
      <c r="G415" s="35">
        <f>D415-D414</f>
        <v/>
      </c>
      <c r="H415">
        <f>TEXT(A415,"DD/MM HH:MM")</f>
        <v/>
      </c>
    </row>
    <row r="416">
      <c r="A416" s="30" t="n">
        <v>46312.97291666667</v>
      </c>
      <c r="B416" s="11" t="n">
        <v>371</v>
      </c>
      <c r="C416" s="11" t="n">
        <v>1111</v>
      </c>
      <c r="D416" s="12" t="n">
        <v>13332</v>
      </c>
      <c r="E416" s="31">
        <f>B416-B415</f>
        <v/>
      </c>
      <c r="F416" s="31">
        <f>C416-C415</f>
        <v/>
      </c>
      <c r="G416" s="32">
        <f>D416-D415</f>
        <v/>
      </c>
      <c r="H416">
        <f>TEXT(A416,"DD/MM HH:MM")</f>
        <v/>
      </c>
    </row>
    <row r="417">
      <c r="A417" s="33" t="n">
        <v>46312.99236111111</v>
      </c>
      <c r="B417" s="15" t="n">
        <v>371</v>
      </c>
      <c r="C417" s="15" t="n">
        <v>1111</v>
      </c>
      <c r="D417" s="16" t="n">
        <v>13332</v>
      </c>
      <c r="E417" s="34">
        <f>B417-B416</f>
        <v/>
      </c>
      <c r="F417" s="34">
        <f>C417-C416</f>
        <v/>
      </c>
      <c r="G417" s="35">
        <f>D417-D416</f>
        <v/>
      </c>
      <c r="H417">
        <f>TEXT(A417,"DD/MM HH:MM")</f>
        <v/>
      </c>
    </row>
    <row r="418">
      <c r="A418" s="30" t="n">
        <v>46313.01388888889</v>
      </c>
      <c r="B418" s="11" t="n">
        <v>376</v>
      </c>
      <c r="C418" s="11" t="n">
        <v>1134</v>
      </c>
      <c r="D418" s="12" t="n">
        <v>13608</v>
      </c>
      <c r="E418" s="31">
        <f>B418-B417</f>
        <v/>
      </c>
      <c r="F418" s="31">
        <f>C418-C417</f>
        <v/>
      </c>
      <c r="G418" s="32">
        <f>D418-D417</f>
        <v/>
      </c>
      <c r="H418">
        <f>TEXT(A418,"DD/MM HH:MM")</f>
        <v/>
      </c>
    </row>
    <row r="419">
      <c r="A419" s="33" t="n">
        <v>46313.05347222222</v>
      </c>
      <c r="B419" s="15" t="n">
        <v>375</v>
      </c>
      <c r="C419" s="15" t="n">
        <v>1128</v>
      </c>
      <c r="D419" s="16" t="n">
        <v>13536</v>
      </c>
      <c r="E419" s="34">
        <f>B419-B418</f>
        <v/>
      </c>
      <c r="F419" s="34">
        <f>C419-C418</f>
        <v/>
      </c>
      <c r="G419" s="35">
        <f>D419-D418</f>
        <v/>
      </c>
      <c r="H419">
        <f>TEXT(A419,"DD/MM HH:MM")</f>
        <v/>
      </c>
    </row>
    <row r="420">
      <c r="A420" s="30" t="n">
        <v>46313.10486111111</v>
      </c>
      <c r="B420" s="11" t="n">
        <v>376</v>
      </c>
      <c r="C420" s="11" t="n">
        <v>1132</v>
      </c>
      <c r="D420" s="12" t="n">
        <v>13584</v>
      </c>
      <c r="E420" s="31">
        <f>B420-B419</f>
        <v/>
      </c>
      <c r="F420" s="31">
        <f>C420-C419</f>
        <v/>
      </c>
      <c r="G420" s="32">
        <f>D420-D419</f>
        <v/>
      </c>
      <c r="H420">
        <f>TEXT(A420,"DD/MM HH:MM")</f>
        <v/>
      </c>
    </row>
    <row r="421">
      <c r="A421" s="33" t="n">
        <v>46313.14513888889</v>
      </c>
      <c r="B421" s="15" t="n">
        <v>378</v>
      </c>
      <c r="C421" s="15" t="n">
        <v>1141</v>
      </c>
      <c r="D421" s="16" t="n">
        <v>13692</v>
      </c>
      <c r="E421" s="34">
        <f>B421-B420</f>
        <v/>
      </c>
      <c r="F421" s="34">
        <f>C421-C420</f>
        <v/>
      </c>
      <c r="G421" s="35">
        <f>D421-D420</f>
        <v/>
      </c>
      <c r="H421">
        <f>TEXT(A421,"DD/MM HH:MM")</f>
        <v/>
      </c>
    </row>
    <row r="422">
      <c r="A422" s="30" t="n">
        <v>46313.18333333333</v>
      </c>
      <c r="B422" s="11" t="n">
        <v>380</v>
      </c>
      <c r="C422" s="11" t="n">
        <v>1145</v>
      </c>
      <c r="D422" s="12" t="n">
        <v>13740</v>
      </c>
      <c r="E422" s="31">
        <f>B422-B421</f>
        <v/>
      </c>
      <c r="F422" s="31">
        <f>C422-C421</f>
        <v/>
      </c>
      <c r="G422" s="32">
        <f>D422-D421</f>
        <v/>
      </c>
      <c r="H422">
        <f>TEXT(A422,"DD/MM HH:MM")</f>
        <v/>
      </c>
    </row>
    <row r="423">
      <c r="A423" s="33" t="n">
        <v>46313.225</v>
      </c>
      <c r="B423" s="15" t="n">
        <v>380</v>
      </c>
      <c r="C423" s="15" t="n">
        <v>1145</v>
      </c>
      <c r="D423" s="16" t="n">
        <v>13740</v>
      </c>
      <c r="E423" s="34">
        <f>B423-B422</f>
        <v/>
      </c>
      <c r="F423" s="34">
        <f>C423-C422</f>
        <v/>
      </c>
      <c r="G423" s="35">
        <f>D423-D422</f>
        <v/>
      </c>
      <c r="H423">
        <f>TEXT(A423,"DD/MM HH:MM")</f>
        <v/>
      </c>
    </row>
    <row r="424">
      <c r="A424" s="30" t="n">
        <v>46313.26736111111</v>
      </c>
      <c r="B424" s="11" t="n">
        <v>380</v>
      </c>
      <c r="C424" s="11" t="n">
        <v>1145</v>
      </c>
      <c r="D424" s="12" t="n">
        <v>13740</v>
      </c>
      <c r="E424" s="31">
        <f>B424-B423</f>
        <v/>
      </c>
      <c r="F424" s="31">
        <f>C424-C423</f>
        <v/>
      </c>
      <c r="G424" s="32">
        <f>D424-D423</f>
        <v/>
      </c>
      <c r="H424">
        <f>TEXT(A424,"DD/MM HH:MM")</f>
        <v/>
      </c>
    </row>
    <row r="425">
      <c r="A425" s="33" t="n">
        <v>46313.30763888889</v>
      </c>
      <c r="B425" s="15" t="n">
        <v>380</v>
      </c>
      <c r="C425" s="15" t="n">
        <v>1145</v>
      </c>
      <c r="D425" s="16" t="n">
        <v>13740</v>
      </c>
      <c r="E425" s="34">
        <f>B425-B424</f>
        <v/>
      </c>
      <c r="F425" s="34">
        <f>C425-C424</f>
        <v/>
      </c>
      <c r="G425" s="35">
        <f>D425-D424</f>
        <v/>
      </c>
      <c r="H425">
        <f>TEXT(A425,"DD/MM HH:MM")</f>
        <v/>
      </c>
    </row>
  </sheetData>
  <autoFilter ref="A1:G425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34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0.9986111111111111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  <row r="324">
      <c r="A324" s="30" t="n">
        <v>46312.76527777778</v>
      </c>
      <c r="B324" s="30" t="n">
        <v>46312.80625</v>
      </c>
      <c r="C324" s="9" t="n">
        <v>46318</v>
      </c>
      <c r="D324" s="10" t="n">
        <v>0.8854166666666666</v>
      </c>
      <c r="E324" s="36" t="n">
        <v>1</v>
      </c>
      <c r="F324" s="36" t="n">
        <v>0</v>
      </c>
      <c r="G324" s="36" t="n">
        <v>1</v>
      </c>
      <c r="H324" s="36" t="n">
        <v>0</v>
      </c>
      <c r="I324" s="36" t="n">
        <v>0</v>
      </c>
      <c r="J324" s="36" t="n">
        <v>3</v>
      </c>
      <c r="K324" s="12" t="n">
        <v>36</v>
      </c>
    </row>
    <row r="325">
      <c r="A325" s="33" t="n">
        <v>46312.76527777778</v>
      </c>
      <c r="B325" s="33" t="n">
        <v>46312.80625</v>
      </c>
      <c r="C325" s="13" t="n">
        <v>46318</v>
      </c>
      <c r="D325" s="14" t="n">
        <v>0.9270833333333334</v>
      </c>
      <c r="E325" s="37" t="n">
        <v>1</v>
      </c>
      <c r="F325" s="37" t="n">
        <v>1</v>
      </c>
      <c r="G325" s="37" t="n">
        <v>0</v>
      </c>
      <c r="H325" s="37" t="n">
        <v>0</v>
      </c>
      <c r="I325" s="37" t="n">
        <v>0</v>
      </c>
      <c r="J325" s="37" t="n">
        <v>2</v>
      </c>
      <c r="K325" s="16" t="n">
        <v>24</v>
      </c>
    </row>
    <row r="326">
      <c r="A326" s="30" t="n">
        <v>46312.76527777778</v>
      </c>
      <c r="B326" s="30" t="n">
        <v>46312.80625</v>
      </c>
      <c r="C326" s="9" t="n">
        <v>46326</v>
      </c>
      <c r="D326" s="10" t="n">
        <v>0.96875</v>
      </c>
      <c r="E326" s="36" t="n">
        <v>1</v>
      </c>
      <c r="F326" s="36" t="n">
        <v>1</v>
      </c>
      <c r="G326" s="36" t="n">
        <v>0</v>
      </c>
      <c r="H326" s="36" t="n">
        <v>0</v>
      </c>
      <c r="I326" s="36" t="n">
        <v>0</v>
      </c>
      <c r="J326" s="36" t="n">
        <v>2</v>
      </c>
      <c r="K326" s="12" t="n">
        <v>24</v>
      </c>
    </row>
    <row r="327">
      <c r="A327" s="33" t="n">
        <v>46312.80625</v>
      </c>
      <c r="B327" s="33" t="n">
        <v>46312.84861111111</v>
      </c>
      <c r="C327" s="13" t="n">
        <v>46318</v>
      </c>
      <c r="D327" s="14" t="n">
        <v>0.84375</v>
      </c>
      <c r="E327" s="37" t="n">
        <v>2</v>
      </c>
      <c r="F327" s="37" t="n">
        <v>0</v>
      </c>
      <c r="G327" s="37" t="n">
        <v>0</v>
      </c>
      <c r="H327" s="37" t="n">
        <v>1</v>
      </c>
      <c r="I327" s="37" t="n">
        <v>1</v>
      </c>
      <c r="J327" s="37" t="n">
        <v>9</v>
      </c>
      <c r="K327" s="16" t="n">
        <v>108</v>
      </c>
    </row>
    <row r="328">
      <c r="A328" s="30" t="n">
        <v>46312.80625</v>
      </c>
      <c r="B328" s="30" t="n">
        <v>46312.84861111111</v>
      </c>
      <c r="C328" s="9" t="n">
        <v>46320</v>
      </c>
      <c r="D328" s="10" t="n">
        <v>0.96875</v>
      </c>
      <c r="E328" s="36" t="n">
        <v>1</v>
      </c>
      <c r="F328" s="36" t="n">
        <v>0</v>
      </c>
      <c r="G328" s="36" t="n">
        <v>0</v>
      </c>
      <c r="H328" s="36" t="n">
        <v>1</v>
      </c>
      <c r="I328" s="36" t="n">
        <v>0</v>
      </c>
      <c r="J328" s="36" t="n">
        <v>4</v>
      </c>
      <c r="K328" s="12" t="n">
        <v>48</v>
      </c>
    </row>
    <row r="329">
      <c r="A329" s="33" t="n">
        <v>46312.80625</v>
      </c>
      <c r="B329" s="33" t="n">
        <v>46312.84861111111</v>
      </c>
      <c r="C329" s="13" t="n">
        <v>46326</v>
      </c>
      <c r="D329" s="14" t="n">
        <v>0.9270833333333334</v>
      </c>
      <c r="E329" s="37" t="n">
        <v>3</v>
      </c>
      <c r="F329" s="37" t="n">
        <v>0</v>
      </c>
      <c r="G329" s="37" t="n">
        <v>0</v>
      </c>
      <c r="H329" s="37" t="n">
        <v>3</v>
      </c>
      <c r="I329" s="37" t="n">
        <v>0</v>
      </c>
      <c r="J329" s="37" t="n">
        <v>12</v>
      </c>
      <c r="K329" s="16" t="n">
        <v>144</v>
      </c>
    </row>
    <row r="330">
      <c r="A330" s="30" t="n">
        <v>46312.84861111111</v>
      </c>
      <c r="B330" s="30" t="n">
        <v>46312.86458333334</v>
      </c>
      <c r="C330" s="9" t="n">
        <v>46319</v>
      </c>
      <c r="D330" s="10" t="n">
        <v>0.9993055555555556</v>
      </c>
      <c r="E330" s="36" t="n">
        <v>1</v>
      </c>
      <c r="F330" s="36" t="n">
        <v>1</v>
      </c>
      <c r="G330" s="36" t="n">
        <v>0</v>
      </c>
      <c r="H330" s="36" t="n">
        <v>0</v>
      </c>
      <c r="I330" s="36" t="n">
        <v>0</v>
      </c>
      <c r="J330" s="36" t="n">
        <v>2</v>
      </c>
      <c r="K330" s="12" t="n">
        <v>24</v>
      </c>
    </row>
    <row r="331">
      <c r="A331" s="33" t="n">
        <v>46312.86458333334</v>
      </c>
      <c r="B331" s="33" t="n">
        <v>46312.88888888889</v>
      </c>
      <c r="C331" s="13" t="n">
        <v>46318</v>
      </c>
      <c r="D331" s="14" t="n">
        <v>0.96875</v>
      </c>
      <c r="E331" s="37" t="n">
        <v>1</v>
      </c>
      <c r="F331" s="37" t="n">
        <v>1</v>
      </c>
      <c r="G331" s="37" t="n">
        <v>0</v>
      </c>
      <c r="H331" s="37" t="n">
        <v>0</v>
      </c>
      <c r="I331" s="37" t="n">
        <v>0</v>
      </c>
      <c r="J331" s="37" t="n">
        <v>2</v>
      </c>
      <c r="K331" s="16" t="n">
        <v>24</v>
      </c>
    </row>
    <row r="332">
      <c r="A332" s="30" t="n">
        <v>46312.86458333334</v>
      </c>
      <c r="B332" s="30" t="n">
        <v>46312.88888888889</v>
      </c>
      <c r="C332" s="9" t="n">
        <v>46325</v>
      </c>
      <c r="D332" s="10" t="n">
        <v>0.9270833333333334</v>
      </c>
      <c r="E332" s="36" t="n">
        <v>3</v>
      </c>
      <c r="F332" s="36" t="n">
        <v>0</v>
      </c>
      <c r="G332" s="36" t="n">
        <v>0</v>
      </c>
      <c r="H332" s="36" t="n">
        <v>3</v>
      </c>
      <c r="I332" s="36" t="n">
        <v>0</v>
      </c>
      <c r="J332" s="36" t="n">
        <v>12</v>
      </c>
      <c r="K332" s="12" t="n">
        <v>144</v>
      </c>
    </row>
    <row r="333">
      <c r="A333" s="33" t="n">
        <v>46312.86458333334</v>
      </c>
      <c r="B333" s="33" t="n">
        <v>46312.88888888889</v>
      </c>
      <c r="C333" s="13" t="n">
        <v>46326</v>
      </c>
      <c r="D333" s="14" t="n">
        <v>0.96875</v>
      </c>
      <c r="E333" s="37" t="n">
        <v>2</v>
      </c>
      <c r="F333" s="37" t="n">
        <v>2</v>
      </c>
      <c r="G333" s="37" t="n">
        <v>0</v>
      </c>
      <c r="H333" s="37" t="n">
        <v>0</v>
      </c>
      <c r="I333" s="37" t="n">
        <v>0</v>
      </c>
      <c r="J333" s="37" t="n">
        <v>4</v>
      </c>
      <c r="K333" s="16" t="n">
        <v>48</v>
      </c>
    </row>
    <row r="334">
      <c r="A334" s="30" t="n">
        <v>46312.88888888889</v>
      </c>
      <c r="B334" s="30" t="n">
        <v>46312.90555555555</v>
      </c>
      <c r="C334" s="9" t="n">
        <v>46318</v>
      </c>
      <c r="D334" s="10" t="n">
        <v>0.8854166666666666</v>
      </c>
      <c r="E334" s="36" t="n">
        <v>1</v>
      </c>
      <c r="F334" s="36" t="n">
        <v>1</v>
      </c>
      <c r="G334" s="36" t="n">
        <v>0</v>
      </c>
      <c r="H334" s="36" t="n">
        <v>0</v>
      </c>
      <c r="I334" s="36" t="n">
        <v>0</v>
      </c>
      <c r="J334" s="36" t="n">
        <v>2</v>
      </c>
      <c r="K334" s="12" t="n">
        <v>24</v>
      </c>
    </row>
    <row r="335">
      <c r="A335" s="33" t="n">
        <v>46312.88888888889</v>
      </c>
      <c r="B335" s="33" t="n">
        <v>46312.90555555555</v>
      </c>
      <c r="C335" s="13" t="n">
        <v>46324</v>
      </c>
      <c r="D335" s="14" t="n">
        <v>0.84375</v>
      </c>
      <c r="E335" s="37" t="n">
        <v>1</v>
      </c>
      <c r="F335" s="37" t="n">
        <v>0</v>
      </c>
      <c r="G335" s="37" t="n">
        <v>0</v>
      </c>
      <c r="H335" s="37" t="n">
        <v>0</v>
      </c>
      <c r="I335" s="37" t="n">
        <v>1</v>
      </c>
      <c r="J335" s="37" t="n">
        <v>5</v>
      </c>
      <c r="K335" s="16" t="n">
        <v>60</v>
      </c>
    </row>
    <row r="336">
      <c r="A336" s="30" t="n">
        <v>46312.88888888889</v>
      </c>
      <c r="B336" s="30" t="n">
        <v>46312.90555555555</v>
      </c>
      <c r="C336" s="9" t="n">
        <v>46326</v>
      </c>
      <c r="D336" s="10" t="n">
        <v>0.84375</v>
      </c>
      <c r="E336" s="36" t="n">
        <v>1</v>
      </c>
      <c r="F336" s="36" t="n">
        <v>0</v>
      </c>
      <c r="G336" s="36" t="n">
        <v>0</v>
      </c>
      <c r="H336" s="36" t="n">
        <v>1</v>
      </c>
      <c r="I336" s="36" t="n">
        <v>0</v>
      </c>
      <c r="J336" s="36" t="n">
        <v>4</v>
      </c>
      <c r="K336" s="12" t="n">
        <v>48</v>
      </c>
    </row>
    <row r="337">
      <c r="A337" s="33" t="n">
        <v>46312.88888888889</v>
      </c>
      <c r="B337" s="33" t="n">
        <v>46312.90555555555</v>
      </c>
      <c r="C337" s="13" t="n">
        <v>46326</v>
      </c>
      <c r="D337" s="14" t="n">
        <v>0.9270833333333334</v>
      </c>
      <c r="E337" s="37" t="n">
        <v>-3</v>
      </c>
      <c r="F337" s="37" t="n">
        <v>0</v>
      </c>
      <c r="G337" s="37" t="n">
        <v>0</v>
      </c>
      <c r="H337" s="37" t="n">
        <v>-3</v>
      </c>
      <c r="I337" s="37" t="n">
        <v>0</v>
      </c>
      <c r="J337" s="37" t="n">
        <v>-12</v>
      </c>
      <c r="K337" s="16" t="n">
        <v>-144</v>
      </c>
    </row>
    <row r="338">
      <c r="A338" s="30" t="n">
        <v>46312.90555555555</v>
      </c>
      <c r="B338" s="30" t="n">
        <v>46312.93055555555</v>
      </c>
      <c r="C338" s="9" t="n">
        <v>46318</v>
      </c>
      <c r="D338" s="10" t="n">
        <v>0.8854166666666666</v>
      </c>
      <c r="E338" s="36" t="n">
        <v>1</v>
      </c>
      <c r="F338" s="36" t="n">
        <v>1</v>
      </c>
      <c r="G338" s="36" t="n">
        <v>0</v>
      </c>
      <c r="H338" s="36" t="n">
        <v>0</v>
      </c>
      <c r="I338" s="36" t="n">
        <v>0</v>
      </c>
      <c r="J338" s="36" t="n">
        <v>2</v>
      </c>
      <c r="K338" s="12" t="n">
        <v>24</v>
      </c>
    </row>
    <row r="339">
      <c r="A339" s="33" t="n">
        <v>46312.90555555555</v>
      </c>
      <c r="B339" s="33" t="n">
        <v>46312.93055555555</v>
      </c>
      <c r="C339" s="13" t="n">
        <v>46319</v>
      </c>
      <c r="D339" s="14" t="n">
        <v>0.8854166666666666</v>
      </c>
      <c r="E339" s="37" t="n">
        <v>1</v>
      </c>
      <c r="F339" s="37" t="n">
        <v>0</v>
      </c>
      <c r="G339" s="37" t="n">
        <v>0</v>
      </c>
      <c r="H339" s="37" t="n">
        <v>0</v>
      </c>
      <c r="I339" s="37" t="n">
        <v>1</v>
      </c>
      <c r="J339" s="37" t="n">
        <v>5</v>
      </c>
      <c r="K339" s="16" t="n">
        <v>60</v>
      </c>
    </row>
    <row r="340">
      <c r="A340" s="30" t="n">
        <v>46312.90555555555</v>
      </c>
      <c r="B340" s="30" t="n">
        <v>46312.93055555555</v>
      </c>
      <c r="C340" s="9" t="n">
        <v>46326</v>
      </c>
      <c r="D340" s="10" t="n">
        <v>0.96875</v>
      </c>
      <c r="E340" s="36" t="n">
        <v>1</v>
      </c>
      <c r="F340" s="36" t="n">
        <v>0</v>
      </c>
      <c r="G340" s="36" t="n">
        <v>0</v>
      </c>
      <c r="H340" s="36" t="n">
        <v>1</v>
      </c>
      <c r="I340" s="36" t="n">
        <v>0</v>
      </c>
      <c r="J340" s="36" t="n">
        <v>4</v>
      </c>
      <c r="K340" s="12" t="n">
        <v>48</v>
      </c>
    </row>
    <row r="341">
      <c r="A341" s="33" t="n">
        <v>46312.99236111111</v>
      </c>
      <c r="B341" s="33" t="n">
        <v>46313.01388888889</v>
      </c>
      <c r="C341" s="13" t="n">
        <v>46318</v>
      </c>
      <c r="D341" s="14" t="n">
        <v>0.96875</v>
      </c>
      <c r="E341" s="37" t="n">
        <v>1</v>
      </c>
      <c r="F341" s="37" t="n">
        <v>0</v>
      </c>
      <c r="G341" s="37" t="n">
        <v>1</v>
      </c>
      <c r="H341" s="37" t="n">
        <v>0</v>
      </c>
      <c r="I341" s="37" t="n">
        <v>0</v>
      </c>
      <c r="J341" s="37" t="n">
        <v>3</v>
      </c>
      <c r="K341" s="16" t="n">
        <v>36</v>
      </c>
    </row>
    <row r="342">
      <c r="A342" s="30" t="n">
        <v>46312.99236111111</v>
      </c>
      <c r="B342" s="30" t="n">
        <v>46313.01388888889</v>
      </c>
      <c r="C342" s="9" t="n">
        <v>46326</v>
      </c>
      <c r="D342" s="10" t="n">
        <v>0.84375</v>
      </c>
      <c r="E342" s="36" t="n">
        <v>4</v>
      </c>
      <c r="F342" s="36" t="n">
        <v>0</v>
      </c>
      <c r="G342" s="36" t="n">
        <v>0</v>
      </c>
      <c r="H342" s="36" t="n">
        <v>0</v>
      </c>
      <c r="I342" s="36" t="n">
        <v>4</v>
      </c>
      <c r="J342" s="36" t="n">
        <v>20</v>
      </c>
      <c r="K342" s="12" t="n">
        <v>240</v>
      </c>
    </row>
    <row r="343">
      <c r="A343" s="33" t="n">
        <v>46313.01388888889</v>
      </c>
      <c r="B343" s="33" t="n">
        <v>46313.05347222222</v>
      </c>
      <c r="C343" s="13" t="n">
        <v>46326</v>
      </c>
      <c r="D343" s="14" t="n">
        <v>0.84375</v>
      </c>
      <c r="E343" s="37" t="n">
        <v>-2</v>
      </c>
      <c r="F343" s="37" t="n">
        <v>0</v>
      </c>
      <c r="G343" s="37" t="n">
        <v>0</v>
      </c>
      <c r="H343" s="37" t="n">
        <v>0</v>
      </c>
      <c r="I343" s="37" t="n">
        <v>-2</v>
      </c>
      <c r="J343" s="37" t="n">
        <v>-10</v>
      </c>
      <c r="K343" s="16" t="n">
        <v>-120</v>
      </c>
    </row>
    <row r="344">
      <c r="A344" s="30" t="n">
        <v>46313.01388888889</v>
      </c>
      <c r="B344" s="30" t="n">
        <v>46313.05347222222</v>
      </c>
      <c r="C344" s="9" t="n">
        <v>46326</v>
      </c>
      <c r="D344" s="10" t="n">
        <v>0.8854166666666666</v>
      </c>
      <c r="E344" s="36" t="n">
        <v>1</v>
      </c>
      <c r="F344" s="36" t="n">
        <v>0</v>
      </c>
      <c r="G344" s="36" t="n">
        <v>0</v>
      </c>
      <c r="H344" s="36" t="n">
        <v>1</v>
      </c>
      <c r="I344" s="36" t="n">
        <v>0</v>
      </c>
      <c r="J344" s="36" t="n">
        <v>4</v>
      </c>
      <c r="K344" s="12" t="n">
        <v>48</v>
      </c>
    </row>
    <row r="345">
      <c r="A345" s="33" t="n">
        <v>46313.05347222222</v>
      </c>
      <c r="B345" s="33" t="n">
        <v>46313.10486111111</v>
      </c>
      <c r="C345" s="13" t="n">
        <v>46320</v>
      </c>
      <c r="D345" s="14" t="n">
        <v>0.8854166666666666</v>
      </c>
      <c r="E345" s="37" t="n">
        <v>1</v>
      </c>
      <c r="F345" s="37" t="n">
        <v>0</v>
      </c>
      <c r="G345" s="37" t="n">
        <v>0</v>
      </c>
      <c r="H345" s="37" t="n">
        <v>1</v>
      </c>
      <c r="I345" s="37" t="n">
        <v>0</v>
      </c>
      <c r="J345" s="37" t="n">
        <v>4</v>
      </c>
      <c r="K345" s="16" t="n">
        <v>48</v>
      </c>
    </row>
    <row r="346">
      <c r="A346" s="30" t="n">
        <v>46313.10486111111</v>
      </c>
      <c r="B346" s="30" t="n">
        <v>46313.14513888889</v>
      </c>
      <c r="C346" s="9" t="n">
        <v>46326</v>
      </c>
      <c r="D346" s="10" t="n">
        <v>0.9993055555555556</v>
      </c>
      <c r="E346" s="36" t="n">
        <v>2</v>
      </c>
      <c r="F346" s="36" t="n">
        <v>0</v>
      </c>
      <c r="G346" s="36" t="n">
        <v>0</v>
      </c>
      <c r="H346" s="36" t="n">
        <v>1</v>
      </c>
      <c r="I346" s="36" t="n">
        <v>1</v>
      </c>
      <c r="J346" s="36" t="n">
        <v>9</v>
      </c>
      <c r="K346" s="12" t="n">
        <v>108</v>
      </c>
    </row>
    <row r="347">
      <c r="A347" s="33" t="n">
        <v>46313.14513888889</v>
      </c>
      <c r="B347" s="33" t="n">
        <v>46313.18333333333</v>
      </c>
      <c r="C347" s="13" t="n">
        <v>46324</v>
      </c>
      <c r="D347" s="14" t="n">
        <v>0.96875</v>
      </c>
      <c r="E347" s="37" t="n">
        <v>2</v>
      </c>
      <c r="F347" s="37" t="n">
        <v>2</v>
      </c>
      <c r="G347" s="37" t="n">
        <v>0</v>
      </c>
      <c r="H347" s="37" t="n">
        <v>0</v>
      </c>
      <c r="I347" s="37" t="n">
        <v>0</v>
      </c>
      <c r="J347" s="37" t="n">
        <v>4</v>
      </c>
      <c r="K347" s="16" t="n">
        <v>48</v>
      </c>
    </row>
  </sheetData>
  <autoFilter ref="A1:K347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14</v>
      </c>
      <c r="H4" s="11" t="n">
        <v>54</v>
      </c>
      <c r="I4" s="12" t="n">
        <v>648</v>
      </c>
      <c r="K4" s="38" t="inlineStr">
        <is>
          <t>Lunedì</t>
        </is>
      </c>
      <c r="L4" s="11" t="n">
        <v>49</v>
      </c>
      <c r="M4" s="11" t="n">
        <v>135</v>
      </c>
      <c r="N4" s="12" t="n">
        <v>1620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4</v>
      </c>
      <c r="H5" s="11" t="n">
        <v>10</v>
      </c>
      <c r="I5" s="12" t="n">
        <v>120</v>
      </c>
      <c r="K5" s="38" t="inlineStr">
        <is>
          <t>Martedì</t>
        </is>
      </c>
      <c r="L5" s="11" t="n">
        <v>51</v>
      </c>
      <c r="M5" s="11" t="n">
        <v>150</v>
      </c>
      <c r="N5" s="12" t="n">
        <v>1800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54</v>
      </c>
      <c r="M6" s="11" t="n">
        <v>163</v>
      </c>
      <c r="N6" s="12" t="n">
        <v>1956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4</v>
      </c>
      <c r="H7" s="11" t="n">
        <v>13</v>
      </c>
      <c r="I7" s="12" t="n">
        <v>156</v>
      </c>
      <c r="K7" s="38" t="inlineStr">
        <is>
          <t>Giovedì</t>
        </is>
      </c>
      <c r="L7" s="11" t="n">
        <v>71</v>
      </c>
      <c r="M7" s="11" t="n">
        <v>221</v>
      </c>
      <c r="N7" s="12" t="n">
        <v>2652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64</v>
      </c>
      <c r="M8" s="11" t="n">
        <v>202</v>
      </c>
      <c r="N8" s="12" t="n">
        <v>2424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57</v>
      </c>
      <c r="M9" s="11" t="n">
        <v>167</v>
      </c>
      <c r="N9" s="12" t="n">
        <v>2004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1</v>
      </c>
      <c r="H10" s="11" t="n">
        <v>2</v>
      </c>
      <c r="I10" s="12" t="n">
        <v>24</v>
      </c>
      <c r="K10" s="38" t="inlineStr">
        <is>
          <t>Domenica</t>
        </is>
      </c>
      <c r="L10" s="11" t="n">
        <v>30</v>
      </c>
      <c r="M10" s="11" t="n">
        <v>97</v>
      </c>
      <c r="N10" s="12" t="n">
        <v>1164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4</v>
      </c>
      <c r="H11" s="11" t="n">
        <v>15</v>
      </c>
      <c r="I11" s="12" t="n">
        <v>180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2</v>
      </c>
      <c r="H12" s="11" t="n">
        <v>7</v>
      </c>
      <c r="I12" s="12" t="n">
        <v>84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7</v>
      </c>
      <c r="H13" s="11" t="n">
        <v>26</v>
      </c>
      <c r="I13" s="12" t="n">
        <v>312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13</v>
      </c>
      <c r="H14" s="11" t="n">
        <v>45</v>
      </c>
      <c r="I14" s="12" t="n">
        <v>540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17</v>
      </c>
      <c r="H15" s="11" t="n">
        <v>51</v>
      </c>
      <c r="I15" s="12" t="n">
        <v>612</v>
      </c>
    </row>
    <row r="16">
      <c r="A16" s="9" t="n">
        <v>46312</v>
      </c>
      <c r="B16" s="11" t="n">
        <v>38</v>
      </c>
      <c r="C16" s="11" t="n">
        <v>120</v>
      </c>
      <c r="D16" s="12" t="n">
        <v>1440</v>
      </c>
      <c r="F16" s="38" t="inlineStr">
        <is>
          <t>12:00-13:00</t>
        </is>
      </c>
      <c r="G16" s="11" t="n">
        <v>22</v>
      </c>
      <c r="H16" s="11" t="n">
        <v>58</v>
      </c>
      <c r="I16" s="12" t="n">
        <v>696</v>
      </c>
    </row>
    <row r="17">
      <c r="A17" s="9" t="n">
        <v>46313</v>
      </c>
      <c r="B17" s="11" t="n">
        <v>9</v>
      </c>
      <c r="C17" s="11" t="n">
        <v>34</v>
      </c>
      <c r="D17" s="12" t="n">
        <v>408</v>
      </c>
      <c r="F17" s="38" t="inlineStr">
        <is>
          <t>13:00-14:00</t>
        </is>
      </c>
      <c r="G17" s="11" t="n">
        <v>14</v>
      </c>
      <c r="H17" s="11" t="n">
        <v>35</v>
      </c>
      <c r="I17" s="12" t="n">
        <v>420</v>
      </c>
    </row>
    <row r="18">
      <c r="F18" s="38" t="inlineStr">
        <is>
          <t>14:00-15:00</t>
        </is>
      </c>
      <c r="G18" s="11" t="n">
        <v>20</v>
      </c>
      <c r="H18" s="11" t="n">
        <v>62</v>
      </c>
      <c r="I18" s="12" t="n">
        <v>744</v>
      </c>
    </row>
    <row r="19">
      <c r="F19" s="38" t="inlineStr">
        <is>
          <t>15:00-16:00</t>
        </is>
      </c>
      <c r="G19" s="11" t="n">
        <v>17</v>
      </c>
      <c r="H19" s="11" t="n">
        <v>49</v>
      </c>
      <c r="I19" s="12" t="n">
        <v>588</v>
      </c>
    </row>
    <row r="20">
      <c r="F20" s="38" t="inlineStr">
        <is>
          <t>16:00-17:00</t>
        </is>
      </c>
      <c r="G20" s="11" t="n">
        <v>19</v>
      </c>
      <c r="H20" s="11" t="n">
        <v>51</v>
      </c>
      <c r="I20" s="12" t="n">
        <v>612</v>
      </c>
    </row>
    <row r="21">
      <c r="F21" s="38" t="inlineStr">
        <is>
          <t>17:00-18:00</t>
        </is>
      </c>
      <c r="G21" s="11" t="n">
        <v>19</v>
      </c>
      <c r="H21" s="11" t="n">
        <v>56</v>
      </c>
      <c r="I21" s="12" t="n">
        <v>672</v>
      </c>
    </row>
    <row r="22">
      <c r="F22" s="38" t="inlineStr">
        <is>
          <t>18:00-19:00</t>
        </is>
      </c>
      <c r="G22" s="11" t="n">
        <v>22</v>
      </c>
      <c r="H22" s="11" t="n">
        <v>59</v>
      </c>
      <c r="I22" s="12" t="n">
        <v>708</v>
      </c>
    </row>
    <row r="23">
      <c r="F23" s="38" t="inlineStr">
        <is>
          <t>19:00-20:00</t>
        </is>
      </c>
      <c r="G23" s="11" t="n">
        <v>33</v>
      </c>
      <c r="H23" s="11" t="n">
        <v>115</v>
      </c>
      <c r="I23" s="12" t="n">
        <v>1380</v>
      </c>
    </row>
    <row r="24">
      <c r="F24" s="38" t="inlineStr">
        <is>
          <t>20:00-21:00</t>
        </is>
      </c>
      <c r="G24" s="11" t="n">
        <v>36</v>
      </c>
      <c r="H24" s="11" t="n">
        <v>111</v>
      </c>
      <c r="I24" s="12" t="n">
        <v>1332</v>
      </c>
    </row>
    <row r="25">
      <c r="F25" s="38" t="inlineStr">
        <is>
          <t>21:00-22:00</t>
        </is>
      </c>
      <c r="G25" s="11" t="n">
        <v>35</v>
      </c>
      <c r="H25" s="11" t="n">
        <v>100</v>
      </c>
      <c r="I25" s="12" t="n">
        <v>1200</v>
      </c>
    </row>
    <row r="26">
      <c r="F26" s="38" t="inlineStr">
        <is>
          <t>22:00-23:00</t>
        </is>
      </c>
      <c r="G26" s="11" t="n">
        <v>55</v>
      </c>
      <c r="H26" s="11" t="n">
        <v>155</v>
      </c>
      <c r="I26" s="12" t="n">
        <v>1860</v>
      </c>
    </row>
    <row r="27">
      <c r="F27" s="38" t="inlineStr">
        <is>
          <t>23:00-00:00</t>
        </is>
      </c>
      <c r="G27" s="11" t="n">
        <v>18</v>
      </c>
      <c r="H27" s="11" t="n">
        <v>61</v>
      </c>
      <c r="I27" s="12" t="n">
        <v>732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2026-10-18T05:23:10Z</dcterms:created>
  <dcterms:modified xsi:type="dcterms:W3CDTF">2026-10-18T05:23:11Z</dcterms:modified>
</cp:coreProperties>
</file>