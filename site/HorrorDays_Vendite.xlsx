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'Vendite'!$A$1:$P$114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'Storico'!$A$1:$G$539</definedName>
    <definedName name="_xlnm._FilterDatabase" localSheetId="8" hidden="1">'Registro vendite'!$A$1:$K$531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'Storico'!$H$2:$H$539</f>
            </numRef>
          </cat>
          <val>
            <numRef>
              <f>'Storico'!$C$2:$C$539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vendite'!$A$4:$A$21</f>
            </numRef>
          </cat>
          <val>
            <numRef>
              <f>'Picchi vendite'!$B$4:$B$21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MAX(Storico!A2:A539)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11</v>
      </c>
      <c r="I5" s="15" t="n">
        <v>0</v>
      </c>
      <c r="J5" s="16" t="n">
        <v>264</v>
      </c>
      <c r="K5" s="16" t="n">
        <v>0</v>
      </c>
      <c r="L5" s="16" t="n">
        <v>240.02</v>
      </c>
      <c r="M5" s="16" t="n">
        <v>23.98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18</v>
      </c>
      <c r="I6" s="11" t="n">
        <v>1</v>
      </c>
      <c r="J6" s="12" t="n">
        <v>864</v>
      </c>
      <c r="K6" s="12" t="n">
        <v>0</v>
      </c>
      <c r="L6" s="12" t="n">
        <v>785.52</v>
      </c>
      <c r="M6" s="12" t="n">
        <v>78.48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17</v>
      </c>
      <c r="I10" s="11" t="n">
        <v>0</v>
      </c>
      <c r="J10" s="12" t="n">
        <v>816</v>
      </c>
      <c r="K10" s="12" t="n">
        <v>0</v>
      </c>
      <c r="L10" s="12" t="n">
        <v>741.88</v>
      </c>
      <c r="M10" s="12" t="n">
        <v>74.12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20</v>
      </c>
      <c r="I13" s="15" t="n">
        <v>0</v>
      </c>
      <c r="J13" s="16" t="n">
        <v>480</v>
      </c>
      <c r="K13" s="16" t="n">
        <v>0</v>
      </c>
      <c r="L13" s="16" t="n">
        <v>436.4</v>
      </c>
      <c r="M13" s="16" t="n">
        <v>43.6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22</v>
      </c>
      <c r="I17" s="15" t="n">
        <v>0</v>
      </c>
      <c r="J17" s="16" t="n">
        <v>528</v>
      </c>
      <c r="K17" s="16" t="n">
        <v>0</v>
      </c>
      <c r="L17" s="16" t="n">
        <v>480.04</v>
      </c>
      <c r="M17" s="16" t="n">
        <v>47.96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22</v>
      </c>
      <c r="I33" s="15" t="n">
        <v>0</v>
      </c>
      <c r="J33" s="16" t="n">
        <v>528</v>
      </c>
      <c r="K33" s="16" t="n">
        <v>0</v>
      </c>
      <c r="L33" s="16" t="n">
        <v>480.04</v>
      </c>
      <c r="M33" s="16" t="n">
        <v>47.96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11</v>
      </c>
      <c r="I50" s="11" t="n">
        <v>0</v>
      </c>
      <c r="J50" s="12" t="n">
        <v>264</v>
      </c>
      <c r="K50" s="12" t="n">
        <v>0</v>
      </c>
      <c r="L50" s="12" t="n">
        <v>240.02</v>
      </c>
      <c r="M50" s="12" t="n">
        <v>23.98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6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10</v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10</v>
      </c>
      <c r="I78" s="11" t="n">
        <v>3</v>
      </c>
      <c r="J78" s="12" t="n">
        <v>240</v>
      </c>
      <c r="K78" s="12" t="n">
        <v>0</v>
      </c>
      <c r="L78" s="12" t="n">
        <v>218.2</v>
      </c>
      <c r="M78" s="12" t="n">
        <v>21.8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2</v>
      </c>
      <c r="I89" s="15" t="n">
        <v>0</v>
      </c>
      <c r="J89" s="16" t="n">
        <v>48</v>
      </c>
      <c r="K89" s="16" t="n">
        <v>0</v>
      </c>
      <c r="L89" s="16" t="n">
        <v>43.64</v>
      </c>
      <c r="M89" s="16" t="n">
        <v>4.36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6</v>
      </c>
      <c r="I93" s="15" t="n">
        <v>3</v>
      </c>
      <c r="J93" s="16" t="n">
        <v>288</v>
      </c>
      <c r="K93" s="16" t="n">
        <v>0</v>
      </c>
      <c r="L93" s="16" t="n">
        <v>261.84</v>
      </c>
      <c r="M93" s="16" t="n">
        <v>26.16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20</v>
      </c>
      <c r="I95" s="15" t="n">
        <v>0</v>
      </c>
      <c r="J95" s="16" t="n">
        <v>480</v>
      </c>
      <c r="K95" s="16" t="n">
        <v>0</v>
      </c>
      <c r="L95" s="16" t="n">
        <v>436.4</v>
      </c>
      <c r="M95" s="16" t="n">
        <v>43.6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I2</t>
        </is>
      </c>
      <c r="F97" s="23">
        <f>IFERROR(INDEX(Tariffe!$B$2:$B$200,MATCH(E97,Tariffe!$A$2:$A$200,0)),"DA DEFINIRE")</f>
        <v/>
      </c>
      <c r="G97" s="16" t="n">
        <v>36</v>
      </c>
      <c r="H97" s="15" t="n">
        <v>1</v>
      </c>
      <c r="I97" s="15" t="n">
        <v>0</v>
      </c>
      <c r="J97" s="16" t="n">
        <v>36</v>
      </c>
      <c r="K97" s="16" t="n">
        <v>0</v>
      </c>
      <c r="L97" s="16" t="n">
        <v>32.73</v>
      </c>
      <c r="M97" s="16" t="n">
        <v>3.27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I5</t>
        </is>
      </c>
      <c r="F98" s="22">
        <f>IFERROR(INDEX(Tariffe!$B$2:$B$200,MATCH(E98,Tariffe!$A$2:$A$200,0)),"DA DEFINIRE")</f>
        <v/>
      </c>
      <c r="G98" s="12" t="n">
        <v>60</v>
      </c>
      <c r="H98" s="11" t="n">
        <v>3</v>
      </c>
      <c r="I98" s="11" t="n">
        <v>0</v>
      </c>
      <c r="J98" s="12" t="n">
        <v>180</v>
      </c>
      <c r="K98" s="12" t="n">
        <v>0</v>
      </c>
      <c r="L98" s="12" t="n">
        <v>163.65</v>
      </c>
      <c r="M98" s="12" t="n">
        <v>16.35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15</v>
      </c>
      <c r="I99" s="15" t="n">
        <v>0</v>
      </c>
      <c r="J99" s="16" t="n">
        <v>360</v>
      </c>
      <c r="K99" s="16" t="n">
        <v>0</v>
      </c>
      <c r="L99" s="16" t="n">
        <v>327.3</v>
      </c>
      <c r="M99" s="16" t="n">
        <v>32.7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I1</t>
        </is>
      </c>
      <c r="F100" s="22">
        <f>IFERROR(INDEX(Tariffe!$B$2:$B$200,MATCH(E100,Tariffe!$A$2:$A$200,0)),"DA DEFINIRE")</f>
        <v/>
      </c>
      <c r="G100" s="12" t="n">
        <v>48</v>
      </c>
      <c r="H100" s="11" t="n">
        <v>8</v>
      </c>
      <c r="I100" s="11" t="n">
        <v>0</v>
      </c>
      <c r="J100" s="12" t="n">
        <v>384</v>
      </c>
      <c r="K100" s="12" t="n">
        <v>0</v>
      </c>
      <c r="L100" s="12" t="n">
        <v>349.12</v>
      </c>
      <c r="M100" s="12" t="n">
        <v>34.88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I2</t>
        </is>
      </c>
      <c r="F101" s="23">
        <f>IFERROR(INDEX(Tariffe!$B$2:$B$200,MATCH(E101,Tariffe!$A$2:$A$200,0)),"DA DEFINIRE")</f>
        <v/>
      </c>
      <c r="G101" s="16" t="n">
        <v>36</v>
      </c>
      <c r="H101" s="15" t="n">
        <v>1</v>
      </c>
      <c r="I101" s="15" t="n">
        <v>0</v>
      </c>
      <c r="J101" s="16" t="n">
        <v>36</v>
      </c>
      <c r="K101" s="16" t="n">
        <v>0</v>
      </c>
      <c r="L101" s="16" t="n">
        <v>32.73</v>
      </c>
      <c r="M101" s="16" t="n">
        <v>3.27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I5</t>
        </is>
      </c>
      <c r="F102" s="22">
        <f>IFERROR(INDEX(Tariffe!$B$2:$B$200,MATCH(E102,Tariffe!$A$2:$A$200,0)),"DA DEFINIRE")</f>
        <v/>
      </c>
      <c r="G102" s="12" t="n">
        <v>60</v>
      </c>
      <c r="H102" s="11" t="n">
        <v>2</v>
      </c>
      <c r="I102" s="11" t="n">
        <v>0</v>
      </c>
      <c r="J102" s="12" t="n">
        <v>120</v>
      </c>
      <c r="K102" s="12" t="n">
        <v>0</v>
      </c>
      <c r="L102" s="12" t="n">
        <v>109.1</v>
      </c>
      <c r="M102" s="12" t="n">
        <v>10.9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I8</t>
        </is>
      </c>
      <c r="F103" s="23">
        <f>IFERROR(INDEX(Tariffe!$B$2:$B$200,MATCH(E103,Tariffe!$A$2:$A$200,0)),"DA DEFINIRE")</f>
        <v/>
      </c>
      <c r="G103" s="16" t="n">
        <v>24</v>
      </c>
      <c r="H103" s="15" t="n">
        <v>7</v>
      </c>
      <c r="I103" s="15" t="n">
        <v>0</v>
      </c>
      <c r="J103" s="16" t="n">
        <v>168</v>
      </c>
      <c r="K103" s="16" t="n">
        <v>0</v>
      </c>
      <c r="L103" s="16" t="n">
        <v>152.74</v>
      </c>
      <c r="M103" s="16" t="n">
        <v>15.26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20261101_2015</t>
        </is>
      </c>
      <c r="B104" s="9" t="n">
        <v>46327</v>
      </c>
      <c r="C104" s="10" t="n">
        <v>0.84375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</v>
      </c>
      <c r="I104" s="11" t="n">
        <v>0</v>
      </c>
      <c r="J104" s="12" t="n">
        <v>48</v>
      </c>
      <c r="K104" s="12" t="n">
        <v>0</v>
      </c>
      <c r="L104" s="12" t="n">
        <v>43.64</v>
      </c>
      <c r="M104" s="12" t="n">
        <v>4.36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I1</t>
        </is>
      </c>
      <c r="F105" s="23">
        <f>IFERROR(INDEX(Tariffe!$B$2:$B$200,MATCH(E105,Tariffe!$A$2:$A$200,0)),"DA DEFINIRE")</f>
        <v/>
      </c>
      <c r="G105" s="16" t="n">
        <v>48</v>
      </c>
      <c r="H105" s="15" t="n">
        <v>2</v>
      </c>
      <c r="I105" s="15" t="n">
        <v>0</v>
      </c>
      <c r="J105" s="16" t="n">
        <v>96</v>
      </c>
      <c r="K105" s="16" t="n">
        <v>0</v>
      </c>
      <c r="L105" s="16" t="n">
        <v>87.28</v>
      </c>
      <c r="M105" s="16" t="n">
        <v>8.720000000000001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1</v>
      </c>
      <c r="I106" s="11" t="n">
        <v>0</v>
      </c>
      <c r="J106" s="12" t="n">
        <v>36</v>
      </c>
      <c r="K106" s="12" t="n">
        <v>0</v>
      </c>
      <c r="L106" s="12" t="n">
        <v>32.73</v>
      </c>
      <c r="M106" s="12" t="n">
        <v>3.27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20261101_2115</t>
        </is>
      </c>
      <c r="B107" s="13" t="n">
        <v>46327</v>
      </c>
      <c r="C107" s="14" t="n">
        <v>0.8854166666666666</v>
      </c>
      <c r="D107" s="23" t="inlineStr">
        <is>
          <t>UN Unico</t>
        </is>
      </c>
      <c r="E107" s="23" t="inlineStr">
        <is>
          <t>I8</t>
        </is>
      </c>
      <c r="F107" s="23">
        <f>IFERROR(INDEX(Tariffe!$B$2:$B$200,MATCH(E107,Tariffe!$A$2:$A$200,0)),"DA DEFINIRE")</f>
        <v/>
      </c>
      <c r="G107" s="16" t="n">
        <v>24</v>
      </c>
      <c r="H107" s="15" t="n">
        <v>3</v>
      </c>
      <c r="I107" s="15" t="n">
        <v>0</v>
      </c>
      <c r="J107" s="16" t="n">
        <v>72</v>
      </c>
      <c r="K107" s="16" t="n">
        <v>0</v>
      </c>
      <c r="L107" s="16" t="n">
        <v>65.45999999999999</v>
      </c>
      <c r="M107" s="16" t="n">
        <v>6.54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1</v>
      </c>
      <c r="I109" s="15" t="n">
        <v>0</v>
      </c>
      <c r="J109" s="16" t="n">
        <v>60</v>
      </c>
      <c r="K109" s="16" t="n">
        <v>0</v>
      </c>
      <c r="L109" s="16" t="n">
        <v>54.55</v>
      </c>
      <c r="M109" s="16" t="n">
        <v>5.45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20261101_2215</t>
        </is>
      </c>
      <c r="B110" s="9" t="n">
        <v>46327</v>
      </c>
      <c r="C110" s="10" t="n">
        <v>0.9270833333333334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4</v>
      </c>
      <c r="I110" s="11" t="n">
        <v>0</v>
      </c>
      <c r="J110" s="12" t="n">
        <v>96</v>
      </c>
      <c r="K110" s="12" t="n">
        <v>0</v>
      </c>
      <c r="L110" s="12" t="n">
        <v>87.28</v>
      </c>
      <c r="M110" s="12" t="n">
        <v>8.720000000000001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20261101_2315</t>
        </is>
      </c>
      <c r="B111" s="13" t="n">
        <v>46327</v>
      </c>
      <c r="C111" s="14" t="n">
        <v>0.96875</v>
      </c>
      <c r="D111" s="23" t="inlineStr">
        <is>
          <t>UN Unico</t>
        </is>
      </c>
      <c r="E111" s="23" t="inlineStr">
        <is>
          <t>I2</t>
        </is>
      </c>
      <c r="F111" s="23">
        <f>IFERROR(INDEX(Tariffe!$B$2:$B$200,MATCH(E111,Tariffe!$A$2:$A$200,0)),"DA DEFINIRE")</f>
        <v/>
      </c>
      <c r="G111" s="16" t="n">
        <v>36</v>
      </c>
      <c r="H111" s="15" t="n">
        <v>1</v>
      </c>
      <c r="I111" s="15" t="n">
        <v>0</v>
      </c>
      <c r="J111" s="16" t="n">
        <v>36</v>
      </c>
      <c r="K111" s="16" t="n">
        <v>0</v>
      </c>
      <c r="L111" s="16" t="n">
        <v>32.73</v>
      </c>
      <c r="M111" s="16" t="n">
        <v>3.27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20261101_2315</t>
        </is>
      </c>
      <c r="B112" s="9" t="n">
        <v>46327</v>
      </c>
      <c r="C112" s="10" t="n">
        <v>0.96875</v>
      </c>
      <c r="D112" s="22" t="inlineStr">
        <is>
          <t>UN Unico</t>
        </is>
      </c>
      <c r="E112" s="22" t="inlineStr">
        <is>
          <t>I8</t>
        </is>
      </c>
      <c r="F112" s="22">
        <f>IFERROR(INDEX(Tariffe!$B$2:$B$200,MATCH(E112,Tariffe!$A$2:$A$200,0)),"DA DEFINIRE")</f>
        <v/>
      </c>
      <c r="G112" s="12" t="n">
        <v>24</v>
      </c>
      <c r="H112" s="11" t="n">
        <v>1</v>
      </c>
      <c r="I112" s="11" t="n">
        <v>0</v>
      </c>
      <c r="J112" s="12" t="n">
        <v>24</v>
      </c>
      <c r="K112" s="12" t="n">
        <v>0</v>
      </c>
      <c r="L112" s="12" t="n">
        <v>21.82</v>
      </c>
      <c r="M112" s="12" t="n">
        <v>2.18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20261101_2359</t>
        </is>
      </c>
      <c r="B113" s="13" t="n">
        <v>46327</v>
      </c>
      <c r="C113" s="14" t="n">
        <v>0.9993055555555556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20261101_2359</t>
        </is>
      </c>
      <c r="B114" s="9" t="n">
        <v>46327</v>
      </c>
      <c r="C114" s="10" t="n">
        <v>0.9993055555555556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1</v>
      </c>
      <c r="I114" s="11" t="n">
        <v>0</v>
      </c>
      <c r="J114" s="12" t="n">
        <v>24</v>
      </c>
      <c r="K114" s="12" t="n">
        <v>0</v>
      </c>
      <c r="L114" s="12" t="n">
        <v>21.82</v>
      </c>
      <c r="M114" s="12" t="n">
        <v>2.18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</sheetData>
  <autoFilter ref="A1:P11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</sheetData>
  <autoFilter ref="A1:G53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</sheetData>
  <autoFilter ref="A1:K53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72</v>
      </c>
      <c r="M7" s="11" t="n">
        <v>223</v>
      </c>
      <c r="N7" s="12" t="n">
        <v>2676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24</v>
      </c>
      <c r="H15" s="11" t="n">
        <v>70</v>
      </c>
      <c r="I15" s="12" t="n">
        <v>840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28</v>
      </c>
      <c r="H19" s="11" t="n">
        <v>80</v>
      </c>
      <c r="I19" s="12" t="n">
        <v>960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A21" s="9" t="n">
        <v>46317</v>
      </c>
      <c r="B21" s="11" t="n">
        <v>1</v>
      </c>
      <c r="C21" s="11" t="n">
        <v>2</v>
      </c>
      <c r="D21" s="12" t="n">
        <v>24</v>
      </c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60</v>
      </c>
      <c r="H25" s="11" t="n">
        <v>178</v>
      </c>
      <c r="I25" s="12" t="n">
        <v>2136</v>
      </c>
    </row>
    <row r="26">
      <c r="F26" s="38" t="inlineStr">
        <is>
          <t>22:00-23:00</t>
        </is>
      </c>
      <c r="G26" s="11" t="n">
        <v>74</v>
      </c>
      <c r="H26" s="11" t="n">
        <v>224</v>
      </c>
      <c r="I26" s="12" t="n">
        <v>2688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2026-10-22T03:28:09Z</dcterms:created>
  <dcterms:modified xsi:type="dcterms:W3CDTF">2026-10-22T03:28:09Z</dcterms:modified>
</cp:coreProperties>
</file>