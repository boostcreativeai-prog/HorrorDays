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riffe" sheetId="2" state="visible" r:id="rId2"/>
    <sheet name="Tipologie" sheetId="3" state="visible" r:id="rId3"/>
    <sheet name="Spettacoli" sheetId="4" state="visible" r:id="rId4"/>
    <sheet name="Vendite" sheetId="5" state="visible" r:id="rId5"/>
    <sheet name="Per tariffa" sheetId="6" state="visible" r:id="rId6"/>
    <sheet name="Per serata" sheetId="7" state="visible" r:id="rId7"/>
    <sheet name="Storico" sheetId="8" state="visible" r:id="rId8"/>
    <sheet name="Registro vendite" sheetId="9" state="visible" r:id="rId9"/>
    <sheet name="Picchi vendite" sheetId="10" state="visible" r:id="rId10"/>
  </sheets>
  <definedNames>
    <definedName name="_xlnm._FilterDatabase" localSheetId="1" hidden="1">'Tariffe'!$A$1:$D$5</definedName>
    <definedName name="_xlnm._FilterDatabase" localSheetId="2" hidden="1">'Tipologie'!$A$1:$G$5</definedName>
    <definedName name="_xlnm._FilterDatabase" localSheetId="3" hidden="1">'Spettacoli'!$A$1:$R$36</definedName>
    <definedName name="_xlnm._FilterDatabase" localSheetId="4" hidden="1">'Vendite'!$A$1:$P$76</definedName>
    <definedName name="_xlnm._FilterDatabase" localSheetId="5" hidden="1">'Per tariffa'!$A$1:$G$5</definedName>
    <definedName name="_xlnm._FilterDatabase" localSheetId="6" hidden="1">'Per serata'!$A$1:$S$8</definedName>
    <definedName name="_xlnm._FilterDatabase" localSheetId="7" hidden="1">'Storico'!$A$1:$G$266</definedName>
    <definedName name="_xlnm._FilterDatabase" localSheetId="8" hidden="1">'Registro vendite'!$A$1:$K$191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HH:MM"/>
    <numFmt numFmtId="167" formatCode="#,##0.00 &quot;€&quot;"/>
    <numFmt numFmtId="168" formatCode="0.0%"/>
    <numFmt numFmtId="169" formatCode="yyyy-mm-dd h:mm:ss"/>
    <numFmt numFmtId="170" formatCode="DD/MM/YYYY HH:MM"/>
    <numFmt numFmtId="171" formatCode="+#,##0;-#,##0;0"/>
    <numFmt numFmtId="172" formatCode="+#,##0.00 &quot;€&quot;;-#,##0.00 &quot;€&quot;;0,00 &quot;€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2430"/>
      <sz val="11"/>
    </font>
    <font>
      <name val="Arial"/>
      <b val="1"/>
      <color rgb="001F2430"/>
      <sz val="18"/>
    </font>
    <font>
      <name val="Arial"/>
      <color rgb="006B7280"/>
      <sz val="10"/>
    </font>
    <font>
      <name val="Arial"/>
      <color rgb="006B7280"/>
      <sz val="9"/>
    </font>
    <font>
      <name val="Arial"/>
      <b val="1"/>
      <color rgb="001F2430"/>
      <sz val="16"/>
    </font>
    <font>
      <name val="Arial"/>
      <b val="1"/>
      <color rgb="001F2430"/>
      <sz val="13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2F3F5"/>
      </patternFill>
    </fill>
  </fills>
  <borders count="3">
    <border>
      <left/>
      <right/>
      <top/>
      <bottom/>
      <diagonal/>
    </border>
    <border>
      <bottom style="thin">
        <color rgb="00D9DCE1"/>
      </bottom>
    </border>
    <border>
      <top style="thin">
        <color rgb="001F2430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167" fontId="8" fillId="3" borderId="0" applyAlignment="1" pivotButton="0" quotePrefix="0" xfId="0">
      <alignment horizontal="left"/>
    </xf>
    <xf numFmtId="3" fontId="8" fillId="3" borderId="0" applyAlignment="1" pivotButton="0" quotePrefix="0" xfId="0">
      <alignment horizontal="left"/>
    </xf>
    <xf numFmtId="165" fontId="2" fillId="0" borderId="1" pivotButton="0" quotePrefix="0" xfId="0"/>
    <xf numFmtId="166" fontId="2" fillId="0" borderId="1" pivotButton="0" quotePrefix="0" xfId="0"/>
    <xf numFmtId="3" fontId="2" fillId="0" borderId="1" pivotButton="0" quotePrefix="0" xfId="0"/>
    <xf numFmtId="167" fontId="2" fillId="0" borderId="1" pivotButton="0" quotePrefix="0" xfId="0"/>
    <xf numFmtId="165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67" fontId="2" fillId="3" borderId="1" pivotButton="0" quotePrefix="0" xfId="0"/>
    <xf numFmtId="2" fontId="8" fillId="3" borderId="0" applyAlignment="1" pivotButton="0" quotePrefix="0" xfId="0">
      <alignment horizontal="left"/>
    </xf>
    <xf numFmtId="10" fontId="8" fillId="3" borderId="0" applyAlignment="1" pivotButton="0" quotePrefix="0" xfId="0">
      <alignment horizontal="left"/>
    </xf>
    <xf numFmtId="49" fontId="9" fillId="3" borderId="0" applyAlignment="1" pivotButton="0" quotePrefix="0" xfId="0">
      <alignment horizontal="left"/>
    </xf>
    <xf numFmtId="170" fontId="8" fillId="3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168" fontId="2" fillId="0" borderId="1" pivotButton="0" quotePrefix="0" xfId="0"/>
    <xf numFmtId="168" fontId="2" fillId="3" borderId="1" pivotButton="0" quotePrefix="0" xfId="0"/>
    <xf numFmtId="0" fontId="3" fillId="0" borderId="2" pivotButton="0" quotePrefix="0" xfId="0"/>
    <xf numFmtId="3" fontId="3" fillId="0" borderId="2" pivotButton="0" quotePrefix="0" xfId="0"/>
    <xf numFmtId="167" fontId="3" fillId="0" borderId="2" pivotButton="0" quotePrefix="0" xfId="0"/>
    <xf numFmtId="168" fontId="3" fillId="0" borderId="2" pivotButton="0" quotePrefix="0" xfId="0"/>
    <xf numFmtId="170" fontId="2" fillId="0" borderId="1" pivotButton="0" quotePrefix="0" xfId="0"/>
    <xf numFmtId="171" fontId="2" fillId="0" borderId="1" applyAlignment="1" pivotButton="0" quotePrefix="0" xfId="0">
      <alignment horizontal="right"/>
    </xf>
    <xf numFmtId="172" fontId="2" fillId="0" borderId="1" applyAlignment="1" pivotButton="0" quotePrefix="0" xfId="0">
      <alignment horizontal="right"/>
    </xf>
    <xf numFmtId="170" fontId="2" fillId="3" borderId="1" pivotButton="0" quotePrefix="0" xfId="0"/>
    <xf numFmtId="171" fontId="2" fillId="3" borderId="1" applyAlignment="1" pivotButton="0" quotePrefix="0" xfId="0">
      <alignment horizontal="right"/>
    </xf>
    <xf numFmtId="172" fontId="2" fillId="3" borderId="1" applyAlignment="1" pivotButton="0" quotePrefix="0" xfId="0">
      <alignment horizontal="right"/>
    </xf>
    <xf numFmtId="171" fontId="2" fillId="0" borderId="1" pivotButton="0" quotePrefix="0" xfId="0"/>
    <xf numFmtId="171" fontId="2" fillId="3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dxfs count="1">
    <dxf>
      <font>
        <b val="1"/>
        <color rgb="001E6B3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Auto per serata e tipologia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'Per serata'!P1</f>
            </strRef>
          </tx>
          <spPr>
            <a:solidFill>
              <a:srgbClr val="F5A623"/>
            </a:solidFill>
            <a:ln>
              <a:prstDash val="solid"/>
            </a:ln>
          </spPr>
          <cat>
            <numRef>
              <f>'Per serata'!$T$2:$T$8</f>
            </numRef>
          </cat>
          <val>
            <numRef>
              <f>'Per serata'!$P$2:$P$8</f>
            </numRef>
          </val>
        </ser>
        <ser>
          <idx val="1"/>
          <order val="1"/>
          <tx>
            <strRef>
              <f>'Per serata'!Q1</f>
            </strRef>
          </tx>
          <spPr>
            <a:solidFill>
              <a:srgbClr val="C9C2B8"/>
            </a:solidFill>
            <a:ln>
              <a:prstDash val="solid"/>
            </a:ln>
          </spPr>
          <cat>
            <numRef>
              <f>'Per serata'!$T$2:$T$8</f>
            </numRef>
          </cat>
          <val>
            <numRef>
              <f>'Per serata'!$Q$2:$Q$8</f>
            </numRef>
          </val>
        </ser>
        <ser>
          <idx val="2"/>
          <order val="2"/>
          <tx>
            <strRef>
              <f>'Per serata'!R1</f>
            </strRef>
          </tx>
          <spPr>
            <a:solidFill>
              <a:srgbClr val="D43A31"/>
            </a:solidFill>
            <a:ln>
              <a:prstDash val="solid"/>
            </a:ln>
          </spPr>
          <cat>
            <numRef>
              <f>'Per serata'!$T$2:$T$8</f>
            </numRef>
          </cat>
          <val>
            <numRef>
              <f>'Per serata'!$R$2:$R$8</f>
            </numRef>
          </val>
        </ser>
        <ser>
          <idx val="3"/>
          <order val="3"/>
          <tx>
            <strRef>
              <f>'Per serata'!S1</f>
            </strRef>
          </tx>
          <spPr>
            <a:solidFill>
              <a:srgbClr val="6B0F0B"/>
            </a:solidFill>
            <a:ln>
              <a:prstDash val="solid"/>
            </a:ln>
          </spPr>
          <cat>
            <numRef>
              <f>'Per serata'!$T$2:$T$8</f>
            </numRef>
          </cat>
          <val>
            <numRef>
              <f>'Per serata'!$S$2:$S$8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Auto per tipologia</a:t>
            </a:r>
          </a:p>
        </rich>
      </tx>
    </title>
    <plotArea>
      <pieChart>
        <varyColors val="1"/>
        <ser>
          <idx val="0"/>
          <order val="0"/>
          <tx>
            <strRef>
              <f>'Tipologie'!D1</f>
            </strRef>
          </tx>
          <spPr>
            <a:ln>
              <a:prstDash val="solid"/>
            </a:ln>
          </spPr>
          <cat>
            <numRef>
              <f>'Tipologie'!$A$2:$A$5</f>
            </numRef>
          </cat>
          <val>
            <numRef>
              <f>'Tipologie'!$D$2:$D$5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Andamento vendite (persone cumulate)</a:t>
            </a:r>
          </a:p>
        </rich>
      </tx>
    </title>
    <plotArea>
      <lineChart>
        <grouping val="standard"/>
        <ser>
          <idx val="0"/>
          <order val="0"/>
          <tx>
            <strRef>
              <f>'Storico'!C1</f>
            </strRef>
          </tx>
          <spPr>
            <a:ln>
              <a:solidFill>
                <a:srgbClr val="1F2430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'Storico'!$H$2:$H$266</f>
            </numRef>
          </cat>
          <val>
            <numRef>
              <f>'Storico'!$C$2:$C$266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Auto vendute per giorno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'Picchi vendite'!B3</f>
            </strRef>
          </tx>
          <spPr>
            <a:solidFill>
              <a:srgbClr val="8B1E1E"/>
            </a:solidFill>
            <a:ln>
              <a:prstDash val="solid"/>
            </a:ln>
          </spPr>
          <cat>
            <numRef>
              <f>'Picchi vendite'!$A$4:$A$11</f>
            </numRef>
          </cat>
          <val>
            <numRef>
              <f>'Picchi vendite'!$B$4:$B$11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Auto vendute per fascia oraria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'Picchi vendite'!G3</f>
            </strRef>
          </tx>
          <spPr>
            <a:solidFill>
              <a:srgbClr val="D43A31"/>
            </a:solidFill>
            <a:ln>
              <a:prstDash val="solid"/>
            </a:ln>
          </spPr>
          <cat>
            <numRef>
              <f>'Picchi vendite'!$F$4:$F$27</f>
            </numRef>
          </cat>
          <val>
            <numRef>
              <f>'Picchi vendite'!$G$4:$G$27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2430"/>
    <outlinePr summaryBelow="1" summaryRight="1"/>
    <pageSetUpPr/>
  </sheetPr>
  <dimension ref="B2:O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3" customWidth="1" min="4" max="4"/>
    <col width="22" customWidth="1" min="5" max="5"/>
    <col width="18" customWidth="1" min="6" max="6"/>
    <col width="3" customWidth="1" min="7" max="7"/>
    <col width="22" customWidth="1" min="8" max="8"/>
    <col width="18" customWidth="1" min="9" max="9"/>
    <col width="3" customWidth="1" min="10" max="10"/>
    <col width="12" customWidth="1" min="11" max="11"/>
    <col width="8" customWidth="1" min="12" max="12"/>
    <col width="9" customWidth="1" min="13" max="13"/>
    <col width="10" customWidth="1" min="14" max="14"/>
    <col width="13" customWidth="1" min="15" max="15"/>
  </cols>
  <sheetData>
    <row r="2">
      <c r="B2" s="1" t="inlineStr">
        <is>
          <t>HORROR DAYS · Vendite biglietti</t>
        </is>
      </c>
    </row>
    <row r="3">
      <c r="B3" s="2" t="inlineStr">
        <is>
          <t>Drive In Pozzuoli · MIX MARK S.R.L. · fonte: Riepiloghi mensili C1 (18Tickets) · 1 biglietto = 1 auto</t>
        </is>
      </c>
    </row>
    <row r="4">
      <c r="K4" s="3" t="inlineStr">
        <is>
          <t>Top 5 spettacoli per auto vendute</t>
        </is>
      </c>
    </row>
    <row r="5">
      <c r="B5" s="4" t="inlineStr">
        <is>
          <t>Incasso lordo totale</t>
        </is>
      </c>
      <c r="C5" s="5" t="n"/>
      <c r="E5" s="4" t="inlineStr">
        <is>
          <t>Auto vendute</t>
        </is>
      </c>
      <c r="F5" s="5" t="n"/>
      <c r="H5" s="4" t="inlineStr">
        <is>
          <t>Persone</t>
        </is>
      </c>
      <c r="I5" s="5" t="n"/>
      <c r="K5" s="6" t="inlineStr">
        <is>
          <t>Data</t>
        </is>
      </c>
      <c r="L5" s="6" t="inlineStr">
        <is>
          <t>Ora</t>
        </is>
      </c>
      <c r="M5" s="6" t="inlineStr">
        <is>
          <t>Auto</t>
        </is>
      </c>
      <c r="N5" s="6" t="inlineStr">
        <is>
          <t>Persone</t>
        </is>
      </c>
      <c r="O5" s="6" t="inlineStr">
        <is>
          <t>Incasso</t>
        </is>
      </c>
    </row>
    <row r="6" ht="26" customHeight="1">
      <c r="B6" s="7">
        <f>SUM(Vendite!$J$2:$J$1000)</f>
        <v/>
      </c>
      <c r="C6" s="5" t="n"/>
      <c r="E6" s="8">
        <f>SUM(Vendite!$H$2:$H$1000)</f>
        <v/>
      </c>
      <c r="F6" s="5" t="n"/>
      <c r="H6" s="8">
        <f>SUM(Vendite!$P$2:$P$1000)</f>
        <v/>
      </c>
      <c r="I6" s="5" t="n"/>
      <c r="K6" s="9">
        <f>INDEX(Spettacoli!$B$2:$B$36,MATCH(LARGE(Spettacoli!$R$2:$R$36,1),Spettacoli!$R$2:$R$36,0))</f>
        <v/>
      </c>
      <c r="L6" s="10">
        <f>INDEX(Spettacoli!$D$2:$D$36,MATCH(LARGE(Spettacoli!$R$2:$R$36,1),Spettacoli!$R$2:$R$36,0))</f>
        <v/>
      </c>
      <c r="M6" s="11">
        <f>INDEX(Spettacoli!$F$2:$F$36,MATCH(LARGE(Spettacoli!$R$2:$R$36,1),Spettacoli!$R$2:$R$36,0))</f>
        <v/>
      </c>
      <c r="N6" s="11">
        <f>INDEX(Spettacoli!$G$2:$G$36,MATCH(LARGE(Spettacoli!$R$2:$R$36,1),Spettacoli!$R$2:$R$36,0))</f>
        <v/>
      </c>
      <c r="O6" s="12">
        <f>INDEX(Spettacoli!$M$2:$M$36,MATCH(LARGE(Spettacoli!$R$2:$R$36,1),Spettacoli!$R$2:$R$36,0))</f>
        <v/>
      </c>
    </row>
    <row r="7">
      <c r="K7" s="13">
        <f>INDEX(Spettacoli!$B$2:$B$36,MATCH(LARGE(Spettacoli!$R$2:$R$36,2),Spettacoli!$R$2:$R$36,0))</f>
        <v/>
      </c>
      <c r="L7" s="14">
        <f>INDEX(Spettacoli!$D$2:$D$36,MATCH(LARGE(Spettacoli!$R$2:$R$36,2),Spettacoli!$R$2:$R$36,0))</f>
        <v/>
      </c>
      <c r="M7" s="15">
        <f>INDEX(Spettacoli!$F$2:$F$36,MATCH(LARGE(Spettacoli!$R$2:$R$36,2),Spettacoli!$R$2:$R$36,0))</f>
        <v/>
      </c>
      <c r="N7" s="15">
        <f>INDEX(Spettacoli!$G$2:$G$36,MATCH(LARGE(Spettacoli!$R$2:$R$36,2),Spettacoli!$R$2:$R$36,0))</f>
        <v/>
      </c>
      <c r="O7" s="16">
        <f>INDEX(Spettacoli!$M$2:$M$36,MATCH(LARGE(Spettacoli!$R$2:$R$36,2),Spettacoli!$R$2:$R$36,0))</f>
        <v/>
      </c>
    </row>
    <row r="8">
      <c r="B8" s="4" t="inlineStr">
        <is>
          <t>Persone per auto (media)</t>
        </is>
      </c>
      <c r="C8" s="5" t="n"/>
      <c r="E8" s="4" t="inlineStr">
        <is>
          <t>Occupazione media (auto)</t>
        </is>
      </c>
      <c r="F8" s="5" t="n"/>
      <c r="H8" s="4" t="inlineStr">
        <is>
          <t>Spettacoli con vendite / totali</t>
        </is>
      </c>
      <c r="I8" s="5" t="n"/>
      <c r="K8" s="9">
        <f>INDEX(Spettacoli!$B$2:$B$36,MATCH(LARGE(Spettacoli!$R$2:$R$36,3),Spettacoli!$R$2:$R$36,0))</f>
        <v/>
      </c>
      <c r="L8" s="10">
        <f>INDEX(Spettacoli!$D$2:$D$36,MATCH(LARGE(Spettacoli!$R$2:$R$36,3),Spettacoli!$R$2:$R$36,0))</f>
        <v/>
      </c>
      <c r="M8" s="11">
        <f>INDEX(Spettacoli!$F$2:$F$36,MATCH(LARGE(Spettacoli!$R$2:$R$36,3),Spettacoli!$R$2:$R$36,0))</f>
        <v/>
      </c>
      <c r="N8" s="11">
        <f>INDEX(Spettacoli!$G$2:$G$36,MATCH(LARGE(Spettacoli!$R$2:$R$36,3),Spettacoli!$R$2:$R$36,0))</f>
        <v/>
      </c>
      <c r="O8" s="12">
        <f>INDEX(Spettacoli!$M$2:$M$36,MATCH(LARGE(Spettacoli!$R$2:$R$36,3),Spettacoli!$R$2:$R$36,0))</f>
        <v/>
      </c>
    </row>
    <row r="9" ht="26" customHeight="1">
      <c r="B9" s="17">
        <f>IF(SUM(Vendite!$H$2:$H$1000)&gt;0,SUM(Vendite!$P$2:$P$1000)/SUM(Vendite!$H$2:$H$1000),0)</f>
        <v/>
      </c>
      <c r="C9" s="5" t="n"/>
      <c r="E9" s="18">
        <f>IF(SUM(Spettacoli!E2:E36)&gt;0,SUM(Spettacoli!F2:F36)/SUM(Spettacoli!E2:E36),0)</f>
        <v/>
      </c>
      <c r="F9" s="5" t="n"/>
      <c r="H9" s="19">
        <f>COUNTIF(Spettacoli!$Q$2:$Q$36,"Venduto")&amp;" / "&amp;COUNTA(Spettacoli!A2:A36)</f>
        <v/>
      </c>
      <c r="I9" s="5" t="n"/>
      <c r="K9" s="13">
        <f>INDEX(Spettacoli!$B$2:$B$36,MATCH(LARGE(Spettacoli!$R$2:$R$36,4),Spettacoli!$R$2:$R$36,0))</f>
        <v/>
      </c>
      <c r="L9" s="14">
        <f>INDEX(Spettacoli!$D$2:$D$36,MATCH(LARGE(Spettacoli!$R$2:$R$36,4),Spettacoli!$R$2:$R$36,0))</f>
        <v/>
      </c>
      <c r="M9" s="15">
        <f>INDEX(Spettacoli!$F$2:$F$36,MATCH(LARGE(Spettacoli!$R$2:$R$36,4),Spettacoli!$R$2:$R$36,0))</f>
        <v/>
      </c>
      <c r="N9" s="15">
        <f>INDEX(Spettacoli!$G$2:$G$36,MATCH(LARGE(Spettacoli!$R$2:$R$36,4),Spettacoli!$R$2:$R$36,0))</f>
        <v/>
      </c>
      <c r="O9" s="16">
        <f>INDEX(Spettacoli!$M$2:$M$36,MATCH(LARGE(Spettacoli!$R$2:$R$36,4),Spettacoli!$R$2:$R$36,0))</f>
        <v/>
      </c>
    </row>
    <row r="10">
      <c r="K10" s="9">
        <f>INDEX(Spettacoli!$B$2:$B$36,MATCH(LARGE(Spettacoli!$R$2:$R$36,5),Spettacoli!$R$2:$R$36,0))</f>
        <v/>
      </c>
      <c r="L10" s="10">
        <f>INDEX(Spettacoli!$D$2:$D$36,MATCH(LARGE(Spettacoli!$R$2:$R$36,5),Spettacoli!$R$2:$R$36,0))</f>
        <v/>
      </c>
      <c r="M10" s="11">
        <f>INDEX(Spettacoli!$F$2:$F$36,MATCH(LARGE(Spettacoli!$R$2:$R$36,5),Spettacoli!$R$2:$R$36,0))</f>
        <v/>
      </c>
      <c r="N10" s="11">
        <f>INDEX(Spettacoli!$G$2:$G$36,MATCH(LARGE(Spettacoli!$R$2:$R$36,5),Spettacoli!$R$2:$R$36,0))</f>
        <v/>
      </c>
      <c r="O10" s="12">
        <f>INDEX(Spettacoli!$M$2:$M$36,MATCH(LARGE(Spettacoli!$R$2:$R$36,5),Spettacoli!$R$2:$R$36,0))</f>
        <v/>
      </c>
    </row>
    <row r="11">
      <c r="B11" s="4" t="inlineStr">
        <is>
          <t>Auto per tipologia</t>
        </is>
      </c>
      <c r="C11" s="5" t="n"/>
      <c r="E11" s="4" t="inlineStr">
        <is>
          <t>Prezzo medio per auto</t>
        </is>
      </c>
      <c r="F11" s="5" t="n"/>
      <c r="H11" s="4" t="inlineStr">
        <is>
          <t>Ultimo aggiornamento</t>
        </is>
      </c>
      <c r="I11" s="5" t="n"/>
    </row>
    <row r="12" ht="26" customHeight="1">
      <c r="B12" s="19">
        <f>"Da 2: "&amp;Tipologie!D2&amp;" · "&amp;"Da 3: "&amp;Tipologie!D3&amp;" · "&amp;"Da 4: "&amp;Tipologie!D4&amp;" · "&amp;"Da 5: "&amp;Tipologie!D5</f>
        <v/>
      </c>
      <c r="C12" s="5" t="n"/>
      <c r="E12" s="7">
        <f>IF(SUM(Vendite!$H$2:$H$1000)&gt;0,SUM(Vendite!$J$2:$J$1000)/SUM(Vendite!$H$2:$H$1000),0)</f>
        <v/>
      </c>
      <c r="F12" s="5" t="n"/>
      <c r="H12" s="20">
        <f>MAX(Storico!A2:A266)</f>
        <v/>
      </c>
      <c r="I12" s="5" t="n"/>
    </row>
  </sheetData>
  <mergeCells count="18">
    <mergeCell ref="E9:F9"/>
    <mergeCell ref="E12:F12"/>
    <mergeCell ref="B6:C6"/>
    <mergeCell ref="H11:I11"/>
    <mergeCell ref="E6:F6"/>
    <mergeCell ref="H12:I12"/>
    <mergeCell ref="H6:I6"/>
    <mergeCell ref="B11:C11"/>
    <mergeCell ref="B5:C5"/>
    <mergeCell ref="H9:I9"/>
    <mergeCell ref="E11:F11"/>
    <mergeCell ref="E5:F5"/>
    <mergeCell ref="H5:I5"/>
    <mergeCell ref="H8:I8"/>
    <mergeCell ref="B9:C9"/>
    <mergeCell ref="B8:C8"/>
    <mergeCell ref="E8:F8"/>
    <mergeCell ref="B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8" customWidth="1" min="4" max="4"/>
  </cols>
  <sheetData>
    <row r="1" ht="30" customHeight="1">
      <c r="A1" s="21" t="inlineStr">
        <is>
          <t>Codice titolo</t>
        </is>
      </c>
      <c r="B1" s="21" t="inlineStr">
        <is>
          <t>Descrizione</t>
        </is>
      </c>
      <c r="C1" s="21" t="inlineStr">
        <is>
          <t>Tipologia (Intero/Ridotto/Omaggio)</t>
        </is>
      </c>
      <c r="D1" s="21" t="inlineStr">
        <is>
          <t>Persone per auto</t>
        </is>
      </c>
    </row>
    <row r="2">
      <c r="A2" s="22" t="inlineStr">
        <is>
          <t>I1</t>
        </is>
      </c>
      <c r="B2" s="22" t="inlineStr">
        <is>
          <t>Auto da 4 · 48 €</t>
        </is>
      </c>
      <c r="C2" s="22" t="inlineStr">
        <is>
          <t>Intero</t>
        </is>
      </c>
      <c r="D2" s="22" t="n">
        <v>4</v>
      </c>
    </row>
    <row r="3">
      <c r="A3" s="23" t="inlineStr">
        <is>
          <t>I8</t>
        </is>
      </c>
      <c r="B3" s="23" t="inlineStr">
        <is>
          <t>Auto da 2 · 24 €</t>
        </is>
      </c>
      <c r="C3" s="23" t="inlineStr">
        <is>
          <t>Intero</t>
        </is>
      </c>
      <c r="D3" s="23" t="n">
        <v>2</v>
      </c>
    </row>
    <row r="4">
      <c r="A4" s="22" t="inlineStr">
        <is>
          <t>I2</t>
        </is>
      </c>
      <c r="B4" s="22" t="inlineStr">
        <is>
          <t>Auto da 3 · 36 €</t>
        </is>
      </c>
      <c r="C4" s="22" t="inlineStr">
        <is>
          <t>Intero</t>
        </is>
      </c>
      <c r="D4" s="22" t="n">
        <v>3</v>
      </c>
    </row>
    <row r="5">
      <c r="A5" s="23" t="inlineStr">
        <is>
          <t>I5</t>
        </is>
      </c>
      <c r="B5" s="23" t="inlineStr">
        <is>
          <t>Auto da 5 · 60 €</t>
        </is>
      </c>
      <c r="C5" s="23" t="inlineStr">
        <is>
          <t>Intero</t>
        </is>
      </c>
      <c r="D5" s="23" t="n">
        <v>5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0" customWidth="1" min="4" max="4"/>
    <col width="10" customWidth="1" min="5" max="5"/>
    <col width="13" customWidth="1" min="6" max="6"/>
    <col width="13" customWidth="1" min="7" max="7"/>
  </cols>
  <sheetData>
    <row r="1" ht="30" customHeight="1">
      <c r="A1" s="21" t="inlineStr">
        <is>
          <t>Tipologia</t>
        </is>
      </c>
      <c r="B1" s="21" t="inlineStr">
        <is>
          <t>Prezzo</t>
        </is>
      </c>
      <c r="C1" s="21" t="inlineStr">
        <is>
          <t>Persone per auto</t>
        </is>
      </c>
      <c r="D1" s="21" t="inlineStr">
        <is>
          <t>N° auto</t>
        </is>
      </c>
      <c r="E1" s="21" t="inlineStr">
        <is>
          <t>Persone</t>
        </is>
      </c>
      <c r="F1" s="21" t="inlineStr">
        <is>
          <t>Incasso</t>
        </is>
      </c>
      <c r="G1" s="21" t="inlineStr">
        <is>
          <t>% delle auto</t>
        </is>
      </c>
    </row>
    <row r="2">
      <c r="A2" s="22" t="inlineStr">
        <is>
          <t>Auto da 2 persone</t>
        </is>
      </c>
      <c r="B2" s="12" t="n">
        <v>24</v>
      </c>
      <c r="C2" s="11" t="n">
        <v>2</v>
      </c>
      <c r="D2" s="11">
        <f>SUMIF(Vendite!$O$2:$O$1000,C2,Vendite!$H$2:$H$1000)</f>
        <v/>
      </c>
      <c r="E2" s="11">
        <f>SUMIF(Vendite!$O$2:$O$1000,C2,Vendite!$P$2:$P$1000)</f>
        <v/>
      </c>
      <c r="F2" s="12">
        <f>SUMIF(Vendite!$O$2:$O$1000,C2,Vendite!$J$2:$J$1000)</f>
        <v/>
      </c>
      <c r="G2" s="24">
        <f>IF(SUM($D$2:$D$5)&gt;0,D2/SUM($D$2:$D$5),0)</f>
        <v/>
      </c>
    </row>
    <row r="3">
      <c r="A3" s="23" t="inlineStr">
        <is>
          <t>Auto da 3 persone</t>
        </is>
      </c>
      <c r="B3" s="16" t="n">
        <v>36</v>
      </c>
      <c r="C3" s="15" t="n">
        <v>3</v>
      </c>
      <c r="D3" s="15">
        <f>SUMIF(Vendite!$O$2:$O$1000,C3,Vendite!$H$2:$H$1000)</f>
        <v/>
      </c>
      <c r="E3" s="15">
        <f>SUMIF(Vendite!$O$2:$O$1000,C3,Vendite!$P$2:$P$1000)</f>
        <v/>
      </c>
      <c r="F3" s="16">
        <f>SUMIF(Vendite!$O$2:$O$1000,C3,Vendite!$J$2:$J$1000)</f>
        <v/>
      </c>
      <c r="G3" s="25">
        <f>IF(SUM($D$2:$D$5)&gt;0,D3/SUM($D$2:$D$5),0)</f>
        <v/>
      </c>
    </row>
    <row r="4">
      <c r="A4" s="22" t="inlineStr">
        <is>
          <t>Auto da 4 persone</t>
        </is>
      </c>
      <c r="B4" s="12" t="n">
        <v>48</v>
      </c>
      <c r="C4" s="11" t="n">
        <v>4</v>
      </c>
      <c r="D4" s="11">
        <f>SUMIF(Vendite!$O$2:$O$1000,C4,Vendite!$H$2:$H$1000)</f>
        <v/>
      </c>
      <c r="E4" s="11">
        <f>SUMIF(Vendite!$O$2:$O$1000,C4,Vendite!$P$2:$P$1000)</f>
        <v/>
      </c>
      <c r="F4" s="12">
        <f>SUMIF(Vendite!$O$2:$O$1000,C4,Vendite!$J$2:$J$1000)</f>
        <v/>
      </c>
      <c r="G4" s="24">
        <f>IF(SUM($D$2:$D$5)&gt;0,D4/SUM($D$2:$D$5),0)</f>
        <v/>
      </c>
    </row>
    <row r="5">
      <c r="A5" s="23" t="inlineStr">
        <is>
          <t>Auto da 5 persone</t>
        </is>
      </c>
      <c r="B5" s="16" t="n">
        <v>60</v>
      </c>
      <c r="C5" s="15" t="n">
        <v>5</v>
      </c>
      <c r="D5" s="15">
        <f>SUMIF(Vendite!$O$2:$O$1000,C5,Vendite!$H$2:$H$1000)</f>
        <v/>
      </c>
      <c r="E5" s="15">
        <f>SUMIF(Vendite!$O$2:$O$1000,C5,Vendite!$P$2:$P$1000)</f>
        <v/>
      </c>
      <c r="F5" s="16">
        <f>SUMIF(Vendite!$O$2:$O$1000,C5,Vendite!$J$2:$J$1000)</f>
        <v/>
      </c>
      <c r="G5" s="25">
        <f>IF(SUM($D$2:$D$5)&gt;0,D5/SUM($D$2:$D$5),0)</f>
        <v/>
      </c>
    </row>
    <row r="6">
      <c r="A6" s="26" t="inlineStr">
        <is>
          <t>Totale</t>
        </is>
      </c>
      <c r="B6" s="26" t="n"/>
      <c r="C6" s="26" t="n"/>
      <c r="D6" s="27">
        <f>SUM(D2:D5)</f>
        <v/>
      </c>
      <c r="E6" s="27">
        <f>SUM(E2:E5)</f>
        <v/>
      </c>
      <c r="F6" s="28">
        <f>SUM(F2:F5)</f>
        <v/>
      </c>
      <c r="G6" s="29">
        <f>SUM(G2:G5)</f>
        <v/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11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11" customWidth="1" min="15" max="15"/>
    <col width="13" customWidth="1" min="16" max="16"/>
    <col width="14" customWidth="1" min="17" max="17"/>
    <col hidden="1" width="10" customWidth="1" min="18" max="18"/>
  </cols>
  <sheetData>
    <row r="1" ht="30" customHeight="1">
      <c r="A1" s="21" t="inlineStr">
        <is>
          <t>ID</t>
        </is>
      </c>
      <c r="B1" s="21" t="inlineStr">
        <is>
          <t>Data</t>
        </is>
      </c>
      <c r="C1" s="21" t="inlineStr">
        <is>
          <t>Giorno settimana</t>
        </is>
      </c>
      <c r="D1" s="21" t="inlineStr">
        <is>
          <t>Ora</t>
        </is>
      </c>
      <c r="E1" s="21" t="inlineStr">
        <is>
          <t>Capienza (auto)</t>
        </is>
      </c>
      <c r="F1" s="21" t="inlineStr">
        <is>
          <t>Auto</t>
        </is>
      </c>
      <c r="G1" s="21" t="inlineStr">
        <is>
          <t>Persone</t>
        </is>
      </c>
      <c r="H1" s="21" t="inlineStr">
        <is>
          <t>Auto da 2</t>
        </is>
      </c>
      <c r="I1" s="21" t="inlineStr">
        <is>
          <t>Auto da 3</t>
        </is>
      </c>
      <c r="J1" s="21" t="inlineStr">
        <is>
          <t>Auto da 4</t>
        </is>
      </c>
      <c r="K1" s="21" t="inlineStr">
        <is>
          <t>Auto da 5</t>
        </is>
      </c>
      <c r="L1" s="21" t="inlineStr">
        <is>
          <t>Annullati</t>
        </is>
      </c>
      <c r="M1" s="21" t="inlineStr">
        <is>
          <t>Incasso lordo</t>
        </is>
      </c>
      <c r="N1" s="21" t="inlineStr">
        <is>
          <t>Imponibile IVA</t>
        </is>
      </c>
      <c r="O1" s="21" t="inlineStr">
        <is>
          <t>IVA</t>
        </is>
      </c>
      <c r="P1" s="21" t="inlineStr">
        <is>
          <t>Occupazione % (auto)</t>
        </is>
      </c>
      <c r="Q1" s="21" t="inlineStr">
        <is>
          <t>Stato</t>
        </is>
      </c>
      <c r="R1" s="21" t="inlineStr">
        <is>
          <t>Chiave ordinamento</t>
        </is>
      </c>
    </row>
    <row r="2">
      <c r="A2" s="22" t="inlineStr">
        <is>
          <t>20261023_2015</t>
        </is>
      </c>
      <c r="B2" s="9" t="n">
        <v>46318</v>
      </c>
      <c r="C2" s="22">
        <f>CHOOSE(WEEKDAY(B2,2),"Lunedì","Martedì","Mercoledì","Giovedì","Venerdì","Sabato","Domenica")</f>
        <v/>
      </c>
      <c r="D2" s="10" t="n">
        <v>0.84375</v>
      </c>
      <c r="E2" s="11" t="n">
        <v>80</v>
      </c>
      <c r="F2" s="11">
        <f>SUMIF(Vendite!$A$2:$A$1000,A2,Vendite!$H$2:$H$1000)</f>
        <v/>
      </c>
      <c r="G2" s="11">
        <f>SUMIF(Vendite!$A$2:$A$1000,A2,Vendite!$P$2:$P$1000)</f>
        <v/>
      </c>
      <c r="H2" s="11">
        <f>SUMIFS(Vendite!$H$2:$H$1000,Vendite!$A$2:$A$1000,A2,Vendite!$O$2:$O$1000,2)</f>
        <v/>
      </c>
      <c r="I2" s="11">
        <f>SUMIFS(Vendite!$H$2:$H$1000,Vendite!$A$2:$A$1000,A2,Vendite!$O$2:$O$1000,3)</f>
        <v/>
      </c>
      <c r="J2" s="11">
        <f>SUMIFS(Vendite!$H$2:$H$1000,Vendite!$A$2:$A$1000,A2,Vendite!$O$2:$O$1000,4)</f>
        <v/>
      </c>
      <c r="K2" s="11">
        <f>SUMIFS(Vendite!$H$2:$H$1000,Vendite!$A$2:$A$1000,A2,Vendite!$O$2:$O$1000,5)</f>
        <v/>
      </c>
      <c r="L2" s="11">
        <f>SUMIF(Vendite!$A$2:$A$1000,A2,Vendite!$I$2:$I$1000)</f>
        <v/>
      </c>
      <c r="M2" s="12">
        <f>SUMIF(Vendite!$A$2:$A$1000,A2,Vendite!$J$2:$J$1000)</f>
        <v/>
      </c>
      <c r="N2" s="12">
        <f>SUMIF(Vendite!$A$2:$A$1000,A2,Vendite!$L$2:$L$1000)</f>
        <v/>
      </c>
      <c r="O2" s="12">
        <f>SUMIF(Vendite!$A$2:$A$1000,A2,Vendite!$M$2:$M$1000)</f>
        <v/>
      </c>
      <c r="P2" s="24">
        <f>IF(E2&gt;0,F2/E2,0)</f>
        <v/>
      </c>
      <c r="Q2" s="22">
        <f>IF(F2&gt;0,"Venduto","Zero vendite")</f>
        <v/>
      </c>
      <c r="R2" s="22">
        <f>F2+M2/100000+(1000-ROW())/100000000</f>
        <v/>
      </c>
    </row>
    <row r="3">
      <c r="A3" s="23" t="inlineStr">
        <is>
          <t>20261023_2115</t>
        </is>
      </c>
      <c r="B3" s="13" t="n">
        <v>46318</v>
      </c>
      <c r="C3" s="23">
        <f>CHOOSE(WEEKDAY(B3,2),"Lunedì","Martedì","Mercoledì","Giovedì","Venerdì","Sabato","Domenica")</f>
        <v/>
      </c>
      <c r="D3" s="14" t="n">
        <v>0.8854166666666666</v>
      </c>
      <c r="E3" s="15" t="n">
        <v>80</v>
      </c>
      <c r="F3" s="15">
        <f>SUMIF(Vendite!$A$2:$A$1000,A3,Vendite!$H$2:$H$1000)</f>
        <v/>
      </c>
      <c r="G3" s="15">
        <f>SUMIF(Vendite!$A$2:$A$1000,A3,Vendite!$P$2:$P$1000)</f>
        <v/>
      </c>
      <c r="H3" s="15">
        <f>SUMIFS(Vendite!$H$2:$H$1000,Vendite!$A$2:$A$1000,A3,Vendite!$O$2:$O$1000,2)</f>
        <v/>
      </c>
      <c r="I3" s="15">
        <f>SUMIFS(Vendite!$H$2:$H$1000,Vendite!$A$2:$A$1000,A3,Vendite!$O$2:$O$1000,3)</f>
        <v/>
      </c>
      <c r="J3" s="15">
        <f>SUMIFS(Vendite!$H$2:$H$1000,Vendite!$A$2:$A$1000,A3,Vendite!$O$2:$O$1000,4)</f>
        <v/>
      </c>
      <c r="K3" s="15">
        <f>SUMIFS(Vendite!$H$2:$H$1000,Vendite!$A$2:$A$1000,A3,Vendite!$O$2:$O$1000,5)</f>
        <v/>
      </c>
      <c r="L3" s="15">
        <f>SUMIF(Vendite!$A$2:$A$1000,A3,Vendite!$I$2:$I$1000)</f>
        <v/>
      </c>
      <c r="M3" s="16">
        <f>SUMIF(Vendite!$A$2:$A$1000,A3,Vendite!$J$2:$J$1000)</f>
        <v/>
      </c>
      <c r="N3" s="16">
        <f>SUMIF(Vendite!$A$2:$A$1000,A3,Vendite!$L$2:$L$1000)</f>
        <v/>
      </c>
      <c r="O3" s="16">
        <f>SUMIF(Vendite!$A$2:$A$1000,A3,Vendite!$M$2:$M$1000)</f>
        <v/>
      </c>
      <c r="P3" s="25">
        <f>IF(E3&gt;0,F3/E3,0)</f>
        <v/>
      </c>
      <c r="Q3" s="23">
        <f>IF(F3&gt;0,"Venduto","Zero vendite")</f>
        <v/>
      </c>
      <c r="R3" s="23">
        <f>F3+M3/100000+(1000-ROW())/100000000</f>
        <v/>
      </c>
    </row>
    <row r="4">
      <c r="A4" s="22" t="inlineStr">
        <is>
          <t>20261023_2215</t>
        </is>
      </c>
      <c r="B4" s="9" t="n">
        <v>46318</v>
      </c>
      <c r="C4" s="22">
        <f>CHOOSE(WEEKDAY(B4,2),"Lunedì","Martedì","Mercoledì","Giovedì","Venerdì","Sabato","Domenica")</f>
        <v/>
      </c>
      <c r="D4" s="10" t="n">
        <v>0.9270833333333334</v>
      </c>
      <c r="E4" s="11" t="n">
        <v>80</v>
      </c>
      <c r="F4" s="11">
        <f>SUMIF(Vendite!$A$2:$A$1000,A4,Vendite!$H$2:$H$1000)</f>
        <v/>
      </c>
      <c r="G4" s="11">
        <f>SUMIF(Vendite!$A$2:$A$1000,A4,Vendite!$P$2:$P$1000)</f>
        <v/>
      </c>
      <c r="H4" s="11">
        <f>SUMIFS(Vendite!$H$2:$H$1000,Vendite!$A$2:$A$1000,A4,Vendite!$O$2:$O$1000,2)</f>
        <v/>
      </c>
      <c r="I4" s="11">
        <f>SUMIFS(Vendite!$H$2:$H$1000,Vendite!$A$2:$A$1000,A4,Vendite!$O$2:$O$1000,3)</f>
        <v/>
      </c>
      <c r="J4" s="11">
        <f>SUMIFS(Vendite!$H$2:$H$1000,Vendite!$A$2:$A$1000,A4,Vendite!$O$2:$O$1000,4)</f>
        <v/>
      </c>
      <c r="K4" s="11">
        <f>SUMIFS(Vendite!$H$2:$H$1000,Vendite!$A$2:$A$1000,A4,Vendite!$O$2:$O$1000,5)</f>
        <v/>
      </c>
      <c r="L4" s="11">
        <f>SUMIF(Vendite!$A$2:$A$1000,A4,Vendite!$I$2:$I$1000)</f>
        <v/>
      </c>
      <c r="M4" s="12">
        <f>SUMIF(Vendite!$A$2:$A$1000,A4,Vendite!$J$2:$J$1000)</f>
        <v/>
      </c>
      <c r="N4" s="12">
        <f>SUMIF(Vendite!$A$2:$A$1000,A4,Vendite!$L$2:$L$1000)</f>
        <v/>
      </c>
      <c r="O4" s="12">
        <f>SUMIF(Vendite!$A$2:$A$1000,A4,Vendite!$M$2:$M$1000)</f>
        <v/>
      </c>
      <c r="P4" s="24">
        <f>IF(E4&gt;0,F4/E4,0)</f>
        <v/>
      </c>
      <c r="Q4" s="22">
        <f>IF(F4&gt;0,"Venduto","Zero vendite")</f>
        <v/>
      </c>
      <c r="R4" s="22">
        <f>F4+M4/100000+(1000-ROW())/100000000</f>
        <v/>
      </c>
    </row>
    <row r="5">
      <c r="A5" s="23" t="inlineStr">
        <is>
          <t>20261023_2315</t>
        </is>
      </c>
      <c r="B5" s="13" t="n">
        <v>46318</v>
      </c>
      <c r="C5" s="23">
        <f>CHOOSE(WEEKDAY(B5,2),"Lunedì","Martedì","Mercoledì","Giovedì","Venerdì","Sabato","Domenica")</f>
        <v/>
      </c>
      <c r="D5" s="14" t="n">
        <v>0.96875</v>
      </c>
      <c r="E5" s="15" t="n">
        <v>80</v>
      </c>
      <c r="F5" s="15">
        <f>SUMIF(Vendite!$A$2:$A$1000,A5,Vendite!$H$2:$H$1000)</f>
        <v/>
      </c>
      <c r="G5" s="15">
        <f>SUMIF(Vendite!$A$2:$A$1000,A5,Vendite!$P$2:$P$1000)</f>
        <v/>
      </c>
      <c r="H5" s="15">
        <f>SUMIFS(Vendite!$H$2:$H$1000,Vendite!$A$2:$A$1000,A5,Vendite!$O$2:$O$1000,2)</f>
        <v/>
      </c>
      <c r="I5" s="15">
        <f>SUMIFS(Vendite!$H$2:$H$1000,Vendite!$A$2:$A$1000,A5,Vendite!$O$2:$O$1000,3)</f>
        <v/>
      </c>
      <c r="J5" s="15">
        <f>SUMIFS(Vendite!$H$2:$H$1000,Vendite!$A$2:$A$1000,A5,Vendite!$O$2:$O$1000,4)</f>
        <v/>
      </c>
      <c r="K5" s="15">
        <f>SUMIFS(Vendite!$H$2:$H$1000,Vendite!$A$2:$A$1000,A5,Vendite!$O$2:$O$1000,5)</f>
        <v/>
      </c>
      <c r="L5" s="15">
        <f>SUMIF(Vendite!$A$2:$A$1000,A5,Vendite!$I$2:$I$1000)</f>
        <v/>
      </c>
      <c r="M5" s="16">
        <f>SUMIF(Vendite!$A$2:$A$1000,A5,Vendite!$J$2:$J$1000)</f>
        <v/>
      </c>
      <c r="N5" s="16">
        <f>SUMIF(Vendite!$A$2:$A$1000,A5,Vendite!$L$2:$L$1000)</f>
        <v/>
      </c>
      <c r="O5" s="16">
        <f>SUMIF(Vendite!$A$2:$A$1000,A5,Vendite!$M$2:$M$1000)</f>
        <v/>
      </c>
      <c r="P5" s="25">
        <f>IF(E5&gt;0,F5/E5,0)</f>
        <v/>
      </c>
      <c r="Q5" s="23">
        <f>IF(F5&gt;0,"Venduto","Zero vendite")</f>
        <v/>
      </c>
      <c r="R5" s="23">
        <f>F5+M5/100000+(1000-ROW())/100000000</f>
        <v/>
      </c>
    </row>
    <row r="6">
      <c r="A6" s="22" t="inlineStr">
        <is>
          <t>20261023_2358</t>
        </is>
      </c>
      <c r="B6" s="9" t="n">
        <v>46318</v>
      </c>
      <c r="C6" s="22">
        <f>CHOOSE(WEEKDAY(B6,2),"Lunedì","Martedì","Mercoledì","Giovedì","Venerdì","Sabato","Domenica")</f>
        <v/>
      </c>
      <c r="D6" s="10" t="n">
        <v>0.9986111111111111</v>
      </c>
      <c r="E6" s="11" t="n">
        <v>80</v>
      </c>
      <c r="F6" s="11">
        <f>SUMIF(Vendite!$A$2:$A$1000,A6,Vendite!$H$2:$H$1000)</f>
        <v/>
      </c>
      <c r="G6" s="11">
        <f>SUMIF(Vendite!$A$2:$A$1000,A6,Vendite!$P$2:$P$1000)</f>
        <v/>
      </c>
      <c r="H6" s="11">
        <f>SUMIFS(Vendite!$H$2:$H$1000,Vendite!$A$2:$A$1000,A6,Vendite!$O$2:$O$1000,2)</f>
        <v/>
      </c>
      <c r="I6" s="11">
        <f>SUMIFS(Vendite!$H$2:$H$1000,Vendite!$A$2:$A$1000,A6,Vendite!$O$2:$O$1000,3)</f>
        <v/>
      </c>
      <c r="J6" s="11">
        <f>SUMIFS(Vendite!$H$2:$H$1000,Vendite!$A$2:$A$1000,A6,Vendite!$O$2:$O$1000,4)</f>
        <v/>
      </c>
      <c r="K6" s="11">
        <f>SUMIFS(Vendite!$H$2:$H$1000,Vendite!$A$2:$A$1000,A6,Vendite!$O$2:$O$1000,5)</f>
        <v/>
      </c>
      <c r="L6" s="11">
        <f>SUMIF(Vendite!$A$2:$A$1000,A6,Vendite!$I$2:$I$1000)</f>
        <v/>
      </c>
      <c r="M6" s="12">
        <f>SUMIF(Vendite!$A$2:$A$1000,A6,Vendite!$J$2:$J$1000)</f>
        <v/>
      </c>
      <c r="N6" s="12">
        <f>SUMIF(Vendite!$A$2:$A$1000,A6,Vendite!$L$2:$L$1000)</f>
        <v/>
      </c>
      <c r="O6" s="12">
        <f>SUMIF(Vendite!$A$2:$A$1000,A6,Vendite!$M$2:$M$1000)</f>
        <v/>
      </c>
      <c r="P6" s="24">
        <f>IF(E6&gt;0,F6/E6,0)</f>
        <v/>
      </c>
      <c r="Q6" s="22">
        <f>IF(F6&gt;0,"Venduto","Zero vendite")</f>
        <v/>
      </c>
      <c r="R6" s="22">
        <f>F6+M6/100000+(1000-ROW())/100000000</f>
        <v/>
      </c>
    </row>
    <row r="7">
      <c r="A7" s="23" t="inlineStr">
        <is>
          <t>20261024_2015</t>
        </is>
      </c>
      <c r="B7" s="13" t="n">
        <v>46319</v>
      </c>
      <c r="C7" s="23">
        <f>CHOOSE(WEEKDAY(B7,2),"Lunedì","Martedì","Mercoledì","Giovedì","Venerdì","Sabato","Domenica")</f>
        <v/>
      </c>
      <c r="D7" s="14" t="n">
        <v>0.84375</v>
      </c>
      <c r="E7" s="15" t="n">
        <v>80</v>
      </c>
      <c r="F7" s="15">
        <f>SUMIF(Vendite!$A$2:$A$1000,A7,Vendite!$H$2:$H$1000)</f>
        <v/>
      </c>
      <c r="G7" s="15">
        <f>SUMIF(Vendite!$A$2:$A$1000,A7,Vendite!$P$2:$P$1000)</f>
        <v/>
      </c>
      <c r="H7" s="15">
        <f>SUMIFS(Vendite!$H$2:$H$1000,Vendite!$A$2:$A$1000,A7,Vendite!$O$2:$O$1000,2)</f>
        <v/>
      </c>
      <c r="I7" s="15">
        <f>SUMIFS(Vendite!$H$2:$H$1000,Vendite!$A$2:$A$1000,A7,Vendite!$O$2:$O$1000,3)</f>
        <v/>
      </c>
      <c r="J7" s="15">
        <f>SUMIFS(Vendite!$H$2:$H$1000,Vendite!$A$2:$A$1000,A7,Vendite!$O$2:$O$1000,4)</f>
        <v/>
      </c>
      <c r="K7" s="15">
        <f>SUMIFS(Vendite!$H$2:$H$1000,Vendite!$A$2:$A$1000,A7,Vendite!$O$2:$O$1000,5)</f>
        <v/>
      </c>
      <c r="L7" s="15">
        <f>SUMIF(Vendite!$A$2:$A$1000,A7,Vendite!$I$2:$I$1000)</f>
        <v/>
      </c>
      <c r="M7" s="16">
        <f>SUMIF(Vendite!$A$2:$A$1000,A7,Vendite!$J$2:$J$1000)</f>
        <v/>
      </c>
      <c r="N7" s="16">
        <f>SUMIF(Vendite!$A$2:$A$1000,A7,Vendite!$L$2:$L$1000)</f>
        <v/>
      </c>
      <c r="O7" s="16">
        <f>SUMIF(Vendite!$A$2:$A$1000,A7,Vendite!$M$2:$M$1000)</f>
        <v/>
      </c>
      <c r="P7" s="25">
        <f>IF(E7&gt;0,F7/E7,0)</f>
        <v/>
      </c>
      <c r="Q7" s="23">
        <f>IF(F7&gt;0,"Venduto","Zero vendite")</f>
        <v/>
      </c>
      <c r="R7" s="23">
        <f>F7+M7/100000+(1000-ROW())/100000000</f>
        <v/>
      </c>
    </row>
    <row r="8">
      <c r="A8" s="22" t="inlineStr">
        <is>
          <t>20261024_2115</t>
        </is>
      </c>
      <c r="B8" s="9" t="n">
        <v>46319</v>
      </c>
      <c r="C8" s="22">
        <f>CHOOSE(WEEKDAY(B8,2),"Lunedì","Martedì","Mercoledì","Giovedì","Venerdì","Sabato","Domenica")</f>
        <v/>
      </c>
      <c r="D8" s="10" t="n">
        <v>0.8854166666666666</v>
      </c>
      <c r="E8" s="11" t="n">
        <v>80</v>
      </c>
      <c r="F8" s="11">
        <f>SUMIF(Vendite!$A$2:$A$1000,A8,Vendite!$H$2:$H$1000)</f>
        <v/>
      </c>
      <c r="G8" s="11">
        <f>SUMIF(Vendite!$A$2:$A$1000,A8,Vendite!$P$2:$P$1000)</f>
        <v/>
      </c>
      <c r="H8" s="11">
        <f>SUMIFS(Vendite!$H$2:$H$1000,Vendite!$A$2:$A$1000,A8,Vendite!$O$2:$O$1000,2)</f>
        <v/>
      </c>
      <c r="I8" s="11">
        <f>SUMIFS(Vendite!$H$2:$H$1000,Vendite!$A$2:$A$1000,A8,Vendite!$O$2:$O$1000,3)</f>
        <v/>
      </c>
      <c r="J8" s="11">
        <f>SUMIFS(Vendite!$H$2:$H$1000,Vendite!$A$2:$A$1000,A8,Vendite!$O$2:$O$1000,4)</f>
        <v/>
      </c>
      <c r="K8" s="11">
        <f>SUMIFS(Vendite!$H$2:$H$1000,Vendite!$A$2:$A$1000,A8,Vendite!$O$2:$O$1000,5)</f>
        <v/>
      </c>
      <c r="L8" s="11">
        <f>SUMIF(Vendite!$A$2:$A$1000,A8,Vendite!$I$2:$I$1000)</f>
        <v/>
      </c>
      <c r="M8" s="12">
        <f>SUMIF(Vendite!$A$2:$A$1000,A8,Vendite!$J$2:$J$1000)</f>
        <v/>
      </c>
      <c r="N8" s="12">
        <f>SUMIF(Vendite!$A$2:$A$1000,A8,Vendite!$L$2:$L$1000)</f>
        <v/>
      </c>
      <c r="O8" s="12">
        <f>SUMIF(Vendite!$A$2:$A$1000,A8,Vendite!$M$2:$M$1000)</f>
        <v/>
      </c>
      <c r="P8" s="24">
        <f>IF(E8&gt;0,F8/E8,0)</f>
        <v/>
      </c>
      <c r="Q8" s="22">
        <f>IF(F8&gt;0,"Venduto","Zero vendite")</f>
        <v/>
      </c>
      <c r="R8" s="22">
        <f>F8+M8/100000+(1000-ROW())/100000000</f>
        <v/>
      </c>
    </row>
    <row r="9">
      <c r="A9" s="23" t="inlineStr">
        <is>
          <t>20261024_2215</t>
        </is>
      </c>
      <c r="B9" s="13" t="n">
        <v>46319</v>
      </c>
      <c r="C9" s="23">
        <f>CHOOSE(WEEKDAY(B9,2),"Lunedì","Martedì","Mercoledì","Giovedì","Venerdì","Sabato","Domenica")</f>
        <v/>
      </c>
      <c r="D9" s="14" t="n">
        <v>0.9270833333333334</v>
      </c>
      <c r="E9" s="15" t="n">
        <v>80</v>
      </c>
      <c r="F9" s="15">
        <f>SUMIF(Vendite!$A$2:$A$1000,A9,Vendite!$H$2:$H$1000)</f>
        <v/>
      </c>
      <c r="G9" s="15">
        <f>SUMIF(Vendite!$A$2:$A$1000,A9,Vendite!$P$2:$P$1000)</f>
        <v/>
      </c>
      <c r="H9" s="15">
        <f>SUMIFS(Vendite!$H$2:$H$1000,Vendite!$A$2:$A$1000,A9,Vendite!$O$2:$O$1000,2)</f>
        <v/>
      </c>
      <c r="I9" s="15">
        <f>SUMIFS(Vendite!$H$2:$H$1000,Vendite!$A$2:$A$1000,A9,Vendite!$O$2:$O$1000,3)</f>
        <v/>
      </c>
      <c r="J9" s="15">
        <f>SUMIFS(Vendite!$H$2:$H$1000,Vendite!$A$2:$A$1000,A9,Vendite!$O$2:$O$1000,4)</f>
        <v/>
      </c>
      <c r="K9" s="15">
        <f>SUMIFS(Vendite!$H$2:$H$1000,Vendite!$A$2:$A$1000,A9,Vendite!$O$2:$O$1000,5)</f>
        <v/>
      </c>
      <c r="L9" s="15">
        <f>SUMIF(Vendite!$A$2:$A$1000,A9,Vendite!$I$2:$I$1000)</f>
        <v/>
      </c>
      <c r="M9" s="16">
        <f>SUMIF(Vendite!$A$2:$A$1000,A9,Vendite!$J$2:$J$1000)</f>
        <v/>
      </c>
      <c r="N9" s="16">
        <f>SUMIF(Vendite!$A$2:$A$1000,A9,Vendite!$L$2:$L$1000)</f>
        <v/>
      </c>
      <c r="O9" s="16">
        <f>SUMIF(Vendite!$A$2:$A$1000,A9,Vendite!$M$2:$M$1000)</f>
        <v/>
      </c>
      <c r="P9" s="25">
        <f>IF(E9&gt;0,F9/E9,0)</f>
        <v/>
      </c>
      <c r="Q9" s="23">
        <f>IF(F9&gt;0,"Venduto","Zero vendite")</f>
        <v/>
      </c>
      <c r="R9" s="23">
        <f>F9+M9/100000+(1000-ROW())/100000000</f>
        <v/>
      </c>
    </row>
    <row r="10">
      <c r="A10" s="22" t="inlineStr">
        <is>
          <t>20261024_2315</t>
        </is>
      </c>
      <c r="B10" s="9" t="n">
        <v>46319</v>
      </c>
      <c r="C10" s="22">
        <f>CHOOSE(WEEKDAY(B10,2),"Lunedì","Martedì","Mercoledì","Giovedì","Venerdì","Sabato","Domenica")</f>
        <v/>
      </c>
      <c r="D10" s="10" t="n">
        <v>0.96875</v>
      </c>
      <c r="E10" s="11" t="n">
        <v>80</v>
      </c>
      <c r="F10" s="11">
        <f>SUMIF(Vendite!$A$2:$A$1000,A10,Vendite!$H$2:$H$1000)</f>
        <v/>
      </c>
      <c r="G10" s="11">
        <f>SUMIF(Vendite!$A$2:$A$1000,A10,Vendite!$P$2:$P$1000)</f>
        <v/>
      </c>
      <c r="H10" s="11">
        <f>SUMIFS(Vendite!$H$2:$H$1000,Vendite!$A$2:$A$1000,A10,Vendite!$O$2:$O$1000,2)</f>
        <v/>
      </c>
      <c r="I10" s="11">
        <f>SUMIFS(Vendite!$H$2:$H$1000,Vendite!$A$2:$A$1000,A10,Vendite!$O$2:$O$1000,3)</f>
        <v/>
      </c>
      <c r="J10" s="11">
        <f>SUMIFS(Vendite!$H$2:$H$1000,Vendite!$A$2:$A$1000,A10,Vendite!$O$2:$O$1000,4)</f>
        <v/>
      </c>
      <c r="K10" s="11">
        <f>SUMIFS(Vendite!$H$2:$H$1000,Vendite!$A$2:$A$1000,A10,Vendite!$O$2:$O$1000,5)</f>
        <v/>
      </c>
      <c r="L10" s="11">
        <f>SUMIF(Vendite!$A$2:$A$1000,A10,Vendite!$I$2:$I$1000)</f>
        <v/>
      </c>
      <c r="M10" s="12">
        <f>SUMIF(Vendite!$A$2:$A$1000,A10,Vendite!$J$2:$J$1000)</f>
        <v/>
      </c>
      <c r="N10" s="12">
        <f>SUMIF(Vendite!$A$2:$A$1000,A10,Vendite!$L$2:$L$1000)</f>
        <v/>
      </c>
      <c r="O10" s="12">
        <f>SUMIF(Vendite!$A$2:$A$1000,A10,Vendite!$M$2:$M$1000)</f>
        <v/>
      </c>
      <c r="P10" s="24">
        <f>IF(E10&gt;0,F10/E10,0)</f>
        <v/>
      </c>
      <c r="Q10" s="22">
        <f>IF(F10&gt;0,"Venduto","Zero vendite")</f>
        <v/>
      </c>
      <c r="R10" s="22">
        <f>F10+M10/100000+(1000-ROW())/100000000</f>
        <v/>
      </c>
    </row>
    <row r="11">
      <c r="A11" s="23" t="inlineStr">
        <is>
          <t>20261024_2359</t>
        </is>
      </c>
      <c r="B11" s="13" t="n">
        <v>46319</v>
      </c>
      <c r="C11" s="23">
        <f>CHOOSE(WEEKDAY(B11,2),"Lunedì","Martedì","Mercoledì","Giovedì","Venerdì","Sabato","Domenica")</f>
        <v/>
      </c>
      <c r="D11" s="14" t="n">
        <v>0.9993055555555556</v>
      </c>
      <c r="E11" s="15" t="n">
        <v>80</v>
      </c>
      <c r="F11" s="15">
        <f>SUMIF(Vendite!$A$2:$A$1000,A11,Vendite!$H$2:$H$1000)</f>
        <v/>
      </c>
      <c r="G11" s="15">
        <f>SUMIF(Vendite!$A$2:$A$1000,A11,Vendite!$P$2:$P$1000)</f>
        <v/>
      </c>
      <c r="H11" s="15">
        <f>SUMIFS(Vendite!$H$2:$H$1000,Vendite!$A$2:$A$1000,A11,Vendite!$O$2:$O$1000,2)</f>
        <v/>
      </c>
      <c r="I11" s="15">
        <f>SUMIFS(Vendite!$H$2:$H$1000,Vendite!$A$2:$A$1000,A11,Vendite!$O$2:$O$1000,3)</f>
        <v/>
      </c>
      <c r="J11" s="15">
        <f>SUMIFS(Vendite!$H$2:$H$1000,Vendite!$A$2:$A$1000,A11,Vendite!$O$2:$O$1000,4)</f>
        <v/>
      </c>
      <c r="K11" s="15">
        <f>SUMIFS(Vendite!$H$2:$H$1000,Vendite!$A$2:$A$1000,A11,Vendite!$O$2:$O$1000,5)</f>
        <v/>
      </c>
      <c r="L11" s="15">
        <f>SUMIF(Vendite!$A$2:$A$1000,A11,Vendite!$I$2:$I$1000)</f>
        <v/>
      </c>
      <c r="M11" s="16">
        <f>SUMIF(Vendite!$A$2:$A$1000,A11,Vendite!$J$2:$J$1000)</f>
        <v/>
      </c>
      <c r="N11" s="16">
        <f>SUMIF(Vendite!$A$2:$A$1000,A11,Vendite!$L$2:$L$1000)</f>
        <v/>
      </c>
      <c r="O11" s="16">
        <f>SUMIF(Vendite!$A$2:$A$1000,A11,Vendite!$M$2:$M$1000)</f>
        <v/>
      </c>
      <c r="P11" s="25">
        <f>IF(E11&gt;0,F11/E11,0)</f>
        <v/>
      </c>
      <c r="Q11" s="23">
        <f>IF(F11&gt;0,"Venduto","Zero vendite")</f>
        <v/>
      </c>
      <c r="R11" s="23">
        <f>F11+M11/100000+(1000-ROW())/100000000</f>
        <v/>
      </c>
    </row>
    <row r="12">
      <c r="A12" s="22" t="inlineStr">
        <is>
          <t>20261025_2015</t>
        </is>
      </c>
      <c r="B12" s="9" t="n">
        <v>46320</v>
      </c>
      <c r="C12" s="22">
        <f>CHOOSE(WEEKDAY(B12,2),"Lunedì","Martedì","Mercoledì","Giovedì","Venerdì","Sabato","Domenica")</f>
        <v/>
      </c>
      <c r="D12" s="10" t="n">
        <v>0.84375</v>
      </c>
      <c r="E12" s="11" t="n">
        <v>80</v>
      </c>
      <c r="F12" s="11">
        <f>SUMIF(Vendite!$A$2:$A$1000,A12,Vendite!$H$2:$H$1000)</f>
        <v/>
      </c>
      <c r="G12" s="11">
        <f>SUMIF(Vendite!$A$2:$A$1000,A12,Vendite!$P$2:$P$1000)</f>
        <v/>
      </c>
      <c r="H12" s="11">
        <f>SUMIFS(Vendite!$H$2:$H$1000,Vendite!$A$2:$A$1000,A12,Vendite!$O$2:$O$1000,2)</f>
        <v/>
      </c>
      <c r="I12" s="11">
        <f>SUMIFS(Vendite!$H$2:$H$1000,Vendite!$A$2:$A$1000,A12,Vendite!$O$2:$O$1000,3)</f>
        <v/>
      </c>
      <c r="J12" s="11">
        <f>SUMIFS(Vendite!$H$2:$H$1000,Vendite!$A$2:$A$1000,A12,Vendite!$O$2:$O$1000,4)</f>
        <v/>
      </c>
      <c r="K12" s="11">
        <f>SUMIFS(Vendite!$H$2:$H$1000,Vendite!$A$2:$A$1000,A12,Vendite!$O$2:$O$1000,5)</f>
        <v/>
      </c>
      <c r="L12" s="11">
        <f>SUMIF(Vendite!$A$2:$A$1000,A12,Vendite!$I$2:$I$1000)</f>
        <v/>
      </c>
      <c r="M12" s="12">
        <f>SUMIF(Vendite!$A$2:$A$1000,A12,Vendite!$J$2:$J$1000)</f>
        <v/>
      </c>
      <c r="N12" s="12">
        <f>SUMIF(Vendite!$A$2:$A$1000,A12,Vendite!$L$2:$L$1000)</f>
        <v/>
      </c>
      <c r="O12" s="12">
        <f>SUMIF(Vendite!$A$2:$A$1000,A12,Vendite!$M$2:$M$1000)</f>
        <v/>
      </c>
      <c r="P12" s="24">
        <f>IF(E12&gt;0,F12/E12,0)</f>
        <v/>
      </c>
      <c r="Q12" s="22">
        <f>IF(F12&gt;0,"Venduto","Zero vendite")</f>
        <v/>
      </c>
      <c r="R12" s="22">
        <f>F12+M12/100000+(1000-ROW())/100000000</f>
        <v/>
      </c>
    </row>
    <row r="13">
      <c r="A13" s="23" t="inlineStr">
        <is>
          <t>20261025_2115</t>
        </is>
      </c>
      <c r="B13" s="13" t="n">
        <v>46320</v>
      </c>
      <c r="C13" s="23">
        <f>CHOOSE(WEEKDAY(B13,2),"Lunedì","Martedì","Mercoledì","Giovedì","Venerdì","Sabato","Domenica")</f>
        <v/>
      </c>
      <c r="D13" s="14" t="n">
        <v>0.8854166666666666</v>
      </c>
      <c r="E13" s="15" t="n">
        <v>80</v>
      </c>
      <c r="F13" s="15">
        <f>SUMIF(Vendite!$A$2:$A$1000,A13,Vendite!$H$2:$H$1000)</f>
        <v/>
      </c>
      <c r="G13" s="15">
        <f>SUMIF(Vendite!$A$2:$A$1000,A13,Vendite!$P$2:$P$1000)</f>
        <v/>
      </c>
      <c r="H13" s="15">
        <f>SUMIFS(Vendite!$H$2:$H$1000,Vendite!$A$2:$A$1000,A13,Vendite!$O$2:$O$1000,2)</f>
        <v/>
      </c>
      <c r="I13" s="15">
        <f>SUMIFS(Vendite!$H$2:$H$1000,Vendite!$A$2:$A$1000,A13,Vendite!$O$2:$O$1000,3)</f>
        <v/>
      </c>
      <c r="J13" s="15">
        <f>SUMIFS(Vendite!$H$2:$H$1000,Vendite!$A$2:$A$1000,A13,Vendite!$O$2:$O$1000,4)</f>
        <v/>
      </c>
      <c r="K13" s="15">
        <f>SUMIFS(Vendite!$H$2:$H$1000,Vendite!$A$2:$A$1000,A13,Vendite!$O$2:$O$1000,5)</f>
        <v/>
      </c>
      <c r="L13" s="15">
        <f>SUMIF(Vendite!$A$2:$A$1000,A13,Vendite!$I$2:$I$1000)</f>
        <v/>
      </c>
      <c r="M13" s="16">
        <f>SUMIF(Vendite!$A$2:$A$1000,A13,Vendite!$J$2:$J$1000)</f>
        <v/>
      </c>
      <c r="N13" s="16">
        <f>SUMIF(Vendite!$A$2:$A$1000,A13,Vendite!$L$2:$L$1000)</f>
        <v/>
      </c>
      <c r="O13" s="16">
        <f>SUMIF(Vendite!$A$2:$A$1000,A13,Vendite!$M$2:$M$1000)</f>
        <v/>
      </c>
      <c r="P13" s="25">
        <f>IF(E13&gt;0,F13/E13,0)</f>
        <v/>
      </c>
      <c r="Q13" s="23">
        <f>IF(F13&gt;0,"Venduto","Zero vendite")</f>
        <v/>
      </c>
      <c r="R13" s="23">
        <f>F13+M13/100000+(1000-ROW())/100000000</f>
        <v/>
      </c>
    </row>
    <row r="14">
      <c r="A14" s="22" t="inlineStr">
        <is>
          <t>20261025_2215</t>
        </is>
      </c>
      <c r="B14" s="9" t="n">
        <v>46320</v>
      </c>
      <c r="C14" s="22">
        <f>CHOOSE(WEEKDAY(B14,2),"Lunedì","Martedì","Mercoledì","Giovedì","Venerdì","Sabato","Domenica")</f>
        <v/>
      </c>
      <c r="D14" s="10" t="n">
        <v>0.9270833333333334</v>
      </c>
      <c r="E14" s="11" t="n">
        <v>80</v>
      </c>
      <c r="F14" s="11">
        <f>SUMIF(Vendite!$A$2:$A$1000,A14,Vendite!$H$2:$H$1000)</f>
        <v/>
      </c>
      <c r="G14" s="11">
        <f>SUMIF(Vendite!$A$2:$A$1000,A14,Vendite!$P$2:$P$1000)</f>
        <v/>
      </c>
      <c r="H14" s="11">
        <f>SUMIFS(Vendite!$H$2:$H$1000,Vendite!$A$2:$A$1000,A14,Vendite!$O$2:$O$1000,2)</f>
        <v/>
      </c>
      <c r="I14" s="11">
        <f>SUMIFS(Vendite!$H$2:$H$1000,Vendite!$A$2:$A$1000,A14,Vendite!$O$2:$O$1000,3)</f>
        <v/>
      </c>
      <c r="J14" s="11">
        <f>SUMIFS(Vendite!$H$2:$H$1000,Vendite!$A$2:$A$1000,A14,Vendite!$O$2:$O$1000,4)</f>
        <v/>
      </c>
      <c r="K14" s="11">
        <f>SUMIFS(Vendite!$H$2:$H$1000,Vendite!$A$2:$A$1000,A14,Vendite!$O$2:$O$1000,5)</f>
        <v/>
      </c>
      <c r="L14" s="11">
        <f>SUMIF(Vendite!$A$2:$A$1000,A14,Vendite!$I$2:$I$1000)</f>
        <v/>
      </c>
      <c r="M14" s="12">
        <f>SUMIF(Vendite!$A$2:$A$1000,A14,Vendite!$J$2:$J$1000)</f>
        <v/>
      </c>
      <c r="N14" s="12">
        <f>SUMIF(Vendite!$A$2:$A$1000,A14,Vendite!$L$2:$L$1000)</f>
        <v/>
      </c>
      <c r="O14" s="12">
        <f>SUMIF(Vendite!$A$2:$A$1000,A14,Vendite!$M$2:$M$1000)</f>
        <v/>
      </c>
      <c r="P14" s="24">
        <f>IF(E14&gt;0,F14/E14,0)</f>
        <v/>
      </c>
      <c r="Q14" s="22">
        <f>IF(F14&gt;0,"Venduto","Zero vendite")</f>
        <v/>
      </c>
      <c r="R14" s="22">
        <f>F14+M14/100000+(1000-ROW())/100000000</f>
        <v/>
      </c>
    </row>
    <row r="15">
      <c r="A15" s="23" t="inlineStr">
        <is>
          <t>20261025_2315</t>
        </is>
      </c>
      <c r="B15" s="13" t="n">
        <v>46320</v>
      </c>
      <c r="C15" s="23">
        <f>CHOOSE(WEEKDAY(B15,2),"Lunedì","Martedì","Mercoledì","Giovedì","Venerdì","Sabato","Domenica")</f>
        <v/>
      </c>
      <c r="D15" s="14" t="n">
        <v>0.96875</v>
      </c>
      <c r="E15" s="15" t="n">
        <v>80</v>
      </c>
      <c r="F15" s="15">
        <f>SUMIF(Vendite!$A$2:$A$1000,A15,Vendite!$H$2:$H$1000)</f>
        <v/>
      </c>
      <c r="G15" s="15">
        <f>SUMIF(Vendite!$A$2:$A$1000,A15,Vendite!$P$2:$P$1000)</f>
        <v/>
      </c>
      <c r="H15" s="15">
        <f>SUMIFS(Vendite!$H$2:$H$1000,Vendite!$A$2:$A$1000,A15,Vendite!$O$2:$O$1000,2)</f>
        <v/>
      </c>
      <c r="I15" s="15">
        <f>SUMIFS(Vendite!$H$2:$H$1000,Vendite!$A$2:$A$1000,A15,Vendite!$O$2:$O$1000,3)</f>
        <v/>
      </c>
      <c r="J15" s="15">
        <f>SUMIFS(Vendite!$H$2:$H$1000,Vendite!$A$2:$A$1000,A15,Vendite!$O$2:$O$1000,4)</f>
        <v/>
      </c>
      <c r="K15" s="15">
        <f>SUMIFS(Vendite!$H$2:$H$1000,Vendite!$A$2:$A$1000,A15,Vendite!$O$2:$O$1000,5)</f>
        <v/>
      </c>
      <c r="L15" s="15">
        <f>SUMIF(Vendite!$A$2:$A$1000,A15,Vendite!$I$2:$I$1000)</f>
        <v/>
      </c>
      <c r="M15" s="16">
        <f>SUMIF(Vendite!$A$2:$A$1000,A15,Vendite!$J$2:$J$1000)</f>
        <v/>
      </c>
      <c r="N15" s="16">
        <f>SUMIF(Vendite!$A$2:$A$1000,A15,Vendite!$L$2:$L$1000)</f>
        <v/>
      </c>
      <c r="O15" s="16">
        <f>SUMIF(Vendite!$A$2:$A$1000,A15,Vendite!$M$2:$M$1000)</f>
        <v/>
      </c>
      <c r="P15" s="25">
        <f>IF(E15&gt;0,F15/E15,0)</f>
        <v/>
      </c>
      <c r="Q15" s="23">
        <f>IF(F15&gt;0,"Venduto","Zero vendite")</f>
        <v/>
      </c>
      <c r="R15" s="23">
        <f>F15+M15/100000+(1000-ROW())/100000000</f>
        <v/>
      </c>
    </row>
    <row r="16">
      <c r="A16" s="22" t="inlineStr">
        <is>
          <t>20261025_2359</t>
        </is>
      </c>
      <c r="B16" s="9" t="n">
        <v>46320</v>
      </c>
      <c r="C16" s="22">
        <f>CHOOSE(WEEKDAY(B16,2),"Lunedì","Martedì","Mercoledì","Giovedì","Venerdì","Sabato","Domenica")</f>
        <v/>
      </c>
      <c r="D16" s="10" t="n">
        <v>0.9993055555555556</v>
      </c>
      <c r="E16" s="11" t="n">
        <v>80</v>
      </c>
      <c r="F16" s="11">
        <f>SUMIF(Vendite!$A$2:$A$1000,A16,Vendite!$H$2:$H$1000)</f>
        <v/>
      </c>
      <c r="G16" s="11">
        <f>SUMIF(Vendite!$A$2:$A$1000,A16,Vendite!$P$2:$P$1000)</f>
        <v/>
      </c>
      <c r="H16" s="11">
        <f>SUMIFS(Vendite!$H$2:$H$1000,Vendite!$A$2:$A$1000,A16,Vendite!$O$2:$O$1000,2)</f>
        <v/>
      </c>
      <c r="I16" s="11">
        <f>SUMIFS(Vendite!$H$2:$H$1000,Vendite!$A$2:$A$1000,A16,Vendite!$O$2:$O$1000,3)</f>
        <v/>
      </c>
      <c r="J16" s="11">
        <f>SUMIFS(Vendite!$H$2:$H$1000,Vendite!$A$2:$A$1000,A16,Vendite!$O$2:$O$1000,4)</f>
        <v/>
      </c>
      <c r="K16" s="11">
        <f>SUMIFS(Vendite!$H$2:$H$1000,Vendite!$A$2:$A$1000,A16,Vendite!$O$2:$O$1000,5)</f>
        <v/>
      </c>
      <c r="L16" s="11">
        <f>SUMIF(Vendite!$A$2:$A$1000,A16,Vendite!$I$2:$I$1000)</f>
        <v/>
      </c>
      <c r="M16" s="12">
        <f>SUMIF(Vendite!$A$2:$A$1000,A16,Vendite!$J$2:$J$1000)</f>
        <v/>
      </c>
      <c r="N16" s="12">
        <f>SUMIF(Vendite!$A$2:$A$1000,A16,Vendite!$L$2:$L$1000)</f>
        <v/>
      </c>
      <c r="O16" s="12">
        <f>SUMIF(Vendite!$A$2:$A$1000,A16,Vendite!$M$2:$M$1000)</f>
        <v/>
      </c>
      <c r="P16" s="24">
        <f>IF(E16&gt;0,F16/E16,0)</f>
        <v/>
      </c>
      <c r="Q16" s="22">
        <f>IF(F16&gt;0,"Venduto","Zero vendite")</f>
        <v/>
      </c>
      <c r="R16" s="22">
        <f>F16+M16/100000+(1000-ROW())/100000000</f>
        <v/>
      </c>
    </row>
    <row r="17">
      <c r="A17" s="23" t="inlineStr">
        <is>
          <t>20261029_2015</t>
        </is>
      </c>
      <c r="B17" s="13" t="n">
        <v>46324</v>
      </c>
      <c r="C17" s="23">
        <f>CHOOSE(WEEKDAY(B17,2),"Lunedì","Martedì","Mercoledì","Giovedì","Venerdì","Sabato","Domenica")</f>
        <v/>
      </c>
      <c r="D17" s="14" t="n">
        <v>0.84375</v>
      </c>
      <c r="E17" s="15" t="n">
        <v>80</v>
      </c>
      <c r="F17" s="15">
        <f>SUMIF(Vendite!$A$2:$A$1000,A17,Vendite!$H$2:$H$1000)</f>
        <v/>
      </c>
      <c r="G17" s="15">
        <f>SUMIF(Vendite!$A$2:$A$1000,A17,Vendite!$P$2:$P$1000)</f>
        <v/>
      </c>
      <c r="H17" s="15">
        <f>SUMIFS(Vendite!$H$2:$H$1000,Vendite!$A$2:$A$1000,A17,Vendite!$O$2:$O$1000,2)</f>
        <v/>
      </c>
      <c r="I17" s="15">
        <f>SUMIFS(Vendite!$H$2:$H$1000,Vendite!$A$2:$A$1000,A17,Vendite!$O$2:$O$1000,3)</f>
        <v/>
      </c>
      <c r="J17" s="15">
        <f>SUMIFS(Vendite!$H$2:$H$1000,Vendite!$A$2:$A$1000,A17,Vendite!$O$2:$O$1000,4)</f>
        <v/>
      </c>
      <c r="K17" s="15">
        <f>SUMIFS(Vendite!$H$2:$H$1000,Vendite!$A$2:$A$1000,A17,Vendite!$O$2:$O$1000,5)</f>
        <v/>
      </c>
      <c r="L17" s="15">
        <f>SUMIF(Vendite!$A$2:$A$1000,A17,Vendite!$I$2:$I$1000)</f>
        <v/>
      </c>
      <c r="M17" s="16">
        <f>SUMIF(Vendite!$A$2:$A$1000,A17,Vendite!$J$2:$J$1000)</f>
        <v/>
      </c>
      <c r="N17" s="16">
        <f>SUMIF(Vendite!$A$2:$A$1000,A17,Vendite!$L$2:$L$1000)</f>
        <v/>
      </c>
      <c r="O17" s="16">
        <f>SUMIF(Vendite!$A$2:$A$1000,A17,Vendite!$M$2:$M$1000)</f>
        <v/>
      </c>
      <c r="P17" s="25">
        <f>IF(E17&gt;0,F17/E17,0)</f>
        <v/>
      </c>
      <c r="Q17" s="23">
        <f>IF(F17&gt;0,"Venduto","Zero vendite")</f>
        <v/>
      </c>
      <c r="R17" s="23">
        <f>F17+M17/100000+(1000-ROW())/100000000</f>
        <v/>
      </c>
    </row>
    <row r="18">
      <c r="A18" s="22" t="inlineStr">
        <is>
          <t>20261029_2115</t>
        </is>
      </c>
      <c r="B18" s="9" t="n">
        <v>46324</v>
      </c>
      <c r="C18" s="22">
        <f>CHOOSE(WEEKDAY(B18,2),"Lunedì","Martedì","Mercoledì","Giovedì","Venerdì","Sabato","Domenica")</f>
        <v/>
      </c>
      <c r="D18" s="10" t="n">
        <v>0.8854166666666666</v>
      </c>
      <c r="E18" s="11" t="n">
        <v>80</v>
      </c>
      <c r="F18" s="11">
        <f>SUMIF(Vendite!$A$2:$A$1000,A18,Vendite!$H$2:$H$1000)</f>
        <v/>
      </c>
      <c r="G18" s="11">
        <f>SUMIF(Vendite!$A$2:$A$1000,A18,Vendite!$P$2:$P$1000)</f>
        <v/>
      </c>
      <c r="H18" s="11">
        <f>SUMIFS(Vendite!$H$2:$H$1000,Vendite!$A$2:$A$1000,A18,Vendite!$O$2:$O$1000,2)</f>
        <v/>
      </c>
      <c r="I18" s="11">
        <f>SUMIFS(Vendite!$H$2:$H$1000,Vendite!$A$2:$A$1000,A18,Vendite!$O$2:$O$1000,3)</f>
        <v/>
      </c>
      <c r="J18" s="11">
        <f>SUMIFS(Vendite!$H$2:$H$1000,Vendite!$A$2:$A$1000,A18,Vendite!$O$2:$O$1000,4)</f>
        <v/>
      </c>
      <c r="K18" s="11">
        <f>SUMIFS(Vendite!$H$2:$H$1000,Vendite!$A$2:$A$1000,A18,Vendite!$O$2:$O$1000,5)</f>
        <v/>
      </c>
      <c r="L18" s="11">
        <f>SUMIF(Vendite!$A$2:$A$1000,A18,Vendite!$I$2:$I$1000)</f>
        <v/>
      </c>
      <c r="M18" s="12">
        <f>SUMIF(Vendite!$A$2:$A$1000,A18,Vendite!$J$2:$J$1000)</f>
        <v/>
      </c>
      <c r="N18" s="12">
        <f>SUMIF(Vendite!$A$2:$A$1000,A18,Vendite!$L$2:$L$1000)</f>
        <v/>
      </c>
      <c r="O18" s="12">
        <f>SUMIF(Vendite!$A$2:$A$1000,A18,Vendite!$M$2:$M$1000)</f>
        <v/>
      </c>
      <c r="P18" s="24">
        <f>IF(E18&gt;0,F18/E18,0)</f>
        <v/>
      </c>
      <c r="Q18" s="22">
        <f>IF(F18&gt;0,"Venduto","Zero vendite")</f>
        <v/>
      </c>
      <c r="R18" s="22">
        <f>F18+M18/100000+(1000-ROW())/100000000</f>
        <v/>
      </c>
    </row>
    <row r="19">
      <c r="A19" s="23" t="inlineStr">
        <is>
          <t>20261029_2215</t>
        </is>
      </c>
      <c r="B19" s="13" t="n">
        <v>46324</v>
      </c>
      <c r="C19" s="23">
        <f>CHOOSE(WEEKDAY(B19,2),"Lunedì","Martedì","Mercoledì","Giovedì","Venerdì","Sabato","Domenica")</f>
        <v/>
      </c>
      <c r="D19" s="14" t="n">
        <v>0.9270833333333334</v>
      </c>
      <c r="E19" s="15" t="n">
        <v>80</v>
      </c>
      <c r="F19" s="15">
        <f>SUMIF(Vendite!$A$2:$A$1000,A19,Vendite!$H$2:$H$1000)</f>
        <v/>
      </c>
      <c r="G19" s="15">
        <f>SUMIF(Vendite!$A$2:$A$1000,A19,Vendite!$P$2:$P$1000)</f>
        <v/>
      </c>
      <c r="H19" s="15">
        <f>SUMIFS(Vendite!$H$2:$H$1000,Vendite!$A$2:$A$1000,A19,Vendite!$O$2:$O$1000,2)</f>
        <v/>
      </c>
      <c r="I19" s="15">
        <f>SUMIFS(Vendite!$H$2:$H$1000,Vendite!$A$2:$A$1000,A19,Vendite!$O$2:$O$1000,3)</f>
        <v/>
      </c>
      <c r="J19" s="15">
        <f>SUMIFS(Vendite!$H$2:$H$1000,Vendite!$A$2:$A$1000,A19,Vendite!$O$2:$O$1000,4)</f>
        <v/>
      </c>
      <c r="K19" s="15">
        <f>SUMIFS(Vendite!$H$2:$H$1000,Vendite!$A$2:$A$1000,A19,Vendite!$O$2:$O$1000,5)</f>
        <v/>
      </c>
      <c r="L19" s="15">
        <f>SUMIF(Vendite!$A$2:$A$1000,A19,Vendite!$I$2:$I$1000)</f>
        <v/>
      </c>
      <c r="M19" s="16">
        <f>SUMIF(Vendite!$A$2:$A$1000,A19,Vendite!$J$2:$J$1000)</f>
        <v/>
      </c>
      <c r="N19" s="16">
        <f>SUMIF(Vendite!$A$2:$A$1000,A19,Vendite!$L$2:$L$1000)</f>
        <v/>
      </c>
      <c r="O19" s="16">
        <f>SUMIF(Vendite!$A$2:$A$1000,A19,Vendite!$M$2:$M$1000)</f>
        <v/>
      </c>
      <c r="P19" s="25">
        <f>IF(E19&gt;0,F19/E19,0)</f>
        <v/>
      </c>
      <c r="Q19" s="23">
        <f>IF(F19&gt;0,"Venduto","Zero vendite")</f>
        <v/>
      </c>
      <c r="R19" s="23">
        <f>F19+M19/100000+(1000-ROW())/100000000</f>
        <v/>
      </c>
    </row>
    <row r="20">
      <c r="A20" s="22" t="inlineStr">
        <is>
          <t>20261029_2315</t>
        </is>
      </c>
      <c r="B20" s="9" t="n">
        <v>46324</v>
      </c>
      <c r="C20" s="22">
        <f>CHOOSE(WEEKDAY(B20,2),"Lunedì","Martedì","Mercoledì","Giovedì","Venerdì","Sabato","Domenica")</f>
        <v/>
      </c>
      <c r="D20" s="10" t="n">
        <v>0.96875</v>
      </c>
      <c r="E20" s="11" t="n">
        <v>80</v>
      </c>
      <c r="F20" s="11">
        <f>SUMIF(Vendite!$A$2:$A$1000,A20,Vendite!$H$2:$H$1000)</f>
        <v/>
      </c>
      <c r="G20" s="11">
        <f>SUMIF(Vendite!$A$2:$A$1000,A20,Vendite!$P$2:$P$1000)</f>
        <v/>
      </c>
      <c r="H20" s="11">
        <f>SUMIFS(Vendite!$H$2:$H$1000,Vendite!$A$2:$A$1000,A20,Vendite!$O$2:$O$1000,2)</f>
        <v/>
      </c>
      <c r="I20" s="11">
        <f>SUMIFS(Vendite!$H$2:$H$1000,Vendite!$A$2:$A$1000,A20,Vendite!$O$2:$O$1000,3)</f>
        <v/>
      </c>
      <c r="J20" s="11">
        <f>SUMIFS(Vendite!$H$2:$H$1000,Vendite!$A$2:$A$1000,A20,Vendite!$O$2:$O$1000,4)</f>
        <v/>
      </c>
      <c r="K20" s="11">
        <f>SUMIFS(Vendite!$H$2:$H$1000,Vendite!$A$2:$A$1000,A20,Vendite!$O$2:$O$1000,5)</f>
        <v/>
      </c>
      <c r="L20" s="11">
        <f>SUMIF(Vendite!$A$2:$A$1000,A20,Vendite!$I$2:$I$1000)</f>
        <v/>
      </c>
      <c r="M20" s="12">
        <f>SUMIF(Vendite!$A$2:$A$1000,A20,Vendite!$J$2:$J$1000)</f>
        <v/>
      </c>
      <c r="N20" s="12">
        <f>SUMIF(Vendite!$A$2:$A$1000,A20,Vendite!$L$2:$L$1000)</f>
        <v/>
      </c>
      <c r="O20" s="12">
        <f>SUMIF(Vendite!$A$2:$A$1000,A20,Vendite!$M$2:$M$1000)</f>
        <v/>
      </c>
      <c r="P20" s="24">
        <f>IF(E20&gt;0,F20/E20,0)</f>
        <v/>
      </c>
      <c r="Q20" s="22">
        <f>IF(F20&gt;0,"Venduto","Zero vendite")</f>
        <v/>
      </c>
      <c r="R20" s="22">
        <f>F20+M20/100000+(1000-ROW())/100000000</f>
        <v/>
      </c>
    </row>
    <row r="21">
      <c r="A21" s="23" t="inlineStr">
        <is>
          <t>20261029_2359</t>
        </is>
      </c>
      <c r="B21" s="13" t="n">
        <v>46324</v>
      </c>
      <c r="C21" s="23">
        <f>CHOOSE(WEEKDAY(B21,2),"Lunedì","Martedì","Mercoledì","Giovedì","Venerdì","Sabato","Domenica")</f>
        <v/>
      </c>
      <c r="D21" s="14" t="n">
        <v>0.9993055555555556</v>
      </c>
      <c r="E21" s="15" t="n">
        <v>80</v>
      </c>
      <c r="F21" s="15">
        <f>SUMIF(Vendite!$A$2:$A$1000,A21,Vendite!$H$2:$H$1000)</f>
        <v/>
      </c>
      <c r="G21" s="15">
        <f>SUMIF(Vendite!$A$2:$A$1000,A21,Vendite!$P$2:$P$1000)</f>
        <v/>
      </c>
      <c r="H21" s="15">
        <f>SUMIFS(Vendite!$H$2:$H$1000,Vendite!$A$2:$A$1000,A21,Vendite!$O$2:$O$1000,2)</f>
        <v/>
      </c>
      <c r="I21" s="15">
        <f>SUMIFS(Vendite!$H$2:$H$1000,Vendite!$A$2:$A$1000,A21,Vendite!$O$2:$O$1000,3)</f>
        <v/>
      </c>
      <c r="J21" s="15">
        <f>SUMIFS(Vendite!$H$2:$H$1000,Vendite!$A$2:$A$1000,A21,Vendite!$O$2:$O$1000,4)</f>
        <v/>
      </c>
      <c r="K21" s="15">
        <f>SUMIFS(Vendite!$H$2:$H$1000,Vendite!$A$2:$A$1000,A21,Vendite!$O$2:$O$1000,5)</f>
        <v/>
      </c>
      <c r="L21" s="15">
        <f>SUMIF(Vendite!$A$2:$A$1000,A21,Vendite!$I$2:$I$1000)</f>
        <v/>
      </c>
      <c r="M21" s="16">
        <f>SUMIF(Vendite!$A$2:$A$1000,A21,Vendite!$J$2:$J$1000)</f>
        <v/>
      </c>
      <c r="N21" s="16">
        <f>SUMIF(Vendite!$A$2:$A$1000,A21,Vendite!$L$2:$L$1000)</f>
        <v/>
      </c>
      <c r="O21" s="16">
        <f>SUMIF(Vendite!$A$2:$A$1000,A21,Vendite!$M$2:$M$1000)</f>
        <v/>
      </c>
      <c r="P21" s="25">
        <f>IF(E21&gt;0,F21/E21,0)</f>
        <v/>
      </c>
      <c r="Q21" s="23">
        <f>IF(F21&gt;0,"Venduto","Zero vendite")</f>
        <v/>
      </c>
      <c r="R21" s="23">
        <f>F21+M21/100000+(1000-ROW())/100000000</f>
        <v/>
      </c>
    </row>
    <row r="22">
      <c r="A22" s="22" t="inlineStr">
        <is>
          <t>20261030_2015</t>
        </is>
      </c>
      <c r="B22" s="9" t="n">
        <v>46325</v>
      </c>
      <c r="C22" s="22">
        <f>CHOOSE(WEEKDAY(B22,2),"Lunedì","Martedì","Mercoledì","Giovedì","Venerdì","Sabato","Domenica")</f>
        <v/>
      </c>
      <c r="D22" s="10" t="n">
        <v>0.84375</v>
      </c>
      <c r="E22" s="11" t="n">
        <v>80</v>
      </c>
      <c r="F22" s="11">
        <f>SUMIF(Vendite!$A$2:$A$1000,A22,Vendite!$H$2:$H$1000)</f>
        <v/>
      </c>
      <c r="G22" s="11">
        <f>SUMIF(Vendite!$A$2:$A$1000,A22,Vendite!$P$2:$P$1000)</f>
        <v/>
      </c>
      <c r="H22" s="11">
        <f>SUMIFS(Vendite!$H$2:$H$1000,Vendite!$A$2:$A$1000,A22,Vendite!$O$2:$O$1000,2)</f>
        <v/>
      </c>
      <c r="I22" s="11">
        <f>SUMIFS(Vendite!$H$2:$H$1000,Vendite!$A$2:$A$1000,A22,Vendite!$O$2:$O$1000,3)</f>
        <v/>
      </c>
      <c r="J22" s="11">
        <f>SUMIFS(Vendite!$H$2:$H$1000,Vendite!$A$2:$A$1000,A22,Vendite!$O$2:$O$1000,4)</f>
        <v/>
      </c>
      <c r="K22" s="11">
        <f>SUMIFS(Vendite!$H$2:$H$1000,Vendite!$A$2:$A$1000,A22,Vendite!$O$2:$O$1000,5)</f>
        <v/>
      </c>
      <c r="L22" s="11">
        <f>SUMIF(Vendite!$A$2:$A$1000,A22,Vendite!$I$2:$I$1000)</f>
        <v/>
      </c>
      <c r="M22" s="12">
        <f>SUMIF(Vendite!$A$2:$A$1000,A22,Vendite!$J$2:$J$1000)</f>
        <v/>
      </c>
      <c r="N22" s="12">
        <f>SUMIF(Vendite!$A$2:$A$1000,A22,Vendite!$L$2:$L$1000)</f>
        <v/>
      </c>
      <c r="O22" s="12">
        <f>SUMIF(Vendite!$A$2:$A$1000,A22,Vendite!$M$2:$M$1000)</f>
        <v/>
      </c>
      <c r="P22" s="24">
        <f>IF(E22&gt;0,F22/E22,0)</f>
        <v/>
      </c>
      <c r="Q22" s="22">
        <f>IF(F22&gt;0,"Venduto","Zero vendite")</f>
        <v/>
      </c>
      <c r="R22" s="22">
        <f>F22+M22/100000+(1000-ROW())/100000000</f>
        <v/>
      </c>
    </row>
    <row r="23">
      <c r="A23" s="23" t="inlineStr">
        <is>
          <t>20261030_2115</t>
        </is>
      </c>
      <c r="B23" s="13" t="n">
        <v>46325</v>
      </c>
      <c r="C23" s="23">
        <f>CHOOSE(WEEKDAY(B23,2),"Lunedì","Martedì","Mercoledì","Giovedì","Venerdì","Sabato","Domenica")</f>
        <v/>
      </c>
      <c r="D23" s="14" t="n">
        <v>0.8854166666666666</v>
      </c>
      <c r="E23" s="15" t="n">
        <v>80</v>
      </c>
      <c r="F23" s="15">
        <f>SUMIF(Vendite!$A$2:$A$1000,A23,Vendite!$H$2:$H$1000)</f>
        <v/>
      </c>
      <c r="G23" s="15">
        <f>SUMIF(Vendite!$A$2:$A$1000,A23,Vendite!$P$2:$P$1000)</f>
        <v/>
      </c>
      <c r="H23" s="15">
        <f>SUMIFS(Vendite!$H$2:$H$1000,Vendite!$A$2:$A$1000,A23,Vendite!$O$2:$O$1000,2)</f>
        <v/>
      </c>
      <c r="I23" s="15">
        <f>SUMIFS(Vendite!$H$2:$H$1000,Vendite!$A$2:$A$1000,A23,Vendite!$O$2:$O$1000,3)</f>
        <v/>
      </c>
      <c r="J23" s="15">
        <f>SUMIFS(Vendite!$H$2:$H$1000,Vendite!$A$2:$A$1000,A23,Vendite!$O$2:$O$1000,4)</f>
        <v/>
      </c>
      <c r="K23" s="15">
        <f>SUMIFS(Vendite!$H$2:$H$1000,Vendite!$A$2:$A$1000,A23,Vendite!$O$2:$O$1000,5)</f>
        <v/>
      </c>
      <c r="L23" s="15">
        <f>SUMIF(Vendite!$A$2:$A$1000,A23,Vendite!$I$2:$I$1000)</f>
        <v/>
      </c>
      <c r="M23" s="16">
        <f>SUMIF(Vendite!$A$2:$A$1000,A23,Vendite!$J$2:$J$1000)</f>
        <v/>
      </c>
      <c r="N23" s="16">
        <f>SUMIF(Vendite!$A$2:$A$1000,A23,Vendite!$L$2:$L$1000)</f>
        <v/>
      </c>
      <c r="O23" s="16">
        <f>SUMIF(Vendite!$A$2:$A$1000,A23,Vendite!$M$2:$M$1000)</f>
        <v/>
      </c>
      <c r="P23" s="25">
        <f>IF(E23&gt;0,F23/E23,0)</f>
        <v/>
      </c>
      <c r="Q23" s="23">
        <f>IF(F23&gt;0,"Venduto","Zero vendite")</f>
        <v/>
      </c>
      <c r="R23" s="23">
        <f>F23+M23/100000+(1000-ROW())/100000000</f>
        <v/>
      </c>
    </row>
    <row r="24">
      <c r="A24" s="22" t="inlineStr">
        <is>
          <t>20261030_2215</t>
        </is>
      </c>
      <c r="B24" s="9" t="n">
        <v>46325</v>
      </c>
      <c r="C24" s="22">
        <f>CHOOSE(WEEKDAY(B24,2),"Lunedì","Martedì","Mercoledì","Giovedì","Venerdì","Sabato","Domenica")</f>
        <v/>
      </c>
      <c r="D24" s="10" t="n">
        <v>0.9270833333333334</v>
      </c>
      <c r="E24" s="11" t="n">
        <v>80</v>
      </c>
      <c r="F24" s="11">
        <f>SUMIF(Vendite!$A$2:$A$1000,A24,Vendite!$H$2:$H$1000)</f>
        <v/>
      </c>
      <c r="G24" s="11">
        <f>SUMIF(Vendite!$A$2:$A$1000,A24,Vendite!$P$2:$P$1000)</f>
        <v/>
      </c>
      <c r="H24" s="11">
        <f>SUMIFS(Vendite!$H$2:$H$1000,Vendite!$A$2:$A$1000,A24,Vendite!$O$2:$O$1000,2)</f>
        <v/>
      </c>
      <c r="I24" s="11">
        <f>SUMIFS(Vendite!$H$2:$H$1000,Vendite!$A$2:$A$1000,A24,Vendite!$O$2:$O$1000,3)</f>
        <v/>
      </c>
      <c r="J24" s="11">
        <f>SUMIFS(Vendite!$H$2:$H$1000,Vendite!$A$2:$A$1000,A24,Vendite!$O$2:$O$1000,4)</f>
        <v/>
      </c>
      <c r="K24" s="11">
        <f>SUMIFS(Vendite!$H$2:$H$1000,Vendite!$A$2:$A$1000,A24,Vendite!$O$2:$O$1000,5)</f>
        <v/>
      </c>
      <c r="L24" s="11">
        <f>SUMIF(Vendite!$A$2:$A$1000,A24,Vendite!$I$2:$I$1000)</f>
        <v/>
      </c>
      <c r="M24" s="12">
        <f>SUMIF(Vendite!$A$2:$A$1000,A24,Vendite!$J$2:$J$1000)</f>
        <v/>
      </c>
      <c r="N24" s="12">
        <f>SUMIF(Vendite!$A$2:$A$1000,A24,Vendite!$L$2:$L$1000)</f>
        <v/>
      </c>
      <c r="O24" s="12">
        <f>SUMIF(Vendite!$A$2:$A$1000,A24,Vendite!$M$2:$M$1000)</f>
        <v/>
      </c>
      <c r="P24" s="24">
        <f>IF(E24&gt;0,F24/E24,0)</f>
        <v/>
      </c>
      <c r="Q24" s="22">
        <f>IF(F24&gt;0,"Venduto","Zero vendite")</f>
        <v/>
      </c>
      <c r="R24" s="22">
        <f>F24+M24/100000+(1000-ROW())/100000000</f>
        <v/>
      </c>
    </row>
    <row r="25">
      <c r="A25" s="23" t="inlineStr">
        <is>
          <t>20261030_2315</t>
        </is>
      </c>
      <c r="B25" s="13" t="n">
        <v>46325</v>
      </c>
      <c r="C25" s="23">
        <f>CHOOSE(WEEKDAY(B25,2),"Lunedì","Martedì","Mercoledì","Giovedì","Venerdì","Sabato","Domenica")</f>
        <v/>
      </c>
      <c r="D25" s="14" t="n">
        <v>0.96875</v>
      </c>
      <c r="E25" s="15" t="n">
        <v>80</v>
      </c>
      <c r="F25" s="15">
        <f>SUMIF(Vendite!$A$2:$A$1000,A25,Vendite!$H$2:$H$1000)</f>
        <v/>
      </c>
      <c r="G25" s="15">
        <f>SUMIF(Vendite!$A$2:$A$1000,A25,Vendite!$P$2:$P$1000)</f>
        <v/>
      </c>
      <c r="H25" s="15">
        <f>SUMIFS(Vendite!$H$2:$H$1000,Vendite!$A$2:$A$1000,A25,Vendite!$O$2:$O$1000,2)</f>
        <v/>
      </c>
      <c r="I25" s="15">
        <f>SUMIFS(Vendite!$H$2:$H$1000,Vendite!$A$2:$A$1000,A25,Vendite!$O$2:$O$1000,3)</f>
        <v/>
      </c>
      <c r="J25" s="15">
        <f>SUMIFS(Vendite!$H$2:$H$1000,Vendite!$A$2:$A$1000,A25,Vendite!$O$2:$O$1000,4)</f>
        <v/>
      </c>
      <c r="K25" s="15">
        <f>SUMIFS(Vendite!$H$2:$H$1000,Vendite!$A$2:$A$1000,A25,Vendite!$O$2:$O$1000,5)</f>
        <v/>
      </c>
      <c r="L25" s="15">
        <f>SUMIF(Vendite!$A$2:$A$1000,A25,Vendite!$I$2:$I$1000)</f>
        <v/>
      </c>
      <c r="M25" s="16">
        <f>SUMIF(Vendite!$A$2:$A$1000,A25,Vendite!$J$2:$J$1000)</f>
        <v/>
      </c>
      <c r="N25" s="16">
        <f>SUMIF(Vendite!$A$2:$A$1000,A25,Vendite!$L$2:$L$1000)</f>
        <v/>
      </c>
      <c r="O25" s="16">
        <f>SUMIF(Vendite!$A$2:$A$1000,A25,Vendite!$M$2:$M$1000)</f>
        <v/>
      </c>
      <c r="P25" s="25">
        <f>IF(E25&gt;0,F25/E25,0)</f>
        <v/>
      </c>
      <c r="Q25" s="23">
        <f>IF(F25&gt;0,"Venduto","Zero vendite")</f>
        <v/>
      </c>
      <c r="R25" s="23">
        <f>F25+M25/100000+(1000-ROW())/100000000</f>
        <v/>
      </c>
    </row>
    <row r="26">
      <c r="A26" s="22" t="inlineStr">
        <is>
          <t>20261030_2359</t>
        </is>
      </c>
      <c r="B26" s="9" t="n">
        <v>46325</v>
      </c>
      <c r="C26" s="22">
        <f>CHOOSE(WEEKDAY(B26,2),"Lunedì","Martedì","Mercoledì","Giovedì","Venerdì","Sabato","Domenica")</f>
        <v/>
      </c>
      <c r="D26" s="10" t="n">
        <v>0.9993055555555556</v>
      </c>
      <c r="E26" s="11" t="n">
        <v>80</v>
      </c>
      <c r="F26" s="11">
        <f>SUMIF(Vendite!$A$2:$A$1000,A26,Vendite!$H$2:$H$1000)</f>
        <v/>
      </c>
      <c r="G26" s="11">
        <f>SUMIF(Vendite!$A$2:$A$1000,A26,Vendite!$P$2:$P$1000)</f>
        <v/>
      </c>
      <c r="H26" s="11">
        <f>SUMIFS(Vendite!$H$2:$H$1000,Vendite!$A$2:$A$1000,A26,Vendite!$O$2:$O$1000,2)</f>
        <v/>
      </c>
      <c r="I26" s="11">
        <f>SUMIFS(Vendite!$H$2:$H$1000,Vendite!$A$2:$A$1000,A26,Vendite!$O$2:$O$1000,3)</f>
        <v/>
      </c>
      <c r="J26" s="11">
        <f>SUMIFS(Vendite!$H$2:$H$1000,Vendite!$A$2:$A$1000,A26,Vendite!$O$2:$O$1000,4)</f>
        <v/>
      </c>
      <c r="K26" s="11">
        <f>SUMIFS(Vendite!$H$2:$H$1000,Vendite!$A$2:$A$1000,A26,Vendite!$O$2:$O$1000,5)</f>
        <v/>
      </c>
      <c r="L26" s="11">
        <f>SUMIF(Vendite!$A$2:$A$1000,A26,Vendite!$I$2:$I$1000)</f>
        <v/>
      </c>
      <c r="M26" s="12">
        <f>SUMIF(Vendite!$A$2:$A$1000,A26,Vendite!$J$2:$J$1000)</f>
        <v/>
      </c>
      <c r="N26" s="12">
        <f>SUMIF(Vendite!$A$2:$A$1000,A26,Vendite!$L$2:$L$1000)</f>
        <v/>
      </c>
      <c r="O26" s="12">
        <f>SUMIF(Vendite!$A$2:$A$1000,A26,Vendite!$M$2:$M$1000)</f>
        <v/>
      </c>
      <c r="P26" s="24">
        <f>IF(E26&gt;0,F26/E26,0)</f>
        <v/>
      </c>
      <c r="Q26" s="22">
        <f>IF(F26&gt;0,"Venduto","Zero vendite")</f>
        <v/>
      </c>
      <c r="R26" s="22">
        <f>F26+M26/100000+(1000-ROW())/100000000</f>
        <v/>
      </c>
    </row>
    <row r="27">
      <c r="A27" s="23" t="inlineStr">
        <is>
          <t>20261031_2015</t>
        </is>
      </c>
      <c r="B27" s="13" t="n">
        <v>46326</v>
      </c>
      <c r="C27" s="23">
        <f>CHOOSE(WEEKDAY(B27,2),"Lunedì","Martedì","Mercoledì","Giovedì","Venerdì","Sabato","Domenica")</f>
        <v/>
      </c>
      <c r="D27" s="14" t="n">
        <v>0.84375</v>
      </c>
      <c r="E27" s="15" t="n">
        <v>80</v>
      </c>
      <c r="F27" s="15">
        <f>SUMIF(Vendite!$A$2:$A$1000,A27,Vendite!$H$2:$H$1000)</f>
        <v/>
      </c>
      <c r="G27" s="15">
        <f>SUMIF(Vendite!$A$2:$A$1000,A27,Vendite!$P$2:$P$1000)</f>
        <v/>
      </c>
      <c r="H27" s="15">
        <f>SUMIFS(Vendite!$H$2:$H$1000,Vendite!$A$2:$A$1000,A27,Vendite!$O$2:$O$1000,2)</f>
        <v/>
      </c>
      <c r="I27" s="15">
        <f>SUMIFS(Vendite!$H$2:$H$1000,Vendite!$A$2:$A$1000,A27,Vendite!$O$2:$O$1000,3)</f>
        <v/>
      </c>
      <c r="J27" s="15">
        <f>SUMIFS(Vendite!$H$2:$H$1000,Vendite!$A$2:$A$1000,A27,Vendite!$O$2:$O$1000,4)</f>
        <v/>
      </c>
      <c r="K27" s="15">
        <f>SUMIFS(Vendite!$H$2:$H$1000,Vendite!$A$2:$A$1000,A27,Vendite!$O$2:$O$1000,5)</f>
        <v/>
      </c>
      <c r="L27" s="15">
        <f>SUMIF(Vendite!$A$2:$A$1000,A27,Vendite!$I$2:$I$1000)</f>
        <v/>
      </c>
      <c r="M27" s="16">
        <f>SUMIF(Vendite!$A$2:$A$1000,A27,Vendite!$J$2:$J$1000)</f>
        <v/>
      </c>
      <c r="N27" s="16">
        <f>SUMIF(Vendite!$A$2:$A$1000,A27,Vendite!$L$2:$L$1000)</f>
        <v/>
      </c>
      <c r="O27" s="16">
        <f>SUMIF(Vendite!$A$2:$A$1000,A27,Vendite!$M$2:$M$1000)</f>
        <v/>
      </c>
      <c r="P27" s="25">
        <f>IF(E27&gt;0,F27/E27,0)</f>
        <v/>
      </c>
      <c r="Q27" s="23">
        <f>IF(F27&gt;0,"Venduto","Zero vendite")</f>
        <v/>
      </c>
      <c r="R27" s="23">
        <f>F27+M27/100000+(1000-ROW())/100000000</f>
        <v/>
      </c>
    </row>
    <row r="28">
      <c r="A28" s="22" t="inlineStr">
        <is>
          <t>20261031_2115</t>
        </is>
      </c>
      <c r="B28" s="9" t="n">
        <v>46326</v>
      </c>
      <c r="C28" s="22">
        <f>CHOOSE(WEEKDAY(B28,2),"Lunedì","Martedì","Mercoledì","Giovedì","Venerdì","Sabato","Domenica")</f>
        <v/>
      </c>
      <c r="D28" s="10" t="n">
        <v>0.8854166666666666</v>
      </c>
      <c r="E28" s="11" t="n">
        <v>80</v>
      </c>
      <c r="F28" s="11">
        <f>SUMIF(Vendite!$A$2:$A$1000,A28,Vendite!$H$2:$H$1000)</f>
        <v/>
      </c>
      <c r="G28" s="11">
        <f>SUMIF(Vendite!$A$2:$A$1000,A28,Vendite!$P$2:$P$1000)</f>
        <v/>
      </c>
      <c r="H28" s="11">
        <f>SUMIFS(Vendite!$H$2:$H$1000,Vendite!$A$2:$A$1000,A28,Vendite!$O$2:$O$1000,2)</f>
        <v/>
      </c>
      <c r="I28" s="11">
        <f>SUMIFS(Vendite!$H$2:$H$1000,Vendite!$A$2:$A$1000,A28,Vendite!$O$2:$O$1000,3)</f>
        <v/>
      </c>
      <c r="J28" s="11">
        <f>SUMIFS(Vendite!$H$2:$H$1000,Vendite!$A$2:$A$1000,A28,Vendite!$O$2:$O$1000,4)</f>
        <v/>
      </c>
      <c r="K28" s="11">
        <f>SUMIFS(Vendite!$H$2:$H$1000,Vendite!$A$2:$A$1000,A28,Vendite!$O$2:$O$1000,5)</f>
        <v/>
      </c>
      <c r="L28" s="11">
        <f>SUMIF(Vendite!$A$2:$A$1000,A28,Vendite!$I$2:$I$1000)</f>
        <v/>
      </c>
      <c r="M28" s="12">
        <f>SUMIF(Vendite!$A$2:$A$1000,A28,Vendite!$J$2:$J$1000)</f>
        <v/>
      </c>
      <c r="N28" s="12">
        <f>SUMIF(Vendite!$A$2:$A$1000,A28,Vendite!$L$2:$L$1000)</f>
        <v/>
      </c>
      <c r="O28" s="12">
        <f>SUMIF(Vendite!$A$2:$A$1000,A28,Vendite!$M$2:$M$1000)</f>
        <v/>
      </c>
      <c r="P28" s="24">
        <f>IF(E28&gt;0,F28/E28,0)</f>
        <v/>
      </c>
      <c r="Q28" s="22">
        <f>IF(F28&gt;0,"Venduto","Zero vendite")</f>
        <v/>
      </c>
      <c r="R28" s="22">
        <f>F28+M28/100000+(1000-ROW())/100000000</f>
        <v/>
      </c>
    </row>
    <row r="29">
      <c r="A29" s="23" t="inlineStr">
        <is>
          <t>20261031_2215</t>
        </is>
      </c>
      <c r="B29" s="13" t="n">
        <v>46326</v>
      </c>
      <c r="C29" s="23">
        <f>CHOOSE(WEEKDAY(B29,2),"Lunedì","Martedì","Mercoledì","Giovedì","Venerdì","Sabato","Domenica")</f>
        <v/>
      </c>
      <c r="D29" s="14" t="n">
        <v>0.9270833333333334</v>
      </c>
      <c r="E29" s="15" t="n">
        <v>80</v>
      </c>
      <c r="F29" s="15">
        <f>SUMIF(Vendite!$A$2:$A$1000,A29,Vendite!$H$2:$H$1000)</f>
        <v/>
      </c>
      <c r="G29" s="15">
        <f>SUMIF(Vendite!$A$2:$A$1000,A29,Vendite!$P$2:$P$1000)</f>
        <v/>
      </c>
      <c r="H29" s="15">
        <f>SUMIFS(Vendite!$H$2:$H$1000,Vendite!$A$2:$A$1000,A29,Vendite!$O$2:$O$1000,2)</f>
        <v/>
      </c>
      <c r="I29" s="15">
        <f>SUMIFS(Vendite!$H$2:$H$1000,Vendite!$A$2:$A$1000,A29,Vendite!$O$2:$O$1000,3)</f>
        <v/>
      </c>
      <c r="J29" s="15">
        <f>SUMIFS(Vendite!$H$2:$H$1000,Vendite!$A$2:$A$1000,A29,Vendite!$O$2:$O$1000,4)</f>
        <v/>
      </c>
      <c r="K29" s="15">
        <f>SUMIFS(Vendite!$H$2:$H$1000,Vendite!$A$2:$A$1000,A29,Vendite!$O$2:$O$1000,5)</f>
        <v/>
      </c>
      <c r="L29" s="15">
        <f>SUMIF(Vendite!$A$2:$A$1000,A29,Vendite!$I$2:$I$1000)</f>
        <v/>
      </c>
      <c r="M29" s="16">
        <f>SUMIF(Vendite!$A$2:$A$1000,A29,Vendite!$J$2:$J$1000)</f>
        <v/>
      </c>
      <c r="N29" s="16">
        <f>SUMIF(Vendite!$A$2:$A$1000,A29,Vendite!$L$2:$L$1000)</f>
        <v/>
      </c>
      <c r="O29" s="16">
        <f>SUMIF(Vendite!$A$2:$A$1000,A29,Vendite!$M$2:$M$1000)</f>
        <v/>
      </c>
      <c r="P29" s="25">
        <f>IF(E29&gt;0,F29/E29,0)</f>
        <v/>
      </c>
      <c r="Q29" s="23">
        <f>IF(F29&gt;0,"Venduto","Zero vendite")</f>
        <v/>
      </c>
      <c r="R29" s="23">
        <f>F29+M29/100000+(1000-ROW())/100000000</f>
        <v/>
      </c>
    </row>
    <row r="30">
      <c r="A30" s="22" t="inlineStr">
        <is>
          <t>20261031_2315</t>
        </is>
      </c>
      <c r="B30" s="9" t="n">
        <v>46326</v>
      </c>
      <c r="C30" s="22">
        <f>CHOOSE(WEEKDAY(B30,2),"Lunedì","Martedì","Mercoledì","Giovedì","Venerdì","Sabato","Domenica")</f>
        <v/>
      </c>
      <c r="D30" s="10" t="n">
        <v>0.96875</v>
      </c>
      <c r="E30" s="11" t="n">
        <v>80</v>
      </c>
      <c r="F30" s="11">
        <f>SUMIF(Vendite!$A$2:$A$1000,A30,Vendite!$H$2:$H$1000)</f>
        <v/>
      </c>
      <c r="G30" s="11">
        <f>SUMIF(Vendite!$A$2:$A$1000,A30,Vendite!$P$2:$P$1000)</f>
        <v/>
      </c>
      <c r="H30" s="11">
        <f>SUMIFS(Vendite!$H$2:$H$1000,Vendite!$A$2:$A$1000,A30,Vendite!$O$2:$O$1000,2)</f>
        <v/>
      </c>
      <c r="I30" s="11">
        <f>SUMIFS(Vendite!$H$2:$H$1000,Vendite!$A$2:$A$1000,A30,Vendite!$O$2:$O$1000,3)</f>
        <v/>
      </c>
      <c r="J30" s="11">
        <f>SUMIFS(Vendite!$H$2:$H$1000,Vendite!$A$2:$A$1000,A30,Vendite!$O$2:$O$1000,4)</f>
        <v/>
      </c>
      <c r="K30" s="11">
        <f>SUMIFS(Vendite!$H$2:$H$1000,Vendite!$A$2:$A$1000,A30,Vendite!$O$2:$O$1000,5)</f>
        <v/>
      </c>
      <c r="L30" s="11">
        <f>SUMIF(Vendite!$A$2:$A$1000,A30,Vendite!$I$2:$I$1000)</f>
        <v/>
      </c>
      <c r="M30" s="12">
        <f>SUMIF(Vendite!$A$2:$A$1000,A30,Vendite!$J$2:$J$1000)</f>
        <v/>
      </c>
      <c r="N30" s="12">
        <f>SUMIF(Vendite!$A$2:$A$1000,A30,Vendite!$L$2:$L$1000)</f>
        <v/>
      </c>
      <c r="O30" s="12">
        <f>SUMIF(Vendite!$A$2:$A$1000,A30,Vendite!$M$2:$M$1000)</f>
        <v/>
      </c>
      <c r="P30" s="24">
        <f>IF(E30&gt;0,F30/E30,0)</f>
        <v/>
      </c>
      <c r="Q30" s="22">
        <f>IF(F30&gt;0,"Venduto","Zero vendite")</f>
        <v/>
      </c>
      <c r="R30" s="22">
        <f>F30+M30/100000+(1000-ROW())/100000000</f>
        <v/>
      </c>
    </row>
    <row r="31">
      <c r="A31" s="23" t="inlineStr">
        <is>
          <t>20261031_2359</t>
        </is>
      </c>
      <c r="B31" s="13" t="n">
        <v>46326</v>
      </c>
      <c r="C31" s="23">
        <f>CHOOSE(WEEKDAY(B31,2),"Lunedì","Martedì","Mercoledì","Giovedì","Venerdì","Sabato","Domenica")</f>
        <v/>
      </c>
      <c r="D31" s="14" t="n">
        <v>0.9993055555555556</v>
      </c>
      <c r="E31" s="15" t="n">
        <v>80</v>
      </c>
      <c r="F31" s="15">
        <f>SUMIF(Vendite!$A$2:$A$1000,A31,Vendite!$H$2:$H$1000)</f>
        <v/>
      </c>
      <c r="G31" s="15">
        <f>SUMIF(Vendite!$A$2:$A$1000,A31,Vendite!$P$2:$P$1000)</f>
        <v/>
      </c>
      <c r="H31" s="15">
        <f>SUMIFS(Vendite!$H$2:$H$1000,Vendite!$A$2:$A$1000,A31,Vendite!$O$2:$O$1000,2)</f>
        <v/>
      </c>
      <c r="I31" s="15">
        <f>SUMIFS(Vendite!$H$2:$H$1000,Vendite!$A$2:$A$1000,A31,Vendite!$O$2:$O$1000,3)</f>
        <v/>
      </c>
      <c r="J31" s="15">
        <f>SUMIFS(Vendite!$H$2:$H$1000,Vendite!$A$2:$A$1000,A31,Vendite!$O$2:$O$1000,4)</f>
        <v/>
      </c>
      <c r="K31" s="15">
        <f>SUMIFS(Vendite!$H$2:$H$1000,Vendite!$A$2:$A$1000,A31,Vendite!$O$2:$O$1000,5)</f>
        <v/>
      </c>
      <c r="L31" s="15">
        <f>SUMIF(Vendite!$A$2:$A$1000,A31,Vendite!$I$2:$I$1000)</f>
        <v/>
      </c>
      <c r="M31" s="16">
        <f>SUMIF(Vendite!$A$2:$A$1000,A31,Vendite!$J$2:$J$1000)</f>
        <v/>
      </c>
      <c r="N31" s="16">
        <f>SUMIF(Vendite!$A$2:$A$1000,A31,Vendite!$L$2:$L$1000)</f>
        <v/>
      </c>
      <c r="O31" s="16">
        <f>SUMIF(Vendite!$A$2:$A$1000,A31,Vendite!$M$2:$M$1000)</f>
        <v/>
      </c>
      <c r="P31" s="25">
        <f>IF(E31&gt;0,F31/E31,0)</f>
        <v/>
      </c>
      <c r="Q31" s="23">
        <f>IF(F31&gt;0,"Venduto","Zero vendite")</f>
        <v/>
      </c>
      <c r="R31" s="23">
        <f>F31+M31/100000+(1000-ROW())/100000000</f>
        <v/>
      </c>
    </row>
    <row r="32">
      <c r="A32" s="22" t="inlineStr">
        <is>
          <t>20261101_2015</t>
        </is>
      </c>
      <c r="B32" s="9" t="n">
        <v>46327</v>
      </c>
      <c r="C32" s="22">
        <f>CHOOSE(WEEKDAY(B32,2),"Lunedì","Martedì","Mercoledì","Giovedì","Venerdì","Sabato","Domenica")</f>
        <v/>
      </c>
      <c r="D32" s="10" t="n">
        <v>0.84375</v>
      </c>
      <c r="E32" s="11" t="n">
        <v>80</v>
      </c>
      <c r="F32" s="11">
        <f>SUMIF(Vendite!$A$2:$A$1000,A32,Vendite!$H$2:$H$1000)</f>
        <v/>
      </c>
      <c r="G32" s="11">
        <f>SUMIF(Vendite!$A$2:$A$1000,A32,Vendite!$P$2:$P$1000)</f>
        <v/>
      </c>
      <c r="H32" s="11">
        <f>SUMIFS(Vendite!$H$2:$H$1000,Vendite!$A$2:$A$1000,A32,Vendite!$O$2:$O$1000,2)</f>
        <v/>
      </c>
      <c r="I32" s="11">
        <f>SUMIFS(Vendite!$H$2:$H$1000,Vendite!$A$2:$A$1000,A32,Vendite!$O$2:$O$1000,3)</f>
        <v/>
      </c>
      <c r="J32" s="11">
        <f>SUMIFS(Vendite!$H$2:$H$1000,Vendite!$A$2:$A$1000,A32,Vendite!$O$2:$O$1000,4)</f>
        <v/>
      </c>
      <c r="K32" s="11">
        <f>SUMIFS(Vendite!$H$2:$H$1000,Vendite!$A$2:$A$1000,A32,Vendite!$O$2:$O$1000,5)</f>
        <v/>
      </c>
      <c r="L32" s="11">
        <f>SUMIF(Vendite!$A$2:$A$1000,A32,Vendite!$I$2:$I$1000)</f>
        <v/>
      </c>
      <c r="M32" s="12">
        <f>SUMIF(Vendite!$A$2:$A$1000,A32,Vendite!$J$2:$J$1000)</f>
        <v/>
      </c>
      <c r="N32" s="12">
        <f>SUMIF(Vendite!$A$2:$A$1000,A32,Vendite!$L$2:$L$1000)</f>
        <v/>
      </c>
      <c r="O32" s="12">
        <f>SUMIF(Vendite!$A$2:$A$1000,A32,Vendite!$M$2:$M$1000)</f>
        <v/>
      </c>
      <c r="P32" s="24">
        <f>IF(E32&gt;0,F32/E32,0)</f>
        <v/>
      </c>
      <c r="Q32" s="22">
        <f>IF(F32&gt;0,"Venduto","Zero vendite")</f>
        <v/>
      </c>
      <c r="R32" s="22">
        <f>F32+M32/100000+(1000-ROW())/100000000</f>
        <v/>
      </c>
    </row>
    <row r="33">
      <c r="A33" s="23" t="inlineStr">
        <is>
          <t>20261101_2115</t>
        </is>
      </c>
      <c r="B33" s="13" t="n">
        <v>46327</v>
      </c>
      <c r="C33" s="23">
        <f>CHOOSE(WEEKDAY(B33,2),"Lunedì","Martedì","Mercoledì","Giovedì","Venerdì","Sabato","Domenica")</f>
        <v/>
      </c>
      <c r="D33" s="14" t="n">
        <v>0.8854166666666666</v>
      </c>
      <c r="E33" s="15" t="n">
        <v>80</v>
      </c>
      <c r="F33" s="15">
        <f>SUMIF(Vendite!$A$2:$A$1000,A33,Vendite!$H$2:$H$1000)</f>
        <v/>
      </c>
      <c r="G33" s="15">
        <f>SUMIF(Vendite!$A$2:$A$1000,A33,Vendite!$P$2:$P$1000)</f>
        <v/>
      </c>
      <c r="H33" s="15">
        <f>SUMIFS(Vendite!$H$2:$H$1000,Vendite!$A$2:$A$1000,A33,Vendite!$O$2:$O$1000,2)</f>
        <v/>
      </c>
      <c r="I33" s="15">
        <f>SUMIFS(Vendite!$H$2:$H$1000,Vendite!$A$2:$A$1000,A33,Vendite!$O$2:$O$1000,3)</f>
        <v/>
      </c>
      <c r="J33" s="15">
        <f>SUMIFS(Vendite!$H$2:$H$1000,Vendite!$A$2:$A$1000,A33,Vendite!$O$2:$O$1000,4)</f>
        <v/>
      </c>
      <c r="K33" s="15">
        <f>SUMIFS(Vendite!$H$2:$H$1000,Vendite!$A$2:$A$1000,A33,Vendite!$O$2:$O$1000,5)</f>
        <v/>
      </c>
      <c r="L33" s="15">
        <f>SUMIF(Vendite!$A$2:$A$1000,A33,Vendite!$I$2:$I$1000)</f>
        <v/>
      </c>
      <c r="M33" s="16">
        <f>SUMIF(Vendite!$A$2:$A$1000,A33,Vendite!$J$2:$J$1000)</f>
        <v/>
      </c>
      <c r="N33" s="16">
        <f>SUMIF(Vendite!$A$2:$A$1000,A33,Vendite!$L$2:$L$1000)</f>
        <v/>
      </c>
      <c r="O33" s="16">
        <f>SUMIF(Vendite!$A$2:$A$1000,A33,Vendite!$M$2:$M$1000)</f>
        <v/>
      </c>
      <c r="P33" s="25">
        <f>IF(E33&gt;0,F33/E33,0)</f>
        <v/>
      </c>
      <c r="Q33" s="23">
        <f>IF(F33&gt;0,"Venduto","Zero vendite")</f>
        <v/>
      </c>
      <c r="R33" s="23">
        <f>F33+M33/100000+(1000-ROW())/100000000</f>
        <v/>
      </c>
    </row>
    <row r="34">
      <c r="A34" s="22" t="inlineStr">
        <is>
          <t>20261101_2215</t>
        </is>
      </c>
      <c r="B34" s="9" t="n">
        <v>46327</v>
      </c>
      <c r="C34" s="22">
        <f>CHOOSE(WEEKDAY(B34,2),"Lunedì","Martedì","Mercoledì","Giovedì","Venerdì","Sabato","Domenica")</f>
        <v/>
      </c>
      <c r="D34" s="10" t="n">
        <v>0.9270833333333334</v>
      </c>
      <c r="E34" s="11" t="n">
        <v>80</v>
      </c>
      <c r="F34" s="11">
        <f>SUMIF(Vendite!$A$2:$A$1000,A34,Vendite!$H$2:$H$1000)</f>
        <v/>
      </c>
      <c r="G34" s="11">
        <f>SUMIF(Vendite!$A$2:$A$1000,A34,Vendite!$P$2:$P$1000)</f>
        <v/>
      </c>
      <c r="H34" s="11">
        <f>SUMIFS(Vendite!$H$2:$H$1000,Vendite!$A$2:$A$1000,A34,Vendite!$O$2:$O$1000,2)</f>
        <v/>
      </c>
      <c r="I34" s="11">
        <f>SUMIFS(Vendite!$H$2:$H$1000,Vendite!$A$2:$A$1000,A34,Vendite!$O$2:$O$1000,3)</f>
        <v/>
      </c>
      <c r="J34" s="11">
        <f>SUMIFS(Vendite!$H$2:$H$1000,Vendite!$A$2:$A$1000,A34,Vendite!$O$2:$O$1000,4)</f>
        <v/>
      </c>
      <c r="K34" s="11">
        <f>SUMIFS(Vendite!$H$2:$H$1000,Vendite!$A$2:$A$1000,A34,Vendite!$O$2:$O$1000,5)</f>
        <v/>
      </c>
      <c r="L34" s="11">
        <f>SUMIF(Vendite!$A$2:$A$1000,A34,Vendite!$I$2:$I$1000)</f>
        <v/>
      </c>
      <c r="M34" s="12">
        <f>SUMIF(Vendite!$A$2:$A$1000,A34,Vendite!$J$2:$J$1000)</f>
        <v/>
      </c>
      <c r="N34" s="12">
        <f>SUMIF(Vendite!$A$2:$A$1000,A34,Vendite!$L$2:$L$1000)</f>
        <v/>
      </c>
      <c r="O34" s="12">
        <f>SUMIF(Vendite!$A$2:$A$1000,A34,Vendite!$M$2:$M$1000)</f>
        <v/>
      </c>
      <c r="P34" s="24">
        <f>IF(E34&gt;0,F34/E34,0)</f>
        <v/>
      </c>
      <c r="Q34" s="22">
        <f>IF(F34&gt;0,"Venduto","Zero vendite")</f>
        <v/>
      </c>
      <c r="R34" s="22">
        <f>F34+M34/100000+(1000-ROW())/100000000</f>
        <v/>
      </c>
    </row>
    <row r="35">
      <c r="A35" s="23" t="inlineStr">
        <is>
          <t>20261101_2315</t>
        </is>
      </c>
      <c r="B35" s="13" t="n">
        <v>46327</v>
      </c>
      <c r="C35" s="23">
        <f>CHOOSE(WEEKDAY(B35,2),"Lunedì","Martedì","Mercoledì","Giovedì","Venerdì","Sabato","Domenica")</f>
        <v/>
      </c>
      <c r="D35" s="14" t="n">
        <v>0.96875</v>
      </c>
      <c r="E35" s="15" t="n">
        <v>80</v>
      </c>
      <c r="F35" s="15">
        <f>SUMIF(Vendite!$A$2:$A$1000,A35,Vendite!$H$2:$H$1000)</f>
        <v/>
      </c>
      <c r="G35" s="15">
        <f>SUMIF(Vendite!$A$2:$A$1000,A35,Vendite!$P$2:$P$1000)</f>
        <v/>
      </c>
      <c r="H35" s="15">
        <f>SUMIFS(Vendite!$H$2:$H$1000,Vendite!$A$2:$A$1000,A35,Vendite!$O$2:$O$1000,2)</f>
        <v/>
      </c>
      <c r="I35" s="15">
        <f>SUMIFS(Vendite!$H$2:$H$1000,Vendite!$A$2:$A$1000,A35,Vendite!$O$2:$O$1000,3)</f>
        <v/>
      </c>
      <c r="J35" s="15">
        <f>SUMIFS(Vendite!$H$2:$H$1000,Vendite!$A$2:$A$1000,A35,Vendite!$O$2:$O$1000,4)</f>
        <v/>
      </c>
      <c r="K35" s="15">
        <f>SUMIFS(Vendite!$H$2:$H$1000,Vendite!$A$2:$A$1000,A35,Vendite!$O$2:$O$1000,5)</f>
        <v/>
      </c>
      <c r="L35" s="15">
        <f>SUMIF(Vendite!$A$2:$A$1000,A35,Vendite!$I$2:$I$1000)</f>
        <v/>
      </c>
      <c r="M35" s="16">
        <f>SUMIF(Vendite!$A$2:$A$1000,A35,Vendite!$J$2:$J$1000)</f>
        <v/>
      </c>
      <c r="N35" s="16">
        <f>SUMIF(Vendite!$A$2:$A$1000,A35,Vendite!$L$2:$L$1000)</f>
        <v/>
      </c>
      <c r="O35" s="16">
        <f>SUMIF(Vendite!$A$2:$A$1000,A35,Vendite!$M$2:$M$1000)</f>
        <v/>
      </c>
      <c r="P35" s="25">
        <f>IF(E35&gt;0,F35/E35,0)</f>
        <v/>
      </c>
      <c r="Q35" s="23">
        <f>IF(F35&gt;0,"Venduto","Zero vendite")</f>
        <v/>
      </c>
      <c r="R35" s="23">
        <f>F35+M35/100000+(1000-ROW())/100000000</f>
        <v/>
      </c>
    </row>
    <row r="36">
      <c r="A36" s="22" t="inlineStr">
        <is>
          <t>20261101_2359</t>
        </is>
      </c>
      <c r="B36" s="9" t="n">
        <v>46327</v>
      </c>
      <c r="C36" s="22">
        <f>CHOOSE(WEEKDAY(B36,2),"Lunedì","Martedì","Mercoledì","Giovedì","Venerdì","Sabato","Domenica")</f>
        <v/>
      </c>
      <c r="D36" s="10" t="n">
        <v>0.9993055555555556</v>
      </c>
      <c r="E36" s="11" t="n">
        <v>80</v>
      </c>
      <c r="F36" s="11">
        <f>SUMIF(Vendite!$A$2:$A$1000,A36,Vendite!$H$2:$H$1000)</f>
        <v/>
      </c>
      <c r="G36" s="11">
        <f>SUMIF(Vendite!$A$2:$A$1000,A36,Vendite!$P$2:$P$1000)</f>
        <v/>
      </c>
      <c r="H36" s="11">
        <f>SUMIFS(Vendite!$H$2:$H$1000,Vendite!$A$2:$A$1000,A36,Vendite!$O$2:$O$1000,2)</f>
        <v/>
      </c>
      <c r="I36" s="11">
        <f>SUMIFS(Vendite!$H$2:$H$1000,Vendite!$A$2:$A$1000,A36,Vendite!$O$2:$O$1000,3)</f>
        <v/>
      </c>
      <c r="J36" s="11">
        <f>SUMIFS(Vendite!$H$2:$H$1000,Vendite!$A$2:$A$1000,A36,Vendite!$O$2:$O$1000,4)</f>
        <v/>
      </c>
      <c r="K36" s="11">
        <f>SUMIFS(Vendite!$H$2:$H$1000,Vendite!$A$2:$A$1000,A36,Vendite!$O$2:$O$1000,5)</f>
        <v/>
      </c>
      <c r="L36" s="11">
        <f>SUMIF(Vendite!$A$2:$A$1000,A36,Vendite!$I$2:$I$1000)</f>
        <v/>
      </c>
      <c r="M36" s="12">
        <f>SUMIF(Vendite!$A$2:$A$1000,A36,Vendite!$J$2:$J$1000)</f>
        <v/>
      </c>
      <c r="N36" s="12">
        <f>SUMIF(Vendite!$A$2:$A$1000,A36,Vendite!$L$2:$L$1000)</f>
        <v/>
      </c>
      <c r="O36" s="12">
        <f>SUMIF(Vendite!$A$2:$A$1000,A36,Vendite!$M$2:$M$1000)</f>
        <v/>
      </c>
      <c r="P36" s="24">
        <f>IF(E36&gt;0,F36/E36,0)</f>
        <v/>
      </c>
      <c r="Q36" s="22">
        <f>IF(F36&gt;0,"Venduto","Zero vendite")</f>
        <v/>
      </c>
      <c r="R36" s="22">
        <f>F36+M36/100000+(1000-ROW())/100000000</f>
        <v/>
      </c>
    </row>
  </sheetData>
  <autoFilter ref="A1:R36"/>
  <conditionalFormatting sqref="Q2:Q36">
    <cfRule type="expression" priority="1" dxfId="0">
      <formula>Q2="Venduto"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1" customWidth="1" min="9" max="9"/>
    <col width="13" customWidth="1" min="10" max="10"/>
    <col width="12" customWidth="1" min="11" max="11"/>
    <col width="14" customWidth="1" min="12" max="12"/>
    <col width="11" customWidth="1" min="13" max="13"/>
    <col width="12" customWidth="1" min="14" max="14"/>
    <col width="12" customWidth="1" min="15" max="15"/>
    <col width="10" customWidth="1" min="16" max="16"/>
  </cols>
  <sheetData>
    <row r="1" ht="30" customHeight="1">
      <c r="A1" s="21" t="inlineStr">
        <is>
          <t>ID spettacolo</t>
        </is>
      </c>
      <c r="B1" s="21" t="inlineStr">
        <is>
          <t>Data</t>
        </is>
      </c>
      <c r="C1" s="21" t="inlineStr">
        <is>
          <t>Ora</t>
        </is>
      </c>
      <c r="D1" s="21" t="inlineStr">
        <is>
          <t>Settore</t>
        </is>
      </c>
      <c r="E1" s="21" t="inlineStr">
        <is>
          <t>Codice titolo</t>
        </is>
      </c>
      <c r="F1" s="21" t="inlineStr">
        <is>
          <t>Descrizione tariffa</t>
        </is>
      </c>
      <c r="G1" s="21" t="inlineStr">
        <is>
          <t>Prezzo unitario</t>
        </is>
      </c>
      <c r="H1" s="21" t="inlineStr">
        <is>
          <t>N° auto (titoli emessi)</t>
        </is>
      </c>
      <c r="I1" s="21" t="inlineStr">
        <is>
          <t>N° annullati</t>
        </is>
      </c>
      <c r="J1" s="21" t="inlineStr">
        <is>
          <t>Incasso lordo</t>
        </is>
      </c>
      <c r="K1" s="21" t="inlineStr">
        <is>
          <t>Prevendita</t>
        </is>
      </c>
      <c r="L1" s="21" t="inlineStr">
        <is>
          <t>Imponibile IVA</t>
        </is>
      </c>
      <c r="M1" s="21" t="inlineStr">
        <is>
          <t>IVA</t>
        </is>
      </c>
      <c r="N1" s="21" t="inlineStr">
        <is>
          <t>Mese C1 di origine</t>
        </is>
      </c>
      <c r="O1" s="21" t="inlineStr">
        <is>
          <t>Persone per auto</t>
        </is>
      </c>
      <c r="P1" s="21" t="inlineStr">
        <is>
          <t>Persone</t>
        </is>
      </c>
    </row>
    <row r="2">
      <c r="A2" s="22" t="inlineStr">
        <is>
          <t>20261023_2015</t>
        </is>
      </c>
      <c r="B2" s="9" t="n">
        <v>46318</v>
      </c>
      <c r="C2" s="10" t="n">
        <v>0.84375</v>
      </c>
      <c r="D2" s="22" t="inlineStr">
        <is>
          <t>UN Unico</t>
        </is>
      </c>
      <c r="E2" s="22" t="inlineStr">
        <is>
          <t>I8</t>
        </is>
      </c>
      <c r="F2" s="22">
        <f>IFERROR(INDEX(Tariffe!$B$2:$B$200,MATCH(E2,Tariffe!$A$2:$A$200,0)),"DA DEFINIRE")</f>
        <v/>
      </c>
      <c r="G2" s="12" t="n">
        <v>24</v>
      </c>
      <c r="H2" s="11" t="n">
        <v>5</v>
      </c>
      <c r="I2" s="11" t="n">
        <v>0</v>
      </c>
      <c r="J2" s="12" t="n">
        <v>120</v>
      </c>
      <c r="K2" s="12" t="n">
        <v>0</v>
      </c>
      <c r="L2" s="12" t="n">
        <v>109.1</v>
      </c>
      <c r="M2" s="12" t="n">
        <v>10.9</v>
      </c>
      <c r="N2" s="22" t="inlineStr">
        <is>
          <t>10/2026</t>
        </is>
      </c>
      <c r="O2" s="11">
        <f>IFERROR(INDEX(Tariffe!$D$2:$D$200,MATCH(E2,Tariffe!$A$2:$A$200,0))*1,0)</f>
        <v/>
      </c>
      <c r="P2" s="11">
        <f>H2*O2</f>
        <v/>
      </c>
    </row>
    <row r="3">
      <c r="A3" s="23" t="inlineStr">
        <is>
          <t>20261023_2115</t>
        </is>
      </c>
      <c r="B3" s="13" t="n">
        <v>46318</v>
      </c>
      <c r="C3" s="14" t="n">
        <v>0.8854166666666666</v>
      </c>
      <c r="D3" s="23" t="inlineStr">
        <is>
          <t>UN Unico</t>
        </is>
      </c>
      <c r="E3" s="23" t="inlineStr">
        <is>
          <t>I1</t>
        </is>
      </c>
      <c r="F3" s="23">
        <f>IFERROR(INDEX(Tariffe!$B$2:$B$200,MATCH(E3,Tariffe!$A$2:$A$200,0)),"DA DEFINIRE")</f>
        <v/>
      </c>
      <c r="G3" s="16" t="n">
        <v>48</v>
      </c>
      <c r="H3" s="15" t="n">
        <v>5</v>
      </c>
      <c r="I3" s="15" t="n">
        <v>1</v>
      </c>
      <c r="J3" s="16" t="n">
        <v>240</v>
      </c>
      <c r="K3" s="16" t="n">
        <v>0</v>
      </c>
      <c r="L3" s="16" t="n">
        <v>218.2</v>
      </c>
      <c r="M3" s="16" t="n">
        <v>21.8</v>
      </c>
      <c r="N3" s="23" t="inlineStr">
        <is>
          <t>10/2026</t>
        </is>
      </c>
      <c r="O3" s="15">
        <f>IFERROR(INDEX(Tariffe!$D$2:$D$200,MATCH(E3,Tariffe!$A$2:$A$200,0))*1,0)</f>
        <v/>
      </c>
      <c r="P3" s="15">
        <f>H3*O3</f>
        <v/>
      </c>
    </row>
    <row r="4">
      <c r="A4" s="22" t="inlineStr">
        <is>
          <t>20261023_2115</t>
        </is>
      </c>
      <c r="B4" s="9" t="n">
        <v>46318</v>
      </c>
      <c r="C4" s="10" t="n">
        <v>0.8854166666666666</v>
      </c>
      <c r="D4" s="22" t="inlineStr">
        <is>
          <t>UN Unico</t>
        </is>
      </c>
      <c r="E4" s="22" t="inlineStr">
        <is>
          <t>I2</t>
        </is>
      </c>
      <c r="F4" s="22">
        <f>IFERROR(INDEX(Tariffe!$B$2:$B$200,MATCH(E4,Tariffe!$A$2:$A$200,0)),"DA DEFINIRE")</f>
        <v/>
      </c>
      <c r="G4" s="12" t="n">
        <v>36</v>
      </c>
      <c r="H4" s="11" t="n">
        <v>1</v>
      </c>
      <c r="I4" s="11" t="n">
        <v>0</v>
      </c>
      <c r="J4" s="12" t="n">
        <v>36</v>
      </c>
      <c r="K4" s="12" t="n">
        <v>0</v>
      </c>
      <c r="L4" s="12" t="n">
        <v>32.73</v>
      </c>
      <c r="M4" s="12" t="n">
        <v>3.27</v>
      </c>
      <c r="N4" s="22" t="inlineStr">
        <is>
          <t>10/2026</t>
        </is>
      </c>
      <c r="O4" s="11">
        <f>IFERROR(INDEX(Tariffe!$D$2:$D$200,MATCH(E4,Tariffe!$A$2:$A$200,0))*1,0)</f>
        <v/>
      </c>
      <c r="P4" s="11">
        <f>H4*O4</f>
        <v/>
      </c>
    </row>
    <row r="5">
      <c r="A5" s="23" t="inlineStr">
        <is>
          <t>20261023_2115</t>
        </is>
      </c>
      <c r="B5" s="13" t="n">
        <v>46318</v>
      </c>
      <c r="C5" s="14" t="n">
        <v>0.8854166666666666</v>
      </c>
      <c r="D5" s="23" t="inlineStr">
        <is>
          <t>UN Unico</t>
        </is>
      </c>
      <c r="E5" s="23" t="inlineStr">
        <is>
          <t>I5</t>
        </is>
      </c>
      <c r="F5" s="23">
        <f>IFERROR(INDEX(Tariffe!$B$2:$B$200,MATCH(E5,Tariffe!$A$2:$A$200,0)),"DA DEFINIRE")</f>
        <v/>
      </c>
      <c r="G5" s="16" t="n">
        <v>60</v>
      </c>
      <c r="H5" s="15" t="n">
        <v>1</v>
      </c>
      <c r="I5" s="15" t="n">
        <v>0</v>
      </c>
      <c r="J5" s="16" t="n">
        <v>60</v>
      </c>
      <c r="K5" s="16" t="n">
        <v>0</v>
      </c>
      <c r="L5" s="16" t="n">
        <v>54.55</v>
      </c>
      <c r="M5" s="16" t="n">
        <v>5.45</v>
      </c>
      <c r="N5" s="23" t="inlineStr">
        <is>
          <t>10/2026</t>
        </is>
      </c>
      <c r="O5" s="15">
        <f>IFERROR(INDEX(Tariffe!$D$2:$D$200,MATCH(E5,Tariffe!$A$2:$A$200,0))*1,0)</f>
        <v/>
      </c>
      <c r="P5" s="15">
        <f>H5*O5</f>
        <v/>
      </c>
    </row>
    <row r="6">
      <c r="A6" s="22" t="inlineStr">
        <is>
          <t>20261023_2115</t>
        </is>
      </c>
      <c r="B6" s="9" t="n">
        <v>46318</v>
      </c>
      <c r="C6" s="10" t="n">
        <v>0.8854166666666666</v>
      </c>
      <c r="D6" s="22" t="inlineStr">
        <is>
          <t>UN Unico</t>
        </is>
      </c>
      <c r="E6" s="22" t="inlineStr">
        <is>
          <t>I8</t>
        </is>
      </c>
      <c r="F6" s="22">
        <f>IFERROR(INDEX(Tariffe!$B$2:$B$200,MATCH(E6,Tariffe!$A$2:$A$200,0)),"DA DEFINIRE")</f>
        <v/>
      </c>
      <c r="G6" s="12" t="n">
        <v>24</v>
      </c>
      <c r="H6" s="11" t="n">
        <v>10</v>
      </c>
      <c r="I6" s="11" t="n">
        <v>0</v>
      </c>
      <c r="J6" s="12" t="n">
        <v>240</v>
      </c>
      <c r="K6" s="12" t="n">
        <v>0</v>
      </c>
      <c r="L6" s="12" t="n">
        <v>218.2</v>
      </c>
      <c r="M6" s="12" t="n">
        <v>21.8</v>
      </c>
      <c r="N6" s="22" t="inlineStr">
        <is>
          <t>10/2026</t>
        </is>
      </c>
      <c r="O6" s="11">
        <f>IFERROR(INDEX(Tariffe!$D$2:$D$200,MATCH(E6,Tariffe!$A$2:$A$200,0))*1,0)</f>
        <v/>
      </c>
      <c r="P6" s="11">
        <f>H6*O6</f>
        <v/>
      </c>
    </row>
    <row r="7">
      <c r="A7" s="23" t="inlineStr">
        <is>
          <t>20261023_2215</t>
        </is>
      </c>
      <c r="B7" s="13" t="n">
        <v>46318</v>
      </c>
      <c r="C7" s="14" t="n">
        <v>0.9270833333333334</v>
      </c>
      <c r="D7" s="23" t="inlineStr">
        <is>
          <t>UN Unico</t>
        </is>
      </c>
      <c r="E7" s="23" t="inlineStr">
        <is>
          <t>I1</t>
        </is>
      </c>
      <c r="F7" s="23">
        <f>IFERROR(INDEX(Tariffe!$B$2:$B$200,MATCH(E7,Tariffe!$A$2:$A$200,0)),"DA DEFINIRE")</f>
        <v/>
      </c>
      <c r="G7" s="16" t="n">
        <v>48</v>
      </c>
      <c r="H7" s="15" t="n">
        <v>9</v>
      </c>
      <c r="I7" s="15" t="n">
        <v>0</v>
      </c>
      <c r="J7" s="16" t="n">
        <v>432</v>
      </c>
      <c r="K7" s="16" t="n">
        <v>0</v>
      </c>
      <c r="L7" s="16" t="n">
        <v>392.76</v>
      </c>
      <c r="M7" s="16" t="n">
        <v>39.24</v>
      </c>
      <c r="N7" s="23" t="inlineStr">
        <is>
          <t>10/2026</t>
        </is>
      </c>
      <c r="O7" s="15">
        <f>IFERROR(INDEX(Tariffe!$D$2:$D$200,MATCH(E7,Tariffe!$A$2:$A$200,0))*1,0)</f>
        <v/>
      </c>
      <c r="P7" s="15">
        <f>H7*O7</f>
        <v/>
      </c>
    </row>
    <row r="8">
      <c r="A8" s="22" t="inlineStr">
        <is>
          <t>20261023_2215</t>
        </is>
      </c>
      <c r="B8" s="9" t="n">
        <v>46318</v>
      </c>
      <c r="C8" s="10" t="n">
        <v>0.9270833333333334</v>
      </c>
      <c r="D8" s="22" t="inlineStr">
        <is>
          <t>UN Unico</t>
        </is>
      </c>
      <c r="E8" s="22" t="inlineStr">
        <is>
          <t>I2</t>
        </is>
      </c>
      <c r="F8" s="22">
        <f>IFERROR(INDEX(Tariffe!$B$2:$B$200,MATCH(E8,Tariffe!$A$2:$A$200,0)),"DA DEFINIRE")</f>
        <v/>
      </c>
      <c r="G8" s="12" t="n">
        <v>36</v>
      </c>
      <c r="H8" s="11" t="n">
        <v>2</v>
      </c>
      <c r="I8" s="11" t="n">
        <v>0</v>
      </c>
      <c r="J8" s="12" t="n">
        <v>72</v>
      </c>
      <c r="K8" s="12" t="n">
        <v>0</v>
      </c>
      <c r="L8" s="12" t="n">
        <v>65.45999999999999</v>
      </c>
      <c r="M8" s="12" t="n">
        <v>6.54</v>
      </c>
      <c r="N8" s="22" t="inlineStr">
        <is>
          <t>10/2026</t>
        </is>
      </c>
      <c r="O8" s="11">
        <f>IFERROR(INDEX(Tariffe!$D$2:$D$200,MATCH(E8,Tariffe!$A$2:$A$200,0))*1,0)</f>
        <v/>
      </c>
      <c r="P8" s="11">
        <f>H8*O8</f>
        <v/>
      </c>
    </row>
    <row r="9">
      <c r="A9" s="23" t="inlineStr">
        <is>
          <t>20261023_2215</t>
        </is>
      </c>
      <c r="B9" s="13" t="n">
        <v>46318</v>
      </c>
      <c r="C9" s="14" t="n">
        <v>0.9270833333333334</v>
      </c>
      <c r="D9" s="23" t="inlineStr">
        <is>
          <t>UN Unico</t>
        </is>
      </c>
      <c r="E9" s="23" t="inlineStr">
        <is>
          <t>I5</t>
        </is>
      </c>
      <c r="F9" s="23">
        <f>IFERROR(INDEX(Tariffe!$B$2:$B$200,MATCH(E9,Tariffe!$A$2:$A$200,0)),"DA DEFINIRE")</f>
        <v/>
      </c>
      <c r="G9" s="16" t="n">
        <v>60</v>
      </c>
      <c r="H9" s="15" t="n">
        <v>1</v>
      </c>
      <c r="I9" s="15" t="n">
        <v>0</v>
      </c>
      <c r="J9" s="16" t="n">
        <v>60</v>
      </c>
      <c r="K9" s="16" t="n">
        <v>0</v>
      </c>
      <c r="L9" s="16" t="n">
        <v>54.55</v>
      </c>
      <c r="M9" s="16" t="n">
        <v>5.45</v>
      </c>
      <c r="N9" s="23" t="inlineStr">
        <is>
          <t>10/2026</t>
        </is>
      </c>
      <c r="O9" s="15">
        <f>IFERROR(INDEX(Tariffe!$D$2:$D$200,MATCH(E9,Tariffe!$A$2:$A$200,0))*1,0)</f>
        <v/>
      </c>
      <c r="P9" s="15">
        <f>H9*O9</f>
        <v/>
      </c>
    </row>
    <row r="10">
      <c r="A10" s="22" t="inlineStr">
        <is>
          <t>20261023_2215</t>
        </is>
      </c>
      <c r="B10" s="9" t="n">
        <v>46318</v>
      </c>
      <c r="C10" s="10" t="n">
        <v>0.9270833333333334</v>
      </c>
      <c r="D10" s="22" t="inlineStr">
        <is>
          <t>UN Unico</t>
        </is>
      </c>
      <c r="E10" s="22" t="inlineStr">
        <is>
          <t>I8</t>
        </is>
      </c>
      <c r="F10" s="22">
        <f>IFERROR(INDEX(Tariffe!$B$2:$B$200,MATCH(E10,Tariffe!$A$2:$A$200,0)),"DA DEFINIRE")</f>
        <v/>
      </c>
      <c r="G10" s="12" t="n">
        <v>24</v>
      </c>
      <c r="H10" s="11" t="n">
        <v>7</v>
      </c>
      <c r="I10" s="11" t="n">
        <v>0</v>
      </c>
      <c r="J10" s="12" t="n">
        <v>168</v>
      </c>
      <c r="K10" s="12" t="n">
        <v>0</v>
      </c>
      <c r="L10" s="12" t="n">
        <v>152.74</v>
      </c>
      <c r="M10" s="12" t="n">
        <v>15.26</v>
      </c>
      <c r="N10" s="22" t="inlineStr">
        <is>
          <t>10/2026</t>
        </is>
      </c>
      <c r="O10" s="11">
        <f>IFERROR(INDEX(Tariffe!$D$2:$D$200,MATCH(E10,Tariffe!$A$2:$A$200,0))*1,0)</f>
        <v/>
      </c>
      <c r="P10" s="11">
        <f>H10*O10</f>
        <v/>
      </c>
    </row>
    <row r="11">
      <c r="A11" s="23" t="inlineStr">
        <is>
          <t>20261023_2315</t>
        </is>
      </c>
      <c r="B11" s="13" t="n">
        <v>46318</v>
      </c>
      <c r="C11" s="14" t="n">
        <v>0.96875</v>
      </c>
      <c r="D11" s="23" t="inlineStr">
        <is>
          <t>UN Unico</t>
        </is>
      </c>
      <c r="E11" s="23" t="inlineStr">
        <is>
          <t>I1</t>
        </is>
      </c>
      <c r="F11" s="23">
        <f>IFERROR(INDEX(Tariffe!$B$2:$B$200,MATCH(E11,Tariffe!$A$2:$A$200,0)),"DA DEFINIRE")</f>
        <v/>
      </c>
      <c r="G11" s="16" t="n">
        <v>48</v>
      </c>
      <c r="H11" s="15" t="n">
        <v>4</v>
      </c>
      <c r="I11" s="15" t="n">
        <v>1</v>
      </c>
      <c r="J11" s="16" t="n">
        <v>192</v>
      </c>
      <c r="K11" s="16" t="n">
        <v>0</v>
      </c>
      <c r="L11" s="16" t="n">
        <v>174.56</v>
      </c>
      <c r="M11" s="16" t="n">
        <v>17.44</v>
      </c>
      <c r="N11" s="23" t="inlineStr">
        <is>
          <t>10/2026</t>
        </is>
      </c>
      <c r="O11" s="15">
        <f>IFERROR(INDEX(Tariffe!$D$2:$D$200,MATCH(E11,Tariffe!$A$2:$A$200,0))*1,0)</f>
        <v/>
      </c>
      <c r="P11" s="15">
        <f>H11*O11</f>
        <v/>
      </c>
    </row>
    <row r="12">
      <c r="A12" s="22" t="inlineStr">
        <is>
          <t>20261023_2315</t>
        </is>
      </c>
      <c r="B12" s="9" t="n">
        <v>46318</v>
      </c>
      <c r="C12" s="10" t="n">
        <v>0.96875</v>
      </c>
      <c r="D12" s="22" t="inlineStr">
        <is>
          <t>UN Unico</t>
        </is>
      </c>
      <c r="E12" s="22" t="inlineStr">
        <is>
          <t>I2</t>
        </is>
      </c>
      <c r="F12" s="22">
        <f>IFERROR(INDEX(Tariffe!$B$2:$B$200,MATCH(E12,Tariffe!$A$2:$A$200,0)),"DA DEFINIRE")</f>
        <v/>
      </c>
      <c r="G12" s="12" t="n">
        <v>36</v>
      </c>
      <c r="H12" s="11" t="n">
        <v>3</v>
      </c>
      <c r="I12" s="11" t="n">
        <v>0</v>
      </c>
      <c r="J12" s="12" t="n">
        <v>108</v>
      </c>
      <c r="K12" s="12" t="n">
        <v>0</v>
      </c>
      <c r="L12" s="12" t="n">
        <v>98.19</v>
      </c>
      <c r="M12" s="12" t="n">
        <v>9.81</v>
      </c>
      <c r="N12" s="22" t="inlineStr">
        <is>
          <t>10/2026</t>
        </is>
      </c>
      <c r="O12" s="11">
        <f>IFERROR(INDEX(Tariffe!$D$2:$D$200,MATCH(E12,Tariffe!$A$2:$A$200,0))*1,0)</f>
        <v/>
      </c>
      <c r="P12" s="11">
        <f>H12*O12</f>
        <v/>
      </c>
    </row>
    <row r="13">
      <c r="A13" s="23" t="inlineStr">
        <is>
          <t>20261023_2315</t>
        </is>
      </c>
      <c r="B13" s="13" t="n">
        <v>46318</v>
      </c>
      <c r="C13" s="14" t="n">
        <v>0.96875</v>
      </c>
      <c r="D13" s="23" t="inlineStr">
        <is>
          <t>UN Unico</t>
        </is>
      </c>
      <c r="E13" s="23" t="inlineStr">
        <is>
          <t>I5</t>
        </is>
      </c>
      <c r="F13" s="23">
        <f>IFERROR(INDEX(Tariffe!$B$2:$B$200,MATCH(E13,Tariffe!$A$2:$A$200,0)),"DA DEFINIRE")</f>
        <v/>
      </c>
      <c r="G13" s="16" t="n">
        <v>60</v>
      </c>
      <c r="H13" s="15" t="n">
        <v>1</v>
      </c>
      <c r="I13" s="15" t="n">
        <v>0</v>
      </c>
      <c r="J13" s="16" t="n">
        <v>60</v>
      </c>
      <c r="K13" s="16" t="n">
        <v>0</v>
      </c>
      <c r="L13" s="16" t="n">
        <v>54.55</v>
      </c>
      <c r="M13" s="16" t="n">
        <v>5.45</v>
      </c>
      <c r="N13" s="23" t="inlineStr">
        <is>
          <t>10/2026</t>
        </is>
      </c>
      <c r="O13" s="15">
        <f>IFERROR(INDEX(Tariffe!$D$2:$D$200,MATCH(E13,Tariffe!$A$2:$A$200,0))*1,0)</f>
        <v/>
      </c>
      <c r="P13" s="15">
        <f>H13*O13</f>
        <v/>
      </c>
    </row>
    <row r="14">
      <c r="A14" s="22" t="inlineStr">
        <is>
          <t>20261023_2315</t>
        </is>
      </c>
      <c r="B14" s="9" t="n">
        <v>46318</v>
      </c>
      <c r="C14" s="10" t="n">
        <v>0.96875</v>
      </c>
      <c r="D14" s="22" t="inlineStr">
        <is>
          <t>UN Unico</t>
        </is>
      </c>
      <c r="E14" s="22" t="inlineStr">
        <is>
          <t>I8</t>
        </is>
      </c>
      <c r="F14" s="22">
        <f>IFERROR(INDEX(Tariffe!$B$2:$B$200,MATCH(E14,Tariffe!$A$2:$A$200,0)),"DA DEFINIRE")</f>
        <v/>
      </c>
      <c r="G14" s="12" t="n">
        <v>24</v>
      </c>
      <c r="H14" s="11" t="n">
        <v>9</v>
      </c>
      <c r="I14" s="11" t="n">
        <v>0</v>
      </c>
      <c r="J14" s="12" t="n">
        <v>216</v>
      </c>
      <c r="K14" s="12" t="n">
        <v>0</v>
      </c>
      <c r="L14" s="12" t="n">
        <v>196.38</v>
      </c>
      <c r="M14" s="12" t="n">
        <v>19.62</v>
      </c>
      <c r="N14" s="22" t="inlineStr">
        <is>
          <t>10/2026</t>
        </is>
      </c>
      <c r="O14" s="11">
        <f>IFERROR(INDEX(Tariffe!$D$2:$D$200,MATCH(E14,Tariffe!$A$2:$A$200,0))*1,0)</f>
        <v/>
      </c>
      <c r="P14" s="11">
        <f>H14*O14</f>
        <v/>
      </c>
    </row>
    <row r="15">
      <c r="A15" s="23" t="inlineStr">
        <is>
          <t>20261023_2358</t>
        </is>
      </c>
      <c r="B15" s="13" t="n">
        <v>46318</v>
      </c>
      <c r="C15" s="14" t="n">
        <v>0.9986111111111111</v>
      </c>
      <c r="D15" s="23" t="inlineStr">
        <is>
          <t>UN Unico</t>
        </is>
      </c>
      <c r="E15" s="23" t="inlineStr">
        <is>
          <t>I1</t>
        </is>
      </c>
      <c r="F15" s="23">
        <f>IFERROR(INDEX(Tariffe!$B$2:$B$200,MATCH(E15,Tariffe!$A$2:$A$200,0)),"DA DEFINIRE")</f>
        <v/>
      </c>
      <c r="G15" s="16" t="n">
        <v>48</v>
      </c>
      <c r="H15" s="15" t="n">
        <v>2</v>
      </c>
      <c r="I15" s="15" t="n">
        <v>0</v>
      </c>
      <c r="J15" s="16" t="n">
        <v>96</v>
      </c>
      <c r="K15" s="16" t="n">
        <v>0</v>
      </c>
      <c r="L15" s="16" t="n">
        <v>87.28</v>
      </c>
      <c r="M15" s="16" t="n">
        <v>8.720000000000001</v>
      </c>
      <c r="N15" s="23" t="inlineStr">
        <is>
          <t>10/2026</t>
        </is>
      </c>
      <c r="O15" s="15">
        <f>IFERROR(INDEX(Tariffe!$D$2:$D$200,MATCH(E15,Tariffe!$A$2:$A$200,0))*1,0)</f>
        <v/>
      </c>
      <c r="P15" s="15">
        <f>H15*O15</f>
        <v/>
      </c>
    </row>
    <row r="16">
      <c r="A16" s="22" t="inlineStr">
        <is>
          <t>20261023_2358</t>
        </is>
      </c>
      <c r="B16" s="9" t="n">
        <v>46318</v>
      </c>
      <c r="C16" s="10" t="n">
        <v>0.9986111111111111</v>
      </c>
      <c r="D16" s="22" t="inlineStr">
        <is>
          <t>UN Unico</t>
        </is>
      </c>
      <c r="E16" s="22" t="inlineStr">
        <is>
          <t>I2</t>
        </is>
      </c>
      <c r="F16" s="22">
        <f>IFERROR(INDEX(Tariffe!$B$2:$B$200,MATCH(E16,Tariffe!$A$2:$A$200,0)),"DA DEFINIRE")</f>
        <v/>
      </c>
      <c r="G16" s="12" t="n">
        <v>36</v>
      </c>
      <c r="H16" s="11" t="n">
        <v>1</v>
      </c>
      <c r="I16" s="11" t="n">
        <v>1</v>
      </c>
      <c r="J16" s="12" t="n">
        <v>36</v>
      </c>
      <c r="K16" s="12" t="n">
        <v>0</v>
      </c>
      <c r="L16" s="12" t="n">
        <v>32.73</v>
      </c>
      <c r="M16" s="12" t="n">
        <v>3.27</v>
      </c>
      <c r="N16" s="22" t="inlineStr">
        <is>
          <t>10/2026</t>
        </is>
      </c>
      <c r="O16" s="11">
        <f>IFERROR(INDEX(Tariffe!$D$2:$D$200,MATCH(E16,Tariffe!$A$2:$A$200,0))*1,0)</f>
        <v/>
      </c>
      <c r="P16" s="11">
        <f>H16*O16</f>
        <v/>
      </c>
    </row>
    <row r="17">
      <c r="A17" s="23" t="inlineStr">
        <is>
          <t>20261023_2358</t>
        </is>
      </c>
      <c r="B17" s="13" t="n">
        <v>46318</v>
      </c>
      <c r="C17" s="14" t="n">
        <v>0.9986111111111111</v>
      </c>
      <c r="D17" s="23" t="inlineStr">
        <is>
          <t>UN Unico</t>
        </is>
      </c>
      <c r="E17" s="23" t="inlineStr">
        <is>
          <t>I8</t>
        </is>
      </c>
      <c r="F17" s="23">
        <f>IFERROR(INDEX(Tariffe!$B$2:$B$200,MATCH(E17,Tariffe!$A$2:$A$200,0)),"DA DEFINIRE")</f>
        <v/>
      </c>
      <c r="G17" s="16" t="n">
        <v>24</v>
      </c>
      <c r="H17" s="15" t="n">
        <v>4</v>
      </c>
      <c r="I17" s="15" t="n">
        <v>0</v>
      </c>
      <c r="J17" s="16" t="n">
        <v>96</v>
      </c>
      <c r="K17" s="16" t="n">
        <v>0</v>
      </c>
      <c r="L17" s="16" t="n">
        <v>87.28</v>
      </c>
      <c r="M17" s="16" t="n">
        <v>8.720000000000001</v>
      </c>
      <c r="N17" s="23" t="inlineStr">
        <is>
          <t>10/2026</t>
        </is>
      </c>
      <c r="O17" s="15">
        <f>IFERROR(INDEX(Tariffe!$D$2:$D$200,MATCH(E17,Tariffe!$A$2:$A$200,0))*1,0)</f>
        <v/>
      </c>
      <c r="P17" s="15">
        <f>H17*O17</f>
        <v/>
      </c>
    </row>
    <row r="18">
      <c r="A18" s="22" t="inlineStr">
        <is>
          <t>20261024_2015</t>
        </is>
      </c>
      <c r="B18" s="9" t="n">
        <v>46319</v>
      </c>
      <c r="C18" s="10" t="n">
        <v>0.84375</v>
      </c>
      <c r="D18" s="22" t="inlineStr">
        <is>
          <t>UN Unico</t>
        </is>
      </c>
      <c r="E18" s="22" t="inlineStr">
        <is>
          <t>I1</t>
        </is>
      </c>
      <c r="F18" s="22">
        <f>IFERROR(INDEX(Tariffe!$B$2:$B$200,MATCH(E18,Tariffe!$A$2:$A$200,0)),"DA DEFINIRE")</f>
        <v/>
      </c>
      <c r="G18" s="12" t="n">
        <v>48</v>
      </c>
      <c r="H18" s="11" t="n">
        <v>1</v>
      </c>
      <c r="I18" s="11" t="n">
        <v>0</v>
      </c>
      <c r="J18" s="12" t="n">
        <v>48</v>
      </c>
      <c r="K18" s="12" t="n">
        <v>0</v>
      </c>
      <c r="L18" s="12" t="n">
        <v>43.64</v>
      </c>
      <c r="M18" s="12" t="n">
        <v>4.36</v>
      </c>
      <c r="N18" s="22" t="inlineStr">
        <is>
          <t>10/2026</t>
        </is>
      </c>
      <c r="O18" s="11">
        <f>IFERROR(INDEX(Tariffe!$D$2:$D$200,MATCH(E18,Tariffe!$A$2:$A$200,0))*1,0)</f>
        <v/>
      </c>
      <c r="P18" s="11">
        <f>H18*O18</f>
        <v/>
      </c>
    </row>
    <row r="19">
      <c r="A19" s="23" t="inlineStr">
        <is>
          <t>20261024_2015</t>
        </is>
      </c>
      <c r="B19" s="13" t="n">
        <v>46319</v>
      </c>
      <c r="C19" s="14" t="n">
        <v>0.84375</v>
      </c>
      <c r="D19" s="23" t="inlineStr">
        <is>
          <t>UN Unico</t>
        </is>
      </c>
      <c r="E19" s="23" t="inlineStr">
        <is>
          <t>I8</t>
        </is>
      </c>
      <c r="F19" s="23">
        <f>IFERROR(INDEX(Tariffe!$B$2:$B$200,MATCH(E19,Tariffe!$A$2:$A$200,0)),"DA DEFINIRE")</f>
        <v/>
      </c>
      <c r="G19" s="16" t="n">
        <v>24</v>
      </c>
      <c r="H19" s="15" t="n">
        <v>3</v>
      </c>
      <c r="I19" s="15" t="n">
        <v>0</v>
      </c>
      <c r="J19" s="16" t="n">
        <v>72</v>
      </c>
      <c r="K19" s="16" t="n">
        <v>0</v>
      </c>
      <c r="L19" s="16" t="n">
        <v>65.45999999999999</v>
      </c>
      <c r="M19" s="16" t="n">
        <v>6.54</v>
      </c>
      <c r="N19" s="23" t="inlineStr">
        <is>
          <t>10/2026</t>
        </is>
      </c>
      <c r="O19" s="15">
        <f>IFERROR(INDEX(Tariffe!$D$2:$D$200,MATCH(E19,Tariffe!$A$2:$A$200,0))*1,0)</f>
        <v/>
      </c>
      <c r="P19" s="15">
        <f>H19*O19</f>
        <v/>
      </c>
    </row>
    <row r="20">
      <c r="A20" s="22" t="inlineStr">
        <is>
          <t>20261024_2115</t>
        </is>
      </c>
      <c r="B20" s="9" t="n">
        <v>46319</v>
      </c>
      <c r="C20" s="10" t="n">
        <v>0.8854166666666666</v>
      </c>
      <c r="D20" s="22" t="inlineStr">
        <is>
          <t>UN Unico</t>
        </is>
      </c>
      <c r="E20" s="22" t="inlineStr">
        <is>
          <t>I1</t>
        </is>
      </c>
      <c r="F20" s="22">
        <f>IFERROR(INDEX(Tariffe!$B$2:$B$200,MATCH(E20,Tariffe!$A$2:$A$200,0)),"DA DEFINIRE")</f>
        <v/>
      </c>
      <c r="G20" s="12" t="n">
        <v>48</v>
      </c>
      <c r="H20" s="11" t="n">
        <v>3</v>
      </c>
      <c r="I20" s="11" t="n">
        <v>0</v>
      </c>
      <c r="J20" s="12" t="n">
        <v>144</v>
      </c>
      <c r="K20" s="12" t="n">
        <v>0</v>
      </c>
      <c r="L20" s="12" t="n">
        <v>130.92</v>
      </c>
      <c r="M20" s="12" t="n">
        <v>13.08</v>
      </c>
      <c r="N20" s="22" t="inlineStr">
        <is>
          <t>10/2026</t>
        </is>
      </c>
      <c r="O20" s="11">
        <f>IFERROR(INDEX(Tariffe!$D$2:$D$200,MATCH(E20,Tariffe!$A$2:$A$200,0))*1,0)</f>
        <v/>
      </c>
      <c r="P20" s="11">
        <f>H20*O20</f>
        <v/>
      </c>
    </row>
    <row r="21">
      <c r="A21" s="23" t="inlineStr">
        <is>
          <t>20261024_2115</t>
        </is>
      </c>
      <c r="B21" s="13" t="n">
        <v>46319</v>
      </c>
      <c r="C21" s="14" t="n">
        <v>0.8854166666666666</v>
      </c>
      <c r="D21" s="23" t="inlineStr">
        <is>
          <t>UN Unico</t>
        </is>
      </c>
      <c r="E21" s="23" t="inlineStr">
        <is>
          <t>I2</t>
        </is>
      </c>
      <c r="F21" s="23">
        <f>IFERROR(INDEX(Tariffe!$B$2:$B$200,MATCH(E21,Tariffe!$A$2:$A$200,0)),"DA DEFINIRE")</f>
        <v/>
      </c>
      <c r="G21" s="16" t="n">
        <v>36</v>
      </c>
      <c r="H21" s="15" t="n">
        <v>1</v>
      </c>
      <c r="I21" s="15" t="n">
        <v>0</v>
      </c>
      <c r="J21" s="16" t="n">
        <v>36</v>
      </c>
      <c r="K21" s="16" t="n">
        <v>0</v>
      </c>
      <c r="L21" s="16" t="n">
        <v>32.73</v>
      </c>
      <c r="M21" s="16" t="n">
        <v>3.27</v>
      </c>
      <c r="N21" s="23" t="inlineStr">
        <is>
          <t>10/2026</t>
        </is>
      </c>
      <c r="O21" s="15">
        <f>IFERROR(INDEX(Tariffe!$D$2:$D$200,MATCH(E21,Tariffe!$A$2:$A$200,0))*1,0)</f>
        <v/>
      </c>
      <c r="P21" s="15">
        <f>H21*O21</f>
        <v/>
      </c>
    </row>
    <row r="22">
      <c r="A22" s="22" t="inlineStr">
        <is>
          <t>20261024_2115</t>
        </is>
      </c>
      <c r="B22" s="9" t="n">
        <v>46319</v>
      </c>
      <c r="C22" s="10" t="n">
        <v>0.8854166666666666</v>
      </c>
      <c r="D22" s="22" t="inlineStr">
        <is>
          <t>UN Unico</t>
        </is>
      </c>
      <c r="E22" s="22" t="inlineStr">
        <is>
          <t>I5</t>
        </is>
      </c>
      <c r="F22" s="22">
        <f>IFERROR(INDEX(Tariffe!$B$2:$B$200,MATCH(E22,Tariffe!$A$2:$A$200,0)),"DA DEFINIRE")</f>
        <v/>
      </c>
      <c r="G22" s="12" t="n">
        <v>60</v>
      </c>
      <c r="H22" s="11" t="n">
        <v>1</v>
      </c>
      <c r="I22" s="11" t="n">
        <v>0</v>
      </c>
      <c r="J22" s="12" t="n">
        <v>60</v>
      </c>
      <c r="K22" s="12" t="n">
        <v>0</v>
      </c>
      <c r="L22" s="12" t="n">
        <v>54.55</v>
      </c>
      <c r="M22" s="12" t="n">
        <v>5.45</v>
      </c>
      <c r="N22" s="22" t="inlineStr">
        <is>
          <t>10/2026</t>
        </is>
      </c>
      <c r="O22" s="11">
        <f>IFERROR(INDEX(Tariffe!$D$2:$D$200,MATCH(E22,Tariffe!$A$2:$A$200,0))*1,0)</f>
        <v/>
      </c>
      <c r="P22" s="11">
        <f>H22*O22</f>
        <v/>
      </c>
    </row>
    <row r="23">
      <c r="A23" s="23" t="inlineStr">
        <is>
          <t>20261024_2115</t>
        </is>
      </c>
      <c r="B23" s="13" t="n">
        <v>46319</v>
      </c>
      <c r="C23" s="14" t="n">
        <v>0.8854166666666666</v>
      </c>
      <c r="D23" s="23" t="inlineStr">
        <is>
          <t>UN Unico</t>
        </is>
      </c>
      <c r="E23" s="23" t="inlineStr">
        <is>
          <t>I8</t>
        </is>
      </c>
      <c r="F23" s="23">
        <f>IFERROR(INDEX(Tariffe!$B$2:$B$200,MATCH(E23,Tariffe!$A$2:$A$200,0)),"DA DEFINIRE")</f>
        <v/>
      </c>
      <c r="G23" s="16" t="n">
        <v>24</v>
      </c>
      <c r="H23" s="15" t="n">
        <v>4</v>
      </c>
      <c r="I23" s="15" t="n">
        <v>0</v>
      </c>
      <c r="J23" s="16" t="n">
        <v>96</v>
      </c>
      <c r="K23" s="16" t="n">
        <v>0</v>
      </c>
      <c r="L23" s="16" t="n">
        <v>87.28</v>
      </c>
      <c r="M23" s="16" t="n">
        <v>8.720000000000001</v>
      </c>
      <c r="N23" s="23" t="inlineStr">
        <is>
          <t>10/2026</t>
        </is>
      </c>
      <c r="O23" s="15">
        <f>IFERROR(INDEX(Tariffe!$D$2:$D$200,MATCH(E23,Tariffe!$A$2:$A$200,0))*1,0)</f>
        <v/>
      </c>
      <c r="P23" s="15">
        <f>H23*O23</f>
        <v/>
      </c>
    </row>
    <row r="24">
      <c r="A24" s="22" t="inlineStr">
        <is>
          <t>20261024_2215</t>
        </is>
      </c>
      <c r="B24" s="9" t="n">
        <v>46319</v>
      </c>
      <c r="C24" s="10" t="n">
        <v>0.9270833333333334</v>
      </c>
      <c r="D24" s="22" t="inlineStr">
        <is>
          <t>UN Unico</t>
        </is>
      </c>
      <c r="E24" s="22" t="inlineStr">
        <is>
          <t>I1</t>
        </is>
      </c>
      <c r="F24" s="22">
        <f>IFERROR(INDEX(Tariffe!$B$2:$B$200,MATCH(E24,Tariffe!$A$2:$A$200,0)),"DA DEFINIRE")</f>
        <v/>
      </c>
      <c r="G24" s="12" t="n">
        <v>48</v>
      </c>
      <c r="H24" s="11" t="n">
        <v>4</v>
      </c>
      <c r="I24" s="11" t="n">
        <v>0</v>
      </c>
      <c r="J24" s="12" t="n">
        <v>192</v>
      </c>
      <c r="K24" s="12" t="n">
        <v>0</v>
      </c>
      <c r="L24" s="12" t="n">
        <v>174.56</v>
      </c>
      <c r="M24" s="12" t="n">
        <v>17.44</v>
      </c>
      <c r="N24" s="22" t="inlineStr">
        <is>
          <t>10/2026</t>
        </is>
      </c>
      <c r="O24" s="11">
        <f>IFERROR(INDEX(Tariffe!$D$2:$D$200,MATCH(E24,Tariffe!$A$2:$A$200,0))*1,0)</f>
        <v/>
      </c>
      <c r="P24" s="11">
        <f>H24*O24</f>
        <v/>
      </c>
    </row>
    <row r="25">
      <c r="A25" s="23" t="inlineStr">
        <is>
          <t>20261024_2215</t>
        </is>
      </c>
      <c r="B25" s="13" t="n">
        <v>46319</v>
      </c>
      <c r="C25" s="14" t="n">
        <v>0.9270833333333334</v>
      </c>
      <c r="D25" s="23" t="inlineStr">
        <is>
          <t>UN Unico</t>
        </is>
      </c>
      <c r="E25" s="23" t="inlineStr">
        <is>
          <t>I2</t>
        </is>
      </c>
      <c r="F25" s="23">
        <f>IFERROR(INDEX(Tariffe!$B$2:$B$200,MATCH(E25,Tariffe!$A$2:$A$200,0)),"DA DEFINIRE")</f>
        <v/>
      </c>
      <c r="G25" s="16" t="n">
        <v>36</v>
      </c>
      <c r="H25" s="15" t="n">
        <v>1</v>
      </c>
      <c r="I25" s="15" t="n">
        <v>0</v>
      </c>
      <c r="J25" s="16" t="n">
        <v>36</v>
      </c>
      <c r="K25" s="16" t="n">
        <v>0</v>
      </c>
      <c r="L25" s="16" t="n">
        <v>32.73</v>
      </c>
      <c r="M25" s="16" t="n">
        <v>3.27</v>
      </c>
      <c r="N25" s="23" t="inlineStr">
        <is>
          <t>10/2026</t>
        </is>
      </c>
      <c r="O25" s="15">
        <f>IFERROR(INDEX(Tariffe!$D$2:$D$200,MATCH(E25,Tariffe!$A$2:$A$200,0))*1,0)</f>
        <v/>
      </c>
      <c r="P25" s="15">
        <f>H25*O25</f>
        <v/>
      </c>
    </row>
    <row r="26">
      <c r="A26" s="22" t="inlineStr">
        <is>
          <t>20261024_2215</t>
        </is>
      </c>
      <c r="B26" s="9" t="n">
        <v>46319</v>
      </c>
      <c r="C26" s="10" t="n">
        <v>0.9270833333333334</v>
      </c>
      <c r="D26" s="22" t="inlineStr">
        <is>
          <t>UN Unico</t>
        </is>
      </c>
      <c r="E26" s="22" t="inlineStr">
        <is>
          <t>I8</t>
        </is>
      </c>
      <c r="F26" s="22">
        <f>IFERROR(INDEX(Tariffe!$B$2:$B$200,MATCH(E26,Tariffe!$A$2:$A$200,0)),"DA DEFINIRE")</f>
        <v/>
      </c>
      <c r="G26" s="12" t="n">
        <v>24</v>
      </c>
      <c r="H26" s="11" t="n">
        <v>10</v>
      </c>
      <c r="I26" s="11" t="n">
        <v>0</v>
      </c>
      <c r="J26" s="12" t="n">
        <v>240</v>
      </c>
      <c r="K26" s="12" t="n">
        <v>0</v>
      </c>
      <c r="L26" s="12" t="n">
        <v>218.2</v>
      </c>
      <c r="M26" s="12" t="n">
        <v>21.8</v>
      </c>
      <c r="N26" s="22" t="inlineStr">
        <is>
          <t>10/2026</t>
        </is>
      </c>
      <c r="O26" s="11">
        <f>IFERROR(INDEX(Tariffe!$D$2:$D$200,MATCH(E26,Tariffe!$A$2:$A$200,0))*1,0)</f>
        <v/>
      </c>
      <c r="P26" s="11">
        <f>H26*O26</f>
        <v/>
      </c>
    </row>
    <row r="27">
      <c r="A27" s="23" t="inlineStr">
        <is>
          <t>20261024_2315</t>
        </is>
      </c>
      <c r="B27" s="13" t="n">
        <v>46319</v>
      </c>
      <c r="C27" s="14" t="n">
        <v>0.96875</v>
      </c>
      <c r="D27" s="23" t="inlineStr">
        <is>
          <t>UN Unico</t>
        </is>
      </c>
      <c r="E27" s="23" t="inlineStr">
        <is>
          <t>I1</t>
        </is>
      </c>
      <c r="F27" s="23">
        <f>IFERROR(INDEX(Tariffe!$B$2:$B$200,MATCH(E27,Tariffe!$A$2:$A$200,0)),"DA DEFINIRE")</f>
        <v/>
      </c>
      <c r="G27" s="16" t="n">
        <v>48</v>
      </c>
      <c r="H27" s="15" t="n">
        <v>2</v>
      </c>
      <c r="I27" s="15" t="n">
        <v>0</v>
      </c>
      <c r="J27" s="16" t="n">
        <v>96</v>
      </c>
      <c r="K27" s="16" t="n">
        <v>0</v>
      </c>
      <c r="L27" s="16" t="n">
        <v>87.28</v>
      </c>
      <c r="M27" s="16" t="n">
        <v>8.720000000000001</v>
      </c>
      <c r="N27" s="23" t="inlineStr">
        <is>
          <t>10/2026</t>
        </is>
      </c>
      <c r="O27" s="15">
        <f>IFERROR(INDEX(Tariffe!$D$2:$D$200,MATCH(E27,Tariffe!$A$2:$A$200,0))*1,0)</f>
        <v/>
      </c>
      <c r="P27" s="15">
        <f>H27*O27</f>
        <v/>
      </c>
    </row>
    <row r="28">
      <c r="A28" s="22" t="inlineStr">
        <is>
          <t>20261024_2315</t>
        </is>
      </c>
      <c r="B28" s="9" t="n">
        <v>46319</v>
      </c>
      <c r="C28" s="10" t="n">
        <v>0.96875</v>
      </c>
      <c r="D28" s="22" t="inlineStr">
        <is>
          <t>UN Unico</t>
        </is>
      </c>
      <c r="E28" s="22" t="inlineStr">
        <is>
          <t>I2</t>
        </is>
      </c>
      <c r="F28" s="22">
        <f>IFERROR(INDEX(Tariffe!$B$2:$B$200,MATCH(E28,Tariffe!$A$2:$A$200,0)),"DA DEFINIRE")</f>
        <v/>
      </c>
      <c r="G28" s="12" t="n">
        <v>36</v>
      </c>
      <c r="H28" s="11" t="n">
        <v>1</v>
      </c>
      <c r="I28" s="11" t="n">
        <v>0</v>
      </c>
      <c r="J28" s="12" t="n">
        <v>36</v>
      </c>
      <c r="K28" s="12" t="n">
        <v>0</v>
      </c>
      <c r="L28" s="12" t="n">
        <v>32.73</v>
      </c>
      <c r="M28" s="12" t="n">
        <v>3.27</v>
      </c>
      <c r="N28" s="22" t="inlineStr">
        <is>
          <t>10/2026</t>
        </is>
      </c>
      <c r="O28" s="11">
        <f>IFERROR(INDEX(Tariffe!$D$2:$D$200,MATCH(E28,Tariffe!$A$2:$A$200,0))*1,0)</f>
        <v/>
      </c>
      <c r="P28" s="11">
        <f>H28*O28</f>
        <v/>
      </c>
    </row>
    <row r="29">
      <c r="A29" s="23" t="inlineStr">
        <is>
          <t>20261024_2315</t>
        </is>
      </c>
      <c r="B29" s="13" t="n">
        <v>46319</v>
      </c>
      <c r="C29" s="14" t="n">
        <v>0.96875</v>
      </c>
      <c r="D29" s="23" t="inlineStr">
        <is>
          <t>UN Unico</t>
        </is>
      </c>
      <c r="E29" s="23" t="inlineStr">
        <is>
          <t>I5</t>
        </is>
      </c>
      <c r="F29" s="23">
        <f>IFERROR(INDEX(Tariffe!$B$2:$B$200,MATCH(E29,Tariffe!$A$2:$A$200,0)),"DA DEFINIRE")</f>
        <v/>
      </c>
      <c r="G29" s="16" t="n">
        <v>60</v>
      </c>
      <c r="H29" s="15" t="n">
        <v>4</v>
      </c>
      <c r="I29" s="15" t="n">
        <v>0</v>
      </c>
      <c r="J29" s="16" t="n">
        <v>240</v>
      </c>
      <c r="K29" s="16" t="n">
        <v>0</v>
      </c>
      <c r="L29" s="16" t="n">
        <v>218.2</v>
      </c>
      <c r="M29" s="16" t="n">
        <v>21.8</v>
      </c>
      <c r="N29" s="23" t="inlineStr">
        <is>
          <t>10/2026</t>
        </is>
      </c>
      <c r="O29" s="15">
        <f>IFERROR(INDEX(Tariffe!$D$2:$D$200,MATCH(E29,Tariffe!$A$2:$A$200,0))*1,0)</f>
        <v/>
      </c>
      <c r="P29" s="15">
        <f>H29*O29</f>
        <v/>
      </c>
    </row>
    <row r="30">
      <c r="A30" s="22" t="inlineStr">
        <is>
          <t>20261024_2315</t>
        </is>
      </c>
      <c r="B30" s="9" t="n">
        <v>46319</v>
      </c>
      <c r="C30" s="10" t="n">
        <v>0.96875</v>
      </c>
      <c r="D30" s="22" t="inlineStr">
        <is>
          <t>UN Unico</t>
        </is>
      </c>
      <c r="E30" s="22" t="inlineStr">
        <is>
          <t>I8</t>
        </is>
      </c>
      <c r="F30" s="22">
        <f>IFERROR(INDEX(Tariffe!$B$2:$B$200,MATCH(E30,Tariffe!$A$2:$A$200,0)),"DA DEFINIRE")</f>
        <v/>
      </c>
      <c r="G30" s="12" t="n">
        <v>24</v>
      </c>
      <c r="H30" s="11" t="n">
        <v>5</v>
      </c>
      <c r="I30" s="11" t="n">
        <v>0</v>
      </c>
      <c r="J30" s="12" t="n">
        <v>120</v>
      </c>
      <c r="K30" s="12" t="n">
        <v>0</v>
      </c>
      <c r="L30" s="12" t="n">
        <v>109.1</v>
      </c>
      <c r="M30" s="12" t="n">
        <v>10.9</v>
      </c>
      <c r="N30" s="22" t="inlineStr">
        <is>
          <t>10/2026</t>
        </is>
      </c>
      <c r="O30" s="11">
        <f>IFERROR(INDEX(Tariffe!$D$2:$D$200,MATCH(E30,Tariffe!$A$2:$A$200,0))*1,0)</f>
        <v/>
      </c>
      <c r="P30" s="11">
        <f>H30*O30</f>
        <v/>
      </c>
    </row>
    <row r="31">
      <c r="A31" s="23" t="inlineStr">
        <is>
          <t>20261024_2359</t>
        </is>
      </c>
      <c r="B31" s="13" t="n">
        <v>46319</v>
      </c>
      <c r="C31" s="14" t="n">
        <v>0.9993055555555556</v>
      </c>
      <c r="D31" s="23" t="inlineStr">
        <is>
          <t>UN Unico</t>
        </is>
      </c>
      <c r="E31" s="23" t="inlineStr">
        <is>
          <t>I1</t>
        </is>
      </c>
      <c r="F31" s="23">
        <f>IFERROR(INDEX(Tariffe!$B$2:$B$200,MATCH(E31,Tariffe!$A$2:$A$200,0)),"DA DEFINIRE")</f>
        <v/>
      </c>
      <c r="G31" s="16" t="n">
        <v>48</v>
      </c>
      <c r="H31" s="15" t="n">
        <v>3</v>
      </c>
      <c r="I31" s="15" t="n">
        <v>0</v>
      </c>
      <c r="J31" s="16" t="n">
        <v>144</v>
      </c>
      <c r="K31" s="16" t="n">
        <v>0</v>
      </c>
      <c r="L31" s="16" t="n">
        <v>130.92</v>
      </c>
      <c r="M31" s="16" t="n">
        <v>13.08</v>
      </c>
      <c r="N31" s="23" t="inlineStr">
        <is>
          <t>10/2026</t>
        </is>
      </c>
      <c r="O31" s="15">
        <f>IFERROR(INDEX(Tariffe!$D$2:$D$200,MATCH(E31,Tariffe!$A$2:$A$200,0))*1,0)</f>
        <v/>
      </c>
      <c r="P31" s="15">
        <f>H31*O31</f>
        <v/>
      </c>
    </row>
    <row r="32">
      <c r="A32" s="22" t="inlineStr">
        <is>
          <t>20261024_2359</t>
        </is>
      </c>
      <c r="B32" s="9" t="n">
        <v>46319</v>
      </c>
      <c r="C32" s="10" t="n">
        <v>0.9993055555555556</v>
      </c>
      <c r="D32" s="22" t="inlineStr">
        <is>
          <t>UN Unico</t>
        </is>
      </c>
      <c r="E32" s="22" t="inlineStr">
        <is>
          <t>I8</t>
        </is>
      </c>
      <c r="F32" s="22">
        <f>IFERROR(INDEX(Tariffe!$B$2:$B$200,MATCH(E32,Tariffe!$A$2:$A$200,0)),"DA DEFINIRE")</f>
        <v/>
      </c>
      <c r="G32" s="12" t="n">
        <v>24</v>
      </c>
      <c r="H32" s="11" t="n">
        <v>3</v>
      </c>
      <c r="I32" s="11" t="n">
        <v>0</v>
      </c>
      <c r="J32" s="12" t="n">
        <v>72</v>
      </c>
      <c r="K32" s="12" t="n">
        <v>0</v>
      </c>
      <c r="L32" s="12" t="n">
        <v>65.45999999999999</v>
      </c>
      <c r="M32" s="12" t="n">
        <v>6.54</v>
      </c>
      <c r="N32" s="22" t="inlineStr">
        <is>
          <t>10/2026</t>
        </is>
      </c>
      <c r="O32" s="11">
        <f>IFERROR(INDEX(Tariffe!$D$2:$D$200,MATCH(E32,Tariffe!$A$2:$A$200,0))*1,0)</f>
        <v/>
      </c>
      <c r="P32" s="11">
        <f>H32*O32</f>
        <v/>
      </c>
    </row>
    <row r="33">
      <c r="A33" s="23" t="inlineStr">
        <is>
          <t>20261025_2015</t>
        </is>
      </c>
      <c r="B33" s="13" t="n">
        <v>46320</v>
      </c>
      <c r="C33" s="14" t="n">
        <v>0.84375</v>
      </c>
      <c r="D33" s="23" t="inlineStr">
        <is>
          <t>UN Unico</t>
        </is>
      </c>
      <c r="E33" s="23" t="inlineStr">
        <is>
          <t>I1</t>
        </is>
      </c>
      <c r="F33" s="23">
        <f>IFERROR(INDEX(Tariffe!$B$2:$B$200,MATCH(E33,Tariffe!$A$2:$A$200,0)),"DA DEFINIRE")</f>
        <v/>
      </c>
      <c r="G33" s="16" t="n">
        <v>48</v>
      </c>
      <c r="H33" s="15" t="n">
        <v>1</v>
      </c>
      <c r="I33" s="15" t="n">
        <v>0</v>
      </c>
      <c r="J33" s="16" t="n">
        <v>48</v>
      </c>
      <c r="K33" s="16" t="n">
        <v>0</v>
      </c>
      <c r="L33" s="16" t="n">
        <v>43.64</v>
      </c>
      <c r="M33" s="16" t="n">
        <v>4.36</v>
      </c>
      <c r="N33" s="23" t="inlineStr">
        <is>
          <t>10/2026</t>
        </is>
      </c>
      <c r="O33" s="15">
        <f>IFERROR(INDEX(Tariffe!$D$2:$D$200,MATCH(E33,Tariffe!$A$2:$A$200,0))*1,0)</f>
        <v/>
      </c>
      <c r="P33" s="15">
        <f>H33*O33</f>
        <v/>
      </c>
    </row>
    <row r="34">
      <c r="A34" s="22" t="inlineStr">
        <is>
          <t>20261025_2015</t>
        </is>
      </c>
      <c r="B34" s="9" t="n">
        <v>46320</v>
      </c>
      <c r="C34" s="10" t="n">
        <v>0.84375</v>
      </c>
      <c r="D34" s="22" t="inlineStr">
        <is>
          <t>UN Unico</t>
        </is>
      </c>
      <c r="E34" s="22" t="inlineStr">
        <is>
          <t>I2</t>
        </is>
      </c>
      <c r="F34" s="22">
        <f>IFERROR(INDEX(Tariffe!$B$2:$B$200,MATCH(E34,Tariffe!$A$2:$A$200,0)),"DA DEFINIRE")</f>
        <v/>
      </c>
      <c r="G34" s="12" t="n">
        <v>36</v>
      </c>
      <c r="H34" s="11" t="n">
        <v>1</v>
      </c>
      <c r="I34" s="11" t="n">
        <v>0</v>
      </c>
      <c r="J34" s="12" t="n">
        <v>36</v>
      </c>
      <c r="K34" s="12" t="n">
        <v>0</v>
      </c>
      <c r="L34" s="12" t="n">
        <v>32.73</v>
      </c>
      <c r="M34" s="12" t="n">
        <v>3.27</v>
      </c>
      <c r="N34" s="22" t="inlineStr">
        <is>
          <t>10/2026</t>
        </is>
      </c>
      <c r="O34" s="11">
        <f>IFERROR(INDEX(Tariffe!$D$2:$D$200,MATCH(E34,Tariffe!$A$2:$A$200,0))*1,0)</f>
        <v/>
      </c>
      <c r="P34" s="11">
        <f>H34*O34</f>
        <v/>
      </c>
    </row>
    <row r="35">
      <c r="A35" s="23" t="inlineStr">
        <is>
          <t>20261025_2015</t>
        </is>
      </c>
      <c r="B35" s="13" t="n">
        <v>46320</v>
      </c>
      <c r="C35" s="14" t="n">
        <v>0.84375</v>
      </c>
      <c r="D35" s="23" t="inlineStr">
        <is>
          <t>UN Unico</t>
        </is>
      </c>
      <c r="E35" s="23" t="inlineStr">
        <is>
          <t>I8</t>
        </is>
      </c>
      <c r="F35" s="23">
        <f>IFERROR(INDEX(Tariffe!$B$2:$B$200,MATCH(E35,Tariffe!$A$2:$A$200,0)),"DA DEFINIRE")</f>
        <v/>
      </c>
      <c r="G35" s="16" t="n">
        <v>24</v>
      </c>
      <c r="H35" s="15" t="n">
        <v>1</v>
      </c>
      <c r="I35" s="15" t="n">
        <v>0</v>
      </c>
      <c r="J35" s="16" t="n">
        <v>24</v>
      </c>
      <c r="K35" s="16" t="n">
        <v>0</v>
      </c>
      <c r="L35" s="16" t="n">
        <v>21.82</v>
      </c>
      <c r="M35" s="16" t="n">
        <v>2.18</v>
      </c>
      <c r="N35" s="23" t="inlineStr">
        <is>
          <t>10/2026</t>
        </is>
      </c>
      <c r="O35" s="15">
        <f>IFERROR(INDEX(Tariffe!$D$2:$D$200,MATCH(E35,Tariffe!$A$2:$A$200,0))*1,0)</f>
        <v/>
      </c>
      <c r="P35" s="15">
        <f>H35*O35</f>
        <v/>
      </c>
    </row>
    <row r="36">
      <c r="A36" s="22" t="inlineStr">
        <is>
          <t>20261025_2115</t>
        </is>
      </c>
      <c r="B36" s="9" t="n">
        <v>46320</v>
      </c>
      <c r="C36" s="10" t="n">
        <v>0.8854166666666666</v>
      </c>
      <c r="D36" s="22" t="inlineStr">
        <is>
          <t>UN Unico</t>
        </is>
      </c>
      <c r="E36" s="22" t="inlineStr">
        <is>
          <t>I1</t>
        </is>
      </c>
      <c r="F36" s="22">
        <f>IFERROR(INDEX(Tariffe!$B$2:$B$200,MATCH(E36,Tariffe!$A$2:$A$200,0)),"DA DEFINIRE")</f>
        <v/>
      </c>
      <c r="G36" s="12" t="n">
        <v>48</v>
      </c>
      <c r="H36" s="11" t="n">
        <v>2</v>
      </c>
      <c r="I36" s="11" t="n">
        <v>0</v>
      </c>
      <c r="J36" s="12" t="n">
        <v>96</v>
      </c>
      <c r="K36" s="12" t="n">
        <v>0</v>
      </c>
      <c r="L36" s="12" t="n">
        <v>87.28</v>
      </c>
      <c r="M36" s="12" t="n">
        <v>8.720000000000001</v>
      </c>
      <c r="N36" s="22" t="inlineStr">
        <is>
          <t>10/2026</t>
        </is>
      </c>
      <c r="O36" s="11">
        <f>IFERROR(INDEX(Tariffe!$D$2:$D$200,MATCH(E36,Tariffe!$A$2:$A$200,0))*1,0)</f>
        <v/>
      </c>
      <c r="P36" s="11">
        <f>H36*O36</f>
        <v/>
      </c>
    </row>
    <row r="37">
      <c r="A37" s="23" t="inlineStr">
        <is>
          <t>20261025_2115</t>
        </is>
      </c>
      <c r="B37" s="13" t="n">
        <v>46320</v>
      </c>
      <c r="C37" s="14" t="n">
        <v>0.8854166666666666</v>
      </c>
      <c r="D37" s="23" t="inlineStr">
        <is>
          <t>UN Unico</t>
        </is>
      </c>
      <c r="E37" s="23" t="inlineStr">
        <is>
          <t>I8</t>
        </is>
      </c>
      <c r="F37" s="23">
        <f>IFERROR(INDEX(Tariffe!$B$2:$B$200,MATCH(E37,Tariffe!$A$2:$A$200,0)),"DA DEFINIRE")</f>
        <v/>
      </c>
      <c r="G37" s="16" t="n">
        <v>24</v>
      </c>
      <c r="H37" s="15" t="n">
        <v>1</v>
      </c>
      <c r="I37" s="15" t="n">
        <v>0</v>
      </c>
      <c r="J37" s="16" t="n">
        <v>24</v>
      </c>
      <c r="K37" s="16" t="n">
        <v>0</v>
      </c>
      <c r="L37" s="16" t="n">
        <v>21.82</v>
      </c>
      <c r="M37" s="16" t="n">
        <v>2.18</v>
      </c>
      <c r="N37" s="23" t="inlineStr">
        <is>
          <t>10/2026</t>
        </is>
      </c>
      <c r="O37" s="15">
        <f>IFERROR(INDEX(Tariffe!$D$2:$D$200,MATCH(E37,Tariffe!$A$2:$A$200,0))*1,0)</f>
        <v/>
      </c>
      <c r="P37" s="15">
        <f>H37*O37</f>
        <v/>
      </c>
    </row>
    <row r="38">
      <c r="A38" s="22" t="inlineStr">
        <is>
          <t>20261025_2215</t>
        </is>
      </c>
      <c r="B38" s="9" t="n">
        <v>46320</v>
      </c>
      <c r="C38" s="10" t="n">
        <v>0.9270833333333334</v>
      </c>
      <c r="D38" s="22" t="inlineStr">
        <is>
          <t>UN Unico</t>
        </is>
      </c>
      <c r="E38" s="22" t="inlineStr">
        <is>
          <t>I1</t>
        </is>
      </c>
      <c r="F38" s="22">
        <f>IFERROR(INDEX(Tariffe!$B$2:$B$200,MATCH(E38,Tariffe!$A$2:$A$200,0)),"DA DEFINIRE")</f>
        <v/>
      </c>
      <c r="G38" s="12" t="n">
        <v>48</v>
      </c>
      <c r="H38" s="11" t="n">
        <v>1</v>
      </c>
      <c r="I38" s="11" t="n">
        <v>0</v>
      </c>
      <c r="J38" s="12" t="n">
        <v>48</v>
      </c>
      <c r="K38" s="12" t="n">
        <v>0</v>
      </c>
      <c r="L38" s="12" t="n">
        <v>43.64</v>
      </c>
      <c r="M38" s="12" t="n">
        <v>4.36</v>
      </c>
      <c r="N38" s="22" t="inlineStr">
        <is>
          <t>10/2026</t>
        </is>
      </c>
      <c r="O38" s="11">
        <f>IFERROR(INDEX(Tariffe!$D$2:$D$200,MATCH(E38,Tariffe!$A$2:$A$200,0))*1,0)</f>
        <v/>
      </c>
      <c r="P38" s="11">
        <f>H38*O38</f>
        <v/>
      </c>
    </row>
    <row r="39">
      <c r="A39" s="23" t="inlineStr">
        <is>
          <t>20261025_2215</t>
        </is>
      </c>
      <c r="B39" s="13" t="n">
        <v>46320</v>
      </c>
      <c r="C39" s="14" t="n">
        <v>0.9270833333333334</v>
      </c>
      <c r="D39" s="23" t="inlineStr">
        <is>
          <t>UN Unico</t>
        </is>
      </c>
      <c r="E39" s="23" t="inlineStr">
        <is>
          <t>I8</t>
        </is>
      </c>
      <c r="F39" s="23">
        <f>IFERROR(INDEX(Tariffe!$B$2:$B$200,MATCH(E39,Tariffe!$A$2:$A$200,0)),"DA DEFINIRE")</f>
        <v/>
      </c>
      <c r="G39" s="16" t="n">
        <v>24</v>
      </c>
      <c r="H39" s="15" t="n">
        <v>4</v>
      </c>
      <c r="I39" s="15" t="n">
        <v>0</v>
      </c>
      <c r="J39" s="16" t="n">
        <v>96</v>
      </c>
      <c r="K39" s="16" t="n">
        <v>0</v>
      </c>
      <c r="L39" s="16" t="n">
        <v>87.28</v>
      </c>
      <c r="M39" s="16" t="n">
        <v>8.720000000000001</v>
      </c>
      <c r="N39" s="23" t="inlineStr">
        <is>
          <t>10/2026</t>
        </is>
      </c>
      <c r="O39" s="15">
        <f>IFERROR(INDEX(Tariffe!$D$2:$D$200,MATCH(E39,Tariffe!$A$2:$A$200,0))*1,0)</f>
        <v/>
      </c>
      <c r="P39" s="15">
        <f>H39*O39</f>
        <v/>
      </c>
    </row>
    <row r="40">
      <c r="A40" s="22" t="inlineStr">
        <is>
          <t>20261025_2315</t>
        </is>
      </c>
      <c r="B40" s="9" t="n">
        <v>46320</v>
      </c>
      <c r="C40" s="10" t="n">
        <v>0.96875</v>
      </c>
      <c r="D40" s="22" t="inlineStr">
        <is>
          <t>UN Unico</t>
        </is>
      </c>
      <c r="E40" s="22" t="inlineStr">
        <is>
          <t>I1</t>
        </is>
      </c>
      <c r="F40" s="22">
        <f>IFERROR(INDEX(Tariffe!$B$2:$B$200,MATCH(E40,Tariffe!$A$2:$A$200,0)),"DA DEFINIRE")</f>
        <v/>
      </c>
      <c r="G40" s="12" t="n">
        <v>48</v>
      </c>
      <c r="H40" s="11" t="n">
        <v>1</v>
      </c>
      <c r="I40" s="11" t="n">
        <v>0</v>
      </c>
      <c r="J40" s="12" t="n">
        <v>48</v>
      </c>
      <c r="K40" s="12" t="n">
        <v>0</v>
      </c>
      <c r="L40" s="12" t="n">
        <v>43.64</v>
      </c>
      <c r="M40" s="12" t="n">
        <v>4.36</v>
      </c>
      <c r="N40" s="22" t="inlineStr">
        <is>
          <t>10/2026</t>
        </is>
      </c>
      <c r="O40" s="11">
        <f>IFERROR(INDEX(Tariffe!$D$2:$D$200,MATCH(E40,Tariffe!$A$2:$A$200,0))*1,0)</f>
        <v/>
      </c>
      <c r="P40" s="11">
        <f>H40*O40</f>
        <v/>
      </c>
    </row>
    <row r="41">
      <c r="A41" s="23" t="inlineStr">
        <is>
          <t>20261025_2315</t>
        </is>
      </c>
      <c r="B41" s="13" t="n">
        <v>46320</v>
      </c>
      <c r="C41" s="14" t="n">
        <v>0.96875</v>
      </c>
      <c r="D41" s="23" t="inlineStr">
        <is>
          <t>UN Unico</t>
        </is>
      </c>
      <c r="E41" s="23" t="inlineStr">
        <is>
          <t>I8</t>
        </is>
      </c>
      <c r="F41" s="23">
        <f>IFERROR(INDEX(Tariffe!$B$2:$B$200,MATCH(E41,Tariffe!$A$2:$A$200,0)),"DA DEFINIRE")</f>
        <v/>
      </c>
      <c r="G41" s="16" t="n">
        <v>24</v>
      </c>
      <c r="H41" s="15" t="n">
        <v>2</v>
      </c>
      <c r="I41" s="15" t="n">
        <v>0</v>
      </c>
      <c r="J41" s="16" t="n">
        <v>48</v>
      </c>
      <c r="K41" s="16" t="n">
        <v>0</v>
      </c>
      <c r="L41" s="16" t="n">
        <v>43.64</v>
      </c>
      <c r="M41" s="16" t="n">
        <v>4.36</v>
      </c>
      <c r="N41" s="23" t="inlineStr">
        <is>
          <t>10/2026</t>
        </is>
      </c>
      <c r="O41" s="15">
        <f>IFERROR(INDEX(Tariffe!$D$2:$D$200,MATCH(E41,Tariffe!$A$2:$A$200,0))*1,0)</f>
        <v/>
      </c>
      <c r="P41" s="15">
        <f>H41*O41</f>
        <v/>
      </c>
    </row>
    <row r="42">
      <c r="A42" s="22" t="inlineStr">
        <is>
          <t>20261025_2359</t>
        </is>
      </c>
      <c r="B42" s="9" t="n">
        <v>46320</v>
      </c>
      <c r="C42" s="10" t="n">
        <v>0.9993055555555556</v>
      </c>
      <c r="D42" s="22" t="inlineStr">
        <is>
          <t>UN Unico</t>
        </is>
      </c>
      <c r="E42" s="22" t="inlineStr">
        <is>
          <t>I5</t>
        </is>
      </c>
      <c r="F42" s="22">
        <f>IFERROR(INDEX(Tariffe!$B$2:$B$200,MATCH(E42,Tariffe!$A$2:$A$200,0)),"DA DEFINIRE")</f>
        <v/>
      </c>
      <c r="G42" s="12" t="n">
        <v>60</v>
      </c>
      <c r="H42" s="11" t="n">
        <v>1</v>
      </c>
      <c r="I42" s="11" t="n">
        <v>0</v>
      </c>
      <c r="J42" s="12" t="n">
        <v>60</v>
      </c>
      <c r="K42" s="12" t="n">
        <v>0</v>
      </c>
      <c r="L42" s="12" t="n">
        <v>54.55</v>
      </c>
      <c r="M42" s="12" t="n">
        <v>5.45</v>
      </c>
      <c r="N42" s="22" t="inlineStr">
        <is>
          <t>10/2026</t>
        </is>
      </c>
      <c r="O42" s="11">
        <f>IFERROR(INDEX(Tariffe!$D$2:$D$200,MATCH(E42,Tariffe!$A$2:$A$200,0))*1,0)</f>
        <v/>
      </c>
      <c r="P42" s="11">
        <f>H42*O42</f>
        <v/>
      </c>
    </row>
    <row r="43">
      <c r="A43" s="23" t="inlineStr">
        <is>
          <t>20261025_2359</t>
        </is>
      </c>
      <c r="B43" s="13" t="n">
        <v>46320</v>
      </c>
      <c r="C43" s="14" t="n">
        <v>0.9993055555555556</v>
      </c>
      <c r="D43" s="23" t="inlineStr">
        <is>
          <t>UN Unico</t>
        </is>
      </c>
      <c r="E43" s="23" t="inlineStr">
        <is>
          <t>I8</t>
        </is>
      </c>
      <c r="F43" s="23">
        <f>IFERROR(INDEX(Tariffe!$B$2:$B$200,MATCH(E43,Tariffe!$A$2:$A$200,0)),"DA DEFINIRE")</f>
        <v/>
      </c>
      <c r="G43" s="16" t="n">
        <v>24</v>
      </c>
      <c r="H43" s="15" t="n">
        <v>1</v>
      </c>
      <c r="I43" s="15" t="n">
        <v>0</v>
      </c>
      <c r="J43" s="16" t="n">
        <v>24</v>
      </c>
      <c r="K43" s="16" t="n">
        <v>0</v>
      </c>
      <c r="L43" s="16" t="n">
        <v>21.82</v>
      </c>
      <c r="M43" s="16" t="n">
        <v>2.18</v>
      </c>
      <c r="N43" s="23" t="inlineStr">
        <is>
          <t>10/2026</t>
        </is>
      </c>
      <c r="O43" s="15">
        <f>IFERROR(INDEX(Tariffe!$D$2:$D$200,MATCH(E43,Tariffe!$A$2:$A$200,0))*1,0)</f>
        <v/>
      </c>
      <c r="P43" s="15">
        <f>H43*O43</f>
        <v/>
      </c>
    </row>
    <row r="44">
      <c r="A44" s="22" t="inlineStr">
        <is>
          <t>20261029_2015</t>
        </is>
      </c>
      <c r="B44" s="9" t="n">
        <v>46324</v>
      </c>
      <c r="C44" s="10" t="n">
        <v>0.84375</v>
      </c>
      <c r="D44" s="22" t="inlineStr">
        <is>
          <t>UN Unico</t>
        </is>
      </c>
      <c r="E44" s="22" t="inlineStr">
        <is>
          <t>I1</t>
        </is>
      </c>
      <c r="F44" s="22">
        <f>IFERROR(INDEX(Tariffe!$B$2:$B$200,MATCH(E44,Tariffe!$A$2:$A$200,0)),"DA DEFINIRE")</f>
        <v/>
      </c>
      <c r="G44" s="12" t="n">
        <v>48</v>
      </c>
      <c r="H44" s="11" t="n">
        <v>1</v>
      </c>
      <c r="I44" s="11" t="n">
        <v>0</v>
      </c>
      <c r="J44" s="12" t="n">
        <v>48</v>
      </c>
      <c r="K44" s="12" t="n">
        <v>0</v>
      </c>
      <c r="L44" s="12" t="n">
        <v>43.64</v>
      </c>
      <c r="M44" s="12" t="n">
        <v>4.36</v>
      </c>
      <c r="N44" s="22" t="inlineStr">
        <is>
          <t>10/2026</t>
        </is>
      </c>
      <c r="O44" s="11">
        <f>IFERROR(INDEX(Tariffe!$D$2:$D$200,MATCH(E44,Tariffe!$A$2:$A$200,0))*1,0)</f>
        <v/>
      </c>
      <c r="P44" s="11">
        <f>H44*O44</f>
        <v/>
      </c>
    </row>
    <row r="45">
      <c r="A45" s="23" t="inlineStr">
        <is>
          <t>20261029_2015</t>
        </is>
      </c>
      <c r="B45" s="13" t="n">
        <v>46324</v>
      </c>
      <c r="C45" s="14" t="n">
        <v>0.84375</v>
      </c>
      <c r="D45" s="23" t="inlineStr">
        <is>
          <t>UN Unico</t>
        </is>
      </c>
      <c r="E45" s="23" t="inlineStr">
        <is>
          <t>I5</t>
        </is>
      </c>
      <c r="F45" s="23">
        <f>IFERROR(INDEX(Tariffe!$B$2:$B$200,MATCH(E45,Tariffe!$A$2:$A$200,0)),"DA DEFINIRE")</f>
        <v/>
      </c>
      <c r="G45" s="16" t="n">
        <v>60</v>
      </c>
      <c r="H45" s="15" t="n">
        <v>1</v>
      </c>
      <c r="I45" s="15" t="n">
        <v>0</v>
      </c>
      <c r="J45" s="16" t="n">
        <v>60</v>
      </c>
      <c r="K45" s="16" t="n">
        <v>0</v>
      </c>
      <c r="L45" s="16" t="n">
        <v>54.55</v>
      </c>
      <c r="M45" s="16" t="n">
        <v>5.45</v>
      </c>
      <c r="N45" s="23" t="inlineStr">
        <is>
          <t>10/2026</t>
        </is>
      </c>
      <c r="O45" s="15">
        <f>IFERROR(INDEX(Tariffe!$D$2:$D$200,MATCH(E45,Tariffe!$A$2:$A$200,0))*1,0)</f>
        <v/>
      </c>
      <c r="P45" s="15">
        <f>H45*O45</f>
        <v/>
      </c>
    </row>
    <row r="46">
      <c r="A46" s="22" t="inlineStr">
        <is>
          <t>20261029_2015</t>
        </is>
      </c>
      <c r="B46" s="9" t="n">
        <v>46324</v>
      </c>
      <c r="C46" s="10" t="n">
        <v>0.84375</v>
      </c>
      <c r="D46" s="22" t="inlineStr">
        <is>
          <t>UN Unico</t>
        </is>
      </c>
      <c r="E46" s="22" t="inlineStr">
        <is>
          <t>I8</t>
        </is>
      </c>
      <c r="F46" s="22">
        <f>IFERROR(INDEX(Tariffe!$B$2:$B$200,MATCH(E46,Tariffe!$A$2:$A$200,0)),"DA DEFINIRE")</f>
        <v/>
      </c>
      <c r="G46" s="12" t="n">
        <v>24</v>
      </c>
      <c r="H46" s="11" t="n">
        <v>1</v>
      </c>
      <c r="I46" s="11" t="n">
        <v>0</v>
      </c>
      <c r="J46" s="12" t="n">
        <v>24</v>
      </c>
      <c r="K46" s="12" t="n">
        <v>0</v>
      </c>
      <c r="L46" s="12" t="n">
        <v>21.82</v>
      </c>
      <c r="M46" s="12" t="n">
        <v>2.18</v>
      </c>
      <c r="N46" s="22" t="inlineStr">
        <is>
          <t>10/2026</t>
        </is>
      </c>
      <c r="O46" s="11">
        <f>IFERROR(INDEX(Tariffe!$D$2:$D$200,MATCH(E46,Tariffe!$A$2:$A$200,0))*1,0)</f>
        <v/>
      </c>
      <c r="P46" s="11">
        <f>H46*O46</f>
        <v/>
      </c>
    </row>
    <row r="47">
      <c r="A47" s="23" t="inlineStr">
        <is>
          <t>20261029_2115</t>
        </is>
      </c>
      <c r="B47" s="13" t="n">
        <v>46324</v>
      </c>
      <c r="C47" s="14" t="n">
        <v>0.8854166666666666</v>
      </c>
      <c r="D47" s="23" t="inlineStr">
        <is>
          <t>UN Unico</t>
        </is>
      </c>
      <c r="E47" s="23" t="inlineStr">
        <is>
          <t>I8</t>
        </is>
      </c>
      <c r="F47" s="23">
        <f>IFERROR(INDEX(Tariffe!$B$2:$B$200,MATCH(E47,Tariffe!$A$2:$A$200,0)),"DA DEFINIRE")</f>
        <v/>
      </c>
      <c r="G47" s="16" t="n">
        <v>24</v>
      </c>
      <c r="H47" s="15" t="n">
        <v>1</v>
      </c>
      <c r="I47" s="15" t="n">
        <v>0</v>
      </c>
      <c r="J47" s="16" t="n">
        <v>24</v>
      </c>
      <c r="K47" s="16" t="n">
        <v>0</v>
      </c>
      <c r="L47" s="16" t="n">
        <v>21.82</v>
      </c>
      <c r="M47" s="16" t="n">
        <v>2.18</v>
      </c>
      <c r="N47" s="23" t="inlineStr">
        <is>
          <t>10/2026</t>
        </is>
      </c>
      <c r="O47" s="15">
        <f>IFERROR(INDEX(Tariffe!$D$2:$D$200,MATCH(E47,Tariffe!$A$2:$A$200,0))*1,0)</f>
        <v/>
      </c>
      <c r="P47" s="15">
        <f>H47*O47</f>
        <v/>
      </c>
    </row>
    <row r="48">
      <c r="A48" s="22" t="inlineStr">
        <is>
          <t>20261029_2215</t>
        </is>
      </c>
      <c r="B48" s="9" t="n">
        <v>46324</v>
      </c>
      <c r="C48" s="10" t="n">
        <v>0.9270833333333334</v>
      </c>
      <c r="D48" s="22" t="inlineStr">
        <is>
          <t>UN Unico</t>
        </is>
      </c>
      <c r="E48" s="22" t="inlineStr">
        <is>
          <t>I1</t>
        </is>
      </c>
      <c r="F48" s="22">
        <f>IFERROR(INDEX(Tariffe!$B$2:$B$200,MATCH(E48,Tariffe!$A$2:$A$200,0)),"DA DEFINIRE")</f>
        <v/>
      </c>
      <c r="G48" s="12" t="n">
        <v>48</v>
      </c>
      <c r="H48" s="11" t="n">
        <v>3</v>
      </c>
      <c r="I48" s="11" t="n">
        <v>0</v>
      </c>
      <c r="J48" s="12" t="n">
        <v>144</v>
      </c>
      <c r="K48" s="12" t="n">
        <v>0</v>
      </c>
      <c r="L48" s="12" t="n">
        <v>130.92</v>
      </c>
      <c r="M48" s="12" t="n">
        <v>13.08</v>
      </c>
      <c r="N48" s="22" t="inlineStr">
        <is>
          <t>10/2026</t>
        </is>
      </c>
      <c r="O48" s="11">
        <f>IFERROR(INDEX(Tariffe!$D$2:$D$200,MATCH(E48,Tariffe!$A$2:$A$200,0))*1,0)</f>
        <v/>
      </c>
      <c r="P48" s="11">
        <f>H48*O48</f>
        <v/>
      </c>
    </row>
    <row r="49">
      <c r="A49" s="23" t="inlineStr">
        <is>
          <t>20261029_2215</t>
        </is>
      </c>
      <c r="B49" s="13" t="n">
        <v>46324</v>
      </c>
      <c r="C49" s="14" t="n">
        <v>0.9270833333333334</v>
      </c>
      <c r="D49" s="23" t="inlineStr">
        <is>
          <t>UN Unico</t>
        </is>
      </c>
      <c r="E49" s="23" t="inlineStr">
        <is>
          <t>I2</t>
        </is>
      </c>
      <c r="F49" s="23">
        <f>IFERROR(INDEX(Tariffe!$B$2:$B$200,MATCH(E49,Tariffe!$A$2:$A$200,0)),"DA DEFINIRE")</f>
        <v/>
      </c>
      <c r="G49" s="16" t="n">
        <v>36</v>
      </c>
      <c r="H49" s="15" t="n">
        <v>1</v>
      </c>
      <c r="I49" s="15" t="n">
        <v>0</v>
      </c>
      <c r="J49" s="16" t="n">
        <v>36</v>
      </c>
      <c r="K49" s="16" t="n">
        <v>0</v>
      </c>
      <c r="L49" s="16" t="n">
        <v>32.73</v>
      </c>
      <c r="M49" s="16" t="n">
        <v>3.27</v>
      </c>
      <c r="N49" s="23" t="inlineStr">
        <is>
          <t>10/2026</t>
        </is>
      </c>
      <c r="O49" s="15">
        <f>IFERROR(INDEX(Tariffe!$D$2:$D$200,MATCH(E49,Tariffe!$A$2:$A$200,0))*1,0)</f>
        <v/>
      </c>
      <c r="P49" s="15">
        <f>H49*O49</f>
        <v/>
      </c>
    </row>
    <row r="50">
      <c r="A50" s="22" t="inlineStr">
        <is>
          <t>20261029_2215</t>
        </is>
      </c>
      <c r="B50" s="9" t="n">
        <v>46324</v>
      </c>
      <c r="C50" s="10" t="n">
        <v>0.9270833333333334</v>
      </c>
      <c r="D50" s="22" t="inlineStr">
        <is>
          <t>UN Unico</t>
        </is>
      </c>
      <c r="E50" s="22" t="inlineStr">
        <is>
          <t>I8</t>
        </is>
      </c>
      <c r="F50" s="22">
        <f>IFERROR(INDEX(Tariffe!$B$2:$B$200,MATCH(E50,Tariffe!$A$2:$A$200,0)),"DA DEFINIRE")</f>
        <v/>
      </c>
      <c r="G50" s="12" t="n">
        <v>24</v>
      </c>
      <c r="H50" s="11" t="n">
        <v>5</v>
      </c>
      <c r="I50" s="11" t="n">
        <v>0</v>
      </c>
      <c r="J50" s="12" t="n">
        <v>120</v>
      </c>
      <c r="K50" s="12" t="n">
        <v>0</v>
      </c>
      <c r="L50" s="12" t="n">
        <v>109.1</v>
      </c>
      <c r="M50" s="12" t="n">
        <v>10.9</v>
      </c>
      <c r="N50" s="22" t="inlineStr">
        <is>
          <t>10/2026</t>
        </is>
      </c>
      <c r="O50" s="11">
        <f>IFERROR(INDEX(Tariffe!$D$2:$D$200,MATCH(E50,Tariffe!$A$2:$A$200,0))*1,0)</f>
        <v/>
      </c>
      <c r="P50" s="11">
        <f>H50*O50</f>
        <v/>
      </c>
    </row>
    <row r="51">
      <c r="A51" s="23" t="inlineStr">
        <is>
          <t>20261029_2315</t>
        </is>
      </c>
      <c r="B51" s="13" t="n">
        <v>46324</v>
      </c>
      <c r="C51" s="14" t="n">
        <v>0.96875</v>
      </c>
      <c r="D51" s="23" t="inlineStr">
        <is>
          <t>UN Unico</t>
        </is>
      </c>
      <c r="E51" s="23" t="inlineStr">
        <is>
          <t>I1</t>
        </is>
      </c>
      <c r="F51" s="23">
        <f>IFERROR(INDEX(Tariffe!$B$2:$B$200,MATCH(E51,Tariffe!$A$2:$A$200,0)),"DA DEFINIRE")</f>
        <v/>
      </c>
      <c r="G51" s="16" t="n">
        <v>48</v>
      </c>
      <c r="H51" s="15" t="n">
        <v>4</v>
      </c>
      <c r="I51" s="15" t="n">
        <v>0</v>
      </c>
      <c r="J51" s="16" t="n">
        <v>192</v>
      </c>
      <c r="K51" s="16" t="n">
        <v>0</v>
      </c>
      <c r="L51" s="16" t="n">
        <v>174.56</v>
      </c>
      <c r="M51" s="16" t="n">
        <v>17.44</v>
      </c>
      <c r="N51" s="23" t="inlineStr">
        <is>
          <t>10/2026</t>
        </is>
      </c>
      <c r="O51" s="15">
        <f>IFERROR(INDEX(Tariffe!$D$2:$D$200,MATCH(E51,Tariffe!$A$2:$A$200,0))*1,0)</f>
        <v/>
      </c>
      <c r="P51" s="15">
        <f>H51*O51</f>
        <v/>
      </c>
    </row>
    <row r="52">
      <c r="A52" s="22" t="inlineStr">
        <is>
          <t>20261029_2315</t>
        </is>
      </c>
      <c r="B52" s="9" t="n">
        <v>46324</v>
      </c>
      <c r="C52" s="10" t="n">
        <v>0.96875</v>
      </c>
      <c r="D52" s="22" t="inlineStr">
        <is>
          <t>UN Unico</t>
        </is>
      </c>
      <c r="E52" s="22" t="inlineStr">
        <is>
          <t>I5</t>
        </is>
      </c>
      <c r="F52" s="22">
        <f>IFERROR(INDEX(Tariffe!$B$2:$B$200,MATCH(E52,Tariffe!$A$2:$A$200,0)),"DA DEFINIRE")</f>
        <v/>
      </c>
      <c r="G52" s="12" t="n">
        <v>60</v>
      </c>
      <c r="H52" s="11" t="n">
        <v>2</v>
      </c>
      <c r="I52" s="11" t="n">
        <v>0</v>
      </c>
      <c r="J52" s="12" t="n">
        <v>120</v>
      </c>
      <c r="K52" s="12" t="n">
        <v>0</v>
      </c>
      <c r="L52" s="12" t="n">
        <v>109.1</v>
      </c>
      <c r="M52" s="12" t="n">
        <v>10.9</v>
      </c>
      <c r="N52" s="22" t="inlineStr">
        <is>
          <t>10/2026</t>
        </is>
      </c>
      <c r="O52" s="11">
        <f>IFERROR(INDEX(Tariffe!$D$2:$D$200,MATCH(E52,Tariffe!$A$2:$A$200,0))*1,0)</f>
        <v/>
      </c>
      <c r="P52" s="11">
        <f>H52*O52</f>
        <v/>
      </c>
    </row>
    <row r="53">
      <c r="A53" s="23" t="inlineStr">
        <is>
          <t>20261029_2359</t>
        </is>
      </c>
      <c r="B53" s="13" t="n">
        <v>46324</v>
      </c>
      <c r="C53" s="14" t="n">
        <v>0.9993055555555556</v>
      </c>
      <c r="D53" s="23" t="inlineStr">
        <is>
          <t>UN Unico</t>
        </is>
      </c>
      <c r="E53" s="23" t="inlineStr">
        <is>
          <t>I8</t>
        </is>
      </c>
      <c r="F53" s="23">
        <f>IFERROR(INDEX(Tariffe!$B$2:$B$200,MATCH(E53,Tariffe!$A$2:$A$200,0)),"DA DEFINIRE")</f>
        <v/>
      </c>
      <c r="G53" s="16" t="n">
        <v>24</v>
      </c>
      <c r="H53" s="15" t="n">
        <v>1</v>
      </c>
      <c r="I53" s="15" t="n">
        <v>0</v>
      </c>
      <c r="J53" s="16" t="n">
        <v>24</v>
      </c>
      <c r="K53" s="16" t="n">
        <v>0</v>
      </c>
      <c r="L53" s="16" t="n">
        <v>21.82</v>
      </c>
      <c r="M53" s="16" t="n">
        <v>2.18</v>
      </c>
      <c r="N53" s="23" t="inlineStr">
        <is>
          <t>10/2026</t>
        </is>
      </c>
      <c r="O53" s="15">
        <f>IFERROR(INDEX(Tariffe!$D$2:$D$200,MATCH(E53,Tariffe!$A$2:$A$200,0))*1,0)</f>
        <v/>
      </c>
      <c r="P53" s="15">
        <f>H53*O53</f>
        <v/>
      </c>
    </row>
    <row r="54">
      <c r="A54" s="22" t="inlineStr">
        <is>
          <t>20261030_2015</t>
        </is>
      </c>
      <c r="B54" s="9" t="n">
        <v>46325</v>
      </c>
      <c r="C54" s="10" t="n">
        <v>0.84375</v>
      </c>
      <c r="D54" s="22" t="inlineStr">
        <is>
          <t>UN Unico</t>
        </is>
      </c>
      <c r="E54" s="22" t="inlineStr">
        <is>
          <t>I1</t>
        </is>
      </c>
      <c r="F54" s="22">
        <f>IFERROR(INDEX(Tariffe!$B$2:$B$200,MATCH(E54,Tariffe!$A$2:$A$200,0)),"DA DEFINIRE")</f>
        <v/>
      </c>
      <c r="G54" s="12" t="n">
        <v>48</v>
      </c>
      <c r="H54" s="11" t="n">
        <v>1</v>
      </c>
      <c r="I54" s="11" t="n">
        <v>0</v>
      </c>
      <c r="J54" s="12" t="n">
        <v>48</v>
      </c>
      <c r="K54" s="12" t="n">
        <v>0</v>
      </c>
      <c r="L54" s="12" t="n">
        <v>43.64</v>
      </c>
      <c r="M54" s="12" t="n">
        <v>4.36</v>
      </c>
      <c r="N54" s="22" t="inlineStr">
        <is>
          <t>10/2026</t>
        </is>
      </c>
      <c r="O54" s="11">
        <f>IFERROR(INDEX(Tariffe!$D$2:$D$200,MATCH(E54,Tariffe!$A$2:$A$200,0))*1,0)</f>
        <v/>
      </c>
      <c r="P54" s="11">
        <f>H54*O54</f>
        <v/>
      </c>
    </row>
    <row r="55">
      <c r="A55" s="23" t="inlineStr">
        <is>
          <t>20261030_2015</t>
        </is>
      </c>
      <c r="B55" s="13" t="n">
        <v>46325</v>
      </c>
      <c r="C55" s="14" t="n">
        <v>0.84375</v>
      </c>
      <c r="D55" s="23" t="inlineStr">
        <is>
          <t>UN Unico</t>
        </is>
      </c>
      <c r="E55" s="23" t="inlineStr">
        <is>
          <t>I8</t>
        </is>
      </c>
      <c r="F55" s="23">
        <f>IFERROR(INDEX(Tariffe!$B$2:$B$200,MATCH(E55,Tariffe!$A$2:$A$200,0)),"DA DEFINIRE")</f>
        <v/>
      </c>
      <c r="G55" s="16" t="n">
        <v>24</v>
      </c>
      <c r="H55" s="15" t="n">
        <v>1</v>
      </c>
      <c r="I55" s="15" t="n">
        <v>0</v>
      </c>
      <c r="J55" s="16" t="n">
        <v>24</v>
      </c>
      <c r="K55" s="16" t="n">
        <v>0</v>
      </c>
      <c r="L55" s="16" t="n">
        <v>21.82</v>
      </c>
      <c r="M55" s="16" t="n">
        <v>2.18</v>
      </c>
      <c r="N55" s="23" t="inlineStr">
        <is>
          <t>10/2026</t>
        </is>
      </c>
      <c r="O55" s="15">
        <f>IFERROR(INDEX(Tariffe!$D$2:$D$200,MATCH(E55,Tariffe!$A$2:$A$200,0))*1,0)</f>
        <v/>
      </c>
      <c r="P55" s="15">
        <f>H55*O55</f>
        <v/>
      </c>
    </row>
    <row r="56">
      <c r="A56" s="22" t="inlineStr">
        <is>
          <t>20261030_2115</t>
        </is>
      </c>
      <c r="B56" s="9" t="n">
        <v>46325</v>
      </c>
      <c r="C56" s="10" t="n">
        <v>0.8854166666666666</v>
      </c>
      <c r="D56" s="22" t="inlineStr">
        <is>
          <t>UN Unico</t>
        </is>
      </c>
      <c r="E56" s="22" t="inlineStr">
        <is>
          <t>I8</t>
        </is>
      </c>
      <c r="F56" s="22">
        <f>IFERROR(INDEX(Tariffe!$B$2:$B$200,MATCH(E56,Tariffe!$A$2:$A$200,0)),"DA DEFINIRE")</f>
        <v/>
      </c>
      <c r="G56" s="12" t="n">
        <v>24</v>
      </c>
      <c r="H56" s="11" t="n">
        <v>1</v>
      </c>
      <c r="I56" s="11" t="n">
        <v>0</v>
      </c>
      <c r="J56" s="12" t="n">
        <v>24</v>
      </c>
      <c r="K56" s="12" t="n">
        <v>0</v>
      </c>
      <c r="L56" s="12" t="n">
        <v>21.82</v>
      </c>
      <c r="M56" s="12" t="n">
        <v>2.18</v>
      </c>
      <c r="N56" s="22" t="inlineStr">
        <is>
          <t>10/2026</t>
        </is>
      </c>
      <c r="O56" s="11">
        <f>IFERROR(INDEX(Tariffe!$D$2:$D$200,MATCH(E56,Tariffe!$A$2:$A$200,0))*1,0)</f>
        <v/>
      </c>
      <c r="P56" s="11">
        <f>H56*O56</f>
        <v/>
      </c>
    </row>
    <row r="57">
      <c r="A57" s="23" t="inlineStr">
        <is>
          <t>20261030_2215</t>
        </is>
      </c>
      <c r="B57" s="13" t="n">
        <v>46325</v>
      </c>
      <c r="C57" s="14" t="n">
        <v>0.9270833333333334</v>
      </c>
      <c r="D57" s="23" t="inlineStr">
        <is>
          <t>UN Unico</t>
        </is>
      </c>
      <c r="E57" s="23" t="inlineStr">
        <is>
          <t>I1</t>
        </is>
      </c>
      <c r="F57" s="23">
        <f>IFERROR(INDEX(Tariffe!$B$2:$B$200,MATCH(E57,Tariffe!$A$2:$A$200,0)),"DA DEFINIRE")</f>
        <v/>
      </c>
      <c r="G57" s="16" t="n">
        <v>48</v>
      </c>
      <c r="H57" s="15" t="n">
        <v>2</v>
      </c>
      <c r="I57" s="15" t="n">
        <v>0</v>
      </c>
      <c r="J57" s="16" t="n">
        <v>96</v>
      </c>
      <c r="K57" s="16" t="n">
        <v>0</v>
      </c>
      <c r="L57" s="16" t="n">
        <v>87.28</v>
      </c>
      <c r="M57" s="16" t="n">
        <v>8.720000000000001</v>
      </c>
      <c r="N57" s="23" t="inlineStr">
        <is>
          <t>10/2026</t>
        </is>
      </c>
      <c r="O57" s="15">
        <f>IFERROR(INDEX(Tariffe!$D$2:$D$200,MATCH(E57,Tariffe!$A$2:$A$200,0))*1,0)</f>
        <v/>
      </c>
      <c r="P57" s="15">
        <f>H57*O57</f>
        <v/>
      </c>
    </row>
    <row r="58">
      <c r="A58" s="22" t="inlineStr">
        <is>
          <t>20261030_2215</t>
        </is>
      </c>
      <c r="B58" s="9" t="n">
        <v>46325</v>
      </c>
      <c r="C58" s="10" t="n">
        <v>0.9270833333333334</v>
      </c>
      <c r="D58" s="22" t="inlineStr">
        <is>
          <t>UN Unico</t>
        </is>
      </c>
      <c r="E58" s="22" t="inlineStr">
        <is>
          <t>I8</t>
        </is>
      </c>
      <c r="F58" s="22">
        <f>IFERROR(INDEX(Tariffe!$B$2:$B$200,MATCH(E58,Tariffe!$A$2:$A$200,0)),"DA DEFINIRE")</f>
        <v/>
      </c>
      <c r="G58" s="12" t="n">
        <v>24</v>
      </c>
      <c r="H58" s="11" t="n">
        <v>4</v>
      </c>
      <c r="I58" s="11" t="n">
        <v>3</v>
      </c>
      <c r="J58" s="12" t="n">
        <v>96</v>
      </c>
      <c r="K58" s="12" t="n">
        <v>0</v>
      </c>
      <c r="L58" s="12" t="n">
        <v>87.28</v>
      </c>
      <c r="M58" s="12" t="n">
        <v>8.720000000000001</v>
      </c>
      <c r="N58" s="22" t="inlineStr">
        <is>
          <t>10/2026</t>
        </is>
      </c>
      <c r="O58" s="11">
        <f>IFERROR(INDEX(Tariffe!$D$2:$D$200,MATCH(E58,Tariffe!$A$2:$A$200,0))*1,0)</f>
        <v/>
      </c>
      <c r="P58" s="11">
        <f>H58*O58</f>
        <v/>
      </c>
    </row>
    <row r="59">
      <c r="A59" s="23" t="inlineStr">
        <is>
          <t>20261030_2315</t>
        </is>
      </c>
      <c r="B59" s="13" t="n">
        <v>46325</v>
      </c>
      <c r="C59" s="14" t="n">
        <v>0.96875</v>
      </c>
      <c r="D59" s="23" t="inlineStr">
        <is>
          <t>UN Unico</t>
        </is>
      </c>
      <c r="E59" s="23" t="inlineStr">
        <is>
          <t>I1</t>
        </is>
      </c>
      <c r="F59" s="23">
        <f>IFERROR(INDEX(Tariffe!$B$2:$B$200,MATCH(E59,Tariffe!$A$2:$A$200,0)),"DA DEFINIRE")</f>
        <v/>
      </c>
      <c r="G59" s="16" t="n">
        <v>48</v>
      </c>
      <c r="H59" s="15" t="n">
        <v>3</v>
      </c>
      <c r="I59" s="15" t="n">
        <v>0</v>
      </c>
      <c r="J59" s="16" t="n">
        <v>144</v>
      </c>
      <c r="K59" s="16" t="n">
        <v>0</v>
      </c>
      <c r="L59" s="16" t="n">
        <v>130.92</v>
      </c>
      <c r="M59" s="16" t="n">
        <v>13.08</v>
      </c>
      <c r="N59" s="23" t="inlineStr">
        <is>
          <t>10/2026</t>
        </is>
      </c>
      <c r="O59" s="15">
        <f>IFERROR(INDEX(Tariffe!$D$2:$D$200,MATCH(E59,Tariffe!$A$2:$A$200,0))*1,0)</f>
        <v/>
      </c>
      <c r="P59" s="15">
        <f>H59*O59</f>
        <v/>
      </c>
    </row>
    <row r="60">
      <c r="A60" s="22" t="inlineStr">
        <is>
          <t>20261030_2315</t>
        </is>
      </c>
      <c r="B60" s="9" t="n">
        <v>46325</v>
      </c>
      <c r="C60" s="10" t="n">
        <v>0.96875</v>
      </c>
      <c r="D60" s="22" t="inlineStr">
        <is>
          <t>UN Unico</t>
        </is>
      </c>
      <c r="E60" s="22" t="inlineStr">
        <is>
          <t>I5</t>
        </is>
      </c>
      <c r="F60" s="22">
        <f>IFERROR(INDEX(Tariffe!$B$2:$B$200,MATCH(E60,Tariffe!$A$2:$A$200,0)),"DA DEFINIRE")</f>
        <v/>
      </c>
      <c r="G60" s="12" t="n">
        <v>60</v>
      </c>
      <c r="H60" s="11" t="n">
        <v>1</v>
      </c>
      <c r="I60" s="11" t="n">
        <v>0</v>
      </c>
      <c r="J60" s="12" t="n">
        <v>60</v>
      </c>
      <c r="K60" s="12" t="n">
        <v>0</v>
      </c>
      <c r="L60" s="12" t="n">
        <v>54.55</v>
      </c>
      <c r="M60" s="12" t="n">
        <v>5.45</v>
      </c>
      <c r="N60" s="22" t="inlineStr">
        <is>
          <t>10/2026</t>
        </is>
      </c>
      <c r="O60" s="11">
        <f>IFERROR(INDEX(Tariffe!$D$2:$D$200,MATCH(E60,Tariffe!$A$2:$A$200,0))*1,0)</f>
        <v/>
      </c>
      <c r="P60" s="11">
        <f>H60*O60</f>
        <v/>
      </c>
    </row>
    <row r="61">
      <c r="A61" s="23" t="inlineStr">
        <is>
          <t>20261030_2315</t>
        </is>
      </c>
      <c r="B61" s="13" t="n">
        <v>46325</v>
      </c>
      <c r="C61" s="14" t="n">
        <v>0.96875</v>
      </c>
      <c r="D61" s="23" t="inlineStr">
        <is>
          <t>UN Unico</t>
        </is>
      </c>
      <c r="E61" s="23" t="inlineStr">
        <is>
          <t>I8</t>
        </is>
      </c>
      <c r="F61" s="23">
        <f>IFERROR(INDEX(Tariffe!$B$2:$B$200,MATCH(E61,Tariffe!$A$2:$A$200,0)),"DA DEFINIRE")</f>
        <v/>
      </c>
      <c r="G61" s="16" t="n">
        <v>24</v>
      </c>
      <c r="H61" s="15" t="n">
        <v>2</v>
      </c>
      <c r="I61" s="15" t="n">
        <v>0</v>
      </c>
      <c r="J61" s="16" t="n">
        <v>48</v>
      </c>
      <c r="K61" s="16" t="n">
        <v>0</v>
      </c>
      <c r="L61" s="16" t="n">
        <v>43.64</v>
      </c>
      <c r="M61" s="16" t="n">
        <v>4.36</v>
      </c>
      <c r="N61" s="23" t="inlineStr">
        <is>
          <t>10/2026</t>
        </is>
      </c>
      <c r="O61" s="15">
        <f>IFERROR(INDEX(Tariffe!$D$2:$D$200,MATCH(E61,Tariffe!$A$2:$A$200,0))*1,0)</f>
        <v/>
      </c>
      <c r="P61" s="15">
        <f>H61*O61</f>
        <v/>
      </c>
    </row>
    <row r="62">
      <c r="A62" s="22" t="inlineStr">
        <is>
          <t>20261030_2359</t>
        </is>
      </c>
      <c r="B62" s="9" t="n">
        <v>46325</v>
      </c>
      <c r="C62" s="10" t="n">
        <v>0.9993055555555556</v>
      </c>
      <c r="D62" s="22" t="inlineStr">
        <is>
          <t>UN Unico</t>
        </is>
      </c>
      <c r="E62" s="22" t="inlineStr">
        <is>
          <t>I8</t>
        </is>
      </c>
      <c r="F62" s="22">
        <f>IFERROR(INDEX(Tariffe!$B$2:$B$200,MATCH(E62,Tariffe!$A$2:$A$200,0)),"DA DEFINIRE")</f>
        <v/>
      </c>
      <c r="G62" s="12" t="n">
        <v>24</v>
      </c>
      <c r="H62" s="11" t="n">
        <v>4</v>
      </c>
      <c r="I62" s="11" t="n">
        <v>0</v>
      </c>
      <c r="J62" s="12" t="n">
        <v>96</v>
      </c>
      <c r="K62" s="12" t="n">
        <v>0</v>
      </c>
      <c r="L62" s="12" t="n">
        <v>87.28</v>
      </c>
      <c r="M62" s="12" t="n">
        <v>8.720000000000001</v>
      </c>
      <c r="N62" s="22" t="inlineStr">
        <is>
          <t>10/2026</t>
        </is>
      </c>
      <c r="O62" s="11">
        <f>IFERROR(INDEX(Tariffe!$D$2:$D$200,MATCH(E62,Tariffe!$A$2:$A$200,0))*1,0)</f>
        <v/>
      </c>
      <c r="P62" s="11">
        <f>H62*O62</f>
        <v/>
      </c>
    </row>
    <row r="63">
      <c r="A63" s="23" t="inlineStr">
        <is>
          <t>20261031_2015</t>
        </is>
      </c>
      <c r="B63" s="13" t="n">
        <v>46326</v>
      </c>
      <c r="C63" s="14" t="n">
        <v>0.84375</v>
      </c>
      <c r="D63" s="23" t="inlineStr">
        <is>
          <t>UN Unico</t>
        </is>
      </c>
      <c r="E63" s="23" t="inlineStr">
        <is>
          <t>I5</t>
        </is>
      </c>
      <c r="F63" s="23">
        <f>IFERROR(INDEX(Tariffe!$B$2:$B$200,MATCH(E63,Tariffe!$A$2:$A$200,0)),"DA DEFINIRE")</f>
        <v/>
      </c>
      <c r="G63" s="16" t="n">
        <v>60</v>
      </c>
      <c r="H63" s="15" t="n">
        <v>1</v>
      </c>
      <c r="I63" s="15" t="n">
        <v>0</v>
      </c>
      <c r="J63" s="16" t="n">
        <v>60</v>
      </c>
      <c r="K63" s="16" t="n">
        <v>0</v>
      </c>
      <c r="L63" s="16" t="n">
        <v>54.55</v>
      </c>
      <c r="M63" s="16" t="n">
        <v>5.45</v>
      </c>
      <c r="N63" s="23" t="inlineStr">
        <is>
          <t>10/2026</t>
        </is>
      </c>
      <c r="O63" s="15">
        <f>IFERROR(INDEX(Tariffe!$D$2:$D$200,MATCH(E63,Tariffe!$A$2:$A$200,0))*1,0)</f>
        <v/>
      </c>
      <c r="P63" s="15">
        <f>H63*O63</f>
        <v/>
      </c>
    </row>
    <row r="64">
      <c r="A64" s="22" t="inlineStr">
        <is>
          <t>20261031_2015</t>
        </is>
      </c>
      <c r="B64" s="9" t="n">
        <v>46326</v>
      </c>
      <c r="C64" s="10" t="n">
        <v>0.84375</v>
      </c>
      <c r="D64" s="22" t="inlineStr">
        <is>
          <t>UN Unico</t>
        </is>
      </c>
      <c r="E64" s="22" t="inlineStr">
        <is>
          <t>I8</t>
        </is>
      </c>
      <c r="F64" s="22">
        <f>IFERROR(INDEX(Tariffe!$B$2:$B$200,MATCH(E64,Tariffe!$A$2:$A$200,0)),"DA DEFINIRE")</f>
        <v/>
      </c>
      <c r="G64" s="12" t="n">
        <v>24</v>
      </c>
      <c r="H64" s="11" t="n">
        <v>1</v>
      </c>
      <c r="I64" s="11" t="n">
        <v>0</v>
      </c>
      <c r="J64" s="12" t="n">
        <v>24</v>
      </c>
      <c r="K64" s="12" t="n">
        <v>0</v>
      </c>
      <c r="L64" s="12" t="n">
        <v>21.82</v>
      </c>
      <c r="M64" s="12" t="n">
        <v>2.18</v>
      </c>
      <c r="N64" s="22" t="inlineStr">
        <is>
          <t>10/2026</t>
        </is>
      </c>
      <c r="O64" s="11">
        <f>IFERROR(INDEX(Tariffe!$D$2:$D$200,MATCH(E64,Tariffe!$A$2:$A$200,0))*1,0)</f>
        <v/>
      </c>
      <c r="P64" s="11">
        <f>H64*O64</f>
        <v/>
      </c>
    </row>
    <row r="65">
      <c r="A65" s="23" t="inlineStr">
        <is>
          <t>20261031_2115</t>
        </is>
      </c>
      <c r="B65" s="13" t="n">
        <v>46326</v>
      </c>
      <c r="C65" s="14" t="n">
        <v>0.8854166666666666</v>
      </c>
      <c r="D65" s="23" t="inlineStr">
        <is>
          <t>UN Unico</t>
        </is>
      </c>
      <c r="E65" s="23" t="inlineStr">
        <is>
          <t>I1</t>
        </is>
      </c>
      <c r="F65" s="23">
        <f>IFERROR(INDEX(Tariffe!$B$2:$B$200,MATCH(E65,Tariffe!$A$2:$A$200,0)),"DA DEFINIRE")</f>
        <v/>
      </c>
      <c r="G65" s="16" t="n">
        <v>48</v>
      </c>
      <c r="H65" s="15" t="n">
        <v>1</v>
      </c>
      <c r="I65" s="15" t="n">
        <v>0</v>
      </c>
      <c r="J65" s="16" t="n">
        <v>48</v>
      </c>
      <c r="K65" s="16" t="n">
        <v>0</v>
      </c>
      <c r="L65" s="16" t="n">
        <v>43.64</v>
      </c>
      <c r="M65" s="16" t="n">
        <v>4.36</v>
      </c>
      <c r="N65" s="23" t="inlineStr">
        <is>
          <t>10/2026</t>
        </is>
      </c>
      <c r="O65" s="15">
        <f>IFERROR(INDEX(Tariffe!$D$2:$D$200,MATCH(E65,Tariffe!$A$2:$A$200,0))*1,0)</f>
        <v/>
      </c>
      <c r="P65" s="15">
        <f>H65*O65</f>
        <v/>
      </c>
    </row>
    <row r="66">
      <c r="A66" s="22" t="inlineStr">
        <is>
          <t>20261031_2115</t>
        </is>
      </c>
      <c r="B66" s="9" t="n">
        <v>46326</v>
      </c>
      <c r="C66" s="10" t="n">
        <v>0.8854166666666666</v>
      </c>
      <c r="D66" s="22" t="inlineStr">
        <is>
          <t>UN Unico</t>
        </is>
      </c>
      <c r="E66" s="22" t="inlineStr">
        <is>
          <t>I8</t>
        </is>
      </c>
      <c r="F66" s="22">
        <f>IFERROR(INDEX(Tariffe!$B$2:$B$200,MATCH(E66,Tariffe!$A$2:$A$200,0)),"DA DEFINIRE")</f>
        <v/>
      </c>
      <c r="G66" s="12" t="n">
        <v>24</v>
      </c>
      <c r="H66" s="11" t="n">
        <v>5</v>
      </c>
      <c r="I66" s="11" t="n">
        <v>0</v>
      </c>
      <c r="J66" s="12" t="n">
        <v>120</v>
      </c>
      <c r="K66" s="12" t="n">
        <v>0</v>
      </c>
      <c r="L66" s="12" t="n">
        <v>109.1</v>
      </c>
      <c r="M66" s="12" t="n">
        <v>10.9</v>
      </c>
      <c r="N66" s="22" t="inlineStr">
        <is>
          <t>10/2026</t>
        </is>
      </c>
      <c r="O66" s="11">
        <f>IFERROR(INDEX(Tariffe!$D$2:$D$200,MATCH(E66,Tariffe!$A$2:$A$200,0))*1,0)</f>
        <v/>
      </c>
      <c r="P66" s="11">
        <f>H66*O66</f>
        <v/>
      </c>
    </row>
    <row r="67">
      <c r="A67" s="23" t="inlineStr">
        <is>
          <t>20261031_2215</t>
        </is>
      </c>
      <c r="B67" s="13" t="n">
        <v>46326</v>
      </c>
      <c r="C67" s="14" t="n">
        <v>0.9270833333333334</v>
      </c>
      <c r="D67" s="23" t="inlineStr">
        <is>
          <t>UN Unico</t>
        </is>
      </c>
      <c r="E67" s="23" t="inlineStr">
        <is>
          <t>I1</t>
        </is>
      </c>
      <c r="F67" s="23">
        <f>IFERROR(INDEX(Tariffe!$B$2:$B$200,MATCH(E67,Tariffe!$A$2:$A$200,0)),"DA DEFINIRE")</f>
        <v/>
      </c>
      <c r="G67" s="16" t="n">
        <v>48</v>
      </c>
      <c r="H67" s="15" t="n">
        <v>2</v>
      </c>
      <c r="I67" s="15" t="n">
        <v>0</v>
      </c>
      <c r="J67" s="16" t="n">
        <v>96</v>
      </c>
      <c r="K67" s="16" t="n">
        <v>0</v>
      </c>
      <c r="L67" s="16" t="n">
        <v>87.28</v>
      </c>
      <c r="M67" s="16" t="n">
        <v>8.720000000000001</v>
      </c>
      <c r="N67" s="23" t="inlineStr">
        <is>
          <t>10/2026</t>
        </is>
      </c>
      <c r="O67" s="15">
        <f>IFERROR(INDEX(Tariffe!$D$2:$D$200,MATCH(E67,Tariffe!$A$2:$A$200,0))*1,0)</f>
        <v/>
      </c>
      <c r="P67" s="15">
        <f>H67*O67</f>
        <v/>
      </c>
    </row>
    <row r="68">
      <c r="A68" s="22" t="inlineStr">
        <is>
          <t>20261031_2215</t>
        </is>
      </c>
      <c r="B68" s="9" t="n">
        <v>46326</v>
      </c>
      <c r="C68" s="10" t="n">
        <v>0.9270833333333334</v>
      </c>
      <c r="D68" s="22" t="inlineStr">
        <is>
          <t>UN Unico</t>
        </is>
      </c>
      <c r="E68" s="22" t="inlineStr">
        <is>
          <t>I2</t>
        </is>
      </c>
      <c r="F68" s="22">
        <f>IFERROR(INDEX(Tariffe!$B$2:$B$200,MATCH(E68,Tariffe!$A$2:$A$200,0)),"DA DEFINIRE")</f>
        <v/>
      </c>
      <c r="G68" s="12" t="n">
        <v>36</v>
      </c>
      <c r="H68" s="11" t="n">
        <v>1</v>
      </c>
      <c r="I68" s="11" t="n">
        <v>0</v>
      </c>
      <c r="J68" s="12" t="n">
        <v>36</v>
      </c>
      <c r="K68" s="12" t="n">
        <v>0</v>
      </c>
      <c r="L68" s="12" t="n">
        <v>32.73</v>
      </c>
      <c r="M68" s="12" t="n">
        <v>3.27</v>
      </c>
      <c r="N68" s="22" t="inlineStr">
        <is>
          <t>10/2026</t>
        </is>
      </c>
      <c r="O68" s="11">
        <f>IFERROR(INDEX(Tariffe!$D$2:$D$200,MATCH(E68,Tariffe!$A$2:$A$200,0))*1,0)</f>
        <v/>
      </c>
      <c r="P68" s="11">
        <f>H68*O68</f>
        <v/>
      </c>
    </row>
    <row r="69">
      <c r="A69" s="23" t="inlineStr">
        <is>
          <t>20261031_2215</t>
        </is>
      </c>
      <c r="B69" s="13" t="n">
        <v>46326</v>
      </c>
      <c r="C69" s="14" t="n">
        <v>0.9270833333333334</v>
      </c>
      <c r="D69" s="23" t="inlineStr">
        <is>
          <t>UN Unico</t>
        </is>
      </c>
      <c r="E69" s="23" t="inlineStr">
        <is>
          <t>I8</t>
        </is>
      </c>
      <c r="F69" s="23">
        <f>IFERROR(INDEX(Tariffe!$B$2:$B$200,MATCH(E69,Tariffe!$A$2:$A$200,0)),"DA DEFINIRE")</f>
        <v/>
      </c>
      <c r="G69" s="16" t="n">
        <v>24</v>
      </c>
      <c r="H69" s="15" t="n">
        <v>4</v>
      </c>
      <c r="I69" s="15" t="n">
        <v>0</v>
      </c>
      <c r="J69" s="16" t="n">
        <v>96</v>
      </c>
      <c r="K69" s="16" t="n">
        <v>0</v>
      </c>
      <c r="L69" s="16" t="n">
        <v>87.28</v>
      </c>
      <c r="M69" s="16" t="n">
        <v>8.720000000000001</v>
      </c>
      <c r="N69" s="23" t="inlineStr">
        <is>
          <t>10/2026</t>
        </is>
      </c>
      <c r="O69" s="15">
        <f>IFERROR(INDEX(Tariffe!$D$2:$D$200,MATCH(E69,Tariffe!$A$2:$A$200,0))*1,0)</f>
        <v/>
      </c>
      <c r="P69" s="15">
        <f>H69*O69</f>
        <v/>
      </c>
    </row>
    <row r="70">
      <c r="A70" s="22" t="inlineStr">
        <is>
          <t>20261031_2315</t>
        </is>
      </c>
      <c r="B70" s="9" t="n">
        <v>46326</v>
      </c>
      <c r="C70" s="10" t="n">
        <v>0.96875</v>
      </c>
      <c r="D70" s="22" t="inlineStr">
        <is>
          <t>UN Unico</t>
        </is>
      </c>
      <c r="E70" s="22" t="inlineStr">
        <is>
          <t>I1</t>
        </is>
      </c>
      <c r="F70" s="22">
        <f>IFERROR(INDEX(Tariffe!$B$2:$B$200,MATCH(E70,Tariffe!$A$2:$A$200,0)),"DA DEFINIRE")</f>
        <v/>
      </c>
      <c r="G70" s="12" t="n">
        <v>48</v>
      </c>
      <c r="H70" s="11" t="n">
        <v>4</v>
      </c>
      <c r="I70" s="11" t="n">
        <v>0</v>
      </c>
      <c r="J70" s="12" t="n">
        <v>192</v>
      </c>
      <c r="K70" s="12" t="n">
        <v>0</v>
      </c>
      <c r="L70" s="12" t="n">
        <v>174.56</v>
      </c>
      <c r="M70" s="12" t="n">
        <v>17.44</v>
      </c>
      <c r="N70" s="22" t="inlineStr">
        <is>
          <t>10/2026</t>
        </is>
      </c>
      <c r="O70" s="11">
        <f>IFERROR(INDEX(Tariffe!$D$2:$D$200,MATCH(E70,Tariffe!$A$2:$A$200,0))*1,0)</f>
        <v/>
      </c>
      <c r="P70" s="11">
        <f>H70*O70</f>
        <v/>
      </c>
    </row>
    <row r="71">
      <c r="A71" s="23" t="inlineStr">
        <is>
          <t>20261031_2315</t>
        </is>
      </c>
      <c r="B71" s="13" t="n">
        <v>46326</v>
      </c>
      <c r="C71" s="14" t="n">
        <v>0.96875</v>
      </c>
      <c r="D71" s="23" t="inlineStr">
        <is>
          <t>UN Unico</t>
        </is>
      </c>
      <c r="E71" s="23" t="inlineStr">
        <is>
          <t>I8</t>
        </is>
      </c>
      <c r="F71" s="23">
        <f>IFERROR(INDEX(Tariffe!$B$2:$B$200,MATCH(E71,Tariffe!$A$2:$A$200,0)),"DA DEFINIRE")</f>
        <v/>
      </c>
      <c r="G71" s="16" t="n">
        <v>24</v>
      </c>
      <c r="H71" s="15" t="n">
        <v>6</v>
      </c>
      <c r="I71" s="15" t="n">
        <v>0</v>
      </c>
      <c r="J71" s="16" t="n">
        <v>144</v>
      </c>
      <c r="K71" s="16" t="n">
        <v>0</v>
      </c>
      <c r="L71" s="16" t="n">
        <v>130.92</v>
      </c>
      <c r="M71" s="16" t="n">
        <v>13.08</v>
      </c>
      <c r="N71" s="23" t="inlineStr">
        <is>
          <t>10/2026</t>
        </is>
      </c>
      <c r="O71" s="15">
        <f>IFERROR(INDEX(Tariffe!$D$2:$D$200,MATCH(E71,Tariffe!$A$2:$A$200,0))*1,0)</f>
        <v/>
      </c>
      <c r="P71" s="15">
        <f>H71*O71</f>
        <v/>
      </c>
    </row>
    <row r="72">
      <c r="A72" s="22" t="inlineStr">
        <is>
          <t>20261031_2359</t>
        </is>
      </c>
      <c r="B72" s="9" t="n">
        <v>46326</v>
      </c>
      <c r="C72" s="10" t="n">
        <v>0.9993055555555556</v>
      </c>
      <c r="D72" s="22" t="inlineStr">
        <is>
          <t>UN Unico</t>
        </is>
      </c>
      <c r="E72" s="22" t="inlineStr">
        <is>
          <t>I1</t>
        </is>
      </c>
      <c r="F72" s="22">
        <f>IFERROR(INDEX(Tariffe!$B$2:$B$200,MATCH(E72,Tariffe!$A$2:$A$200,0)),"DA DEFINIRE")</f>
        <v/>
      </c>
      <c r="G72" s="12" t="n">
        <v>48</v>
      </c>
      <c r="H72" s="11" t="n">
        <v>4</v>
      </c>
      <c r="I72" s="11" t="n">
        <v>0</v>
      </c>
      <c r="J72" s="12" t="n">
        <v>192</v>
      </c>
      <c r="K72" s="12" t="n">
        <v>0</v>
      </c>
      <c r="L72" s="12" t="n">
        <v>174.56</v>
      </c>
      <c r="M72" s="12" t="n">
        <v>17.44</v>
      </c>
      <c r="N72" s="22" t="inlineStr">
        <is>
          <t>10/2026</t>
        </is>
      </c>
      <c r="O72" s="11">
        <f>IFERROR(INDEX(Tariffe!$D$2:$D$200,MATCH(E72,Tariffe!$A$2:$A$200,0))*1,0)</f>
        <v/>
      </c>
      <c r="P72" s="11">
        <f>H72*O72</f>
        <v/>
      </c>
    </row>
    <row r="73">
      <c r="A73" s="23" t="inlineStr">
        <is>
          <t>20261031_2359</t>
        </is>
      </c>
      <c r="B73" s="13" t="n">
        <v>46326</v>
      </c>
      <c r="C73" s="14" t="n">
        <v>0.9993055555555556</v>
      </c>
      <c r="D73" s="23" t="inlineStr">
        <is>
          <t>UN Unico</t>
        </is>
      </c>
      <c r="E73" s="23" t="inlineStr">
        <is>
          <t>I8</t>
        </is>
      </c>
      <c r="F73" s="23">
        <f>IFERROR(INDEX(Tariffe!$B$2:$B$200,MATCH(E73,Tariffe!$A$2:$A$200,0)),"DA DEFINIRE")</f>
        <v/>
      </c>
      <c r="G73" s="16" t="n">
        <v>24</v>
      </c>
      <c r="H73" s="15" t="n">
        <v>2</v>
      </c>
      <c r="I73" s="15" t="n">
        <v>0</v>
      </c>
      <c r="J73" s="16" t="n">
        <v>48</v>
      </c>
      <c r="K73" s="16" t="n">
        <v>0</v>
      </c>
      <c r="L73" s="16" t="n">
        <v>43.64</v>
      </c>
      <c r="M73" s="16" t="n">
        <v>4.36</v>
      </c>
      <c r="N73" s="23" t="inlineStr">
        <is>
          <t>10/2026</t>
        </is>
      </c>
      <c r="O73" s="15">
        <f>IFERROR(INDEX(Tariffe!$D$2:$D$200,MATCH(E73,Tariffe!$A$2:$A$200,0))*1,0)</f>
        <v/>
      </c>
      <c r="P73" s="15">
        <f>H73*O73</f>
        <v/>
      </c>
    </row>
    <row r="74">
      <c r="A74" s="22" t="inlineStr">
        <is>
          <t>20261101_2015</t>
        </is>
      </c>
      <c r="B74" s="9" t="n">
        <v>46327</v>
      </c>
      <c r="C74" s="10" t="n">
        <v>0.84375</v>
      </c>
      <c r="D74" s="22" t="inlineStr">
        <is>
          <t>UN Unico</t>
        </is>
      </c>
      <c r="E74" s="22" t="inlineStr">
        <is>
          <t>I1</t>
        </is>
      </c>
      <c r="F74" s="22">
        <f>IFERROR(INDEX(Tariffe!$B$2:$B$200,MATCH(E74,Tariffe!$A$2:$A$200,0)),"DA DEFINIRE")</f>
        <v/>
      </c>
      <c r="G74" s="12" t="n">
        <v>48</v>
      </c>
      <c r="H74" s="11" t="n">
        <v>1</v>
      </c>
      <c r="I74" s="11" t="n">
        <v>0</v>
      </c>
      <c r="J74" s="12" t="n">
        <v>48</v>
      </c>
      <c r="K74" s="12" t="n">
        <v>0</v>
      </c>
      <c r="L74" s="12" t="n">
        <v>43.64</v>
      </c>
      <c r="M74" s="12" t="n">
        <v>4.36</v>
      </c>
      <c r="N74" s="22" t="inlineStr">
        <is>
          <t>11/2026</t>
        </is>
      </c>
      <c r="O74" s="11">
        <f>IFERROR(INDEX(Tariffe!$D$2:$D$200,MATCH(E74,Tariffe!$A$2:$A$200,0))*1,0)</f>
        <v/>
      </c>
      <c r="P74" s="11">
        <f>H74*O74</f>
        <v/>
      </c>
    </row>
    <row r="75">
      <c r="A75" s="23" t="inlineStr">
        <is>
          <t>20261101_2115</t>
        </is>
      </c>
      <c r="B75" s="13" t="n">
        <v>46327</v>
      </c>
      <c r="C75" s="14" t="n">
        <v>0.8854166666666666</v>
      </c>
      <c r="D75" s="23" t="inlineStr">
        <is>
          <t>UN Unico</t>
        </is>
      </c>
      <c r="E75" s="23" t="inlineStr">
        <is>
          <t>I8</t>
        </is>
      </c>
      <c r="F75" s="23">
        <f>IFERROR(INDEX(Tariffe!$B$2:$B$200,MATCH(E75,Tariffe!$A$2:$A$200,0)),"DA DEFINIRE")</f>
        <v/>
      </c>
      <c r="G75" s="16" t="n">
        <v>24</v>
      </c>
      <c r="H75" s="15" t="n">
        <v>1</v>
      </c>
      <c r="I75" s="15" t="n">
        <v>0</v>
      </c>
      <c r="J75" s="16" t="n">
        <v>24</v>
      </c>
      <c r="K75" s="16" t="n">
        <v>0</v>
      </c>
      <c r="L75" s="16" t="n">
        <v>21.82</v>
      </c>
      <c r="M75" s="16" t="n">
        <v>2.18</v>
      </c>
      <c r="N75" s="23" t="inlineStr">
        <is>
          <t>11/2026</t>
        </is>
      </c>
      <c r="O75" s="15">
        <f>IFERROR(INDEX(Tariffe!$D$2:$D$200,MATCH(E75,Tariffe!$A$2:$A$200,0))*1,0)</f>
        <v/>
      </c>
      <c r="P75" s="15">
        <f>H75*O75</f>
        <v/>
      </c>
    </row>
    <row r="76">
      <c r="A76" s="22" t="inlineStr">
        <is>
          <t>20261101_2215</t>
        </is>
      </c>
      <c r="B76" s="9" t="n">
        <v>46327</v>
      </c>
      <c r="C76" s="10" t="n">
        <v>0.9270833333333334</v>
      </c>
      <c r="D76" s="22" t="inlineStr">
        <is>
          <t>UN Unico</t>
        </is>
      </c>
      <c r="E76" s="22" t="inlineStr">
        <is>
          <t>I8</t>
        </is>
      </c>
      <c r="F76" s="22">
        <f>IFERROR(INDEX(Tariffe!$B$2:$B$200,MATCH(E76,Tariffe!$A$2:$A$200,0)),"DA DEFINIRE")</f>
        <v/>
      </c>
      <c r="G76" s="12" t="n">
        <v>24</v>
      </c>
      <c r="H76" s="11" t="n">
        <v>1</v>
      </c>
      <c r="I76" s="11" t="n">
        <v>0</v>
      </c>
      <c r="J76" s="12" t="n">
        <v>24</v>
      </c>
      <c r="K76" s="12" t="n">
        <v>0</v>
      </c>
      <c r="L76" s="12" t="n">
        <v>21.82</v>
      </c>
      <c r="M76" s="12" t="n">
        <v>2.18</v>
      </c>
      <c r="N76" s="22" t="inlineStr">
        <is>
          <t>11/2026</t>
        </is>
      </c>
      <c r="O76" s="11">
        <f>IFERROR(INDEX(Tariffe!$D$2:$D$200,MATCH(E76,Tariffe!$A$2:$A$200,0))*1,0)</f>
        <v/>
      </c>
      <c r="P76" s="11">
        <f>H76*O76</f>
        <v/>
      </c>
    </row>
  </sheetData>
  <autoFilter ref="A1:P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0" customWidth="1" min="4" max="4"/>
    <col width="10" customWidth="1" min="5" max="5"/>
    <col width="14" customWidth="1" min="6" max="6"/>
    <col width="18" customWidth="1" min="7" max="7"/>
  </cols>
  <sheetData>
    <row r="1" ht="30" customHeight="1">
      <c r="A1" s="21" t="inlineStr">
        <is>
          <t>Codice titolo</t>
        </is>
      </c>
      <c r="B1" s="21" t="inlineStr">
        <is>
          <t>Descrizione</t>
        </is>
      </c>
      <c r="C1" s="21" t="inlineStr">
        <is>
          <t>Persone per auto</t>
        </is>
      </c>
      <c r="D1" s="21" t="inlineStr">
        <is>
          <t>N° auto</t>
        </is>
      </c>
      <c r="E1" s="21" t="inlineStr">
        <is>
          <t>Persone</t>
        </is>
      </c>
      <c r="F1" s="21" t="inlineStr">
        <is>
          <t>Incasso</t>
        </is>
      </c>
      <c r="G1" s="21" t="inlineStr">
        <is>
          <t>% sull'incasso totale</t>
        </is>
      </c>
    </row>
    <row r="2">
      <c r="A2" s="22">
        <f>Tariffe!A2</f>
        <v/>
      </c>
      <c r="B2" s="22">
        <f>Tariffe!B2</f>
        <v/>
      </c>
      <c r="C2" s="11">
        <f>Tariffe!D2</f>
        <v/>
      </c>
      <c r="D2" s="11">
        <f>SUMIF(Vendite!$E$2:$E$1000,A2,Vendite!$H$2:$H$1000)</f>
        <v/>
      </c>
      <c r="E2" s="11">
        <f>SUMIF(Vendite!$E$2:$E$1000,A2,Vendite!$P$2:$P$1000)</f>
        <v/>
      </c>
      <c r="F2" s="12">
        <f>SUMIF(Vendite!$E$2:$E$1000,A2,Vendite!$J$2:$J$1000)</f>
        <v/>
      </c>
      <c r="G2" s="24">
        <f>IF(SUM($F$2:$F$5)&gt;0,F2/SUM($F$2:$F$5),0)</f>
        <v/>
      </c>
    </row>
    <row r="3">
      <c r="A3" s="23">
        <f>Tariffe!A3</f>
        <v/>
      </c>
      <c r="B3" s="23">
        <f>Tariffe!B3</f>
        <v/>
      </c>
      <c r="C3" s="15">
        <f>Tariffe!D3</f>
        <v/>
      </c>
      <c r="D3" s="15">
        <f>SUMIF(Vendite!$E$2:$E$1000,A3,Vendite!$H$2:$H$1000)</f>
        <v/>
      </c>
      <c r="E3" s="15">
        <f>SUMIF(Vendite!$E$2:$E$1000,A3,Vendite!$P$2:$P$1000)</f>
        <v/>
      </c>
      <c r="F3" s="16">
        <f>SUMIF(Vendite!$E$2:$E$1000,A3,Vendite!$J$2:$J$1000)</f>
        <v/>
      </c>
      <c r="G3" s="25">
        <f>IF(SUM($F$2:$F$5)&gt;0,F3/SUM($F$2:$F$5),0)</f>
        <v/>
      </c>
    </row>
    <row r="4">
      <c r="A4" s="22">
        <f>Tariffe!A4</f>
        <v/>
      </c>
      <c r="B4" s="22">
        <f>Tariffe!B4</f>
        <v/>
      </c>
      <c r="C4" s="11">
        <f>Tariffe!D4</f>
        <v/>
      </c>
      <c r="D4" s="11">
        <f>SUMIF(Vendite!$E$2:$E$1000,A4,Vendite!$H$2:$H$1000)</f>
        <v/>
      </c>
      <c r="E4" s="11">
        <f>SUMIF(Vendite!$E$2:$E$1000,A4,Vendite!$P$2:$P$1000)</f>
        <v/>
      </c>
      <c r="F4" s="12">
        <f>SUMIF(Vendite!$E$2:$E$1000,A4,Vendite!$J$2:$J$1000)</f>
        <v/>
      </c>
      <c r="G4" s="24">
        <f>IF(SUM($F$2:$F$5)&gt;0,F4/SUM($F$2:$F$5),0)</f>
        <v/>
      </c>
    </row>
    <row r="5">
      <c r="A5" s="23">
        <f>Tariffe!A5</f>
        <v/>
      </c>
      <c r="B5" s="23">
        <f>Tariffe!B5</f>
        <v/>
      </c>
      <c r="C5" s="15">
        <f>Tariffe!D5</f>
        <v/>
      </c>
      <c r="D5" s="15">
        <f>SUMIF(Vendite!$E$2:$E$1000,A5,Vendite!$H$2:$H$1000)</f>
        <v/>
      </c>
      <c r="E5" s="15">
        <f>SUMIF(Vendite!$E$2:$E$1000,A5,Vendite!$P$2:$P$1000)</f>
        <v/>
      </c>
      <c r="F5" s="16">
        <f>SUMIF(Vendite!$E$2:$E$1000,A5,Vendite!$J$2:$J$1000)</f>
        <v/>
      </c>
      <c r="G5" s="25">
        <f>IF(SUM($F$2:$F$5)&gt;0,F5/SUM($F$2:$F$5),0)</f>
        <v/>
      </c>
    </row>
    <row r="6">
      <c r="A6" s="26" t="inlineStr">
        <is>
          <t>Totale</t>
        </is>
      </c>
      <c r="B6" s="26" t="n"/>
      <c r="C6" s="26" t="n"/>
      <c r="D6" s="27">
        <f>SUM(D2:D5)</f>
        <v/>
      </c>
      <c r="E6" s="27">
        <f>SUM(E2:E5)</f>
        <v/>
      </c>
      <c r="F6" s="28">
        <f>SUM(F2:F5)</f>
        <v/>
      </c>
      <c r="G6" s="29">
        <f>SUM(G2:G5)</f>
        <v/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21" t="inlineStr">
        <is>
          <t>Data</t>
        </is>
      </c>
      <c r="B1" s="21" t="inlineStr">
        <is>
          <t>Giorno</t>
        </is>
      </c>
      <c r="C1" s="21" t="inlineStr">
        <is>
          <t>Auto totali</t>
        </is>
      </c>
      <c r="D1" s="21" t="inlineStr">
        <is>
          <t>Persone totali</t>
        </is>
      </c>
      <c r="E1" s="21" t="inlineStr">
        <is>
          <t>Incasso totale</t>
        </is>
      </c>
      <c r="F1" s="21" t="inlineStr">
        <is>
          <t>Auto 20:15</t>
        </is>
      </c>
      <c r="G1" s="21" t="inlineStr">
        <is>
          <t>Auto 21:15</t>
        </is>
      </c>
      <c r="H1" s="21" t="inlineStr">
        <is>
          <t>Auto 22:15</t>
        </is>
      </c>
      <c r="I1" s="21" t="inlineStr">
        <is>
          <t>Auto 23:15</t>
        </is>
      </c>
      <c r="J1" s="21" t="inlineStr">
        <is>
          <t>Auto 23:59</t>
        </is>
      </c>
      <c r="K1" s="21" t="inlineStr">
        <is>
          <t>Persone 20:15</t>
        </is>
      </c>
      <c r="L1" s="21" t="inlineStr">
        <is>
          <t>Persone 21:15</t>
        </is>
      </c>
      <c r="M1" s="21" t="inlineStr">
        <is>
          <t>Persone 22:15</t>
        </is>
      </c>
      <c r="N1" s="21" t="inlineStr">
        <is>
          <t>Persone 23:15</t>
        </is>
      </c>
      <c r="O1" s="21" t="inlineStr">
        <is>
          <t>Persone 23:59</t>
        </is>
      </c>
      <c r="P1" s="21" t="inlineStr">
        <is>
          <t>Auto da 2</t>
        </is>
      </c>
      <c r="Q1" s="21" t="inlineStr">
        <is>
          <t>Auto da 3</t>
        </is>
      </c>
      <c r="R1" s="21" t="inlineStr">
        <is>
          <t>Auto da 4</t>
        </is>
      </c>
      <c r="S1" s="21" t="inlineStr">
        <is>
          <t>Auto da 5</t>
        </is>
      </c>
      <c r="T1" t="inlineStr">
        <is>
          <t>Etichetta grafico</t>
        </is>
      </c>
    </row>
    <row r="2">
      <c r="A2" s="9" t="n">
        <v>46318</v>
      </c>
      <c r="B2" s="22">
        <f>CHOOSE(WEEKDAY(A2,2),"Lunedì","Martedì","Mercoledì","Giovedì","Venerdì","Sabato","Domenica")</f>
        <v/>
      </c>
      <c r="C2" s="11">
        <f>SUM(F2:J2)</f>
        <v/>
      </c>
      <c r="D2" s="11">
        <f>SUM(K2:O2)</f>
        <v/>
      </c>
      <c r="E2" s="12">
        <f>SUMIF(Vendite!$B$2:$B$1000,A2,Vendite!$J$2:$J$1000)</f>
        <v/>
      </c>
      <c r="F2" s="11">
        <f>SUMIFS(Vendite!$H$2:$H$1000,Vendite!$B$2:$B$1000,A2,Vendite!$C$2:$C$1000,"&gt;="&amp;TIMEVALUE("20:00"),Vendite!$C$2:$C$1000,"&lt;"&amp;TIMEVALUE("21:00"))</f>
        <v/>
      </c>
      <c r="G2" s="11">
        <f>SUMIFS(Vendite!$H$2:$H$1000,Vendite!$B$2:$B$1000,A2,Vendite!$C$2:$C$1000,"&gt;="&amp;TIMEVALUE("21:00"),Vendite!$C$2:$C$1000,"&lt;"&amp;TIMEVALUE("22:00"))</f>
        <v/>
      </c>
      <c r="H2" s="11">
        <f>SUMIFS(Vendite!$H$2:$H$1000,Vendite!$B$2:$B$1000,A2,Vendite!$C$2:$C$1000,"&gt;="&amp;TIMEVALUE("22:00"),Vendite!$C$2:$C$1000,"&lt;"&amp;TIMEVALUE("23:00"))</f>
        <v/>
      </c>
      <c r="I2" s="11">
        <f>SUMIFS(Vendite!$H$2:$H$1000,Vendite!$B$2:$B$1000,A2,Vendite!$C$2:$C$1000,"&gt;="&amp;TIMEVALUE("23:00"),Vendite!$C$2:$C$1000,"&lt;"&amp;TIMEVALUE("23:30"))</f>
        <v/>
      </c>
      <c r="J2" s="11">
        <f>SUMIFS(Vendite!$H$2:$H$1000,Vendite!$B$2:$B$1000,A2,Vendite!$C$2:$C$1000,"&gt;="&amp;TIMEVALUE("23:30"))</f>
        <v/>
      </c>
      <c r="K2" s="11">
        <f>SUMIFS(Vendite!$P$2:$P$1000,Vendite!$B$2:$B$1000,A2,Vendite!$C$2:$C$1000,"&gt;="&amp;TIMEVALUE("20:00"),Vendite!$C$2:$C$1000,"&lt;"&amp;TIMEVALUE("21:00"))</f>
        <v/>
      </c>
      <c r="L2" s="11">
        <f>SUMIFS(Vendite!$P$2:$P$1000,Vendite!$B$2:$B$1000,A2,Vendite!$C$2:$C$1000,"&gt;="&amp;TIMEVALUE("21:00"),Vendite!$C$2:$C$1000,"&lt;"&amp;TIMEVALUE("22:00"))</f>
        <v/>
      </c>
      <c r="M2" s="11">
        <f>SUMIFS(Vendite!$P$2:$P$1000,Vendite!$B$2:$B$1000,A2,Vendite!$C$2:$C$1000,"&gt;="&amp;TIMEVALUE("22:00"),Vendite!$C$2:$C$1000,"&lt;"&amp;TIMEVALUE("23:00"))</f>
        <v/>
      </c>
      <c r="N2" s="11">
        <f>SUMIFS(Vendite!$P$2:$P$1000,Vendite!$B$2:$B$1000,A2,Vendite!$C$2:$C$1000,"&gt;="&amp;TIMEVALUE("23:00"),Vendite!$C$2:$C$1000,"&lt;"&amp;TIMEVALUE("23:30"))</f>
        <v/>
      </c>
      <c r="O2" s="11">
        <f>SUMIFS(Vendite!$P$2:$P$1000,Vendite!$B$2:$B$1000,A2,Vendite!$C$2:$C$1000,"&gt;="&amp;TIMEVALUE("23:30"))</f>
        <v/>
      </c>
      <c r="P2" s="11">
        <f>SUMIFS(Vendite!$H$2:$H$1000,Vendite!$B$2:$B$1000,A2,Vendite!$O$2:$O$1000,2)</f>
        <v/>
      </c>
      <c r="Q2" s="11">
        <f>SUMIFS(Vendite!$H$2:$H$1000,Vendite!$B$2:$B$1000,A2,Vendite!$O$2:$O$1000,3)</f>
        <v/>
      </c>
      <c r="R2" s="11">
        <f>SUMIFS(Vendite!$H$2:$H$1000,Vendite!$B$2:$B$1000,A2,Vendite!$O$2:$O$1000,4)</f>
        <v/>
      </c>
      <c r="S2" s="11">
        <f>SUMIFS(Vendite!$H$2:$H$1000,Vendite!$B$2:$B$1000,A2,Vendite!$O$2:$O$1000,5)</f>
        <v/>
      </c>
      <c r="T2">
        <f>TEXT(A2,"DD/MM")</f>
        <v/>
      </c>
    </row>
    <row r="3">
      <c r="A3" s="13" t="n">
        <v>46319</v>
      </c>
      <c r="B3" s="23">
        <f>CHOOSE(WEEKDAY(A3,2),"Lunedì","Martedì","Mercoledì","Giovedì","Venerdì","Sabato","Domenica")</f>
        <v/>
      </c>
      <c r="C3" s="15">
        <f>SUM(F3:J3)</f>
        <v/>
      </c>
      <c r="D3" s="15">
        <f>SUM(K3:O3)</f>
        <v/>
      </c>
      <c r="E3" s="16">
        <f>SUMIF(Vendite!$B$2:$B$1000,A3,Vendite!$J$2:$J$1000)</f>
        <v/>
      </c>
      <c r="F3" s="15">
        <f>SUMIFS(Vendite!$H$2:$H$1000,Vendite!$B$2:$B$1000,A3,Vendite!$C$2:$C$1000,"&gt;="&amp;TIMEVALUE("20:00"),Vendite!$C$2:$C$1000,"&lt;"&amp;TIMEVALUE("21:00"))</f>
        <v/>
      </c>
      <c r="G3" s="15">
        <f>SUMIFS(Vendite!$H$2:$H$1000,Vendite!$B$2:$B$1000,A3,Vendite!$C$2:$C$1000,"&gt;="&amp;TIMEVALUE("21:00"),Vendite!$C$2:$C$1000,"&lt;"&amp;TIMEVALUE("22:00"))</f>
        <v/>
      </c>
      <c r="H3" s="15">
        <f>SUMIFS(Vendite!$H$2:$H$1000,Vendite!$B$2:$B$1000,A3,Vendite!$C$2:$C$1000,"&gt;="&amp;TIMEVALUE("22:00"),Vendite!$C$2:$C$1000,"&lt;"&amp;TIMEVALUE("23:00"))</f>
        <v/>
      </c>
      <c r="I3" s="15">
        <f>SUMIFS(Vendite!$H$2:$H$1000,Vendite!$B$2:$B$1000,A3,Vendite!$C$2:$C$1000,"&gt;="&amp;TIMEVALUE("23:00"),Vendite!$C$2:$C$1000,"&lt;"&amp;TIMEVALUE("23:30"))</f>
        <v/>
      </c>
      <c r="J3" s="15">
        <f>SUMIFS(Vendite!$H$2:$H$1000,Vendite!$B$2:$B$1000,A3,Vendite!$C$2:$C$1000,"&gt;="&amp;TIMEVALUE("23:30"))</f>
        <v/>
      </c>
      <c r="K3" s="15">
        <f>SUMIFS(Vendite!$P$2:$P$1000,Vendite!$B$2:$B$1000,A3,Vendite!$C$2:$C$1000,"&gt;="&amp;TIMEVALUE("20:00"),Vendite!$C$2:$C$1000,"&lt;"&amp;TIMEVALUE("21:00"))</f>
        <v/>
      </c>
      <c r="L3" s="15">
        <f>SUMIFS(Vendite!$P$2:$P$1000,Vendite!$B$2:$B$1000,A3,Vendite!$C$2:$C$1000,"&gt;="&amp;TIMEVALUE("21:00"),Vendite!$C$2:$C$1000,"&lt;"&amp;TIMEVALUE("22:00"))</f>
        <v/>
      </c>
      <c r="M3" s="15">
        <f>SUMIFS(Vendite!$P$2:$P$1000,Vendite!$B$2:$B$1000,A3,Vendite!$C$2:$C$1000,"&gt;="&amp;TIMEVALUE("22:00"),Vendite!$C$2:$C$1000,"&lt;"&amp;TIMEVALUE("23:00"))</f>
        <v/>
      </c>
      <c r="N3" s="15">
        <f>SUMIFS(Vendite!$P$2:$P$1000,Vendite!$B$2:$B$1000,A3,Vendite!$C$2:$C$1000,"&gt;="&amp;TIMEVALUE("23:00"),Vendite!$C$2:$C$1000,"&lt;"&amp;TIMEVALUE("23:30"))</f>
        <v/>
      </c>
      <c r="O3" s="15">
        <f>SUMIFS(Vendite!$P$2:$P$1000,Vendite!$B$2:$B$1000,A3,Vendite!$C$2:$C$1000,"&gt;="&amp;TIMEVALUE("23:30"))</f>
        <v/>
      </c>
      <c r="P3" s="15">
        <f>SUMIFS(Vendite!$H$2:$H$1000,Vendite!$B$2:$B$1000,A3,Vendite!$O$2:$O$1000,2)</f>
        <v/>
      </c>
      <c r="Q3" s="15">
        <f>SUMIFS(Vendite!$H$2:$H$1000,Vendite!$B$2:$B$1000,A3,Vendite!$O$2:$O$1000,3)</f>
        <v/>
      </c>
      <c r="R3" s="15">
        <f>SUMIFS(Vendite!$H$2:$H$1000,Vendite!$B$2:$B$1000,A3,Vendite!$O$2:$O$1000,4)</f>
        <v/>
      </c>
      <c r="S3" s="15">
        <f>SUMIFS(Vendite!$H$2:$H$1000,Vendite!$B$2:$B$1000,A3,Vendite!$O$2:$O$1000,5)</f>
        <v/>
      </c>
      <c r="T3">
        <f>TEXT(A3,"DD/MM")</f>
        <v/>
      </c>
    </row>
    <row r="4">
      <c r="A4" s="9" t="n">
        <v>46320</v>
      </c>
      <c r="B4" s="22">
        <f>CHOOSE(WEEKDAY(A4,2),"Lunedì","Martedì","Mercoledì","Giovedì","Venerdì","Sabato","Domenica")</f>
        <v/>
      </c>
      <c r="C4" s="11">
        <f>SUM(F4:J4)</f>
        <v/>
      </c>
      <c r="D4" s="11">
        <f>SUM(K4:O4)</f>
        <v/>
      </c>
      <c r="E4" s="12">
        <f>SUMIF(Vendite!$B$2:$B$1000,A4,Vendite!$J$2:$J$1000)</f>
        <v/>
      </c>
      <c r="F4" s="11">
        <f>SUMIFS(Vendite!$H$2:$H$1000,Vendite!$B$2:$B$1000,A4,Vendite!$C$2:$C$1000,"&gt;="&amp;TIMEVALUE("20:00"),Vendite!$C$2:$C$1000,"&lt;"&amp;TIMEVALUE("21:00"))</f>
        <v/>
      </c>
      <c r="G4" s="11">
        <f>SUMIFS(Vendite!$H$2:$H$1000,Vendite!$B$2:$B$1000,A4,Vendite!$C$2:$C$1000,"&gt;="&amp;TIMEVALUE("21:00"),Vendite!$C$2:$C$1000,"&lt;"&amp;TIMEVALUE("22:00"))</f>
        <v/>
      </c>
      <c r="H4" s="11">
        <f>SUMIFS(Vendite!$H$2:$H$1000,Vendite!$B$2:$B$1000,A4,Vendite!$C$2:$C$1000,"&gt;="&amp;TIMEVALUE("22:00"),Vendite!$C$2:$C$1000,"&lt;"&amp;TIMEVALUE("23:00"))</f>
        <v/>
      </c>
      <c r="I4" s="11">
        <f>SUMIFS(Vendite!$H$2:$H$1000,Vendite!$B$2:$B$1000,A4,Vendite!$C$2:$C$1000,"&gt;="&amp;TIMEVALUE("23:00"),Vendite!$C$2:$C$1000,"&lt;"&amp;TIMEVALUE("23:30"))</f>
        <v/>
      </c>
      <c r="J4" s="11">
        <f>SUMIFS(Vendite!$H$2:$H$1000,Vendite!$B$2:$B$1000,A4,Vendite!$C$2:$C$1000,"&gt;="&amp;TIMEVALUE("23:30"))</f>
        <v/>
      </c>
      <c r="K4" s="11">
        <f>SUMIFS(Vendite!$P$2:$P$1000,Vendite!$B$2:$B$1000,A4,Vendite!$C$2:$C$1000,"&gt;="&amp;TIMEVALUE("20:00"),Vendite!$C$2:$C$1000,"&lt;"&amp;TIMEVALUE("21:00"))</f>
        <v/>
      </c>
      <c r="L4" s="11">
        <f>SUMIFS(Vendite!$P$2:$P$1000,Vendite!$B$2:$B$1000,A4,Vendite!$C$2:$C$1000,"&gt;="&amp;TIMEVALUE("21:00"),Vendite!$C$2:$C$1000,"&lt;"&amp;TIMEVALUE("22:00"))</f>
        <v/>
      </c>
      <c r="M4" s="11">
        <f>SUMIFS(Vendite!$P$2:$P$1000,Vendite!$B$2:$B$1000,A4,Vendite!$C$2:$C$1000,"&gt;="&amp;TIMEVALUE("22:00"),Vendite!$C$2:$C$1000,"&lt;"&amp;TIMEVALUE("23:00"))</f>
        <v/>
      </c>
      <c r="N4" s="11">
        <f>SUMIFS(Vendite!$P$2:$P$1000,Vendite!$B$2:$B$1000,A4,Vendite!$C$2:$C$1000,"&gt;="&amp;TIMEVALUE("23:00"),Vendite!$C$2:$C$1000,"&lt;"&amp;TIMEVALUE("23:30"))</f>
        <v/>
      </c>
      <c r="O4" s="11">
        <f>SUMIFS(Vendite!$P$2:$P$1000,Vendite!$B$2:$B$1000,A4,Vendite!$C$2:$C$1000,"&gt;="&amp;TIMEVALUE("23:30"))</f>
        <v/>
      </c>
      <c r="P4" s="11">
        <f>SUMIFS(Vendite!$H$2:$H$1000,Vendite!$B$2:$B$1000,A4,Vendite!$O$2:$O$1000,2)</f>
        <v/>
      </c>
      <c r="Q4" s="11">
        <f>SUMIFS(Vendite!$H$2:$H$1000,Vendite!$B$2:$B$1000,A4,Vendite!$O$2:$O$1000,3)</f>
        <v/>
      </c>
      <c r="R4" s="11">
        <f>SUMIFS(Vendite!$H$2:$H$1000,Vendite!$B$2:$B$1000,A4,Vendite!$O$2:$O$1000,4)</f>
        <v/>
      </c>
      <c r="S4" s="11">
        <f>SUMIFS(Vendite!$H$2:$H$1000,Vendite!$B$2:$B$1000,A4,Vendite!$O$2:$O$1000,5)</f>
        <v/>
      </c>
      <c r="T4">
        <f>TEXT(A4,"DD/MM")</f>
        <v/>
      </c>
    </row>
    <row r="5">
      <c r="A5" s="13" t="n">
        <v>46324</v>
      </c>
      <c r="B5" s="23">
        <f>CHOOSE(WEEKDAY(A5,2),"Lunedì","Martedì","Mercoledì","Giovedì","Venerdì","Sabato","Domenica")</f>
        <v/>
      </c>
      <c r="C5" s="15">
        <f>SUM(F5:J5)</f>
        <v/>
      </c>
      <c r="D5" s="15">
        <f>SUM(K5:O5)</f>
        <v/>
      </c>
      <c r="E5" s="16">
        <f>SUMIF(Vendite!$B$2:$B$1000,A5,Vendite!$J$2:$J$1000)</f>
        <v/>
      </c>
      <c r="F5" s="15">
        <f>SUMIFS(Vendite!$H$2:$H$1000,Vendite!$B$2:$B$1000,A5,Vendite!$C$2:$C$1000,"&gt;="&amp;TIMEVALUE("20:00"),Vendite!$C$2:$C$1000,"&lt;"&amp;TIMEVALUE("21:00"))</f>
        <v/>
      </c>
      <c r="G5" s="15">
        <f>SUMIFS(Vendite!$H$2:$H$1000,Vendite!$B$2:$B$1000,A5,Vendite!$C$2:$C$1000,"&gt;="&amp;TIMEVALUE("21:00"),Vendite!$C$2:$C$1000,"&lt;"&amp;TIMEVALUE("22:00"))</f>
        <v/>
      </c>
      <c r="H5" s="15">
        <f>SUMIFS(Vendite!$H$2:$H$1000,Vendite!$B$2:$B$1000,A5,Vendite!$C$2:$C$1000,"&gt;="&amp;TIMEVALUE("22:00"),Vendite!$C$2:$C$1000,"&lt;"&amp;TIMEVALUE("23:00"))</f>
        <v/>
      </c>
      <c r="I5" s="15">
        <f>SUMIFS(Vendite!$H$2:$H$1000,Vendite!$B$2:$B$1000,A5,Vendite!$C$2:$C$1000,"&gt;="&amp;TIMEVALUE("23:00"),Vendite!$C$2:$C$1000,"&lt;"&amp;TIMEVALUE("23:30"))</f>
        <v/>
      </c>
      <c r="J5" s="15">
        <f>SUMIFS(Vendite!$H$2:$H$1000,Vendite!$B$2:$B$1000,A5,Vendite!$C$2:$C$1000,"&gt;="&amp;TIMEVALUE("23:30"))</f>
        <v/>
      </c>
      <c r="K5" s="15">
        <f>SUMIFS(Vendite!$P$2:$P$1000,Vendite!$B$2:$B$1000,A5,Vendite!$C$2:$C$1000,"&gt;="&amp;TIMEVALUE("20:00"),Vendite!$C$2:$C$1000,"&lt;"&amp;TIMEVALUE("21:00"))</f>
        <v/>
      </c>
      <c r="L5" s="15">
        <f>SUMIFS(Vendite!$P$2:$P$1000,Vendite!$B$2:$B$1000,A5,Vendite!$C$2:$C$1000,"&gt;="&amp;TIMEVALUE("21:00"),Vendite!$C$2:$C$1000,"&lt;"&amp;TIMEVALUE("22:00"))</f>
        <v/>
      </c>
      <c r="M5" s="15">
        <f>SUMIFS(Vendite!$P$2:$P$1000,Vendite!$B$2:$B$1000,A5,Vendite!$C$2:$C$1000,"&gt;="&amp;TIMEVALUE("22:00"),Vendite!$C$2:$C$1000,"&lt;"&amp;TIMEVALUE("23:00"))</f>
        <v/>
      </c>
      <c r="N5" s="15">
        <f>SUMIFS(Vendite!$P$2:$P$1000,Vendite!$B$2:$B$1000,A5,Vendite!$C$2:$C$1000,"&gt;="&amp;TIMEVALUE("23:00"),Vendite!$C$2:$C$1000,"&lt;"&amp;TIMEVALUE("23:30"))</f>
        <v/>
      </c>
      <c r="O5" s="15">
        <f>SUMIFS(Vendite!$P$2:$P$1000,Vendite!$B$2:$B$1000,A5,Vendite!$C$2:$C$1000,"&gt;="&amp;TIMEVALUE("23:30"))</f>
        <v/>
      </c>
      <c r="P5" s="15">
        <f>SUMIFS(Vendite!$H$2:$H$1000,Vendite!$B$2:$B$1000,A5,Vendite!$O$2:$O$1000,2)</f>
        <v/>
      </c>
      <c r="Q5" s="15">
        <f>SUMIFS(Vendite!$H$2:$H$1000,Vendite!$B$2:$B$1000,A5,Vendite!$O$2:$O$1000,3)</f>
        <v/>
      </c>
      <c r="R5" s="15">
        <f>SUMIFS(Vendite!$H$2:$H$1000,Vendite!$B$2:$B$1000,A5,Vendite!$O$2:$O$1000,4)</f>
        <v/>
      </c>
      <c r="S5" s="15">
        <f>SUMIFS(Vendite!$H$2:$H$1000,Vendite!$B$2:$B$1000,A5,Vendite!$O$2:$O$1000,5)</f>
        <v/>
      </c>
      <c r="T5">
        <f>TEXT(A5,"DD/MM")</f>
        <v/>
      </c>
    </row>
    <row r="6">
      <c r="A6" s="9" t="n">
        <v>46325</v>
      </c>
      <c r="B6" s="22">
        <f>CHOOSE(WEEKDAY(A6,2),"Lunedì","Martedì","Mercoledì","Giovedì","Venerdì","Sabato","Domenica")</f>
        <v/>
      </c>
      <c r="C6" s="11">
        <f>SUM(F6:J6)</f>
        <v/>
      </c>
      <c r="D6" s="11">
        <f>SUM(K6:O6)</f>
        <v/>
      </c>
      <c r="E6" s="12">
        <f>SUMIF(Vendite!$B$2:$B$1000,A6,Vendite!$J$2:$J$1000)</f>
        <v/>
      </c>
      <c r="F6" s="11">
        <f>SUMIFS(Vendite!$H$2:$H$1000,Vendite!$B$2:$B$1000,A6,Vendite!$C$2:$C$1000,"&gt;="&amp;TIMEVALUE("20:00"),Vendite!$C$2:$C$1000,"&lt;"&amp;TIMEVALUE("21:00"))</f>
        <v/>
      </c>
      <c r="G6" s="11">
        <f>SUMIFS(Vendite!$H$2:$H$1000,Vendite!$B$2:$B$1000,A6,Vendite!$C$2:$C$1000,"&gt;="&amp;TIMEVALUE("21:00"),Vendite!$C$2:$C$1000,"&lt;"&amp;TIMEVALUE("22:00"))</f>
        <v/>
      </c>
      <c r="H6" s="11">
        <f>SUMIFS(Vendite!$H$2:$H$1000,Vendite!$B$2:$B$1000,A6,Vendite!$C$2:$C$1000,"&gt;="&amp;TIMEVALUE("22:00"),Vendite!$C$2:$C$1000,"&lt;"&amp;TIMEVALUE("23:00"))</f>
        <v/>
      </c>
      <c r="I6" s="11">
        <f>SUMIFS(Vendite!$H$2:$H$1000,Vendite!$B$2:$B$1000,A6,Vendite!$C$2:$C$1000,"&gt;="&amp;TIMEVALUE("23:00"),Vendite!$C$2:$C$1000,"&lt;"&amp;TIMEVALUE("23:30"))</f>
        <v/>
      </c>
      <c r="J6" s="11">
        <f>SUMIFS(Vendite!$H$2:$H$1000,Vendite!$B$2:$B$1000,A6,Vendite!$C$2:$C$1000,"&gt;="&amp;TIMEVALUE("23:30"))</f>
        <v/>
      </c>
      <c r="K6" s="11">
        <f>SUMIFS(Vendite!$P$2:$P$1000,Vendite!$B$2:$B$1000,A6,Vendite!$C$2:$C$1000,"&gt;="&amp;TIMEVALUE("20:00"),Vendite!$C$2:$C$1000,"&lt;"&amp;TIMEVALUE("21:00"))</f>
        <v/>
      </c>
      <c r="L6" s="11">
        <f>SUMIFS(Vendite!$P$2:$P$1000,Vendite!$B$2:$B$1000,A6,Vendite!$C$2:$C$1000,"&gt;="&amp;TIMEVALUE("21:00"),Vendite!$C$2:$C$1000,"&lt;"&amp;TIMEVALUE("22:00"))</f>
        <v/>
      </c>
      <c r="M6" s="11">
        <f>SUMIFS(Vendite!$P$2:$P$1000,Vendite!$B$2:$B$1000,A6,Vendite!$C$2:$C$1000,"&gt;="&amp;TIMEVALUE("22:00"),Vendite!$C$2:$C$1000,"&lt;"&amp;TIMEVALUE("23:00"))</f>
        <v/>
      </c>
      <c r="N6" s="11">
        <f>SUMIFS(Vendite!$P$2:$P$1000,Vendite!$B$2:$B$1000,A6,Vendite!$C$2:$C$1000,"&gt;="&amp;TIMEVALUE("23:00"),Vendite!$C$2:$C$1000,"&lt;"&amp;TIMEVALUE("23:30"))</f>
        <v/>
      </c>
      <c r="O6" s="11">
        <f>SUMIFS(Vendite!$P$2:$P$1000,Vendite!$B$2:$B$1000,A6,Vendite!$C$2:$C$1000,"&gt;="&amp;TIMEVALUE("23:30"))</f>
        <v/>
      </c>
      <c r="P6" s="11">
        <f>SUMIFS(Vendite!$H$2:$H$1000,Vendite!$B$2:$B$1000,A6,Vendite!$O$2:$O$1000,2)</f>
        <v/>
      </c>
      <c r="Q6" s="11">
        <f>SUMIFS(Vendite!$H$2:$H$1000,Vendite!$B$2:$B$1000,A6,Vendite!$O$2:$O$1000,3)</f>
        <v/>
      </c>
      <c r="R6" s="11">
        <f>SUMIFS(Vendite!$H$2:$H$1000,Vendite!$B$2:$B$1000,A6,Vendite!$O$2:$O$1000,4)</f>
        <v/>
      </c>
      <c r="S6" s="11">
        <f>SUMIFS(Vendite!$H$2:$H$1000,Vendite!$B$2:$B$1000,A6,Vendite!$O$2:$O$1000,5)</f>
        <v/>
      </c>
      <c r="T6">
        <f>TEXT(A6,"DD/MM")</f>
        <v/>
      </c>
    </row>
    <row r="7">
      <c r="A7" s="13" t="n">
        <v>46326</v>
      </c>
      <c r="B7" s="23">
        <f>CHOOSE(WEEKDAY(A7,2),"Lunedì","Martedì","Mercoledì","Giovedì","Venerdì","Sabato","Domenica")</f>
        <v/>
      </c>
      <c r="C7" s="15">
        <f>SUM(F7:J7)</f>
        <v/>
      </c>
      <c r="D7" s="15">
        <f>SUM(K7:O7)</f>
        <v/>
      </c>
      <c r="E7" s="16">
        <f>SUMIF(Vendite!$B$2:$B$1000,A7,Vendite!$J$2:$J$1000)</f>
        <v/>
      </c>
      <c r="F7" s="15">
        <f>SUMIFS(Vendite!$H$2:$H$1000,Vendite!$B$2:$B$1000,A7,Vendite!$C$2:$C$1000,"&gt;="&amp;TIMEVALUE("20:00"),Vendite!$C$2:$C$1000,"&lt;"&amp;TIMEVALUE("21:00"))</f>
        <v/>
      </c>
      <c r="G7" s="15">
        <f>SUMIFS(Vendite!$H$2:$H$1000,Vendite!$B$2:$B$1000,A7,Vendite!$C$2:$C$1000,"&gt;="&amp;TIMEVALUE("21:00"),Vendite!$C$2:$C$1000,"&lt;"&amp;TIMEVALUE("22:00"))</f>
        <v/>
      </c>
      <c r="H7" s="15">
        <f>SUMIFS(Vendite!$H$2:$H$1000,Vendite!$B$2:$B$1000,A7,Vendite!$C$2:$C$1000,"&gt;="&amp;TIMEVALUE("22:00"),Vendite!$C$2:$C$1000,"&lt;"&amp;TIMEVALUE("23:00"))</f>
        <v/>
      </c>
      <c r="I7" s="15">
        <f>SUMIFS(Vendite!$H$2:$H$1000,Vendite!$B$2:$B$1000,A7,Vendite!$C$2:$C$1000,"&gt;="&amp;TIMEVALUE("23:00"),Vendite!$C$2:$C$1000,"&lt;"&amp;TIMEVALUE("23:30"))</f>
        <v/>
      </c>
      <c r="J7" s="15">
        <f>SUMIFS(Vendite!$H$2:$H$1000,Vendite!$B$2:$B$1000,A7,Vendite!$C$2:$C$1000,"&gt;="&amp;TIMEVALUE("23:30"))</f>
        <v/>
      </c>
      <c r="K7" s="15">
        <f>SUMIFS(Vendite!$P$2:$P$1000,Vendite!$B$2:$B$1000,A7,Vendite!$C$2:$C$1000,"&gt;="&amp;TIMEVALUE("20:00"),Vendite!$C$2:$C$1000,"&lt;"&amp;TIMEVALUE("21:00"))</f>
        <v/>
      </c>
      <c r="L7" s="15">
        <f>SUMIFS(Vendite!$P$2:$P$1000,Vendite!$B$2:$B$1000,A7,Vendite!$C$2:$C$1000,"&gt;="&amp;TIMEVALUE("21:00"),Vendite!$C$2:$C$1000,"&lt;"&amp;TIMEVALUE("22:00"))</f>
        <v/>
      </c>
      <c r="M7" s="15">
        <f>SUMIFS(Vendite!$P$2:$P$1000,Vendite!$B$2:$B$1000,A7,Vendite!$C$2:$C$1000,"&gt;="&amp;TIMEVALUE("22:00"),Vendite!$C$2:$C$1000,"&lt;"&amp;TIMEVALUE("23:00"))</f>
        <v/>
      </c>
      <c r="N7" s="15">
        <f>SUMIFS(Vendite!$P$2:$P$1000,Vendite!$B$2:$B$1000,A7,Vendite!$C$2:$C$1000,"&gt;="&amp;TIMEVALUE("23:00"),Vendite!$C$2:$C$1000,"&lt;"&amp;TIMEVALUE("23:30"))</f>
        <v/>
      </c>
      <c r="O7" s="15">
        <f>SUMIFS(Vendite!$P$2:$P$1000,Vendite!$B$2:$B$1000,A7,Vendite!$C$2:$C$1000,"&gt;="&amp;TIMEVALUE("23:30"))</f>
        <v/>
      </c>
      <c r="P7" s="15">
        <f>SUMIFS(Vendite!$H$2:$H$1000,Vendite!$B$2:$B$1000,A7,Vendite!$O$2:$O$1000,2)</f>
        <v/>
      </c>
      <c r="Q7" s="15">
        <f>SUMIFS(Vendite!$H$2:$H$1000,Vendite!$B$2:$B$1000,A7,Vendite!$O$2:$O$1000,3)</f>
        <v/>
      </c>
      <c r="R7" s="15">
        <f>SUMIFS(Vendite!$H$2:$H$1000,Vendite!$B$2:$B$1000,A7,Vendite!$O$2:$O$1000,4)</f>
        <v/>
      </c>
      <c r="S7" s="15">
        <f>SUMIFS(Vendite!$H$2:$H$1000,Vendite!$B$2:$B$1000,A7,Vendite!$O$2:$O$1000,5)</f>
        <v/>
      </c>
      <c r="T7">
        <f>TEXT(A7,"DD/MM")</f>
        <v/>
      </c>
    </row>
    <row r="8">
      <c r="A8" s="9" t="n">
        <v>46327</v>
      </c>
      <c r="B8" s="22">
        <f>CHOOSE(WEEKDAY(A8,2),"Lunedì","Martedì","Mercoledì","Giovedì","Venerdì","Sabato","Domenica")</f>
        <v/>
      </c>
      <c r="C8" s="11">
        <f>SUM(F8:J8)</f>
        <v/>
      </c>
      <c r="D8" s="11">
        <f>SUM(K8:O8)</f>
        <v/>
      </c>
      <c r="E8" s="12">
        <f>SUMIF(Vendite!$B$2:$B$1000,A8,Vendite!$J$2:$J$1000)</f>
        <v/>
      </c>
      <c r="F8" s="11">
        <f>SUMIFS(Vendite!$H$2:$H$1000,Vendite!$B$2:$B$1000,A8,Vendite!$C$2:$C$1000,"&gt;="&amp;TIMEVALUE("20:00"),Vendite!$C$2:$C$1000,"&lt;"&amp;TIMEVALUE("21:00"))</f>
        <v/>
      </c>
      <c r="G8" s="11">
        <f>SUMIFS(Vendite!$H$2:$H$1000,Vendite!$B$2:$B$1000,A8,Vendite!$C$2:$C$1000,"&gt;="&amp;TIMEVALUE("21:00"),Vendite!$C$2:$C$1000,"&lt;"&amp;TIMEVALUE("22:00"))</f>
        <v/>
      </c>
      <c r="H8" s="11">
        <f>SUMIFS(Vendite!$H$2:$H$1000,Vendite!$B$2:$B$1000,A8,Vendite!$C$2:$C$1000,"&gt;="&amp;TIMEVALUE("22:00"),Vendite!$C$2:$C$1000,"&lt;"&amp;TIMEVALUE("23:00"))</f>
        <v/>
      </c>
      <c r="I8" s="11">
        <f>SUMIFS(Vendite!$H$2:$H$1000,Vendite!$B$2:$B$1000,A8,Vendite!$C$2:$C$1000,"&gt;="&amp;TIMEVALUE("23:00"),Vendite!$C$2:$C$1000,"&lt;"&amp;TIMEVALUE("23:30"))</f>
        <v/>
      </c>
      <c r="J8" s="11">
        <f>SUMIFS(Vendite!$H$2:$H$1000,Vendite!$B$2:$B$1000,A8,Vendite!$C$2:$C$1000,"&gt;="&amp;TIMEVALUE("23:30"))</f>
        <v/>
      </c>
      <c r="K8" s="11">
        <f>SUMIFS(Vendite!$P$2:$P$1000,Vendite!$B$2:$B$1000,A8,Vendite!$C$2:$C$1000,"&gt;="&amp;TIMEVALUE("20:00"),Vendite!$C$2:$C$1000,"&lt;"&amp;TIMEVALUE("21:00"))</f>
        <v/>
      </c>
      <c r="L8" s="11">
        <f>SUMIFS(Vendite!$P$2:$P$1000,Vendite!$B$2:$B$1000,A8,Vendite!$C$2:$C$1000,"&gt;="&amp;TIMEVALUE("21:00"),Vendite!$C$2:$C$1000,"&lt;"&amp;TIMEVALUE("22:00"))</f>
        <v/>
      </c>
      <c r="M8" s="11">
        <f>SUMIFS(Vendite!$P$2:$P$1000,Vendite!$B$2:$B$1000,A8,Vendite!$C$2:$C$1000,"&gt;="&amp;TIMEVALUE("22:00"),Vendite!$C$2:$C$1000,"&lt;"&amp;TIMEVALUE("23:00"))</f>
        <v/>
      </c>
      <c r="N8" s="11">
        <f>SUMIFS(Vendite!$P$2:$P$1000,Vendite!$B$2:$B$1000,A8,Vendite!$C$2:$C$1000,"&gt;="&amp;TIMEVALUE("23:00"),Vendite!$C$2:$C$1000,"&lt;"&amp;TIMEVALUE("23:30"))</f>
        <v/>
      </c>
      <c r="O8" s="11">
        <f>SUMIFS(Vendite!$P$2:$P$1000,Vendite!$B$2:$B$1000,A8,Vendite!$C$2:$C$1000,"&gt;="&amp;TIMEVALUE("23:30"))</f>
        <v/>
      </c>
      <c r="P8" s="11">
        <f>SUMIFS(Vendite!$H$2:$H$1000,Vendite!$B$2:$B$1000,A8,Vendite!$O$2:$O$1000,2)</f>
        <v/>
      </c>
      <c r="Q8" s="11">
        <f>SUMIFS(Vendite!$H$2:$H$1000,Vendite!$B$2:$B$1000,A8,Vendite!$O$2:$O$1000,3)</f>
        <v/>
      </c>
      <c r="R8" s="11">
        <f>SUMIFS(Vendite!$H$2:$H$1000,Vendite!$B$2:$B$1000,A8,Vendite!$O$2:$O$1000,4)</f>
        <v/>
      </c>
      <c r="S8" s="11">
        <f>SUMIFS(Vendite!$H$2:$H$1000,Vendite!$B$2:$B$1000,A8,Vendite!$O$2:$O$1000,5)</f>
        <v/>
      </c>
      <c r="T8">
        <f>TEXT(A8,"DD/MM")</f>
        <v/>
      </c>
    </row>
  </sheetData>
  <autoFilter ref="A1:S8"/>
  <conditionalFormatting sqref="F2:J8">
    <cfRule type="colorScale" priority="1">
      <colorScale>
        <cfvo type="min"/>
        <cfvo type="percentile" val="50"/>
        <cfvo type="max"/>
        <color rgb="00FFFFFF"/>
        <color rgb="00F4B6A6"/>
        <color rgb="00B3261E"/>
      </colorScale>
    </cfRule>
  </conditionalFormatting>
  <conditionalFormatting sqref="K2:O8">
    <cfRule type="colorScale" priority="2">
      <colorScale>
        <cfvo type="min"/>
        <cfvo type="percentile" val="50"/>
        <cfvo type="max"/>
        <color rgb="00FFFFFF"/>
        <color rgb="00F4B6A6"/>
        <color rgb="00B3261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12" customWidth="1" min="5" max="5"/>
    <col width="14" customWidth="1" min="6" max="6"/>
    <col width="15" customWidth="1" min="7" max="7"/>
  </cols>
  <sheetData>
    <row r="1" ht="30" customHeight="1">
      <c r="A1" s="21" t="inlineStr">
        <is>
          <t>Data estrazione</t>
        </is>
      </c>
      <c r="B1" s="21" t="inlineStr">
        <is>
          <t>Auto totali</t>
        </is>
      </c>
      <c r="C1" s="21" t="inlineStr">
        <is>
          <t>Persone totali</t>
        </is>
      </c>
      <c r="D1" s="21" t="inlineStr">
        <is>
          <t>Incasso totale</t>
        </is>
      </c>
      <c r="E1" s="21" t="inlineStr">
        <is>
          <t>Delta auto</t>
        </is>
      </c>
      <c r="F1" s="21" t="inlineStr">
        <is>
          <t>Delta persone</t>
        </is>
      </c>
      <c r="G1" s="21" t="inlineStr">
        <is>
          <t>Delta incasso</t>
        </is>
      </c>
      <c r="H1" t="inlineStr">
        <is>
          <t>Etichetta grafico</t>
        </is>
      </c>
    </row>
    <row r="2">
      <c r="A2" s="30" t="n">
        <v>46300.66319444445</v>
      </c>
      <c r="B2" s="11" t="n">
        <v>4</v>
      </c>
      <c r="C2" s="11" t="n">
        <v>10</v>
      </c>
      <c r="D2" s="12" t="n">
        <v>120</v>
      </c>
      <c r="E2" s="31" t="inlineStr">
        <is>
          <t>n.d.</t>
        </is>
      </c>
      <c r="F2" s="31" t="inlineStr">
        <is>
          <t>n.d.</t>
        </is>
      </c>
      <c r="G2" s="32" t="inlineStr">
        <is>
          <t>n.d.</t>
        </is>
      </c>
      <c r="H2">
        <f>TEXT(A2,"DD/MM HH:MM")</f>
        <v/>
      </c>
    </row>
    <row r="3">
      <c r="A3" s="33" t="n">
        <v>46300.73819444444</v>
      </c>
      <c r="B3" s="15" t="n">
        <v>10</v>
      </c>
      <c r="C3" s="15" t="n">
        <v>26</v>
      </c>
      <c r="D3" s="16" t="n">
        <v>312</v>
      </c>
      <c r="E3" s="34">
        <f>B3-B2</f>
        <v/>
      </c>
      <c r="F3" s="34">
        <f>C3-C2</f>
        <v/>
      </c>
      <c r="G3" s="35">
        <f>D3-D2</f>
        <v/>
      </c>
      <c r="H3">
        <f>TEXT(A3,"DD/MM HH:MM")</f>
        <v/>
      </c>
    </row>
    <row r="4">
      <c r="A4" s="30" t="n">
        <v>46300.76388888889</v>
      </c>
      <c r="B4" s="11" t="n">
        <v>10</v>
      </c>
      <c r="C4" s="11" t="n">
        <v>26</v>
      </c>
      <c r="D4" s="12" t="n">
        <v>312</v>
      </c>
      <c r="E4" s="31">
        <f>B4-B3</f>
        <v/>
      </c>
      <c r="F4" s="31">
        <f>C4-C3</f>
        <v/>
      </c>
      <c r="G4" s="32">
        <f>D4-D3</f>
        <v/>
      </c>
      <c r="H4">
        <f>TEXT(A4,"DD/MM HH:MM")</f>
        <v/>
      </c>
    </row>
    <row r="5">
      <c r="A5" s="33" t="n">
        <v>46300.76527777778</v>
      </c>
      <c r="B5" s="15" t="n">
        <v>11</v>
      </c>
      <c r="C5" s="15" t="n">
        <v>30</v>
      </c>
      <c r="D5" s="16" t="n">
        <v>360</v>
      </c>
      <c r="E5" s="34">
        <f>B5-B4</f>
        <v/>
      </c>
      <c r="F5" s="34">
        <f>C5-C4</f>
        <v/>
      </c>
      <c r="G5" s="35">
        <f>D5-D4</f>
        <v/>
      </c>
      <c r="H5">
        <f>TEXT(A5,"DD/MM HH:MM")</f>
        <v/>
      </c>
    </row>
    <row r="6">
      <c r="A6" s="30" t="n">
        <v>46300.76666666667</v>
      </c>
      <c r="B6" s="11" t="n">
        <v>11</v>
      </c>
      <c r="C6" s="11" t="n">
        <v>30</v>
      </c>
      <c r="D6" s="12" t="n">
        <v>360</v>
      </c>
      <c r="E6" s="31">
        <f>B6-B5</f>
        <v/>
      </c>
      <c r="F6" s="31">
        <f>C6-C5</f>
        <v/>
      </c>
      <c r="G6" s="32">
        <f>D6-D5</f>
        <v/>
      </c>
      <c r="H6">
        <f>TEXT(A6,"DD/MM HH:MM")</f>
        <v/>
      </c>
    </row>
    <row r="7">
      <c r="A7" s="33" t="n">
        <v>46300.77777777778</v>
      </c>
      <c r="B7" s="15" t="n">
        <v>11</v>
      </c>
      <c r="C7" s="15" t="n">
        <v>30</v>
      </c>
      <c r="D7" s="16" t="n">
        <v>360</v>
      </c>
      <c r="E7" s="34">
        <f>B7-B6</f>
        <v/>
      </c>
      <c r="F7" s="34">
        <f>C7-C6</f>
        <v/>
      </c>
      <c r="G7" s="35">
        <f>D7-D6</f>
        <v/>
      </c>
      <c r="H7">
        <f>TEXT(A7,"DD/MM HH:MM")</f>
        <v/>
      </c>
    </row>
    <row r="8">
      <c r="A8" s="30" t="n">
        <v>46300.78680555556</v>
      </c>
      <c r="B8" s="11" t="n">
        <v>11</v>
      </c>
      <c r="C8" s="11" t="n">
        <v>30</v>
      </c>
      <c r="D8" s="12" t="n">
        <v>360</v>
      </c>
      <c r="E8" s="31">
        <f>B8-B7</f>
        <v/>
      </c>
      <c r="F8" s="31">
        <f>C8-C7</f>
        <v/>
      </c>
      <c r="G8" s="32">
        <f>D8-D7</f>
        <v/>
      </c>
      <c r="H8">
        <f>TEXT(A8,"DD/MM HH:MM")</f>
        <v/>
      </c>
    </row>
    <row r="9">
      <c r="A9" s="33" t="n">
        <v>46300.79166666666</v>
      </c>
      <c r="B9" s="15" t="n">
        <v>11</v>
      </c>
      <c r="C9" s="15" t="n">
        <v>30</v>
      </c>
      <c r="D9" s="16" t="n">
        <v>360</v>
      </c>
      <c r="E9" s="34">
        <f>B9-B8</f>
        <v/>
      </c>
      <c r="F9" s="34">
        <f>C9-C8</f>
        <v/>
      </c>
      <c r="G9" s="35">
        <f>D9-D8</f>
        <v/>
      </c>
      <c r="H9">
        <f>TEXT(A9,"DD/MM HH:MM")</f>
        <v/>
      </c>
    </row>
    <row r="10">
      <c r="A10" s="30" t="n">
        <v>46300.8</v>
      </c>
      <c r="B10" s="11" t="n">
        <v>11</v>
      </c>
      <c r="C10" s="11" t="n">
        <v>30</v>
      </c>
      <c r="D10" s="12" t="n">
        <v>360</v>
      </c>
      <c r="E10" s="31">
        <f>B10-B9</f>
        <v/>
      </c>
      <c r="F10" s="31">
        <f>C10-C9</f>
        <v/>
      </c>
      <c r="G10" s="32">
        <f>D10-D9</f>
        <v/>
      </c>
      <c r="H10">
        <f>TEXT(A10,"DD/MM HH:MM")</f>
        <v/>
      </c>
    </row>
    <row r="11">
      <c r="A11" s="33" t="n">
        <v>46300.80208333334</v>
      </c>
      <c r="B11" s="15" t="n">
        <v>11</v>
      </c>
      <c r="C11" s="15" t="n">
        <v>30</v>
      </c>
      <c r="D11" s="16" t="n">
        <v>360</v>
      </c>
      <c r="E11" s="34">
        <f>B11-B10</f>
        <v/>
      </c>
      <c r="F11" s="34">
        <f>C11-C10</f>
        <v/>
      </c>
      <c r="G11" s="35">
        <f>D11-D10</f>
        <v/>
      </c>
      <c r="H11">
        <f>TEXT(A11,"DD/MM HH:MM")</f>
        <v/>
      </c>
    </row>
    <row r="12">
      <c r="A12" s="30" t="n">
        <v>46300.84652777778</v>
      </c>
      <c r="B12" s="11" t="n">
        <v>12</v>
      </c>
      <c r="C12" s="11" t="n">
        <v>34</v>
      </c>
      <c r="D12" s="12" t="n">
        <v>408</v>
      </c>
      <c r="E12" s="31">
        <f>B12-B11</f>
        <v/>
      </c>
      <c r="F12" s="31">
        <f>C12-C11</f>
        <v/>
      </c>
      <c r="G12" s="32">
        <f>D12-D11</f>
        <v/>
      </c>
      <c r="H12">
        <f>TEXT(A12,"DD/MM HH:MM")</f>
        <v/>
      </c>
    </row>
    <row r="13">
      <c r="A13" s="33" t="n">
        <v>46300.86319444444</v>
      </c>
      <c r="B13" s="15" t="n">
        <v>13</v>
      </c>
      <c r="C13" s="15" t="n">
        <v>36</v>
      </c>
      <c r="D13" s="16" t="n">
        <v>432</v>
      </c>
      <c r="E13" s="34">
        <f>B13-B12</f>
        <v/>
      </c>
      <c r="F13" s="34">
        <f>C13-C12</f>
        <v/>
      </c>
      <c r="G13" s="35">
        <f>D13-D12</f>
        <v/>
      </c>
      <c r="H13">
        <f>TEXT(A13,"DD/MM HH:MM")</f>
        <v/>
      </c>
    </row>
    <row r="14">
      <c r="A14" s="30" t="n">
        <v>46300.86597222222</v>
      </c>
      <c r="B14" s="11" t="n">
        <v>13</v>
      </c>
      <c r="C14" s="11" t="n">
        <v>36</v>
      </c>
      <c r="D14" s="12" t="n">
        <v>432</v>
      </c>
      <c r="E14" s="31">
        <f>B14-B13</f>
        <v/>
      </c>
      <c r="F14" s="31">
        <f>C14-C13</f>
        <v/>
      </c>
      <c r="G14" s="32">
        <f>D14-D13</f>
        <v/>
      </c>
      <c r="H14">
        <f>TEXT(A14,"DD/MM HH:MM")</f>
        <v/>
      </c>
    </row>
    <row r="15">
      <c r="A15" s="33" t="n">
        <v>46300.98125</v>
      </c>
      <c r="B15" s="15" t="n">
        <v>24</v>
      </c>
      <c r="C15" s="15" t="n">
        <v>63</v>
      </c>
      <c r="D15" s="16" t="n">
        <v>756</v>
      </c>
      <c r="E15" s="34">
        <f>B15-B14</f>
        <v/>
      </c>
      <c r="F15" s="34">
        <f>C15-C14</f>
        <v/>
      </c>
      <c r="G15" s="35">
        <f>D15-D14</f>
        <v/>
      </c>
      <c r="H15">
        <f>TEXT(A15,"DD/MM HH:MM")</f>
        <v/>
      </c>
    </row>
    <row r="16">
      <c r="A16" s="30" t="n">
        <v>46301.01319444444</v>
      </c>
      <c r="B16" s="11" t="n">
        <v>26</v>
      </c>
      <c r="C16" s="11" t="n">
        <v>69</v>
      </c>
      <c r="D16" s="12" t="n">
        <v>828</v>
      </c>
      <c r="E16" s="31">
        <f>B16-B15</f>
        <v/>
      </c>
      <c r="F16" s="31">
        <f>C16-C15</f>
        <v/>
      </c>
      <c r="G16" s="32">
        <f>D16-D15</f>
        <v/>
      </c>
      <c r="H16">
        <f>TEXT(A16,"DD/MM HH:MM")</f>
        <v/>
      </c>
    </row>
    <row r="17">
      <c r="A17" s="33" t="n">
        <v>46301.05069444444</v>
      </c>
      <c r="B17" s="15" t="n">
        <v>26</v>
      </c>
      <c r="C17" s="15" t="n">
        <v>69</v>
      </c>
      <c r="D17" s="16" t="n">
        <v>828</v>
      </c>
      <c r="E17" s="34">
        <f>B17-B16</f>
        <v/>
      </c>
      <c r="F17" s="34">
        <f>C17-C16</f>
        <v/>
      </c>
      <c r="G17" s="35">
        <f>D17-D16</f>
        <v/>
      </c>
      <c r="H17">
        <f>TEXT(A17,"DD/MM HH:MM")</f>
        <v/>
      </c>
    </row>
    <row r="18">
      <c r="A18" s="30" t="n">
        <v>46301.1</v>
      </c>
      <c r="B18" s="11" t="n">
        <v>26</v>
      </c>
      <c r="C18" s="11" t="n">
        <v>69</v>
      </c>
      <c r="D18" s="12" t="n">
        <v>828</v>
      </c>
      <c r="E18" s="31">
        <f>B18-B17</f>
        <v/>
      </c>
      <c r="F18" s="31">
        <f>C18-C17</f>
        <v/>
      </c>
      <c r="G18" s="32">
        <f>D18-D17</f>
        <v/>
      </c>
      <c r="H18">
        <f>TEXT(A18,"DD/MM HH:MM")</f>
        <v/>
      </c>
    </row>
    <row r="19">
      <c r="A19" s="33" t="n">
        <v>46301.13611111111</v>
      </c>
      <c r="B19" s="15" t="n">
        <v>26</v>
      </c>
      <c r="C19" s="15" t="n">
        <v>69</v>
      </c>
      <c r="D19" s="16" t="n">
        <v>828</v>
      </c>
      <c r="E19" s="34">
        <f>B19-B18</f>
        <v/>
      </c>
      <c r="F19" s="34">
        <f>C19-C18</f>
        <v/>
      </c>
      <c r="G19" s="35">
        <f>D19-D18</f>
        <v/>
      </c>
      <c r="H19">
        <f>TEXT(A19,"DD/MM HH:MM")</f>
        <v/>
      </c>
    </row>
    <row r="20">
      <c r="A20" s="30" t="n">
        <v>46301.17777777778</v>
      </c>
      <c r="B20" s="11" t="n">
        <v>26</v>
      </c>
      <c r="C20" s="11" t="n">
        <v>69</v>
      </c>
      <c r="D20" s="12" t="n">
        <v>828</v>
      </c>
      <c r="E20" s="31">
        <f>B20-B19</f>
        <v/>
      </c>
      <c r="F20" s="31">
        <f>C20-C19</f>
        <v/>
      </c>
      <c r="G20" s="32">
        <f>D20-D19</f>
        <v/>
      </c>
      <c r="H20">
        <f>TEXT(A20,"DD/MM HH:MM")</f>
        <v/>
      </c>
    </row>
    <row r="21">
      <c r="A21" s="33" t="n">
        <v>46301.21944444445</v>
      </c>
      <c r="B21" s="15" t="n">
        <v>26</v>
      </c>
      <c r="C21" s="15" t="n">
        <v>69</v>
      </c>
      <c r="D21" s="16" t="n">
        <v>828</v>
      </c>
      <c r="E21" s="34">
        <f>B21-B20</f>
        <v/>
      </c>
      <c r="F21" s="34">
        <f>C21-C20</f>
        <v/>
      </c>
      <c r="G21" s="35">
        <f>D21-D20</f>
        <v/>
      </c>
      <c r="H21">
        <f>TEXT(A21,"DD/MM HH:MM")</f>
        <v/>
      </c>
    </row>
    <row r="22">
      <c r="A22" s="30" t="n">
        <v>46301.26180555556</v>
      </c>
      <c r="B22" s="11" t="n">
        <v>26</v>
      </c>
      <c r="C22" s="11" t="n">
        <v>69</v>
      </c>
      <c r="D22" s="12" t="n">
        <v>828</v>
      </c>
      <c r="E22" s="31">
        <f>B22-B21</f>
        <v/>
      </c>
      <c r="F22" s="31">
        <f>C22-C21</f>
        <v/>
      </c>
      <c r="G22" s="32">
        <f>D22-D21</f>
        <v/>
      </c>
      <c r="H22">
        <f>TEXT(A22,"DD/MM HH:MM")</f>
        <v/>
      </c>
    </row>
    <row r="23">
      <c r="A23" s="33" t="n">
        <v>46301.30208333334</v>
      </c>
      <c r="B23" s="15" t="n">
        <v>26</v>
      </c>
      <c r="C23" s="15" t="n">
        <v>69</v>
      </c>
      <c r="D23" s="16" t="n">
        <v>828</v>
      </c>
      <c r="E23" s="34">
        <f>B23-B22</f>
        <v/>
      </c>
      <c r="F23" s="34">
        <f>C23-C22</f>
        <v/>
      </c>
      <c r="G23" s="35">
        <f>D23-D22</f>
        <v/>
      </c>
      <c r="H23">
        <f>TEXT(A23,"DD/MM HH:MM")</f>
        <v/>
      </c>
    </row>
    <row r="24">
      <c r="A24" s="30" t="n">
        <v>46301.34722222222</v>
      </c>
      <c r="B24" s="11" t="n">
        <v>26</v>
      </c>
      <c r="C24" s="11" t="n">
        <v>69</v>
      </c>
      <c r="D24" s="12" t="n">
        <v>828</v>
      </c>
      <c r="E24" s="31">
        <f>B24-B23</f>
        <v/>
      </c>
      <c r="F24" s="31">
        <f>C24-C23</f>
        <v/>
      </c>
      <c r="G24" s="32">
        <f>D24-D23</f>
        <v/>
      </c>
      <c r="H24">
        <f>TEXT(A24,"DD/MM HH:MM")</f>
        <v/>
      </c>
    </row>
    <row r="25">
      <c r="A25" s="33" t="n">
        <v>46301.35625</v>
      </c>
      <c r="B25" s="15" t="n">
        <v>27</v>
      </c>
      <c r="C25" s="15" t="n">
        <v>72</v>
      </c>
      <c r="D25" s="16" t="n">
        <v>864</v>
      </c>
      <c r="E25" s="34">
        <f>B25-B24</f>
        <v/>
      </c>
      <c r="F25" s="34">
        <f>C25-C24</f>
        <v/>
      </c>
      <c r="G25" s="35">
        <f>D25-D24</f>
        <v/>
      </c>
      <c r="H25">
        <f>TEXT(A25,"DD/MM HH:MM")</f>
        <v/>
      </c>
    </row>
    <row r="26">
      <c r="A26" s="30" t="n">
        <v>46301.36319444444</v>
      </c>
      <c r="B26" s="11" t="n">
        <v>27</v>
      </c>
      <c r="C26" s="11" t="n">
        <v>72</v>
      </c>
      <c r="D26" s="12" t="n">
        <v>864</v>
      </c>
      <c r="E26" s="31">
        <f>B26-B25</f>
        <v/>
      </c>
      <c r="F26" s="31">
        <f>C26-C25</f>
        <v/>
      </c>
      <c r="G26" s="32">
        <f>D26-D25</f>
        <v/>
      </c>
      <c r="H26">
        <f>TEXT(A26,"DD/MM HH:MM")</f>
        <v/>
      </c>
    </row>
    <row r="27">
      <c r="A27" s="33" t="n">
        <v>46301.38680555556</v>
      </c>
      <c r="B27" s="15" t="n">
        <v>30</v>
      </c>
      <c r="C27" s="15" t="n">
        <v>79</v>
      </c>
      <c r="D27" s="16" t="n">
        <v>948</v>
      </c>
      <c r="E27" s="34">
        <f>B27-B26</f>
        <v/>
      </c>
      <c r="F27" s="34">
        <f>C27-C26</f>
        <v/>
      </c>
      <c r="G27" s="35">
        <f>D27-D26</f>
        <v/>
      </c>
      <c r="H27">
        <f>TEXT(A27,"DD/MM HH:MM")</f>
        <v/>
      </c>
    </row>
    <row r="28">
      <c r="A28" s="30" t="n">
        <v>46301.42847222222</v>
      </c>
      <c r="B28" s="11" t="n">
        <v>30</v>
      </c>
      <c r="C28" s="11" t="n">
        <v>79</v>
      </c>
      <c r="D28" s="12" t="n">
        <v>948</v>
      </c>
      <c r="E28" s="31">
        <f>B28-B27</f>
        <v/>
      </c>
      <c r="F28" s="31">
        <f>C28-C27</f>
        <v/>
      </c>
      <c r="G28" s="32">
        <f>D28-D27</f>
        <v/>
      </c>
      <c r="H28">
        <f>TEXT(A28,"DD/MM HH:MM")</f>
        <v/>
      </c>
    </row>
    <row r="29">
      <c r="A29" s="33" t="n">
        <v>46301.46319444444</v>
      </c>
      <c r="B29" s="15" t="n">
        <v>31</v>
      </c>
      <c r="C29" s="15" t="n">
        <v>83</v>
      </c>
      <c r="D29" s="16" t="n">
        <v>996</v>
      </c>
      <c r="E29" s="34">
        <f>B29-B28</f>
        <v/>
      </c>
      <c r="F29" s="34">
        <f>C29-C28</f>
        <v/>
      </c>
      <c r="G29" s="35">
        <f>D29-D28</f>
        <v/>
      </c>
      <c r="H29">
        <f>TEXT(A29,"DD/MM HH:MM")</f>
        <v/>
      </c>
    </row>
    <row r="30">
      <c r="A30" s="30" t="n">
        <v>46301.47013888889</v>
      </c>
      <c r="B30" s="11" t="n">
        <v>31</v>
      </c>
      <c r="C30" s="11" t="n">
        <v>83</v>
      </c>
      <c r="D30" s="12" t="n">
        <v>996</v>
      </c>
      <c r="E30" s="31">
        <f>B30-B29</f>
        <v/>
      </c>
      <c r="F30" s="31">
        <f>C30-C29</f>
        <v/>
      </c>
      <c r="G30" s="32">
        <f>D30-D29</f>
        <v/>
      </c>
      <c r="H30">
        <f>TEXT(A30,"DD/MM HH:MM")</f>
        <v/>
      </c>
    </row>
    <row r="31">
      <c r="A31" s="33" t="n">
        <v>46301.47291666667</v>
      </c>
      <c r="B31" s="15" t="n">
        <v>31</v>
      </c>
      <c r="C31" s="15" t="n">
        <v>83</v>
      </c>
      <c r="D31" s="16" t="n">
        <v>996</v>
      </c>
      <c r="E31" s="34">
        <f>B31-B30</f>
        <v/>
      </c>
      <c r="F31" s="34">
        <f>C31-C30</f>
        <v/>
      </c>
      <c r="G31" s="35">
        <f>D31-D30</f>
        <v/>
      </c>
      <c r="H31">
        <f>TEXT(A31,"DD/MM HH:MM")</f>
        <v/>
      </c>
    </row>
    <row r="32">
      <c r="A32" s="30" t="n">
        <v>46301.47986111111</v>
      </c>
      <c r="B32" s="11" t="n">
        <v>32</v>
      </c>
      <c r="C32" s="11" t="n">
        <v>88</v>
      </c>
      <c r="D32" s="12" t="n">
        <v>1056</v>
      </c>
      <c r="E32" s="31">
        <f>B32-B31</f>
        <v/>
      </c>
      <c r="F32" s="31">
        <f>C32-C31</f>
        <v/>
      </c>
      <c r="G32" s="32">
        <f>D32-D31</f>
        <v/>
      </c>
      <c r="H32">
        <f>TEXT(A32,"DD/MM HH:MM")</f>
        <v/>
      </c>
    </row>
    <row r="33">
      <c r="A33" s="33" t="n">
        <v>46301.51111111111</v>
      </c>
      <c r="B33" s="15" t="n">
        <v>33</v>
      </c>
      <c r="C33" s="15" t="n">
        <v>90</v>
      </c>
      <c r="D33" s="16" t="n">
        <v>1080</v>
      </c>
      <c r="E33" s="34">
        <f>B33-B32</f>
        <v/>
      </c>
      <c r="F33" s="34">
        <f>C33-C32</f>
        <v/>
      </c>
      <c r="G33" s="35">
        <f>D33-D32</f>
        <v/>
      </c>
      <c r="H33">
        <f>TEXT(A33,"DD/MM HH:MM")</f>
        <v/>
      </c>
    </row>
    <row r="34">
      <c r="A34" s="30" t="n">
        <v>46301.52430555555</v>
      </c>
      <c r="B34" s="11" t="n">
        <v>33</v>
      </c>
      <c r="C34" s="11" t="n">
        <v>90</v>
      </c>
      <c r="D34" s="12" t="n">
        <v>1080</v>
      </c>
      <c r="E34" s="31">
        <f>B34-B33</f>
        <v/>
      </c>
      <c r="F34" s="31">
        <f>C34-C33</f>
        <v/>
      </c>
      <c r="G34" s="32">
        <f>D34-D33</f>
        <v/>
      </c>
      <c r="H34">
        <f>TEXT(A34,"DD/MM HH:MM")</f>
        <v/>
      </c>
    </row>
    <row r="35">
      <c r="A35" s="33" t="n">
        <v>46301.55208333334</v>
      </c>
      <c r="B35" s="15" t="n">
        <v>33</v>
      </c>
      <c r="C35" s="15" t="n">
        <v>90</v>
      </c>
      <c r="D35" s="16" t="n">
        <v>1080</v>
      </c>
      <c r="E35" s="34">
        <f>B35-B34</f>
        <v/>
      </c>
      <c r="F35" s="34">
        <f>C35-C34</f>
        <v/>
      </c>
      <c r="G35" s="35">
        <f>D35-D34</f>
        <v/>
      </c>
      <c r="H35">
        <f>TEXT(A35,"DD/MM HH:MM")</f>
        <v/>
      </c>
    </row>
    <row r="36">
      <c r="A36" s="30" t="n">
        <v>46301.56180555555</v>
      </c>
      <c r="B36" s="11" t="n">
        <v>34</v>
      </c>
      <c r="C36" s="11" t="n">
        <v>92</v>
      </c>
      <c r="D36" s="12" t="n">
        <v>1104</v>
      </c>
      <c r="E36" s="31">
        <f>B36-B35</f>
        <v/>
      </c>
      <c r="F36" s="31">
        <f>C36-C35</f>
        <v/>
      </c>
      <c r="G36" s="32">
        <f>D36-D35</f>
        <v/>
      </c>
      <c r="H36">
        <f>TEXT(A36,"DD/MM HH:MM")</f>
        <v/>
      </c>
    </row>
    <row r="37">
      <c r="A37" s="33" t="n">
        <v>46301.59652777778</v>
      </c>
      <c r="B37" s="15" t="n">
        <v>36</v>
      </c>
      <c r="C37" s="15" t="n">
        <v>97</v>
      </c>
      <c r="D37" s="16" t="n">
        <v>1164</v>
      </c>
      <c r="E37" s="34">
        <f>B37-B36</f>
        <v/>
      </c>
      <c r="F37" s="34">
        <f>C37-C36</f>
        <v/>
      </c>
      <c r="G37" s="35">
        <f>D37-D36</f>
        <v/>
      </c>
      <c r="H37">
        <f>TEXT(A37,"DD/MM HH:MM")</f>
        <v/>
      </c>
    </row>
    <row r="38">
      <c r="A38" s="30" t="n">
        <v>46301.63611111111</v>
      </c>
      <c r="B38" s="11" t="n">
        <v>37</v>
      </c>
      <c r="C38" s="11" t="n">
        <v>102</v>
      </c>
      <c r="D38" s="12" t="n">
        <v>1224</v>
      </c>
      <c r="E38" s="31">
        <f>B38-B37</f>
        <v/>
      </c>
      <c r="F38" s="31">
        <f>C38-C37</f>
        <v/>
      </c>
      <c r="G38" s="32">
        <f>D38-D37</f>
        <v/>
      </c>
      <c r="H38">
        <f>TEXT(A38,"DD/MM HH:MM")</f>
        <v/>
      </c>
    </row>
    <row r="39">
      <c r="A39" s="33" t="n">
        <v>46301.6375</v>
      </c>
      <c r="B39" s="15" t="n">
        <v>37</v>
      </c>
      <c r="C39" s="15" t="n">
        <v>102</v>
      </c>
      <c r="D39" s="16" t="n">
        <v>1224</v>
      </c>
      <c r="E39" s="34">
        <f>B39-B38</f>
        <v/>
      </c>
      <c r="F39" s="34">
        <f>C39-C38</f>
        <v/>
      </c>
      <c r="G39" s="35">
        <f>D39-D38</f>
        <v/>
      </c>
      <c r="H39">
        <f>TEXT(A39,"DD/MM HH:MM")</f>
        <v/>
      </c>
    </row>
    <row r="40">
      <c r="A40" s="30" t="n">
        <v>46301.67916666667</v>
      </c>
      <c r="B40" s="11" t="n">
        <v>38</v>
      </c>
      <c r="C40" s="11" t="n">
        <v>104</v>
      </c>
      <c r="D40" s="12" t="n">
        <v>1248</v>
      </c>
      <c r="E40" s="31">
        <f>B40-B39</f>
        <v/>
      </c>
      <c r="F40" s="31">
        <f>C40-C39</f>
        <v/>
      </c>
      <c r="G40" s="32">
        <f>D40-D39</f>
        <v/>
      </c>
      <c r="H40">
        <f>TEXT(A40,"DD/MM HH:MM")</f>
        <v/>
      </c>
    </row>
    <row r="41">
      <c r="A41" s="33" t="n">
        <v>46301.69861111111</v>
      </c>
      <c r="B41" s="15" t="n">
        <v>38</v>
      </c>
      <c r="C41" s="15" t="n">
        <v>104</v>
      </c>
      <c r="D41" s="16" t="n">
        <v>1248</v>
      </c>
      <c r="E41" s="34">
        <f>B41-B40</f>
        <v/>
      </c>
      <c r="F41" s="34">
        <f>C41-C40</f>
        <v/>
      </c>
      <c r="G41" s="35">
        <f>D41-D40</f>
        <v/>
      </c>
      <c r="H41">
        <f>TEXT(A41,"DD/MM HH:MM")</f>
        <v/>
      </c>
    </row>
    <row r="42">
      <c r="A42" s="30" t="n">
        <v>46301.71111111111</v>
      </c>
      <c r="B42" s="11" t="n">
        <v>38</v>
      </c>
      <c r="C42" s="11" t="n">
        <v>104</v>
      </c>
      <c r="D42" s="12" t="n">
        <v>1248</v>
      </c>
      <c r="E42" s="31">
        <f>B42-B41</f>
        <v/>
      </c>
      <c r="F42" s="31">
        <f>C42-C41</f>
        <v/>
      </c>
      <c r="G42" s="32">
        <f>D42-D41</f>
        <v/>
      </c>
      <c r="H42">
        <f>TEXT(A42,"DD/MM HH:MM")</f>
        <v/>
      </c>
    </row>
    <row r="43">
      <c r="A43" s="33" t="n">
        <v>46301.72152777778</v>
      </c>
      <c r="B43" s="15" t="n">
        <v>38</v>
      </c>
      <c r="C43" s="15" t="n">
        <v>104</v>
      </c>
      <c r="D43" s="16" t="n">
        <v>1248</v>
      </c>
      <c r="E43" s="34">
        <f>B43-B42</f>
        <v/>
      </c>
      <c r="F43" s="34">
        <f>C43-C42</f>
        <v/>
      </c>
      <c r="G43" s="35">
        <f>D43-D42</f>
        <v/>
      </c>
      <c r="H43">
        <f>TEXT(A43,"DD/MM HH:MM")</f>
        <v/>
      </c>
    </row>
    <row r="44">
      <c r="A44" s="30" t="n">
        <v>46301.76180555556</v>
      </c>
      <c r="B44" s="11" t="n">
        <v>38</v>
      </c>
      <c r="C44" s="11" t="n">
        <v>104</v>
      </c>
      <c r="D44" s="12" t="n">
        <v>1248</v>
      </c>
      <c r="E44" s="31">
        <f>B44-B43</f>
        <v/>
      </c>
      <c r="F44" s="31">
        <f>C44-C43</f>
        <v/>
      </c>
      <c r="G44" s="32">
        <f>D44-D43</f>
        <v/>
      </c>
      <c r="H44">
        <f>TEXT(A44,"DD/MM HH:MM")</f>
        <v/>
      </c>
    </row>
    <row r="45">
      <c r="A45" s="33" t="n">
        <v>46301.77569444444</v>
      </c>
      <c r="B45" s="15" t="n">
        <v>39</v>
      </c>
      <c r="C45" s="15" t="n">
        <v>108</v>
      </c>
      <c r="D45" s="16" t="n">
        <v>1296</v>
      </c>
      <c r="E45" s="34">
        <f>B45-B44</f>
        <v/>
      </c>
      <c r="F45" s="34">
        <f>C45-C44</f>
        <v/>
      </c>
      <c r="G45" s="35">
        <f>D45-D44</f>
        <v/>
      </c>
      <c r="H45">
        <f>TEXT(A45,"DD/MM HH:MM")</f>
        <v/>
      </c>
    </row>
    <row r="46">
      <c r="A46" s="30" t="n">
        <v>46301.80138888889</v>
      </c>
      <c r="B46" s="11" t="n">
        <v>40</v>
      </c>
      <c r="C46" s="11" t="n">
        <v>110</v>
      </c>
      <c r="D46" s="12" t="n">
        <v>1320</v>
      </c>
      <c r="E46" s="31">
        <f>B46-B45</f>
        <v/>
      </c>
      <c r="F46" s="31">
        <f>C46-C45</f>
        <v/>
      </c>
      <c r="G46" s="32">
        <f>D46-D45</f>
        <v/>
      </c>
      <c r="H46">
        <f>TEXT(A46,"DD/MM HH:MM")</f>
        <v/>
      </c>
    </row>
    <row r="47">
      <c r="A47" s="33" t="n">
        <v>46301.81944444445</v>
      </c>
      <c r="B47" s="15" t="n">
        <v>41</v>
      </c>
      <c r="C47" s="15" t="n">
        <v>112</v>
      </c>
      <c r="D47" s="16" t="n">
        <v>1344</v>
      </c>
      <c r="E47" s="34">
        <f>B47-B46</f>
        <v/>
      </c>
      <c r="F47" s="34">
        <f>C47-C46</f>
        <v/>
      </c>
      <c r="G47" s="35">
        <f>D47-D46</f>
        <v/>
      </c>
      <c r="H47">
        <f>TEXT(A47,"DD/MM HH:MM")</f>
        <v/>
      </c>
    </row>
    <row r="48">
      <c r="A48" s="30" t="n">
        <v>46301.83055555556</v>
      </c>
      <c r="B48" s="11" t="n">
        <v>41</v>
      </c>
      <c r="C48" s="11" t="n">
        <v>112</v>
      </c>
      <c r="D48" s="12" t="n">
        <v>1344</v>
      </c>
      <c r="E48" s="31">
        <f>B48-B47</f>
        <v/>
      </c>
      <c r="F48" s="31">
        <f>C48-C47</f>
        <v/>
      </c>
      <c r="G48" s="32">
        <f>D48-D47</f>
        <v/>
      </c>
      <c r="H48">
        <f>TEXT(A48,"DD/MM HH:MM")</f>
        <v/>
      </c>
    </row>
    <row r="49">
      <c r="A49" s="33" t="n">
        <v>46301.84513888889</v>
      </c>
      <c r="B49" s="15" t="n">
        <v>41</v>
      </c>
      <c r="C49" s="15" t="n">
        <v>112</v>
      </c>
      <c r="D49" s="16" t="n">
        <v>1344</v>
      </c>
      <c r="E49" s="34">
        <f>B49-B48</f>
        <v/>
      </c>
      <c r="F49" s="34">
        <f>C49-C48</f>
        <v/>
      </c>
      <c r="G49" s="35">
        <f>D49-D48</f>
        <v/>
      </c>
      <c r="H49">
        <f>TEXT(A49,"DD/MM HH:MM")</f>
        <v/>
      </c>
    </row>
    <row r="50">
      <c r="A50" s="30" t="n">
        <v>46301.84791666667</v>
      </c>
      <c r="B50" s="11" t="n">
        <v>42</v>
      </c>
      <c r="C50" s="11" t="n">
        <v>116</v>
      </c>
      <c r="D50" s="12" t="n">
        <v>1392</v>
      </c>
      <c r="E50" s="31">
        <f>B50-B49</f>
        <v/>
      </c>
      <c r="F50" s="31">
        <f>C50-C49</f>
        <v/>
      </c>
      <c r="G50" s="32">
        <f>D50-D49</f>
        <v/>
      </c>
      <c r="H50">
        <f>TEXT(A50,"DD/MM HH:MM")</f>
        <v/>
      </c>
    </row>
    <row r="51">
      <c r="A51" s="33" t="n">
        <v>46301.87638888889</v>
      </c>
      <c r="B51" s="15" t="n">
        <v>44</v>
      </c>
      <c r="C51" s="15" t="n">
        <v>122</v>
      </c>
      <c r="D51" s="16" t="n">
        <v>1464</v>
      </c>
      <c r="E51" s="34">
        <f>B51-B50</f>
        <v/>
      </c>
      <c r="F51" s="34">
        <f>C51-C50</f>
        <v/>
      </c>
      <c r="G51" s="35">
        <f>D51-D50</f>
        <v/>
      </c>
      <c r="H51">
        <f>TEXT(A51,"DD/MM HH:MM")</f>
        <v/>
      </c>
    </row>
    <row r="52">
      <c r="A52" s="30" t="n">
        <v>46301.88541666666</v>
      </c>
      <c r="B52" s="11" t="n">
        <v>44</v>
      </c>
      <c r="C52" s="11" t="n">
        <v>122</v>
      </c>
      <c r="D52" s="12" t="n">
        <v>1464</v>
      </c>
      <c r="E52" s="31">
        <f>B52-B51</f>
        <v/>
      </c>
      <c r="F52" s="31">
        <f>C52-C51</f>
        <v/>
      </c>
      <c r="G52" s="32">
        <f>D52-D51</f>
        <v/>
      </c>
      <c r="H52">
        <f>TEXT(A52,"DD/MM HH:MM")</f>
        <v/>
      </c>
    </row>
    <row r="53">
      <c r="A53" s="33" t="n">
        <v>46301.92708333334</v>
      </c>
      <c r="B53" s="15" t="n">
        <v>46</v>
      </c>
      <c r="C53" s="15" t="n">
        <v>128</v>
      </c>
      <c r="D53" s="16" t="n">
        <v>1536</v>
      </c>
      <c r="E53" s="34">
        <f>B53-B52</f>
        <v/>
      </c>
      <c r="F53" s="34">
        <f>C53-C52</f>
        <v/>
      </c>
      <c r="G53" s="35">
        <f>D53-D52</f>
        <v/>
      </c>
      <c r="H53">
        <f>TEXT(A53,"DD/MM HH:MM")</f>
        <v/>
      </c>
    </row>
    <row r="54">
      <c r="A54" s="30" t="n">
        <v>46301.92986111111</v>
      </c>
      <c r="B54" s="11" t="n">
        <v>46</v>
      </c>
      <c r="C54" s="11" t="n">
        <v>128</v>
      </c>
      <c r="D54" s="12" t="n">
        <v>1536</v>
      </c>
      <c r="E54" s="31">
        <f>B54-B53</f>
        <v/>
      </c>
      <c r="F54" s="31">
        <f>C54-C53</f>
        <v/>
      </c>
      <c r="G54" s="32">
        <f>D54-D53</f>
        <v/>
      </c>
      <c r="H54">
        <f>TEXT(A54,"DD/MM HH:MM")</f>
        <v/>
      </c>
    </row>
    <row r="55">
      <c r="A55" s="33" t="n">
        <v>46301.96805555555</v>
      </c>
      <c r="B55" s="15" t="n">
        <v>51</v>
      </c>
      <c r="C55" s="15" t="n">
        <v>142</v>
      </c>
      <c r="D55" s="16" t="n">
        <v>1704</v>
      </c>
      <c r="E55" s="34">
        <f>B55-B54</f>
        <v/>
      </c>
      <c r="F55" s="34">
        <f>C55-C54</f>
        <v/>
      </c>
      <c r="G55" s="35">
        <f>D55-D54</f>
        <v/>
      </c>
      <c r="H55">
        <f>TEXT(A55,"DD/MM HH:MM")</f>
        <v/>
      </c>
    </row>
    <row r="56">
      <c r="A56" s="30" t="n">
        <v>46301.97222222222</v>
      </c>
      <c r="B56" s="11" t="n">
        <v>51</v>
      </c>
      <c r="C56" s="11" t="n">
        <v>142</v>
      </c>
      <c r="D56" s="12" t="n">
        <v>1704</v>
      </c>
      <c r="E56" s="31">
        <f>B56-B55</f>
        <v/>
      </c>
      <c r="F56" s="31">
        <f>C56-C55</f>
        <v/>
      </c>
      <c r="G56" s="32">
        <f>D56-D55</f>
        <v/>
      </c>
      <c r="H56">
        <f>TEXT(A56,"DD/MM HH:MM")</f>
        <v/>
      </c>
    </row>
    <row r="57">
      <c r="A57" s="33" t="n">
        <v>46302.01041666666</v>
      </c>
      <c r="B57" s="15" t="n">
        <v>52</v>
      </c>
      <c r="C57" s="15" t="n">
        <v>144</v>
      </c>
      <c r="D57" s="16" t="n">
        <v>1728</v>
      </c>
      <c r="E57" s="34">
        <f>B57-B56</f>
        <v/>
      </c>
      <c r="F57" s="34">
        <f>C57-C56</f>
        <v/>
      </c>
      <c r="G57" s="35">
        <f>D57-D56</f>
        <v/>
      </c>
      <c r="H57">
        <f>TEXT(A57,"DD/MM HH:MM")</f>
        <v/>
      </c>
    </row>
    <row r="58">
      <c r="A58" s="30" t="n">
        <v>46302.05138888889</v>
      </c>
      <c r="B58" s="11" t="n">
        <v>53</v>
      </c>
      <c r="C58" s="11" t="n">
        <v>146</v>
      </c>
      <c r="D58" s="12" t="n">
        <v>1752</v>
      </c>
      <c r="E58" s="31">
        <f>B58-B57</f>
        <v/>
      </c>
      <c r="F58" s="31">
        <f>C58-C57</f>
        <v/>
      </c>
      <c r="G58" s="32">
        <f>D58-D57</f>
        <v/>
      </c>
      <c r="H58">
        <f>TEXT(A58,"DD/MM HH:MM")</f>
        <v/>
      </c>
    </row>
    <row r="59">
      <c r="A59" s="33" t="n">
        <v>46302.1</v>
      </c>
      <c r="B59" s="15" t="n">
        <v>53</v>
      </c>
      <c r="C59" s="15" t="n">
        <v>146</v>
      </c>
      <c r="D59" s="16" t="n">
        <v>1752</v>
      </c>
      <c r="E59" s="34">
        <f>B59-B58</f>
        <v/>
      </c>
      <c r="F59" s="34">
        <f>C59-C58</f>
        <v/>
      </c>
      <c r="G59" s="35">
        <f>D59-D58</f>
        <v/>
      </c>
      <c r="H59">
        <f>TEXT(A59,"DD/MM HH:MM")</f>
        <v/>
      </c>
    </row>
    <row r="60">
      <c r="A60" s="30" t="n">
        <v>46302.13680555556</v>
      </c>
      <c r="B60" s="11" t="n">
        <v>53</v>
      </c>
      <c r="C60" s="11" t="n">
        <v>146</v>
      </c>
      <c r="D60" s="12" t="n">
        <v>1752</v>
      </c>
      <c r="E60" s="31">
        <f>B60-B59</f>
        <v/>
      </c>
      <c r="F60" s="31">
        <f>C60-C59</f>
        <v/>
      </c>
      <c r="G60" s="32">
        <f>D60-D59</f>
        <v/>
      </c>
      <c r="H60">
        <f>TEXT(A60,"DD/MM HH:MM")</f>
        <v/>
      </c>
    </row>
    <row r="61">
      <c r="A61" s="33" t="n">
        <v>46302.17777777778</v>
      </c>
      <c r="B61" s="15" t="n">
        <v>53</v>
      </c>
      <c r="C61" s="15" t="n">
        <v>146</v>
      </c>
      <c r="D61" s="16" t="n">
        <v>1752</v>
      </c>
      <c r="E61" s="34">
        <f>B61-B60</f>
        <v/>
      </c>
      <c r="F61" s="34">
        <f>C61-C60</f>
        <v/>
      </c>
      <c r="G61" s="35">
        <f>D61-D60</f>
        <v/>
      </c>
      <c r="H61">
        <f>TEXT(A61,"DD/MM HH:MM")</f>
        <v/>
      </c>
    </row>
    <row r="62">
      <c r="A62" s="30" t="n">
        <v>46302.21944444445</v>
      </c>
      <c r="B62" s="11" t="n">
        <v>53</v>
      </c>
      <c r="C62" s="11" t="n">
        <v>146</v>
      </c>
      <c r="D62" s="12" t="n">
        <v>1752</v>
      </c>
      <c r="E62" s="31">
        <f>B62-B61</f>
        <v/>
      </c>
      <c r="F62" s="31">
        <f>C62-C61</f>
        <v/>
      </c>
      <c r="G62" s="32">
        <f>D62-D61</f>
        <v/>
      </c>
      <c r="H62">
        <f>TEXT(A62,"DD/MM HH:MM")</f>
        <v/>
      </c>
    </row>
    <row r="63">
      <c r="A63" s="33" t="n">
        <v>46302.26111111111</v>
      </c>
      <c r="B63" s="15" t="n">
        <v>53</v>
      </c>
      <c r="C63" s="15" t="n">
        <v>146</v>
      </c>
      <c r="D63" s="16" t="n">
        <v>1752</v>
      </c>
      <c r="E63" s="34">
        <f>B63-B62</f>
        <v/>
      </c>
      <c r="F63" s="34">
        <f>C63-C62</f>
        <v/>
      </c>
      <c r="G63" s="35">
        <f>D63-D62</f>
        <v/>
      </c>
      <c r="H63">
        <f>TEXT(A63,"DD/MM HH:MM")</f>
        <v/>
      </c>
    </row>
    <row r="64">
      <c r="A64" s="30" t="n">
        <v>46302.30277777778</v>
      </c>
      <c r="B64" s="11" t="n">
        <v>53</v>
      </c>
      <c r="C64" s="11" t="n">
        <v>146</v>
      </c>
      <c r="D64" s="12" t="n">
        <v>1752</v>
      </c>
      <c r="E64" s="31">
        <f>B64-B63</f>
        <v/>
      </c>
      <c r="F64" s="31">
        <f>C64-C63</f>
        <v/>
      </c>
      <c r="G64" s="32">
        <f>D64-D63</f>
        <v/>
      </c>
      <c r="H64">
        <f>TEXT(A64,"DD/MM HH:MM")</f>
        <v/>
      </c>
    </row>
    <row r="65">
      <c r="A65" s="33" t="n">
        <v>46302.34652777778</v>
      </c>
      <c r="B65" s="15" t="n">
        <v>53</v>
      </c>
      <c r="C65" s="15" t="n">
        <v>146</v>
      </c>
      <c r="D65" s="16" t="n">
        <v>1752</v>
      </c>
      <c r="E65" s="34">
        <f>B65-B64</f>
        <v/>
      </c>
      <c r="F65" s="34">
        <f>C65-C64</f>
        <v/>
      </c>
      <c r="G65" s="35">
        <f>D65-D64</f>
        <v/>
      </c>
      <c r="H65">
        <f>TEXT(A65,"DD/MM HH:MM")</f>
        <v/>
      </c>
    </row>
    <row r="66">
      <c r="A66" s="30" t="n">
        <v>46302.3875</v>
      </c>
      <c r="B66" s="11" t="n">
        <v>54</v>
      </c>
      <c r="C66" s="11" t="n">
        <v>150</v>
      </c>
      <c r="D66" s="12" t="n">
        <v>1800</v>
      </c>
      <c r="E66" s="31">
        <f>B66-B65</f>
        <v/>
      </c>
      <c r="F66" s="31">
        <f>C66-C65</f>
        <v/>
      </c>
      <c r="G66" s="32">
        <f>D66-D65</f>
        <v/>
      </c>
      <c r="H66">
        <f>TEXT(A66,"DD/MM HH:MM")</f>
        <v/>
      </c>
    </row>
    <row r="67">
      <c r="A67" s="33" t="n">
        <v>46302.40902777778</v>
      </c>
      <c r="B67" s="15" t="n">
        <v>54</v>
      </c>
      <c r="C67" s="15" t="n">
        <v>150</v>
      </c>
      <c r="D67" s="16" t="n">
        <v>1800</v>
      </c>
      <c r="E67" s="34">
        <f>B67-B66</f>
        <v/>
      </c>
      <c r="F67" s="34">
        <f>C67-C66</f>
        <v/>
      </c>
      <c r="G67" s="35">
        <f>D67-D66</f>
        <v/>
      </c>
      <c r="H67">
        <f>TEXT(A67,"DD/MM HH:MM")</f>
        <v/>
      </c>
    </row>
    <row r="68">
      <c r="A68" s="30" t="n">
        <v>46302.42916666667</v>
      </c>
      <c r="B68" s="11" t="n">
        <v>54</v>
      </c>
      <c r="C68" s="11" t="n">
        <v>150</v>
      </c>
      <c r="D68" s="12" t="n">
        <v>1800</v>
      </c>
      <c r="E68" s="31">
        <f>B68-B67</f>
        <v/>
      </c>
      <c r="F68" s="31">
        <f>C68-C67</f>
        <v/>
      </c>
      <c r="G68" s="32">
        <f>D68-D67</f>
        <v/>
      </c>
      <c r="H68">
        <f>TEXT(A68,"DD/MM HH:MM")</f>
        <v/>
      </c>
    </row>
    <row r="69">
      <c r="A69" s="33" t="n">
        <v>46302.47013888889</v>
      </c>
      <c r="B69" s="15" t="n">
        <v>54</v>
      </c>
      <c r="C69" s="15" t="n">
        <v>150</v>
      </c>
      <c r="D69" s="16" t="n">
        <v>1800</v>
      </c>
      <c r="E69" s="34">
        <f>B69-B68</f>
        <v/>
      </c>
      <c r="F69" s="34">
        <f>C69-C68</f>
        <v/>
      </c>
      <c r="G69" s="35">
        <f>D69-D68</f>
        <v/>
      </c>
      <c r="H69">
        <f>TEXT(A69,"DD/MM HH:MM")</f>
        <v/>
      </c>
    </row>
    <row r="70">
      <c r="A70" s="30" t="n">
        <v>46302.48333333333</v>
      </c>
      <c r="B70" s="11" t="n">
        <v>54</v>
      </c>
      <c r="C70" s="11" t="n">
        <v>150</v>
      </c>
      <c r="D70" s="12" t="n">
        <v>1800</v>
      </c>
      <c r="E70" s="31">
        <f>B70-B69</f>
        <v/>
      </c>
      <c r="F70" s="31">
        <f>C70-C69</f>
        <v/>
      </c>
      <c r="G70" s="32">
        <f>D70-D69</f>
        <v/>
      </c>
      <c r="H70">
        <f>TEXT(A70,"DD/MM HH:MM")</f>
        <v/>
      </c>
    </row>
    <row r="71">
      <c r="A71" s="33" t="n">
        <v>46302.49375</v>
      </c>
      <c r="B71" s="15" t="n">
        <v>54</v>
      </c>
      <c r="C71" s="15" t="n">
        <v>150</v>
      </c>
      <c r="D71" s="16" t="n">
        <v>1800</v>
      </c>
      <c r="E71" s="34">
        <f>B71-B70</f>
        <v/>
      </c>
      <c r="F71" s="34">
        <f>C71-C70</f>
        <v/>
      </c>
      <c r="G71" s="35">
        <f>D71-D70</f>
        <v/>
      </c>
      <c r="H71">
        <f>TEXT(A71,"DD/MM HH:MM")</f>
        <v/>
      </c>
    </row>
    <row r="72">
      <c r="A72" s="30" t="n">
        <v>46302.51111111111</v>
      </c>
      <c r="B72" s="11" t="n">
        <v>54</v>
      </c>
      <c r="C72" s="11" t="n">
        <v>150</v>
      </c>
      <c r="D72" s="12" t="n">
        <v>1800</v>
      </c>
      <c r="E72" s="31">
        <f>B72-B71</f>
        <v/>
      </c>
      <c r="F72" s="31">
        <f>C72-C71</f>
        <v/>
      </c>
      <c r="G72" s="32">
        <f>D72-D71</f>
        <v/>
      </c>
      <c r="H72">
        <f>TEXT(A72,"DD/MM HH:MM")</f>
        <v/>
      </c>
    </row>
    <row r="73">
      <c r="A73" s="33" t="n">
        <v>46302.55277777778</v>
      </c>
      <c r="B73" s="15" t="n">
        <v>58</v>
      </c>
      <c r="C73" s="15" t="n">
        <v>162</v>
      </c>
      <c r="D73" s="16" t="n">
        <v>1944</v>
      </c>
      <c r="E73" s="34">
        <f>B73-B72</f>
        <v/>
      </c>
      <c r="F73" s="34">
        <f>C73-C72</f>
        <v/>
      </c>
      <c r="G73" s="35">
        <f>D73-D72</f>
        <v/>
      </c>
      <c r="H73">
        <f>TEXT(A73,"DD/MM HH:MM")</f>
        <v/>
      </c>
    </row>
    <row r="74">
      <c r="A74" s="30" t="n">
        <v>46302.59791666667</v>
      </c>
      <c r="B74" s="11" t="n">
        <v>59</v>
      </c>
      <c r="C74" s="11" t="n">
        <v>164</v>
      </c>
      <c r="D74" s="12" t="n">
        <v>1968</v>
      </c>
      <c r="E74" s="31">
        <f>B74-B73</f>
        <v/>
      </c>
      <c r="F74" s="31">
        <f>C74-C73</f>
        <v/>
      </c>
      <c r="G74" s="32">
        <f>D74-D73</f>
        <v/>
      </c>
      <c r="H74">
        <f>TEXT(A74,"DD/MM HH:MM")</f>
        <v/>
      </c>
    </row>
    <row r="75">
      <c r="A75" s="33" t="n">
        <v>46302.63819444444</v>
      </c>
      <c r="B75" s="15" t="n">
        <v>59</v>
      </c>
      <c r="C75" s="15" t="n">
        <v>164</v>
      </c>
      <c r="D75" s="16" t="n">
        <v>1968</v>
      </c>
      <c r="E75" s="34">
        <f>B75-B74</f>
        <v/>
      </c>
      <c r="F75" s="34">
        <f>C75-C74</f>
        <v/>
      </c>
      <c r="G75" s="35">
        <f>D75-D74</f>
        <v/>
      </c>
      <c r="H75">
        <f>TEXT(A75,"DD/MM HH:MM")</f>
        <v/>
      </c>
    </row>
    <row r="76">
      <c r="A76" s="30" t="n">
        <v>46302.65416666667</v>
      </c>
      <c r="B76" s="11" t="n">
        <v>59</v>
      </c>
      <c r="C76" s="11" t="n">
        <v>164</v>
      </c>
      <c r="D76" s="12" t="n">
        <v>1968</v>
      </c>
      <c r="E76" s="31">
        <f>B76-B75</f>
        <v/>
      </c>
      <c r="F76" s="31">
        <f>C76-C75</f>
        <v/>
      </c>
      <c r="G76" s="32">
        <f>D76-D75</f>
        <v/>
      </c>
      <c r="H76">
        <f>TEXT(A76,"DD/MM HH:MM")</f>
        <v/>
      </c>
    </row>
    <row r="77">
      <c r="A77" s="33" t="n">
        <v>46302.67847222222</v>
      </c>
      <c r="B77" s="15" t="n">
        <v>59</v>
      </c>
      <c r="C77" s="15" t="n">
        <v>164</v>
      </c>
      <c r="D77" s="16" t="n">
        <v>1968</v>
      </c>
      <c r="E77" s="34">
        <f>B77-B76</f>
        <v/>
      </c>
      <c r="F77" s="34">
        <f>C77-C76</f>
        <v/>
      </c>
      <c r="G77" s="35">
        <f>D77-D76</f>
        <v/>
      </c>
      <c r="H77">
        <f>TEXT(A77,"DD/MM HH:MM")</f>
        <v/>
      </c>
    </row>
    <row r="78">
      <c r="A78" s="30" t="n">
        <v>46302.68333333333</v>
      </c>
      <c r="B78" s="11" t="n">
        <v>59</v>
      </c>
      <c r="C78" s="11" t="n">
        <v>164</v>
      </c>
      <c r="D78" s="12" t="n">
        <v>1968</v>
      </c>
      <c r="E78" s="31">
        <f>B78-B77</f>
        <v/>
      </c>
      <c r="F78" s="31">
        <f>C78-C77</f>
        <v/>
      </c>
      <c r="G78" s="32">
        <f>D78-D77</f>
        <v/>
      </c>
      <c r="H78">
        <f>TEXT(A78,"DD/MM HH:MM")</f>
        <v/>
      </c>
    </row>
    <row r="79">
      <c r="A79" s="33" t="n">
        <v>46302.72708333333</v>
      </c>
      <c r="B79" s="15" t="n">
        <v>60</v>
      </c>
      <c r="C79" s="15" t="n">
        <v>168</v>
      </c>
      <c r="D79" s="16" t="n">
        <v>2016</v>
      </c>
      <c r="E79" s="34">
        <f>B79-B78</f>
        <v/>
      </c>
      <c r="F79" s="34">
        <f>C79-C78</f>
        <v/>
      </c>
      <c r="G79" s="35">
        <f>D79-D78</f>
        <v/>
      </c>
      <c r="H79">
        <f>TEXT(A79,"DD/MM HH:MM")</f>
        <v/>
      </c>
    </row>
    <row r="80">
      <c r="A80" s="30" t="n">
        <v>46302.75138888889</v>
      </c>
      <c r="B80" s="11" t="n">
        <v>61</v>
      </c>
      <c r="C80" s="11" t="n">
        <v>170</v>
      </c>
      <c r="D80" s="12" t="n">
        <v>2040</v>
      </c>
      <c r="E80" s="31">
        <f>B80-B79</f>
        <v/>
      </c>
      <c r="F80" s="31">
        <f>C80-C79</f>
        <v/>
      </c>
      <c r="G80" s="32">
        <f>D80-D79</f>
        <v/>
      </c>
      <c r="H80">
        <f>TEXT(A80,"DD/MM HH:MM")</f>
        <v/>
      </c>
    </row>
    <row r="81">
      <c r="A81" s="33" t="n">
        <v>46302.76319444444</v>
      </c>
      <c r="B81" s="15" t="n">
        <v>61</v>
      </c>
      <c r="C81" s="15" t="n">
        <v>170</v>
      </c>
      <c r="D81" s="16" t="n">
        <v>2040</v>
      </c>
      <c r="E81" s="34">
        <f>B81-B80</f>
        <v/>
      </c>
      <c r="F81" s="34">
        <f>C81-C80</f>
        <v/>
      </c>
      <c r="G81" s="35">
        <f>D81-D80</f>
        <v/>
      </c>
      <c r="H81">
        <f>TEXT(A81,"DD/MM HH:MM")</f>
        <v/>
      </c>
    </row>
    <row r="82">
      <c r="A82" s="30" t="n">
        <v>46302.76458333333</v>
      </c>
      <c r="B82" s="11" t="n">
        <v>61</v>
      </c>
      <c r="C82" s="11" t="n">
        <v>170</v>
      </c>
      <c r="D82" s="12" t="n">
        <v>2040</v>
      </c>
      <c r="E82" s="31">
        <f>B82-B81</f>
        <v/>
      </c>
      <c r="F82" s="31">
        <f>C82-C81</f>
        <v/>
      </c>
      <c r="G82" s="32">
        <f>D82-D81</f>
        <v/>
      </c>
      <c r="H82">
        <f>TEXT(A82,"DD/MM HH:MM")</f>
        <v/>
      </c>
    </row>
    <row r="83">
      <c r="A83" s="33" t="n">
        <v>46302.79375</v>
      </c>
      <c r="B83" s="15" t="n">
        <v>62</v>
      </c>
      <c r="C83" s="15" t="n">
        <v>172</v>
      </c>
      <c r="D83" s="16" t="n">
        <v>2064</v>
      </c>
      <c r="E83" s="34">
        <f>B83-B82</f>
        <v/>
      </c>
      <c r="F83" s="34">
        <f>C83-C82</f>
        <v/>
      </c>
      <c r="G83" s="35">
        <f>D83-D82</f>
        <v/>
      </c>
      <c r="H83">
        <f>TEXT(A83,"DD/MM HH:MM")</f>
        <v/>
      </c>
    </row>
    <row r="84">
      <c r="A84" s="30" t="n">
        <v>46302.81041666667</v>
      </c>
      <c r="B84" s="11" t="n">
        <v>63</v>
      </c>
      <c r="C84" s="11" t="n">
        <v>176</v>
      </c>
      <c r="D84" s="12" t="n">
        <v>2112</v>
      </c>
      <c r="E84" s="31">
        <f>B84-B83</f>
        <v/>
      </c>
      <c r="F84" s="31">
        <f>C84-C83</f>
        <v/>
      </c>
      <c r="G84" s="32">
        <f>D84-D83</f>
        <v/>
      </c>
      <c r="H84">
        <f>TEXT(A84,"DD/MM HH:MM")</f>
        <v/>
      </c>
    </row>
    <row r="85">
      <c r="A85" s="33" t="n">
        <v>46302.81597222222</v>
      </c>
      <c r="B85" s="15" t="n">
        <v>63</v>
      </c>
      <c r="C85" s="15" t="n">
        <v>176</v>
      </c>
      <c r="D85" s="16" t="n">
        <v>2112</v>
      </c>
      <c r="E85" s="34">
        <f>B85-B84</f>
        <v/>
      </c>
      <c r="F85" s="34">
        <f>C85-C84</f>
        <v/>
      </c>
      <c r="G85" s="35">
        <f>D85-D84</f>
        <v/>
      </c>
      <c r="H85">
        <f>TEXT(A85,"DD/MM HH:MM")</f>
        <v/>
      </c>
    </row>
    <row r="86">
      <c r="A86" s="30" t="n">
        <v>46302.82847222222</v>
      </c>
      <c r="B86" s="11" t="n">
        <v>63</v>
      </c>
      <c r="C86" s="11" t="n">
        <v>176</v>
      </c>
      <c r="D86" s="12" t="n">
        <v>2112</v>
      </c>
      <c r="E86" s="31">
        <f>B86-B85</f>
        <v/>
      </c>
      <c r="F86" s="31">
        <f>C86-C85</f>
        <v/>
      </c>
      <c r="G86" s="32">
        <f>D86-D85</f>
        <v/>
      </c>
      <c r="H86">
        <f>TEXT(A86,"DD/MM HH:MM")</f>
        <v/>
      </c>
    </row>
    <row r="87">
      <c r="A87" s="33" t="n">
        <v>46302.83958333333</v>
      </c>
      <c r="B87" s="15" t="n">
        <v>63</v>
      </c>
      <c r="C87" s="15" t="n">
        <v>176</v>
      </c>
      <c r="D87" s="16" t="n">
        <v>2112</v>
      </c>
      <c r="E87" s="34">
        <f>B87-B86</f>
        <v/>
      </c>
      <c r="F87" s="34">
        <f>C87-C86</f>
        <v/>
      </c>
      <c r="G87" s="35">
        <f>D87-D86</f>
        <v/>
      </c>
      <c r="H87">
        <f>TEXT(A87,"DD/MM HH:MM")</f>
        <v/>
      </c>
    </row>
    <row r="88">
      <c r="A88" s="30" t="n">
        <v>46302.84861111111</v>
      </c>
      <c r="B88" s="11" t="n">
        <v>64</v>
      </c>
      <c r="C88" s="11" t="n">
        <v>178</v>
      </c>
      <c r="D88" s="12" t="n">
        <v>2136</v>
      </c>
      <c r="E88" s="31">
        <f>B88-B87</f>
        <v/>
      </c>
      <c r="F88" s="31">
        <f>C88-C87</f>
        <v/>
      </c>
      <c r="G88" s="32">
        <f>D88-D87</f>
        <v/>
      </c>
      <c r="H88">
        <f>TEXT(A88,"DD/MM HH:MM")</f>
        <v/>
      </c>
    </row>
    <row r="89">
      <c r="A89" s="33" t="n">
        <v>46302.88680555556</v>
      </c>
      <c r="B89" s="15" t="n">
        <v>67</v>
      </c>
      <c r="C89" s="15" t="n">
        <v>186</v>
      </c>
      <c r="D89" s="16" t="n">
        <v>2232</v>
      </c>
      <c r="E89" s="34">
        <f>B89-B88</f>
        <v/>
      </c>
      <c r="F89" s="34">
        <f>C89-C88</f>
        <v/>
      </c>
      <c r="G89" s="35">
        <f>D89-D88</f>
        <v/>
      </c>
      <c r="H89">
        <f>TEXT(A89,"DD/MM HH:MM")</f>
        <v/>
      </c>
    </row>
    <row r="90">
      <c r="A90" s="30" t="n">
        <v>46302.9</v>
      </c>
      <c r="B90" s="11" t="n">
        <v>71</v>
      </c>
      <c r="C90" s="11" t="n">
        <v>197</v>
      </c>
      <c r="D90" s="12" t="n">
        <v>2364</v>
      </c>
      <c r="E90" s="31">
        <f>B90-B89</f>
        <v/>
      </c>
      <c r="F90" s="31">
        <f>C90-C89</f>
        <v/>
      </c>
      <c r="G90" s="32">
        <f>D90-D89</f>
        <v/>
      </c>
      <c r="H90">
        <f>TEXT(A90,"DD/MM HH:MM")</f>
        <v/>
      </c>
    </row>
    <row r="91">
      <c r="A91" s="33" t="n">
        <v>46302.91319444445</v>
      </c>
      <c r="B91" s="15" t="n">
        <v>71</v>
      </c>
      <c r="C91" s="15" t="n">
        <v>197</v>
      </c>
      <c r="D91" s="16" t="n">
        <v>2364</v>
      </c>
      <c r="E91" s="34">
        <f>B91-B90</f>
        <v/>
      </c>
      <c r="F91" s="34">
        <f>C91-C90</f>
        <v/>
      </c>
      <c r="G91" s="35">
        <f>D91-D90</f>
        <v/>
      </c>
      <c r="H91">
        <f>TEXT(A91,"DD/MM HH:MM")</f>
        <v/>
      </c>
    </row>
    <row r="92">
      <c r="A92" s="30" t="n">
        <v>46302.92777777778</v>
      </c>
      <c r="B92" s="11" t="n">
        <v>72</v>
      </c>
      <c r="C92" s="11" t="n">
        <v>201</v>
      </c>
      <c r="D92" s="12" t="n">
        <v>2412</v>
      </c>
      <c r="E92" s="31">
        <f>B92-B91</f>
        <v/>
      </c>
      <c r="F92" s="31">
        <f>C92-C91</f>
        <v/>
      </c>
      <c r="G92" s="32">
        <f>D92-D91</f>
        <v/>
      </c>
      <c r="H92">
        <f>TEXT(A92,"DD/MM HH:MM")</f>
        <v/>
      </c>
    </row>
    <row r="93">
      <c r="A93" s="33" t="n">
        <v>46302.94652777778</v>
      </c>
      <c r="B93" s="15" t="n">
        <v>72</v>
      </c>
      <c r="C93" s="15" t="n">
        <v>201</v>
      </c>
      <c r="D93" s="16" t="n">
        <v>2412</v>
      </c>
      <c r="E93" s="34">
        <f>B93-B92</f>
        <v/>
      </c>
      <c r="F93" s="34">
        <f>C93-C92</f>
        <v/>
      </c>
      <c r="G93" s="35">
        <f>D93-D92</f>
        <v/>
      </c>
      <c r="H93">
        <f>TEXT(A93,"DD/MM HH:MM")</f>
        <v/>
      </c>
    </row>
    <row r="94">
      <c r="A94" s="30" t="n">
        <v>46302.97083333333</v>
      </c>
      <c r="B94" s="11" t="n">
        <v>74</v>
      </c>
      <c r="C94" s="11" t="n">
        <v>210</v>
      </c>
      <c r="D94" s="12" t="n">
        <v>2520</v>
      </c>
      <c r="E94" s="31">
        <f>B94-B93</f>
        <v/>
      </c>
      <c r="F94" s="31">
        <f>C94-C93</f>
        <v/>
      </c>
      <c r="G94" s="32">
        <f>D94-D93</f>
        <v/>
      </c>
      <c r="H94">
        <f>TEXT(A94,"DD/MM HH:MM")</f>
        <v/>
      </c>
    </row>
    <row r="95">
      <c r="A95" s="33" t="n">
        <v>46303.01180555556</v>
      </c>
      <c r="B95" s="15" t="n">
        <v>75</v>
      </c>
      <c r="C95" s="15" t="n">
        <v>212</v>
      </c>
      <c r="D95" s="16" t="n">
        <v>2544</v>
      </c>
      <c r="E95" s="34">
        <f>B95-B94</f>
        <v/>
      </c>
      <c r="F95" s="34">
        <f>C95-C94</f>
        <v/>
      </c>
      <c r="G95" s="35">
        <f>D95-D94</f>
        <v/>
      </c>
      <c r="H95">
        <f>TEXT(A95,"DD/MM HH:MM")</f>
        <v/>
      </c>
    </row>
    <row r="96">
      <c r="A96" s="30" t="n">
        <v>46303.01875</v>
      </c>
      <c r="B96" s="11" t="n">
        <v>75</v>
      </c>
      <c r="C96" s="11" t="n">
        <v>212</v>
      </c>
      <c r="D96" s="12" t="n">
        <v>2544</v>
      </c>
      <c r="E96" s="31">
        <f>B96-B95</f>
        <v/>
      </c>
      <c r="F96" s="31">
        <f>C96-C95</f>
        <v/>
      </c>
      <c r="G96" s="32">
        <f>D96-D95</f>
        <v/>
      </c>
      <c r="H96">
        <f>TEXT(A96,"DD/MM HH:MM")</f>
        <v/>
      </c>
    </row>
    <row r="97">
      <c r="A97" s="33" t="n">
        <v>46303.04166666666</v>
      </c>
      <c r="B97" s="15" t="n">
        <v>75</v>
      </c>
      <c r="C97" s="15" t="n">
        <v>212</v>
      </c>
      <c r="D97" s="16" t="n">
        <v>2544</v>
      </c>
      <c r="E97" s="34">
        <f>B97-B96</f>
        <v/>
      </c>
      <c r="F97" s="34">
        <f>C97-C96</f>
        <v/>
      </c>
      <c r="G97" s="35">
        <f>D97-D96</f>
        <v/>
      </c>
      <c r="H97">
        <f>TEXT(A97,"DD/MM HH:MM")</f>
        <v/>
      </c>
    </row>
    <row r="98">
      <c r="A98" s="30" t="n">
        <v>46303.05069444444</v>
      </c>
      <c r="B98" s="11" t="n">
        <v>75</v>
      </c>
      <c r="C98" s="11" t="n">
        <v>212</v>
      </c>
      <c r="D98" s="12" t="n">
        <v>2544</v>
      </c>
      <c r="E98" s="31">
        <f>B98-B97</f>
        <v/>
      </c>
      <c r="F98" s="31">
        <f>C98-C97</f>
        <v/>
      </c>
      <c r="G98" s="32">
        <f>D98-D97</f>
        <v/>
      </c>
      <c r="H98">
        <f>TEXT(A98,"DD/MM HH:MM")</f>
        <v/>
      </c>
    </row>
    <row r="99">
      <c r="A99" s="33" t="n">
        <v>46303.09930555556</v>
      </c>
      <c r="B99" s="15" t="n">
        <v>75</v>
      </c>
      <c r="C99" s="15" t="n">
        <v>212</v>
      </c>
      <c r="D99" s="16" t="n">
        <v>2544</v>
      </c>
      <c r="E99" s="34">
        <f>B99-B98</f>
        <v/>
      </c>
      <c r="F99" s="34">
        <f>C99-C98</f>
        <v/>
      </c>
      <c r="G99" s="35">
        <f>D99-D98</f>
        <v/>
      </c>
      <c r="H99">
        <f>TEXT(A99,"DD/MM HH:MM")</f>
        <v/>
      </c>
    </row>
    <row r="100">
      <c r="A100" s="30" t="n">
        <v>46303.13680555556</v>
      </c>
      <c r="B100" s="11" t="n">
        <v>75</v>
      </c>
      <c r="C100" s="11" t="n">
        <v>212</v>
      </c>
      <c r="D100" s="12" t="n">
        <v>2544</v>
      </c>
      <c r="E100" s="31">
        <f>B100-B99</f>
        <v/>
      </c>
      <c r="F100" s="31">
        <f>C100-C99</f>
        <v/>
      </c>
      <c r="G100" s="32">
        <f>D100-D99</f>
        <v/>
      </c>
      <c r="H100">
        <f>TEXT(A100,"DD/MM HH:MM")</f>
        <v/>
      </c>
    </row>
    <row r="101">
      <c r="A101" s="33" t="n">
        <v>46303.17708333334</v>
      </c>
      <c r="B101" s="15" t="n">
        <v>75</v>
      </c>
      <c r="C101" s="15" t="n">
        <v>212</v>
      </c>
      <c r="D101" s="16" t="n">
        <v>2544</v>
      </c>
      <c r="E101" s="34">
        <f>B101-B100</f>
        <v/>
      </c>
      <c r="F101" s="34">
        <f>C101-C100</f>
        <v/>
      </c>
      <c r="G101" s="35">
        <f>D101-D100</f>
        <v/>
      </c>
      <c r="H101">
        <f>TEXT(A101,"DD/MM HH:MM")</f>
        <v/>
      </c>
    </row>
    <row r="102">
      <c r="A102" s="30" t="n">
        <v>46303.21944444445</v>
      </c>
      <c r="B102" s="11" t="n">
        <v>75</v>
      </c>
      <c r="C102" s="11" t="n">
        <v>212</v>
      </c>
      <c r="D102" s="12" t="n">
        <v>2544</v>
      </c>
      <c r="E102" s="31">
        <f>B102-B101</f>
        <v/>
      </c>
      <c r="F102" s="31">
        <f>C102-C101</f>
        <v/>
      </c>
      <c r="G102" s="32">
        <f>D102-D101</f>
        <v/>
      </c>
      <c r="H102">
        <f>TEXT(A102,"DD/MM HH:MM")</f>
        <v/>
      </c>
    </row>
    <row r="103">
      <c r="A103" s="33" t="n">
        <v>46303.26111111111</v>
      </c>
      <c r="B103" s="15" t="n">
        <v>75</v>
      </c>
      <c r="C103" s="15" t="n">
        <v>212</v>
      </c>
      <c r="D103" s="16" t="n">
        <v>2544</v>
      </c>
      <c r="E103" s="34">
        <f>B103-B102</f>
        <v/>
      </c>
      <c r="F103" s="34">
        <f>C103-C102</f>
        <v/>
      </c>
      <c r="G103" s="35">
        <f>D103-D102</f>
        <v/>
      </c>
      <c r="H103">
        <f>TEXT(A103,"DD/MM HH:MM")</f>
        <v/>
      </c>
    </row>
    <row r="104">
      <c r="A104" s="30" t="n">
        <v>46303.30277777778</v>
      </c>
      <c r="B104" s="11" t="n">
        <v>76</v>
      </c>
      <c r="C104" s="11" t="n">
        <v>214</v>
      </c>
      <c r="D104" s="12" t="n">
        <v>2568</v>
      </c>
      <c r="E104" s="31">
        <f>B104-B103</f>
        <v/>
      </c>
      <c r="F104" s="31">
        <f>C104-C103</f>
        <v/>
      </c>
      <c r="G104" s="32">
        <f>D104-D103</f>
        <v/>
      </c>
      <c r="H104">
        <f>TEXT(A104,"DD/MM HH:MM")</f>
        <v/>
      </c>
    </row>
    <row r="105">
      <c r="A105" s="33" t="n">
        <v>46303.34861111111</v>
      </c>
      <c r="B105" s="15" t="n">
        <v>77</v>
      </c>
      <c r="C105" s="15" t="n">
        <v>216</v>
      </c>
      <c r="D105" s="16" t="n">
        <v>2592</v>
      </c>
      <c r="E105" s="34">
        <f>B105-B104</f>
        <v/>
      </c>
      <c r="F105" s="34">
        <f>C105-C104</f>
        <v/>
      </c>
      <c r="G105" s="35">
        <f>D105-D104</f>
        <v/>
      </c>
      <c r="H105">
        <f>TEXT(A105,"DD/MM HH:MM")</f>
        <v/>
      </c>
    </row>
    <row r="106">
      <c r="A106" s="30" t="n">
        <v>46303.35416666666</v>
      </c>
      <c r="B106" s="11" t="n">
        <v>77</v>
      </c>
      <c r="C106" s="11" t="n">
        <v>216</v>
      </c>
      <c r="D106" s="12" t="n">
        <v>2592</v>
      </c>
      <c r="E106" s="31">
        <f>B106-B105</f>
        <v/>
      </c>
      <c r="F106" s="31">
        <f>C106-C105</f>
        <v/>
      </c>
      <c r="G106" s="32">
        <f>D106-D105</f>
        <v/>
      </c>
      <c r="H106">
        <f>TEXT(A106,"DD/MM HH:MM")</f>
        <v/>
      </c>
    </row>
    <row r="107">
      <c r="A107" s="33" t="n">
        <v>46303.38819444444</v>
      </c>
      <c r="B107" s="15" t="n">
        <v>77</v>
      </c>
      <c r="C107" s="15" t="n">
        <v>216</v>
      </c>
      <c r="D107" s="16" t="n">
        <v>2592</v>
      </c>
      <c r="E107" s="34">
        <f>B107-B106</f>
        <v/>
      </c>
      <c r="F107" s="34">
        <f>C107-C106</f>
        <v/>
      </c>
      <c r="G107" s="35">
        <f>D107-D106</f>
        <v/>
      </c>
      <c r="H107">
        <f>TEXT(A107,"DD/MM HH:MM")</f>
        <v/>
      </c>
    </row>
    <row r="108">
      <c r="A108" s="30" t="n">
        <v>46303.42222222222</v>
      </c>
      <c r="B108" s="11" t="n">
        <v>79</v>
      </c>
      <c r="C108" s="11" t="n">
        <v>225</v>
      </c>
      <c r="D108" s="12" t="n">
        <v>2700</v>
      </c>
      <c r="E108" s="31">
        <f>B108-B107</f>
        <v/>
      </c>
      <c r="F108" s="31">
        <f>C108-C107</f>
        <v/>
      </c>
      <c r="G108" s="32">
        <f>D108-D107</f>
        <v/>
      </c>
      <c r="H108">
        <f>TEXT(A108,"DD/MM HH:MM")</f>
        <v/>
      </c>
    </row>
    <row r="109">
      <c r="A109" s="33" t="n">
        <v>46303.42361111111</v>
      </c>
      <c r="B109" s="15" t="n">
        <v>79</v>
      </c>
      <c r="C109" s="15" t="n">
        <v>225</v>
      </c>
      <c r="D109" s="16" t="n">
        <v>2700</v>
      </c>
      <c r="E109" s="34">
        <f>B109-B108</f>
        <v/>
      </c>
      <c r="F109" s="34">
        <f>C109-C108</f>
        <v/>
      </c>
      <c r="G109" s="35">
        <f>D109-D108</f>
        <v/>
      </c>
      <c r="H109">
        <f>TEXT(A109,"DD/MM HH:MM")</f>
        <v/>
      </c>
    </row>
    <row r="110">
      <c r="A110" s="30" t="n">
        <v>46303.42916666667</v>
      </c>
      <c r="B110" s="11" t="n">
        <v>79</v>
      </c>
      <c r="C110" s="11" t="n">
        <v>225</v>
      </c>
      <c r="D110" s="12" t="n">
        <v>2700</v>
      </c>
      <c r="E110" s="31">
        <f>B110-B109</f>
        <v/>
      </c>
      <c r="F110" s="31">
        <f>C110-C109</f>
        <v/>
      </c>
      <c r="G110" s="32">
        <f>D110-D109</f>
        <v/>
      </c>
      <c r="H110">
        <f>TEXT(A110,"DD/MM HH:MM")</f>
        <v/>
      </c>
    </row>
    <row r="111">
      <c r="A111" s="33" t="n">
        <v>46303.47013888889</v>
      </c>
      <c r="B111" s="15" t="n">
        <v>81</v>
      </c>
      <c r="C111" s="15" t="n">
        <v>234</v>
      </c>
      <c r="D111" s="16" t="n">
        <v>2808</v>
      </c>
      <c r="E111" s="34">
        <f>B111-B110</f>
        <v/>
      </c>
      <c r="F111" s="34">
        <f>C111-C110</f>
        <v/>
      </c>
      <c r="G111" s="35">
        <f>D111-D110</f>
        <v/>
      </c>
      <c r="H111">
        <f>TEXT(A111,"DD/MM HH:MM")</f>
        <v/>
      </c>
    </row>
    <row r="112">
      <c r="A112" s="30" t="n">
        <v>46303.51527777778</v>
      </c>
      <c r="B112" s="11" t="n">
        <v>84</v>
      </c>
      <c r="C112" s="11" t="n">
        <v>244</v>
      </c>
      <c r="D112" s="12" t="n">
        <v>2928</v>
      </c>
      <c r="E112" s="31">
        <f>B112-B111</f>
        <v/>
      </c>
      <c r="F112" s="31">
        <f>C112-C111</f>
        <v/>
      </c>
      <c r="G112" s="32">
        <f>D112-D111</f>
        <v/>
      </c>
      <c r="H112">
        <f>TEXT(A112,"DD/MM HH:MM")</f>
        <v/>
      </c>
    </row>
    <row r="113">
      <c r="A113" s="33" t="n">
        <v>46303.55277777778</v>
      </c>
      <c r="B113" s="15" t="n">
        <v>87</v>
      </c>
      <c r="C113" s="15" t="n">
        <v>251</v>
      </c>
      <c r="D113" s="16" t="n">
        <v>3012</v>
      </c>
      <c r="E113" s="34">
        <f>B113-B112</f>
        <v/>
      </c>
      <c r="F113" s="34">
        <f>C113-C112</f>
        <v/>
      </c>
      <c r="G113" s="35">
        <f>D113-D112</f>
        <v/>
      </c>
      <c r="H113">
        <f>TEXT(A113,"DD/MM HH:MM")</f>
        <v/>
      </c>
    </row>
    <row r="114">
      <c r="A114" s="30" t="n">
        <v>46303.59791666667</v>
      </c>
      <c r="B114" s="11" t="n">
        <v>87</v>
      </c>
      <c r="C114" s="11" t="n">
        <v>251</v>
      </c>
      <c r="D114" s="12" t="n">
        <v>3012</v>
      </c>
      <c r="E114" s="31">
        <f>B114-B113</f>
        <v/>
      </c>
      <c r="F114" s="31">
        <f>C114-C113</f>
        <v/>
      </c>
      <c r="G114" s="32">
        <f>D114-D113</f>
        <v/>
      </c>
      <c r="H114">
        <f>TEXT(A114,"DD/MM HH:MM")</f>
        <v/>
      </c>
    </row>
    <row r="115">
      <c r="A115" s="33" t="n">
        <v>46303.62291666667</v>
      </c>
      <c r="B115" s="15" t="n">
        <v>88</v>
      </c>
      <c r="C115" s="15" t="n">
        <v>253</v>
      </c>
      <c r="D115" s="16" t="n">
        <v>3036</v>
      </c>
      <c r="E115" s="34">
        <f>B115-B114</f>
        <v/>
      </c>
      <c r="F115" s="34">
        <f>C115-C114</f>
        <v/>
      </c>
      <c r="G115" s="35">
        <f>D115-D114</f>
        <v/>
      </c>
      <c r="H115">
        <f>TEXT(A115,"DD/MM HH:MM")</f>
        <v/>
      </c>
    </row>
    <row r="116">
      <c r="A116" s="30" t="n">
        <v>46303.63888888889</v>
      </c>
      <c r="B116" s="11" t="n">
        <v>88</v>
      </c>
      <c r="C116" s="11" t="n">
        <v>253</v>
      </c>
      <c r="D116" s="12" t="n">
        <v>3036</v>
      </c>
      <c r="E116" s="31">
        <f>B116-B115</f>
        <v/>
      </c>
      <c r="F116" s="31">
        <f>C116-C115</f>
        <v/>
      </c>
      <c r="G116" s="32">
        <f>D116-D115</f>
        <v/>
      </c>
      <c r="H116">
        <f>TEXT(A116,"DD/MM HH:MM")</f>
        <v/>
      </c>
    </row>
    <row r="117">
      <c r="A117" s="33" t="n">
        <v>46303.65763888889</v>
      </c>
      <c r="B117" s="15" t="n">
        <v>88</v>
      </c>
      <c r="C117" s="15" t="n">
        <v>253</v>
      </c>
      <c r="D117" s="16" t="n">
        <v>3036</v>
      </c>
      <c r="E117" s="34">
        <f>B117-B116</f>
        <v/>
      </c>
      <c r="F117" s="34">
        <f>C117-C116</f>
        <v/>
      </c>
      <c r="G117" s="35">
        <f>D117-D116</f>
        <v/>
      </c>
      <c r="H117">
        <f>TEXT(A117,"DD/MM HH:MM")</f>
        <v/>
      </c>
    </row>
    <row r="118">
      <c r="A118" s="30" t="n">
        <v>46303.67986111111</v>
      </c>
      <c r="B118" s="11" t="n">
        <v>88</v>
      </c>
      <c r="C118" s="11" t="n">
        <v>253</v>
      </c>
      <c r="D118" s="12" t="n">
        <v>3036</v>
      </c>
      <c r="E118" s="31">
        <f>B118-B117</f>
        <v/>
      </c>
      <c r="F118" s="31">
        <f>C118-C117</f>
        <v/>
      </c>
      <c r="G118" s="32">
        <f>D118-D117</f>
        <v/>
      </c>
      <c r="H118">
        <f>TEXT(A118,"DD/MM HH:MM")</f>
        <v/>
      </c>
    </row>
    <row r="119">
      <c r="A119" s="33" t="n">
        <v>46303.69097222222</v>
      </c>
      <c r="B119" s="15" t="n">
        <v>88</v>
      </c>
      <c r="C119" s="15" t="n">
        <v>253</v>
      </c>
      <c r="D119" s="16" t="n">
        <v>3036</v>
      </c>
      <c r="E119" s="34">
        <f>B119-B118</f>
        <v/>
      </c>
      <c r="F119" s="34">
        <f>C119-C118</f>
        <v/>
      </c>
      <c r="G119" s="35">
        <f>D119-D118</f>
        <v/>
      </c>
      <c r="H119">
        <f>TEXT(A119,"DD/MM HH:MM")</f>
        <v/>
      </c>
    </row>
    <row r="120">
      <c r="A120" s="30" t="n">
        <v>46303.69722222222</v>
      </c>
      <c r="B120" s="11" t="n">
        <v>88</v>
      </c>
      <c r="C120" s="11" t="n">
        <v>253</v>
      </c>
      <c r="D120" s="12" t="n">
        <v>3036</v>
      </c>
      <c r="E120" s="31">
        <f>B120-B119</f>
        <v/>
      </c>
      <c r="F120" s="31">
        <f>C120-C119</f>
        <v/>
      </c>
      <c r="G120" s="32">
        <f>D120-D119</f>
        <v/>
      </c>
      <c r="H120">
        <f>TEXT(A120,"DD/MM HH:MM")</f>
        <v/>
      </c>
    </row>
    <row r="121">
      <c r="A121" s="33" t="n">
        <v>46303.72013888889</v>
      </c>
      <c r="B121" s="15" t="n">
        <v>89</v>
      </c>
      <c r="C121" s="15" t="n">
        <v>255</v>
      </c>
      <c r="D121" s="16" t="n">
        <v>3060</v>
      </c>
      <c r="E121" s="34">
        <f>B121-B120</f>
        <v/>
      </c>
      <c r="F121" s="34">
        <f>C121-C120</f>
        <v/>
      </c>
      <c r="G121" s="35">
        <f>D121-D120</f>
        <v/>
      </c>
      <c r="H121">
        <f>TEXT(A121,"DD/MM HH:MM")</f>
        <v/>
      </c>
    </row>
    <row r="122">
      <c r="A122" s="30" t="n">
        <v>46303.75416666667</v>
      </c>
      <c r="B122" s="11" t="n">
        <v>92</v>
      </c>
      <c r="C122" s="11" t="n">
        <v>268</v>
      </c>
      <c r="D122" s="12" t="n">
        <v>3216</v>
      </c>
      <c r="E122" s="31">
        <f>B122-B121</f>
        <v/>
      </c>
      <c r="F122" s="31">
        <f>C122-C121</f>
        <v/>
      </c>
      <c r="G122" s="32">
        <f>D122-D121</f>
        <v/>
      </c>
      <c r="H122">
        <f>TEXT(A122,"DD/MM HH:MM")</f>
        <v/>
      </c>
    </row>
    <row r="123">
      <c r="A123" s="33" t="n">
        <v>46303.76319444444</v>
      </c>
      <c r="B123" s="15" t="n">
        <v>92</v>
      </c>
      <c r="C123" s="15" t="n">
        <v>268</v>
      </c>
      <c r="D123" s="16" t="n">
        <v>3216</v>
      </c>
      <c r="E123" s="34">
        <f>B123-B122</f>
        <v/>
      </c>
      <c r="F123" s="34">
        <f>C123-C122</f>
        <v/>
      </c>
      <c r="G123" s="35">
        <f>D123-D122</f>
        <v/>
      </c>
      <c r="H123">
        <f>TEXT(A123,"DD/MM HH:MM")</f>
        <v/>
      </c>
    </row>
    <row r="124">
      <c r="A124" s="30" t="n">
        <v>46303.78680555556</v>
      </c>
      <c r="B124" s="11" t="n">
        <v>92</v>
      </c>
      <c r="C124" s="11" t="n">
        <v>268</v>
      </c>
      <c r="D124" s="12" t="n">
        <v>3216</v>
      </c>
      <c r="E124" s="31">
        <f>B124-B123</f>
        <v/>
      </c>
      <c r="F124" s="31">
        <f>C124-C123</f>
        <v/>
      </c>
      <c r="G124" s="32">
        <f>D124-D123</f>
        <v/>
      </c>
      <c r="H124">
        <f>TEXT(A124,"DD/MM HH:MM")</f>
        <v/>
      </c>
    </row>
    <row r="125">
      <c r="A125" s="33" t="n">
        <v>46303.80277777778</v>
      </c>
      <c r="B125" s="15" t="n">
        <v>94</v>
      </c>
      <c r="C125" s="15" t="n">
        <v>275</v>
      </c>
      <c r="D125" s="16" t="n">
        <v>3300</v>
      </c>
      <c r="E125" s="34">
        <f>B125-B124</f>
        <v/>
      </c>
      <c r="F125" s="34">
        <f>C125-C124</f>
        <v/>
      </c>
      <c r="G125" s="35">
        <f>D125-D124</f>
        <v/>
      </c>
      <c r="H125">
        <f>TEXT(A125,"DD/MM HH:MM")</f>
        <v/>
      </c>
    </row>
    <row r="126">
      <c r="A126" s="30" t="n">
        <v>46303.81805555556</v>
      </c>
      <c r="B126" s="11" t="n">
        <v>94</v>
      </c>
      <c r="C126" s="11" t="n">
        <v>275</v>
      </c>
      <c r="D126" s="12" t="n">
        <v>3300</v>
      </c>
      <c r="E126" s="31">
        <f>B126-B125</f>
        <v/>
      </c>
      <c r="F126" s="31">
        <f>C126-C125</f>
        <v/>
      </c>
      <c r="G126" s="32">
        <f>D126-D125</f>
        <v/>
      </c>
      <c r="H126">
        <f>TEXT(A126,"DD/MM HH:MM")</f>
        <v/>
      </c>
    </row>
    <row r="127">
      <c r="A127" s="33" t="n">
        <v>46303.84583333333</v>
      </c>
      <c r="B127" s="15" t="n">
        <v>95</v>
      </c>
      <c r="C127" s="15" t="n">
        <v>280</v>
      </c>
      <c r="D127" s="16" t="n">
        <v>3360</v>
      </c>
      <c r="E127" s="34">
        <f>B127-B126</f>
        <v/>
      </c>
      <c r="F127" s="34">
        <f>C127-C126</f>
        <v/>
      </c>
      <c r="G127" s="35">
        <f>D127-D126</f>
        <v/>
      </c>
      <c r="H127">
        <f>TEXT(A127,"DD/MM HH:MM")</f>
        <v/>
      </c>
    </row>
    <row r="128">
      <c r="A128" s="30" t="n">
        <v>46303.85694444444</v>
      </c>
      <c r="B128" s="11" t="n">
        <v>96</v>
      </c>
      <c r="C128" s="11" t="n">
        <v>284</v>
      </c>
      <c r="D128" s="12" t="n">
        <v>3408</v>
      </c>
      <c r="E128" s="31">
        <f>B128-B127</f>
        <v/>
      </c>
      <c r="F128" s="31">
        <f>C128-C127</f>
        <v/>
      </c>
      <c r="G128" s="32">
        <f>D128-D127</f>
        <v/>
      </c>
      <c r="H128">
        <f>TEXT(A128,"DD/MM HH:MM")</f>
        <v/>
      </c>
    </row>
    <row r="129">
      <c r="A129" s="33" t="n">
        <v>46303.88611111111</v>
      </c>
      <c r="B129" s="15" t="n">
        <v>98</v>
      </c>
      <c r="C129" s="15" t="n">
        <v>288</v>
      </c>
      <c r="D129" s="16" t="n">
        <v>3456</v>
      </c>
      <c r="E129" s="34">
        <f>B129-B128</f>
        <v/>
      </c>
      <c r="F129" s="34">
        <f>C129-C128</f>
        <v/>
      </c>
      <c r="G129" s="35">
        <f>D129-D128</f>
        <v/>
      </c>
      <c r="H129">
        <f>TEXT(A129,"DD/MM HH:MM")</f>
        <v/>
      </c>
    </row>
    <row r="130">
      <c r="A130" s="30" t="n">
        <v>46303.90555555555</v>
      </c>
      <c r="B130" s="11" t="n">
        <v>104</v>
      </c>
      <c r="C130" s="11" t="n">
        <v>309</v>
      </c>
      <c r="D130" s="12" t="n">
        <v>3708</v>
      </c>
      <c r="E130" s="31">
        <f>B130-B129</f>
        <v/>
      </c>
      <c r="F130" s="31">
        <f>C130-C129</f>
        <v/>
      </c>
      <c r="G130" s="32">
        <f>D130-D129</f>
        <v/>
      </c>
      <c r="H130">
        <f>TEXT(A130,"DD/MM HH:MM")</f>
        <v/>
      </c>
    </row>
    <row r="131">
      <c r="A131" s="33" t="n">
        <v>46303.92847222222</v>
      </c>
      <c r="B131" s="15" t="n">
        <v>107</v>
      </c>
      <c r="C131" s="15" t="n">
        <v>317</v>
      </c>
      <c r="D131" s="16" t="n">
        <v>3804</v>
      </c>
      <c r="E131" s="34">
        <f>B131-B130</f>
        <v/>
      </c>
      <c r="F131" s="34">
        <f>C131-C130</f>
        <v/>
      </c>
      <c r="G131" s="35">
        <f>D131-D130</f>
        <v/>
      </c>
      <c r="H131">
        <f>TEXT(A131,"DD/MM HH:MM")</f>
        <v/>
      </c>
    </row>
    <row r="132">
      <c r="A132" s="30" t="n">
        <v>46303.95555555556</v>
      </c>
      <c r="B132" s="11" t="n">
        <v>109</v>
      </c>
      <c r="C132" s="11" t="n">
        <v>323</v>
      </c>
      <c r="D132" s="12" t="n">
        <v>3876</v>
      </c>
      <c r="E132" s="31">
        <f>B132-B131</f>
        <v/>
      </c>
      <c r="F132" s="31">
        <f>C132-C131</f>
        <v/>
      </c>
      <c r="G132" s="32">
        <f>D132-D131</f>
        <v/>
      </c>
      <c r="H132">
        <f>TEXT(A132,"DD/MM HH:MM")</f>
        <v/>
      </c>
    </row>
    <row r="133">
      <c r="A133" s="33" t="n">
        <v>46303.96944444445</v>
      </c>
      <c r="B133" s="15" t="n">
        <v>109</v>
      </c>
      <c r="C133" s="15" t="n">
        <v>323</v>
      </c>
      <c r="D133" s="16" t="n">
        <v>3876</v>
      </c>
      <c r="E133" s="34">
        <f>B133-B132</f>
        <v/>
      </c>
      <c r="F133" s="34">
        <f>C133-C132</f>
        <v/>
      </c>
      <c r="G133" s="35">
        <f>D133-D132</f>
        <v/>
      </c>
      <c r="H133">
        <f>TEXT(A133,"DD/MM HH:MM")</f>
        <v/>
      </c>
    </row>
    <row r="134">
      <c r="A134" s="30" t="n">
        <v>46303.99236111111</v>
      </c>
      <c r="B134" s="11" t="n">
        <v>110</v>
      </c>
      <c r="C134" s="11" t="n">
        <v>325</v>
      </c>
      <c r="D134" s="12" t="n">
        <v>3900</v>
      </c>
      <c r="E134" s="31">
        <f>B134-B133</f>
        <v/>
      </c>
      <c r="F134" s="31">
        <f>C134-C133</f>
        <v/>
      </c>
      <c r="G134" s="32">
        <f>D134-D133</f>
        <v/>
      </c>
      <c r="H134">
        <f>TEXT(A134,"DD/MM HH:MM")</f>
        <v/>
      </c>
    </row>
    <row r="135">
      <c r="A135" s="33" t="n">
        <v>46303.99930555555</v>
      </c>
      <c r="B135" s="15" t="n">
        <v>110</v>
      </c>
      <c r="C135" s="15" t="n">
        <v>325</v>
      </c>
      <c r="D135" s="16" t="n">
        <v>3900</v>
      </c>
      <c r="E135" s="34">
        <f>B135-B134</f>
        <v/>
      </c>
      <c r="F135" s="34">
        <f>C135-C134</f>
        <v/>
      </c>
      <c r="G135" s="35">
        <f>D135-D134</f>
        <v/>
      </c>
      <c r="H135">
        <f>TEXT(A135,"DD/MM HH:MM")</f>
        <v/>
      </c>
    </row>
    <row r="136">
      <c r="A136" s="30" t="n">
        <v>46304.01041666666</v>
      </c>
      <c r="B136" s="11" t="n">
        <v>111</v>
      </c>
      <c r="C136" s="11" t="n">
        <v>329</v>
      </c>
      <c r="D136" s="12" t="n">
        <v>3948</v>
      </c>
      <c r="E136" s="31">
        <f>B136-B135</f>
        <v/>
      </c>
      <c r="F136" s="31">
        <f>C136-C135</f>
        <v/>
      </c>
      <c r="G136" s="32">
        <f>D136-D135</f>
        <v/>
      </c>
      <c r="H136">
        <f>TEXT(A136,"DD/MM HH:MM")</f>
        <v/>
      </c>
    </row>
    <row r="137">
      <c r="A137" s="33" t="n">
        <v>46304.05208333334</v>
      </c>
      <c r="B137" s="15" t="n">
        <v>111</v>
      </c>
      <c r="C137" s="15" t="n">
        <v>329</v>
      </c>
      <c r="D137" s="16" t="n">
        <v>3948</v>
      </c>
      <c r="E137" s="34">
        <f>B137-B136</f>
        <v/>
      </c>
      <c r="F137" s="34">
        <f>C137-C136</f>
        <v/>
      </c>
      <c r="G137" s="35">
        <f>D137-D136</f>
        <v/>
      </c>
      <c r="H137">
        <f>TEXT(A137,"DD/MM HH:MM")</f>
        <v/>
      </c>
    </row>
    <row r="138">
      <c r="A138" s="30" t="n">
        <v>46304.10069444445</v>
      </c>
      <c r="B138" s="11" t="n">
        <v>111</v>
      </c>
      <c r="C138" s="11" t="n">
        <v>329</v>
      </c>
      <c r="D138" s="12" t="n">
        <v>3948</v>
      </c>
      <c r="E138" s="31">
        <f>B138-B137</f>
        <v/>
      </c>
      <c r="F138" s="31">
        <f>C138-C137</f>
        <v/>
      </c>
      <c r="G138" s="32">
        <f>D138-D137</f>
        <v/>
      </c>
      <c r="H138">
        <f>TEXT(A138,"DD/MM HH:MM")</f>
        <v/>
      </c>
    </row>
    <row r="139">
      <c r="A139" s="33" t="n">
        <v>46304.1375</v>
      </c>
      <c r="B139" s="15" t="n">
        <v>111</v>
      </c>
      <c r="C139" s="15" t="n">
        <v>329</v>
      </c>
      <c r="D139" s="16" t="n">
        <v>3948</v>
      </c>
      <c r="E139" s="34">
        <f>B139-B138</f>
        <v/>
      </c>
      <c r="F139" s="34">
        <f>C139-C138</f>
        <v/>
      </c>
      <c r="G139" s="35">
        <f>D139-D138</f>
        <v/>
      </c>
      <c r="H139">
        <f>TEXT(A139,"DD/MM HH:MM")</f>
        <v/>
      </c>
    </row>
    <row r="140">
      <c r="A140" s="30" t="n">
        <v>46304.17708333334</v>
      </c>
      <c r="B140" s="11" t="n">
        <v>111</v>
      </c>
      <c r="C140" s="11" t="n">
        <v>329</v>
      </c>
      <c r="D140" s="12" t="n">
        <v>3948</v>
      </c>
      <c r="E140" s="31">
        <f>B140-B139</f>
        <v/>
      </c>
      <c r="F140" s="31">
        <f>C140-C139</f>
        <v/>
      </c>
      <c r="G140" s="32">
        <f>D140-D139</f>
        <v/>
      </c>
      <c r="H140">
        <f>TEXT(A140,"DD/MM HH:MM")</f>
        <v/>
      </c>
    </row>
    <row r="141">
      <c r="A141" s="33" t="n">
        <v>46304.21944444445</v>
      </c>
      <c r="B141" s="15" t="n">
        <v>111</v>
      </c>
      <c r="C141" s="15" t="n">
        <v>329</v>
      </c>
      <c r="D141" s="16" t="n">
        <v>3948</v>
      </c>
      <c r="E141" s="34">
        <f>B141-B140</f>
        <v/>
      </c>
      <c r="F141" s="34">
        <f>C141-C140</f>
        <v/>
      </c>
      <c r="G141" s="35">
        <f>D141-D140</f>
        <v/>
      </c>
      <c r="H141">
        <f>TEXT(A141,"DD/MM HH:MM")</f>
        <v/>
      </c>
    </row>
    <row r="142">
      <c r="A142" s="30" t="n">
        <v>46304.2625</v>
      </c>
      <c r="B142" s="11" t="n">
        <v>111</v>
      </c>
      <c r="C142" s="11" t="n">
        <v>329</v>
      </c>
      <c r="D142" s="12" t="n">
        <v>3948</v>
      </c>
      <c r="E142" s="31">
        <f>B142-B141</f>
        <v/>
      </c>
      <c r="F142" s="31">
        <f>C142-C141</f>
        <v/>
      </c>
      <c r="G142" s="32">
        <f>D142-D141</f>
        <v/>
      </c>
      <c r="H142">
        <f>TEXT(A142,"DD/MM HH:MM")</f>
        <v/>
      </c>
    </row>
    <row r="143">
      <c r="A143" s="33" t="n">
        <v>46304.30208333334</v>
      </c>
      <c r="B143" s="15" t="n">
        <v>111</v>
      </c>
      <c r="C143" s="15" t="n">
        <v>329</v>
      </c>
      <c r="D143" s="16" t="n">
        <v>3948</v>
      </c>
      <c r="E143" s="34">
        <f>B143-B142</f>
        <v/>
      </c>
      <c r="F143" s="34">
        <f>C143-C142</f>
        <v/>
      </c>
      <c r="G143" s="35">
        <f>D143-D142</f>
        <v/>
      </c>
      <c r="H143">
        <f>TEXT(A143,"DD/MM HH:MM")</f>
        <v/>
      </c>
    </row>
    <row r="144">
      <c r="A144" s="30" t="n">
        <v>46304.34791666667</v>
      </c>
      <c r="B144" s="11" t="n">
        <v>112</v>
      </c>
      <c r="C144" s="11" t="n">
        <v>333</v>
      </c>
      <c r="D144" s="12" t="n">
        <v>3996</v>
      </c>
      <c r="E144" s="31">
        <f>B144-B143</f>
        <v/>
      </c>
      <c r="F144" s="31">
        <f>C144-C143</f>
        <v/>
      </c>
      <c r="G144" s="32">
        <f>D144-D143</f>
        <v/>
      </c>
      <c r="H144">
        <f>TEXT(A144,"DD/MM HH:MM")</f>
        <v/>
      </c>
    </row>
    <row r="145">
      <c r="A145" s="33" t="n">
        <v>46304.36944444444</v>
      </c>
      <c r="B145" s="15" t="n">
        <v>112</v>
      </c>
      <c r="C145" s="15" t="n">
        <v>333</v>
      </c>
      <c r="D145" s="16" t="n">
        <v>3996</v>
      </c>
      <c r="E145" s="34">
        <f>B145-B144</f>
        <v/>
      </c>
      <c r="F145" s="34">
        <f>C145-C144</f>
        <v/>
      </c>
      <c r="G145" s="35">
        <f>D145-D144</f>
        <v/>
      </c>
      <c r="H145">
        <f>TEXT(A145,"DD/MM HH:MM")</f>
        <v/>
      </c>
    </row>
    <row r="146">
      <c r="A146" s="30" t="n">
        <v>46304.3875</v>
      </c>
      <c r="B146" s="11" t="n">
        <v>112</v>
      </c>
      <c r="C146" s="11" t="n">
        <v>333</v>
      </c>
      <c r="D146" s="12" t="n">
        <v>3996</v>
      </c>
      <c r="E146" s="31">
        <f>B146-B145</f>
        <v/>
      </c>
      <c r="F146" s="31">
        <f>C146-C145</f>
        <v/>
      </c>
      <c r="G146" s="32">
        <f>D146-D145</f>
        <v/>
      </c>
      <c r="H146">
        <f>TEXT(A146,"DD/MM HH:MM")</f>
        <v/>
      </c>
    </row>
    <row r="147">
      <c r="A147" s="33" t="n">
        <v>46304.42847222222</v>
      </c>
      <c r="B147" s="15" t="n">
        <v>112</v>
      </c>
      <c r="C147" s="15" t="n">
        <v>333</v>
      </c>
      <c r="D147" s="16" t="n">
        <v>3996</v>
      </c>
      <c r="E147" s="34">
        <f>B147-B146</f>
        <v/>
      </c>
      <c r="F147" s="34">
        <f>C147-C146</f>
        <v/>
      </c>
      <c r="G147" s="35">
        <f>D147-D146</f>
        <v/>
      </c>
      <c r="H147">
        <f>TEXT(A147,"DD/MM HH:MM")</f>
        <v/>
      </c>
    </row>
    <row r="148">
      <c r="A148" s="30" t="n">
        <v>46304.47083333333</v>
      </c>
      <c r="B148" s="11" t="n">
        <v>112</v>
      </c>
      <c r="C148" s="11" t="n">
        <v>333</v>
      </c>
      <c r="D148" s="12" t="n">
        <v>3996</v>
      </c>
      <c r="E148" s="31">
        <f>B148-B147</f>
        <v/>
      </c>
      <c r="F148" s="31">
        <f>C148-C147</f>
        <v/>
      </c>
      <c r="G148" s="32">
        <f>D148-D147</f>
        <v/>
      </c>
      <c r="H148">
        <f>TEXT(A148,"DD/MM HH:MM")</f>
        <v/>
      </c>
    </row>
    <row r="149">
      <c r="A149" s="33" t="n">
        <v>46304.51180555556</v>
      </c>
      <c r="B149" s="15" t="n">
        <v>113</v>
      </c>
      <c r="C149" s="15" t="n">
        <v>335</v>
      </c>
      <c r="D149" s="16" t="n">
        <v>4020</v>
      </c>
      <c r="E149" s="34">
        <f>B149-B148</f>
        <v/>
      </c>
      <c r="F149" s="34">
        <f>C149-C148</f>
        <v/>
      </c>
      <c r="G149" s="35">
        <f>D149-D148</f>
        <v/>
      </c>
      <c r="H149">
        <f>TEXT(A149,"DD/MM HH:MM")</f>
        <v/>
      </c>
    </row>
    <row r="150">
      <c r="A150" s="30" t="n">
        <v>46304.54305555556</v>
      </c>
      <c r="B150" s="11" t="n">
        <v>113</v>
      </c>
      <c r="C150" s="11" t="n">
        <v>335</v>
      </c>
      <c r="D150" s="12" t="n">
        <v>4020</v>
      </c>
      <c r="E150" s="31">
        <f>B150-B149</f>
        <v/>
      </c>
      <c r="F150" s="31">
        <f>C150-C149</f>
        <v/>
      </c>
      <c r="G150" s="32">
        <f>D150-D149</f>
        <v/>
      </c>
      <c r="H150">
        <f>TEXT(A150,"DD/MM HH:MM")</f>
        <v/>
      </c>
    </row>
    <row r="151">
      <c r="A151" s="33" t="n">
        <v>46304.55277777778</v>
      </c>
      <c r="B151" s="15" t="n">
        <v>114</v>
      </c>
      <c r="C151" s="15" t="n">
        <v>339</v>
      </c>
      <c r="D151" s="16" t="n">
        <v>4068</v>
      </c>
      <c r="E151" s="34">
        <f>B151-B150</f>
        <v/>
      </c>
      <c r="F151" s="34">
        <f>C151-C150</f>
        <v/>
      </c>
      <c r="G151" s="35">
        <f>D151-D150</f>
        <v/>
      </c>
      <c r="H151">
        <f>TEXT(A151,"DD/MM HH:MM")</f>
        <v/>
      </c>
    </row>
    <row r="152">
      <c r="A152" s="30" t="n">
        <v>46304.59652777778</v>
      </c>
      <c r="B152" s="11" t="n">
        <v>115</v>
      </c>
      <c r="C152" s="11" t="n">
        <v>341</v>
      </c>
      <c r="D152" s="12" t="n">
        <v>4092</v>
      </c>
      <c r="E152" s="31">
        <f>B152-B151</f>
        <v/>
      </c>
      <c r="F152" s="31">
        <f>C152-C151</f>
        <v/>
      </c>
      <c r="G152" s="32">
        <f>D152-D151</f>
        <v/>
      </c>
      <c r="H152">
        <f>TEXT(A152,"DD/MM HH:MM")</f>
        <v/>
      </c>
    </row>
    <row r="153">
      <c r="A153" s="33" t="n">
        <v>46304.62291666667</v>
      </c>
      <c r="B153" s="15" t="n">
        <v>115</v>
      </c>
      <c r="C153" s="15" t="n">
        <v>340</v>
      </c>
      <c r="D153" s="16" t="n">
        <v>4080</v>
      </c>
      <c r="E153" s="34">
        <f>B153-B152</f>
        <v/>
      </c>
      <c r="F153" s="34">
        <f>C153-C152</f>
        <v/>
      </c>
      <c r="G153" s="35">
        <f>D153-D152</f>
        <v/>
      </c>
      <c r="H153">
        <f>TEXT(A153,"DD/MM HH:MM")</f>
        <v/>
      </c>
    </row>
    <row r="154">
      <c r="A154" s="30" t="n">
        <v>46304.64097222222</v>
      </c>
      <c r="B154" s="11" t="n">
        <v>116</v>
      </c>
      <c r="C154" s="11" t="n">
        <v>342</v>
      </c>
      <c r="D154" s="12" t="n">
        <v>4104</v>
      </c>
      <c r="E154" s="31">
        <f>B154-B153</f>
        <v/>
      </c>
      <c r="F154" s="31">
        <f>C154-C153</f>
        <v/>
      </c>
      <c r="G154" s="32">
        <f>D154-D153</f>
        <v/>
      </c>
      <c r="H154">
        <f>TEXT(A154,"DD/MM HH:MM")</f>
        <v/>
      </c>
    </row>
    <row r="155">
      <c r="A155" s="33" t="n">
        <v>46304.67986111111</v>
      </c>
      <c r="B155" s="15" t="n">
        <v>117</v>
      </c>
      <c r="C155" s="15" t="n">
        <v>346</v>
      </c>
      <c r="D155" s="16" t="n">
        <v>4152</v>
      </c>
      <c r="E155" s="34">
        <f>B155-B154</f>
        <v/>
      </c>
      <c r="F155" s="34">
        <f>C155-C154</f>
        <v/>
      </c>
      <c r="G155" s="35">
        <f>D155-D154</f>
        <v/>
      </c>
      <c r="H155">
        <f>TEXT(A155,"DD/MM HH:MM")</f>
        <v/>
      </c>
    </row>
    <row r="156">
      <c r="A156" s="30" t="n">
        <v>46304.71944444445</v>
      </c>
      <c r="B156" s="11" t="n">
        <v>117</v>
      </c>
      <c r="C156" s="11" t="n">
        <v>346</v>
      </c>
      <c r="D156" s="12" t="n">
        <v>4152</v>
      </c>
      <c r="E156" s="31">
        <f>B156-B155</f>
        <v/>
      </c>
      <c r="F156" s="31">
        <f>C156-C155</f>
        <v/>
      </c>
      <c r="G156" s="32">
        <f>D156-D155</f>
        <v/>
      </c>
      <c r="H156">
        <f>TEXT(A156,"DD/MM HH:MM")</f>
        <v/>
      </c>
    </row>
    <row r="157">
      <c r="A157" s="33" t="n">
        <v>46304.75347222222</v>
      </c>
      <c r="B157" s="15" t="n">
        <v>120</v>
      </c>
      <c r="C157" s="15" t="n">
        <v>353</v>
      </c>
      <c r="D157" s="16" t="n">
        <v>4236</v>
      </c>
      <c r="E157" s="34">
        <f>B157-B156</f>
        <v/>
      </c>
      <c r="F157" s="34">
        <f>C157-C156</f>
        <v/>
      </c>
      <c r="G157" s="35">
        <f>D157-D156</f>
        <v/>
      </c>
      <c r="H157">
        <f>TEXT(A157,"DD/MM HH:MM")</f>
        <v/>
      </c>
    </row>
    <row r="158">
      <c r="A158" s="30" t="n">
        <v>46304.76111111111</v>
      </c>
      <c r="B158" s="11" t="n">
        <v>120</v>
      </c>
      <c r="C158" s="11" t="n">
        <v>353</v>
      </c>
      <c r="D158" s="12" t="n">
        <v>4236</v>
      </c>
      <c r="E158" s="31">
        <f>B158-B157</f>
        <v/>
      </c>
      <c r="F158" s="31">
        <f>C158-C157</f>
        <v/>
      </c>
      <c r="G158" s="32">
        <f>D158-D157</f>
        <v/>
      </c>
      <c r="H158">
        <f>TEXT(A158,"DD/MM HH:MM")</f>
        <v/>
      </c>
    </row>
    <row r="159">
      <c r="A159" s="33" t="n">
        <v>46304.79513888889</v>
      </c>
      <c r="B159" s="15" t="n">
        <v>120</v>
      </c>
      <c r="C159" s="15" t="n">
        <v>353</v>
      </c>
      <c r="D159" s="16" t="n">
        <v>4236</v>
      </c>
      <c r="E159" s="34">
        <f>B159-B158</f>
        <v/>
      </c>
      <c r="F159" s="34">
        <f>C159-C158</f>
        <v/>
      </c>
      <c r="G159" s="35">
        <f>D159-D158</f>
        <v/>
      </c>
      <c r="H159">
        <f>TEXT(A159,"DD/MM HH:MM")</f>
        <v/>
      </c>
    </row>
    <row r="160">
      <c r="A160" s="30" t="n">
        <v>46304.80138888889</v>
      </c>
      <c r="B160" s="11" t="n">
        <v>121</v>
      </c>
      <c r="C160" s="11" t="n">
        <v>355</v>
      </c>
      <c r="D160" s="12" t="n">
        <v>4260</v>
      </c>
      <c r="E160" s="31">
        <f>B160-B159</f>
        <v/>
      </c>
      <c r="F160" s="31">
        <f>C160-C159</f>
        <v/>
      </c>
      <c r="G160" s="32">
        <f>D160-D159</f>
        <v/>
      </c>
      <c r="H160">
        <f>TEXT(A160,"DD/MM HH:MM")</f>
        <v/>
      </c>
    </row>
    <row r="161">
      <c r="A161" s="33" t="n">
        <v>46304.81944444445</v>
      </c>
      <c r="B161" s="15" t="n">
        <v>123</v>
      </c>
      <c r="C161" s="15" t="n">
        <v>361</v>
      </c>
      <c r="D161" s="16" t="n">
        <v>4332</v>
      </c>
      <c r="E161" s="34">
        <f>B161-B160</f>
        <v/>
      </c>
      <c r="F161" s="34">
        <f>C161-C160</f>
        <v/>
      </c>
      <c r="G161" s="35">
        <f>D161-D160</f>
        <v/>
      </c>
      <c r="H161">
        <f>TEXT(A161,"DD/MM HH:MM")</f>
        <v/>
      </c>
    </row>
    <row r="162">
      <c r="A162" s="30" t="n">
        <v>46304.84513888889</v>
      </c>
      <c r="B162" s="11" t="n">
        <v>123</v>
      </c>
      <c r="C162" s="11" t="n">
        <v>361</v>
      </c>
      <c r="D162" s="12" t="n">
        <v>4332</v>
      </c>
      <c r="E162" s="31">
        <f>B162-B161</f>
        <v/>
      </c>
      <c r="F162" s="31">
        <f>C162-C161</f>
        <v/>
      </c>
      <c r="G162" s="32">
        <f>D162-D161</f>
        <v/>
      </c>
      <c r="H162">
        <f>TEXT(A162,"DD/MM HH:MM")</f>
        <v/>
      </c>
    </row>
    <row r="163">
      <c r="A163" s="33" t="n">
        <v>46304.86111111111</v>
      </c>
      <c r="B163" s="15" t="n">
        <v>123</v>
      </c>
      <c r="C163" s="15" t="n">
        <v>361</v>
      </c>
      <c r="D163" s="16" t="n">
        <v>4332</v>
      </c>
      <c r="E163" s="34">
        <f>B163-B162</f>
        <v/>
      </c>
      <c r="F163" s="34">
        <f>C163-C162</f>
        <v/>
      </c>
      <c r="G163" s="35">
        <f>D163-D162</f>
        <v/>
      </c>
      <c r="H163">
        <f>TEXT(A163,"DD/MM HH:MM")</f>
        <v/>
      </c>
    </row>
    <row r="164">
      <c r="A164" s="30" t="n">
        <v>46304.86458333334</v>
      </c>
      <c r="B164" s="11" t="n">
        <v>123</v>
      </c>
      <c r="C164" s="11" t="n">
        <v>361</v>
      </c>
      <c r="D164" s="12" t="n">
        <v>4332</v>
      </c>
      <c r="E164" s="31">
        <f>B164-B163</f>
        <v/>
      </c>
      <c r="F164" s="31">
        <f>C164-C163</f>
        <v/>
      </c>
      <c r="G164" s="32">
        <f>D164-D163</f>
        <v/>
      </c>
      <c r="H164">
        <f>TEXT(A164,"DD/MM HH:MM")</f>
        <v/>
      </c>
    </row>
    <row r="165">
      <c r="A165" s="33" t="n">
        <v>46304.88472222222</v>
      </c>
      <c r="B165" s="15" t="n">
        <v>123</v>
      </c>
      <c r="C165" s="15" t="n">
        <v>361</v>
      </c>
      <c r="D165" s="16" t="n">
        <v>4332</v>
      </c>
      <c r="E165" s="34">
        <f>B165-B164</f>
        <v/>
      </c>
      <c r="F165" s="34">
        <f>C165-C164</f>
        <v/>
      </c>
      <c r="G165" s="35">
        <f>D165-D164</f>
        <v/>
      </c>
      <c r="H165">
        <f>TEXT(A165,"DD/MM HH:MM")</f>
        <v/>
      </c>
    </row>
    <row r="166">
      <c r="A166" s="30" t="n">
        <v>46304.90277777778</v>
      </c>
      <c r="B166" s="11" t="n">
        <v>125</v>
      </c>
      <c r="C166" s="11" t="n">
        <v>367</v>
      </c>
      <c r="D166" s="12" t="n">
        <v>4404</v>
      </c>
      <c r="E166" s="31">
        <f>B166-B165</f>
        <v/>
      </c>
      <c r="F166" s="31">
        <f>C166-C165</f>
        <v/>
      </c>
      <c r="G166" s="32">
        <f>D166-D165</f>
        <v/>
      </c>
      <c r="H166">
        <f>TEXT(A166,"DD/MM HH:MM")</f>
        <v/>
      </c>
    </row>
    <row r="167">
      <c r="A167" s="33" t="n">
        <v>46304.92708333334</v>
      </c>
      <c r="B167" s="15" t="n">
        <v>126</v>
      </c>
      <c r="C167" s="15" t="n">
        <v>371</v>
      </c>
      <c r="D167" s="16" t="n">
        <v>4452</v>
      </c>
      <c r="E167" s="34">
        <f>B167-B166</f>
        <v/>
      </c>
      <c r="F167" s="34">
        <f>C167-C166</f>
        <v/>
      </c>
      <c r="G167" s="35">
        <f>D167-D166</f>
        <v/>
      </c>
      <c r="H167">
        <f>TEXT(A167,"DD/MM HH:MM")</f>
        <v/>
      </c>
    </row>
    <row r="168">
      <c r="A168" s="30" t="n">
        <v>46304.97013888889</v>
      </c>
      <c r="B168" s="11" t="n">
        <v>131</v>
      </c>
      <c r="C168" s="11" t="n">
        <v>389</v>
      </c>
      <c r="D168" s="12" t="n">
        <v>4668</v>
      </c>
      <c r="E168" s="31">
        <f>B168-B167</f>
        <v/>
      </c>
      <c r="F168" s="31">
        <f>C168-C167</f>
        <v/>
      </c>
      <c r="G168" s="32">
        <f>D168-D167</f>
        <v/>
      </c>
      <c r="H168">
        <f>TEXT(A168,"DD/MM HH:MM")</f>
        <v/>
      </c>
    </row>
    <row r="169">
      <c r="A169" s="33" t="n">
        <v>46305.01041666666</v>
      </c>
      <c r="B169" s="15" t="n">
        <v>133</v>
      </c>
      <c r="C169" s="15" t="n">
        <v>397</v>
      </c>
      <c r="D169" s="16" t="n">
        <v>4764</v>
      </c>
      <c r="E169" s="34">
        <f>B169-B168</f>
        <v/>
      </c>
      <c r="F169" s="34">
        <f>C169-C168</f>
        <v/>
      </c>
      <c r="G169" s="35">
        <f>D169-D168</f>
        <v/>
      </c>
      <c r="H169">
        <f>TEXT(A169,"DD/MM HH:MM")</f>
        <v/>
      </c>
    </row>
    <row r="170">
      <c r="A170" s="30" t="n">
        <v>46305.05138888889</v>
      </c>
      <c r="B170" s="11" t="n">
        <v>134</v>
      </c>
      <c r="C170" s="11" t="n">
        <v>402</v>
      </c>
      <c r="D170" s="12" t="n">
        <v>4824</v>
      </c>
      <c r="E170" s="31">
        <f>B170-B169</f>
        <v/>
      </c>
      <c r="F170" s="31">
        <f>C170-C169</f>
        <v/>
      </c>
      <c r="G170" s="32">
        <f>D170-D169</f>
        <v/>
      </c>
      <c r="H170">
        <f>TEXT(A170,"DD/MM HH:MM")</f>
        <v/>
      </c>
    </row>
    <row r="171">
      <c r="A171" s="33" t="n">
        <v>46305.1</v>
      </c>
      <c r="B171" s="15" t="n">
        <v>136</v>
      </c>
      <c r="C171" s="15" t="n">
        <v>406</v>
      </c>
      <c r="D171" s="16" t="n">
        <v>4872</v>
      </c>
      <c r="E171" s="34">
        <f>B171-B170</f>
        <v/>
      </c>
      <c r="F171" s="34">
        <f>C171-C170</f>
        <v/>
      </c>
      <c r="G171" s="35">
        <f>D171-D170</f>
        <v/>
      </c>
      <c r="H171">
        <f>TEXT(A171,"DD/MM HH:MM")</f>
        <v/>
      </c>
    </row>
    <row r="172">
      <c r="A172" s="30" t="n">
        <v>46305.12569444445</v>
      </c>
      <c r="B172" s="11" t="n">
        <v>136</v>
      </c>
      <c r="C172" s="11" t="n">
        <v>406</v>
      </c>
      <c r="D172" s="12" t="n">
        <v>4872</v>
      </c>
      <c r="E172" s="31">
        <f>B172-B171</f>
        <v/>
      </c>
      <c r="F172" s="31">
        <f>C172-C171</f>
        <v/>
      </c>
      <c r="G172" s="32">
        <f>D172-D171</f>
        <v/>
      </c>
      <c r="H172">
        <f>TEXT(A172,"DD/MM HH:MM")</f>
        <v/>
      </c>
    </row>
    <row r="173">
      <c r="A173" s="33" t="n">
        <v>46305.13680555556</v>
      </c>
      <c r="B173" s="15" t="n">
        <v>136</v>
      </c>
      <c r="C173" s="15" t="n">
        <v>406</v>
      </c>
      <c r="D173" s="16" t="n">
        <v>4872</v>
      </c>
      <c r="E173" s="34">
        <f>B173-B172</f>
        <v/>
      </c>
      <c r="F173" s="34">
        <f>C173-C172</f>
        <v/>
      </c>
      <c r="G173" s="35">
        <f>D173-D172</f>
        <v/>
      </c>
      <c r="H173">
        <f>TEXT(A173,"DD/MM HH:MM")</f>
        <v/>
      </c>
    </row>
    <row r="174">
      <c r="A174" s="30" t="n">
        <v>46305.17708333334</v>
      </c>
      <c r="B174" s="11" t="n">
        <v>136</v>
      </c>
      <c r="C174" s="11" t="n">
        <v>406</v>
      </c>
      <c r="D174" s="12" t="n">
        <v>4872</v>
      </c>
      <c r="E174" s="31">
        <f>B174-B173</f>
        <v/>
      </c>
      <c r="F174" s="31">
        <f>C174-C173</f>
        <v/>
      </c>
      <c r="G174" s="32">
        <f>D174-D173</f>
        <v/>
      </c>
      <c r="H174">
        <f>TEXT(A174,"DD/MM HH:MM")</f>
        <v/>
      </c>
    </row>
    <row r="175">
      <c r="A175" s="33" t="n">
        <v>46305.21875</v>
      </c>
      <c r="B175" s="15" t="n">
        <v>136</v>
      </c>
      <c r="C175" s="15" t="n">
        <v>406</v>
      </c>
      <c r="D175" s="16" t="n">
        <v>4872</v>
      </c>
      <c r="E175" s="34">
        <f>B175-B174</f>
        <v/>
      </c>
      <c r="F175" s="34">
        <f>C175-C174</f>
        <v/>
      </c>
      <c r="G175" s="35">
        <f>D175-D174</f>
        <v/>
      </c>
      <c r="H175">
        <f>TEXT(A175,"DD/MM HH:MM")</f>
        <v/>
      </c>
    </row>
    <row r="176">
      <c r="A176" s="30" t="n">
        <v>46305.26111111111</v>
      </c>
      <c r="B176" s="11" t="n">
        <v>136</v>
      </c>
      <c r="C176" s="11" t="n">
        <v>406</v>
      </c>
      <c r="D176" s="12" t="n">
        <v>4872</v>
      </c>
      <c r="E176" s="31">
        <f>B176-B175</f>
        <v/>
      </c>
      <c r="F176" s="31">
        <f>C176-C175</f>
        <v/>
      </c>
      <c r="G176" s="32">
        <f>D176-D175</f>
        <v/>
      </c>
      <c r="H176">
        <f>TEXT(A176,"DD/MM HH:MM")</f>
        <v/>
      </c>
    </row>
    <row r="177">
      <c r="A177" s="33" t="n">
        <v>46305.30138888889</v>
      </c>
      <c r="B177" s="15" t="n">
        <v>136</v>
      </c>
      <c r="C177" s="15" t="n">
        <v>406</v>
      </c>
      <c r="D177" s="16" t="n">
        <v>4872</v>
      </c>
      <c r="E177" s="34">
        <f>B177-B176</f>
        <v/>
      </c>
      <c r="F177" s="34">
        <f>C177-C176</f>
        <v/>
      </c>
      <c r="G177" s="35">
        <f>D177-D176</f>
        <v/>
      </c>
      <c r="H177">
        <f>TEXT(A177,"DD/MM HH:MM")</f>
        <v/>
      </c>
    </row>
    <row r="178">
      <c r="A178" s="30" t="n">
        <v>46305.34652777778</v>
      </c>
      <c r="B178" s="11" t="n">
        <v>136</v>
      </c>
      <c r="C178" s="11" t="n">
        <v>406</v>
      </c>
      <c r="D178" s="12" t="n">
        <v>4872</v>
      </c>
      <c r="E178" s="31">
        <f>B178-B177</f>
        <v/>
      </c>
      <c r="F178" s="31">
        <f>C178-C177</f>
        <v/>
      </c>
      <c r="G178" s="32">
        <f>D178-D177</f>
        <v/>
      </c>
      <c r="H178">
        <f>TEXT(A178,"DD/MM HH:MM")</f>
        <v/>
      </c>
    </row>
    <row r="179">
      <c r="A179" s="33" t="n">
        <v>46305.38541666666</v>
      </c>
      <c r="B179" s="15" t="n">
        <v>136</v>
      </c>
      <c r="C179" s="15" t="n">
        <v>406</v>
      </c>
      <c r="D179" s="16" t="n">
        <v>4872</v>
      </c>
      <c r="E179" s="34">
        <f>B179-B178</f>
        <v/>
      </c>
      <c r="F179" s="34">
        <f>C179-C178</f>
        <v/>
      </c>
      <c r="G179" s="35">
        <f>D179-D178</f>
        <v/>
      </c>
      <c r="H179">
        <f>TEXT(A179,"DD/MM HH:MM")</f>
        <v/>
      </c>
    </row>
    <row r="180">
      <c r="A180" s="30" t="n">
        <v>46305.42708333334</v>
      </c>
      <c r="B180" s="11" t="n">
        <v>136</v>
      </c>
      <c r="C180" s="11" t="n">
        <v>406</v>
      </c>
      <c r="D180" s="12" t="n">
        <v>4872</v>
      </c>
      <c r="E180" s="31">
        <f>B180-B179</f>
        <v/>
      </c>
      <c r="F180" s="31">
        <f>C180-C179</f>
        <v/>
      </c>
      <c r="G180" s="32">
        <f>D180-D179</f>
        <v/>
      </c>
      <c r="H180">
        <f>TEXT(A180,"DD/MM HH:MM")</f>
        <v/>
      </c>
    </row>
    <row r="181">
      <c r="A181" s="33" t="n">
        <v>46305.46875</v>
      </c>
      <c r="B181" s="15" t="n">
        <v>137</v>
      </c>
      <c r="C181" s="15" t="n">
        <v>408</v>
      </c>
      <c r="D181" s="16" t="n">
        <v>4896</v>
      </c>
      <c r="E181" s="34">
        <f>B181-B180</f>
        <v/>
      </c>
      <c r="F181" s="34">
        <f>C181-C180</f>
        <v/>
      </c>
      <c r="G181" s="35">
        <f>D181-D180</f>
        <v/>
      </c>
      <c r="H181">
        <f>TEXT(A181,"DD/MM HH:MM")</f>
        <v/>
      </c>
    </row>
    <row r="182">
      <c r="A182" s="30" t="n">
        <v>46305.50972222222</v>
      </c>
      <c r="B182" s="11" t="n">
        <v>137</v>
      </c>
      <c r="C182" s="11" t="n">
        <v>408</v>
      </c>
      <c r="D182" s="12" t="n">
        <v>4896</v>
      </c>
      <c r="E182" s="31">
        <f>B182-B181</f>
        <v/>
      </c>
      <c r="F182" s="31">
        <f>C182-C181</f>
        <v/>
      </c>
      <c r="G182" s="32">
        <f>D182-D181</f>
        <v/>
      </c>
      <c r="H182">
        <f>TEXT(A182,"DD/MM HH:MM")</f>
        <v/>
      </c>
    </row>
    <row r="183">
      <c r="A183" s="33" t="n">
        <v>46305.55138888889</v>
      </c>
      <c r="B183" s="15" t="n">
        <v>139</v>
      </c>
      <c r="C183" s="15" t="n">
        <v>412</v>
      </c>
      <c r="D183" s="16" t="n">
        <v>4944</v>
      </c>
      <c r="E183" s="34">
        <f>B183-B182</f>
        <v/>
      </c>
      <c r="F183" s="34">
        <f>C183-C182</f>
        <v/>
      </c>
      <c r="G183" s="35">
        <f>D183-D182</f>
        <v/>
      </c>
      <c r="H183">
        <f>TEXT(A183,"DD/MM HH:MM")</f>
        <v/>
      </c>
    </row>
    <row r="184">
      <c r="A184" s="30" t="n">
        <v>46305.59583333333</v>
      </c>
      <c r="B184" s="11" t="n">
        <v>139</v>
      </c>
      <c r="C184" s="11" t="n">
        <v>412</v>
      </c>
      <c r="D184" s="12" t="n">
        <v>4944</v>
      </c>
      <c r="E184" s="31">
        <f>B184-B183</f>
        <v/>
      </c>
      <c r="F184" s="31">
        <f>C184-C183</f>
        <v/>
      </c>
      <c r="G184" s="32">
        <f>D184-D183</f>
        <v/>
      </c>
      <c r="H184">
        <f>TEXT(A184,"DD/MM HH:MM")</f>
        <v/>
      </c>
    </row>
    <row r="185">
      <c r="A185" s="33" t="n">
        <v>46305.61111111111</v>
      </c>
      <c r="B185" s="15" t="n">
        <v>139</v>
      </c>
      <c r="C185" s="15" t="n">
        <v>412</v>
      </c>
      <c r="D185" s="16" t="n">
        <v>4944</v>
      </c>
      <c r="E185" s="34">
        <f>B185-B184</f>
        <v/>
      </c>
      <c r="F185" s="34">
        <f>C185-C184</f>
        <v/>
      </c>
      <c r="G185" s="35">
        <f>D185-D184</f>
        <v/>
      </c>
      <c r="H185">
        <f>TEXT(A185,"DD/MM HH:MM")</f>
        <v/>
      </c>
    </row>
    <row r="186">
      <c r="A186" s="30" t="n">
        <v>46305.63541666666</v>
      </c>
      <c r="B186" s="11" t="n">
        <v>139</v>
      </c>
      <c r="C186" s="11" t="n">
        <v>412</v>
      </c>
      <c r="D186" s="12" t="n">
        <v>4944</v>
      </c>
      <c r="E186" s="31">
        <f>B186-B185</f>
        <v/>
      </c>
      <c r="F186" s="31">
        <f>C186-C185</f>
        <v/>
      </c>
      <c r="G186" s="32">
        <f>D186-D185</f>
        <v/>
      </c>
      <c r="H186">
        <f>TEXT(A186,"DD/MM HH:MM")</f>
        <v/>
      </c>
    </row>
    <row r="187">
      <c r="A187" s="33" t="n">
        <v>46305.66736111111</v>
      </c>
      <c r="B187" s="15" t="n">
        <v>139</v>
      </c>
      <c r="C187" s="15" t="n">
        <v>412</v>
      </c>
      <c r="D187" s="16" t="n">
        <v>4944</v>
      </c>
      <c r="E187" s="34">
        <f>B187-B186</f>
        <v/>
      </c>
      <c r="F187" s="34">
        <f>C187-C186</f>
        <v/>
      </c>
      <c r="G187" s="35">
        <f>D187-D186</f>
        <v/>
      </c>
      <c r="H187">
        <f>TEXT(A187,"DD/MM HH:MM")</f>
        <v/>
      </c>
    </row>
    <row r="188">
      <c r="A188" s="30" t="n">
        <v>46305.67569444444</v>
      </c>
      <c r="B188" s="11" t="n">
        <v>139</v>
      </c>
      <c r="C188" s="11" t="n">
        <v>412</v>
      </c>
      <c r="D188" s="12" t="n">
        <v>4944</v>
      </c>
      <c r="E188" s="31">
        <f>B188-B187</f>
        <v/>
      </c>
      <c r="F188" s="31">
        <f>C188-C187</f>
        <v/>
      </c>
      <c r="G188" s="32">
        <f>D188-D187</f>
        <v/>
      </c>
      <c r="H188">
        <f>TEXT(A188,"DD/MM HH:MM")</f>
        <v/>
      </c>
    </row>
    <row r="189">
      <c r="A189" s="33" t="n">
        <v>46305.71458333333</v>
      </c>
      <c r="B189" s="15" t="n">
        <v>144</v>
      </c>
      <c r="C189" s="15" t="n">
        <v>422</v>
      </c>
      <c r="D189" s="16" t="n">
        <v>5064</v>
      </c>
      <c r="E189" s="34">
        <f>B189-B188</f>
        <v/>
      </c>
      <c r="F189" s="34">
        <f>C189-C188</f>
        <v/>
      </c>
      <c r="G189" s="35">
        <f>D189-D188</f>
        <v/>
      </c>
      <c r="H189">
        <f>TEXT(A189,"DD/MM HH:MM")</f>
        <v/>
      </c>
    </row>
    <row r="190">
      <c r="A190" s="30" t="n">
        <v>46305.71805555555</v>
      </c>
      <c r="B190" s="11" t="n">
        <v>144</v>
      </c>
      <c r="C190" s="11" t="n">
        <v>422</v>
      </c>
      <c r="D190" s="12" t="n">
        <v>5064</v>
      </c>
      <c r="E190" s="31">
        <f>B190-B189</f>
        <v/>
      </c>
      <c r="F190" s="31">
        <f>C190-C189</f>
        <v/>
      </c>
      <c r="G190" s="32">
        <f>D190-D189</f>
        <v/>
      </c>
      <c r="H190">
        <f>TEXT(A190,"DD/MM HH:MM")</f>
        <v/>
      </c>
    </row>
    <row r="191">
      <c r="A191" s="33" t="n">
        <v>46305.74236111111</v>
      </c>
      <c r="B191" s="15" t="n">
        <v>144</v>
      </c>
      <c r="C191" s="15" t="n">
        <v>422</v>
      </c>
      <c r="D191" s="16" t="n">
        <v>5064</v>
      </c>
      <c r="E191" s="34">
        <f>B191-B190</f>
        <v/>
      </c>
      <c r="F191" s="34">
        <f>C191-C190</f>
        <v/>
      </c>
      <c r="G191" s="35">
        <f>D191-D190</f>
        <v/>
      </c>
      <c r="H191">
        <f>TEXT(A191,"DD/MM HH:MM")</f>
        <v/>
      </c>
    </row>
    <row r="192">
      <c r="A192" s="30" t="n">
        <v>46305.75972222222</v>
      </c>
      <c r="B192" s="11" t="n">
        <v>145</v>
      </c>
      <c r="C192" s="11" t="n">
        <v>426</v>
      </c>
      <c r="D192" s="12" t="n">
        <v>5112</v>
      </c>
      <c r="E192" s="31">
        <f>B192-B191</f>
        <v/>
      </c>
      <c r="F192" s="31">
        <f>C192-C191</f>
        <v/>
      </c>
      <c r="G192" s="32">
        <f>D192-D191</f>
        <v/>
      </c>
      <c r="H192">
        <f>TEXT(A192,"DD/MM HH:MM")</f>
        <v/>
      </c>
    </row>
    <row r="193">
      <c r="A193" s="33" t="n">
        <v>46305.80069444444</v>
      </c>
      <c r="B193" s="15" t="n">
        <v>146</v>
      </c>
      <c r="C193" s="15" t="n">
        <v>428</v>
      </c>
      <c r="D193" s="16" t="n">
        <v>5136</v>
      </c>
      <c r="E193" s="34">
        <f>B193-B192</f>
        <v/>
      </c>
      <c r="F193" s="34">
        <f>C193-C192</f>
        <v/>
      </c>
      <c r="G193" s="35">
        <f>D193-D192</f>
        <v/>
      </c>
      <c r="H193">
        <f>TEXT(A193,"DD/MM HH:MM")</f>
        <v/>
      </c>
    </row>
    <row r="194">
      <c r="A194" s="30" t="n">
        <v>46305.84444444445</v>
      </c>
      <c r="B194" s="11" t="n">
        <v>144</v>
      </c>
      <c r="C194" s="11" t="n">
        <v>424</v>
      </c>
      <c r="D194" s="12" t="n">
        <v>5088</v>
      </c>
      <c r="E194" s="31">
        <f>B194-B193</f>
        <v/>
      </c>
      <c r="F194" s="31">
        <f>C194-C193</f>
        <v/>
      </c>
      <c r="G194" s="32">
        <f>D194-D193</f>
        <v/>
      </c>
      <c r="H194">
        <f>TEXT(A194,"DD/MM HH:MM")</f>
        <v/>
      </c>
    </row>
    <row r="195">
      <c r="A195" s="33" t="n">
        <v>46305.87013888889</v>
      </c>
      <c r="B195" s="15" t="n">
        <v>148</v>
      </c>
      <c r="C195" s="15" t="n">
        <v>435</v>
      </c>
      <c r="D195" s="16" t="n">
        <v>5220</v>
      </c>
      <c r="E195" s="34">
        <f>B195-B194</f>
        <v/>
      </c>
      <c r="F195" s="34">
        <f>C195-C194</f>
        <v/>
      </c>
      <c r="G195" s="35">
        <f>D195-D194</f>
        <v/>
      </c>
      <c r="H195">
        <f>TEXT(A195,"DD/MM HH:MM")</f>
        <v/>
      </c>
    </row>
    <row r="196">
      <c r="A196" s="30" t="n">
        <v>46305.8875</v>
      </c>
      <c r="B196" s="11" t="n">
        <v>149</v>
      </c>
      <c r="C196" s="11" t="n">
        <v>437</v>
      </c>
      <c r="D196" s="12" t="n">
        <v>5244</v>
      </c>
      <c r="E196" s="31">
        <f>B196-B195</f>
        <v/>
      </c>
      <c r="F196" s="31">
        <f>C196-C195</f>
        <v/>
      </c>
      <c r="G196" s="32">
        <f>D196-D195</f>
        <v/>
      </c>
      <c r="H196">
        <f>TEXT(A196,"DD/MM HH:MM")</f>
        <v/>
      </c>
    </row>
    <row r="197">
      <c r="A197" s="33" t="n">
        <v>46305.9</v>
      </c>
      <c r="B197" s="15" t="n">
        <v>149</v>
      </c>
      <c r="C197" s="15" t="n">
        <v>437</v>
      </c>
      <c r="D197" s="16" t="n">
        <v>5244</v>
      </c>
      <c r="E197" s="34">
        <f>B197-B196</f>
        <v/>
      </c>
      <c r="F197" s="34">
        <f>C197-C196</f>
        <v/>
      </c>
      <c r="G197" s="35">
        <f>D197-D196</f>
        <v/>
      </c>
      <c r="H197">
        <f>TEXT(A197,"DD/MM HH:MM")</f>
        <v/>
      </c>
    </row>
    <row r="198">
      <c r="A198" s="30" t="n">
        <v>46305.92638888889</v>
      </c>
      <c r="B198" s="11" t="n">
        <v>150</v>
      </c>
      <c r="C198" s="11" t="n">
        <v>440</v>
      </c>
      <c r="D198" s="12" t="n">
        <v>5280</v>
      </c>
      <c r="E198" s="31">
        <f>B198-B197</f>
        <v/>
      </c>
      <c r="F198" s="31">
        <f>C198-C197</f>
        <v/>
      </c>
      <c r="G198" s="32">
        <f>D198-D197</f>
        <v/>
      </c>
      <c r="H198">
        <f>TEXT(A198,"DD/MM HH:MM")</f>
        <v/>
      </c>
    </row>
    <row r="199">
      <c r="A199" s="33" t="n">
        <v>46305.96805555555</v>
      </c>
      <c r="B199" s="15" t="n">
        <v>152</v>
      </c>
      <c r="C199" s="15" t="n">
        <v>444</v>
      </c>
      <c r="D199" s="16" t="n">
        <v>5328</v>
      </c>
      <c r="E199" s="34">
        <f>B199-B198</f>
        <v/>
      </c>
      <c r="F199" s="34">
        <f>C199-C198</f>
        <v/>
      </c>
      <c r="G199" s="35">
        <f>D199-D198</f>
        <v/>
      </c>
      <c r="H199">
        <f>TEXT(A199,"DD/MM HH:MM")</f>
        <v/>
      </c>
    </row>
    <row r="200">
      <c r="A200" s="30" t="n">
        <v>46305.96944444445</v>
      </c>
      <c r="B200" s="11" t="n">
        <v>152</v>
      </c>
      <c r="C200" s="11" t="n">
        <v>444</v>
      </c>
      <c r="D200" s="12" t="n">
        <v>5328</v>
      </c>
      <c r="E200" s="31">
        <f>B200-B199</f>
        <v/>
      </c>
      <c r="F200" s="31">
        <f>C200-C199</f>
        <v/>
      </c>
      <c r="G200" s="32">
        <f>D200-D199</f>
        <v/>
      </c>
      <c r="H200">
        <f>TEXT(A200,"DD/MM HH:MM")</f>
        <v/>
      </c>
    </row>
    <row r="201">
      <c r="A201" s="33" t="n">
        <v>46305.98263888889</v>
      </c>
      <c r="B201" s="15" t="n">
        <v>152</v>
      </c>
      <c r="C201" s="15" t="n">
        <v>444</v>
      </c>
      <c r="D201" s="16" t="n">
        <v>5328</v>
      </c>
      <c r="E201" s="34">
        <f>B201-B200</f>
        <v/>
      </c>
      <c r="F201" s="34">
        <f>C201-C200</f>
        <v/>
      </c>
      <c r="G201" s="35">
        <f>D201-D200</f>
        <v/>
      </c>
      <c r="H201">
        <f>TEXT(A201,"DD/MM HH:MM")</f>
        <v/>
      </c>
    </row>
    <row r="202">
      <c r="A202" s="30" t="n">
        <v>46306.00902777778</v>
      </c>
      <c r="B202" s="11" t="n">
        <v>152</v>
      </c>
      <c r="C202" s="11" t="n">
        <v>444</v>
      </c>
      <c r="D202" s="12" t="n">
        <v>5328</v>
      </c>
      <c r="E202" s="31">
        <f>B202-B201</f>
        <v/>
      </c>
      <c r="F202" s="31">
        <f>C202-C201</f>
        <v/>
      </c>
      <c r="G202" s="32">
        <f>D202-D201</f>
        <v/>
      </c>
      <c r="H202">
        <f>TEXT(A202,"DD/MM HH:MM")</f>
        <v/>
      </c>
    </row>
    <row r="203">
      <c r="A203" s="33" t="n">
        <v>46306.05069444444</v>
      </c>
      <c r="B203" s="15" t="n">
        <v>152</v>
      </c>
      <c r="C203" s="15" t="n">
        <v>444</v>
      </c>
      <c r="D203" s="16" t="n">
        <v>5328</v>
      </c>
      <c r="E203" s="34">
        <f>B203-B202</f>
        <v/>
      </c>
      <c r="F203" s="34">
        <f>C203-C202</f>
        <v/>
      </c>
      <c r="G203" s="35">
        <f>D203-D202</f>
        <v/>
      </c>
      <c r="H203">
        <f>TEXT(A203,"DD/MM HH:MM")</f>
        <v/>
      </c>
    </row>
    <row r="204">
      <c r="A204" s="30" t="n">
        <v>46306.05486111111</v>
      </c>
      <c r="B204" s="11" t="n">
        <v>152</v>
      </c>
      <c r="C204" s="11" t="n">
        <v>444</v>
      </c>
      <c r="D204" s="12" t="n">
        <v>5328</v>
      </c>
      <c r="E204" s="31">
        <f>B204-B203</f>
        <v/>
      </c>
      <c r="F204" s="31">
        <f>C204-C203</f>
        <v/>
      </c>
      <c r="G204" s="32">
        <f>D204-D203</f>
        <v/>
      </c>
      <c r="H204">
        <f>TEXT(A204,"DD/MM HH:MM")</f>
        <v/>
      </c>
    </row>
    <row r="205">
      <c r="A205" s="33" t="n">
        <v>46306.09930555556</v>
      </c>
      <c r="B205" s="15" t="n">
        <v>152</v>
      </c>
      <c r="C205" s="15" t="n">
        <v>444</v>
      </c>
      <c r="D205" s="16" t="n">
        <v>5328</v>
      </c>
      <c r="E205" s="34">
        <f>B205-B204</f>
        <v/>
      </c>
      <c r="F205" s="34">
        <f>C205-C204</f>
        <v/>
      </c>
      <c r="G205" s="35">
        <f>D205-D204</f>
        <v/>
      </c>
      <c r="H205">
        <f>TEXT(A205,"DD/MM HH:MM")</f>
        <v/>
      </c>
    </row>
    <row r="206">
      <c r="A206" s="30" t="n">
        <v>46306.13611111111</v>
      </c>
      <c r="B206" s="11" t="n">
        <v>152</v>
      </c>
      <c r="C206" s="11" t="n">
        <v>444</v>
      </c>
      <c r="D206" s="12" t="n">
        <v>5328</v>
      </c>
      <c r="E206" s="31">
        <f>B206-B205</f>
        <v/>
      </c>
      <c r="F206" s="31">
        <f>C206-C205</f>
        <v/>
      </c>
      <c r="G206" s="32">
        <f>D206-D205</f>
        <v/>
      </c>
      <c r="H206">
        <f>TEXT(A206,"DD/MM HH:MM")</f>
        <v/>
      </c>
    </row>
    <row r="207">
      <c r="A207" s="33" t="n">
        <v>46306.17708333334</v>
      </c>
      <c r="B207" s="15" t="n">
        <v>152</v>
      </c>
      <c r="C207" s="15" t="n">
        <v>444</v>
      </c>
      <c r="D207" s="16" t="n">
        <v>5328</v>
      </c>
      <c r="E207" s="34">
        <f>B207-B206</f>
        <v/>
      </c>
      <c r="F207" s="34">
        <f>C207-C206</f>
        <v/>
      </c>
      <c r="G207" s="35">
        <f>D207-D206</f>
        <v/>
      </c>
      <c r="H207">
        <f>TEXT(A207,"DD/MM HH:MM")</f>
        <v/>
      </c>
    </row>
    <row r="208">
      <c r="A208" s="30" t="n">
        <v>46306.21944444445</v>
      </c>
      <c r="B208" s="11" t="n">
        <v>152</v>
      </c>
      <c r="C208" s="11" t="n">
        <v>444</v>
      </c>
      <c r="D208" s="12" t="n">
        <v>5328</v>
      </c>
      <c r="E208" s="31">
        <f>B208-B207</f>
        <v/>
      </c>
      <c r="F208" s="31">
        <f>C208-C207</f>
        <v/>
      </c>
      <c r="G208" s="32">
        <f>D208-D207</f>
        <v/>
      </c>
      <c r="H208">
        <f>TEXT(A208,"DD/MM HH:MM")</f>
        <v/>
      </c>
    </row>
    <row r="209">
      <c r="A209" s="33" t="n">
        <v>46306.26041666666</v>
      </c>
      <c r="B209" s="15" t="n">
        <v>152</v>
      </c>
      <c r="C209" s="15" t="n">
        <v>444</v>
      </c>
      <c r="D209" s="16" t="n">
        <v>5328</v>
      </c>
      <c r="E209" s="34">
        <f>B209-B208</f>
        <v/>
      </c>
      <c r="F209" s="34">
        <f>C209-C208</f>
        <v/>
      </c>
      <c r="G209" s="35">
        <f>D209-D208</f>
        <v/>
      </c>
      <c r="H209">
        <f>TEXT(A209,"DD/MM HH:MM")</f>
        <v/>
      </c>
    </row>
    <row r="210">
      <c r="A210" s="30" t="n">
        <v>46306.30208333334</v>
      </c>
      <c r="B210" s="11" t="n">
        <v>152</v>
      </c>
      <c r="C210" s="11" t="n">
        <v>444</v>
      </c>
      <c r="D210" s="12" t="n">
        <v>5328</v>
      </c>
      <c r="E210" s="31">
        <f>B210-B209</f>
        <v/>
      </c>
      <c r="F210" s="31">
        <f>C210-C209</f>
        <v/>
      </c>
      <c r="G210" s="32">
        <f>D210-D209</f>
        <v/>
      </c>
      <c r="H210">
        <f>TEXT(A210,"DD/MM HH:MM")</f>
        <v/>
      </c>
    </row>
    <row r="211">
      <c r="A211" s="33" t="n">
        <v>46306.34652777778</v>
      </c>
      <c r="B211" s="15" t="n">
        <v>152</v>
      </c>
      <c r="C211" s="15" t="n">
        <v>444</v>
      </c>
      <c r="D211" s="16" t="n">
        <v>5328</v>
      </c>
      <c r="E211" s="34">
        <f>B211-B210</f>
        <v/>
      </c>
      <c r="F211" s="34">
        <f>C211-C210</f>
        <v/>
      </c>
      <c r="G211" s="35">
        <f>D211-D210</f>
        <v/>
      </c>
      <c r="H211">
        <f>TEXT(A211,"DD/MM HH:MM")</f>
        <v/>
      </c>
    </row>
    <row r="212">
      <c r="A212" s="30" t="n">
        <v>46306.38611111111</v>
      </c>
      <c r="B212" s="11" t="n">
        <v>152</v>
      </c>
      <c r="C212" s="11" t="n">
        <v>444</v>
      </c>
      <c r="D212" s="12" t="n">
        <v>5328</v>
      </c>
      <c r="E212" s="31">
        <f>B212-B211</f>
        <v/>
      </c>
      <c r="F212" s="31">
        <f>C212-C211</f>
        <v/>
      </c>
      <c r="G212" s="32">
        <f>D212-D211</f>
        <v/>
      </c>
      <c r="H212">
        <f>TEXT(A212,"DD/MM HH:MM")</f>
        <v/>
      </c>
    </row>
    <row r="213">
      <c r="A213" s="33" t="n">
        <v>46306.42708333334</v>
      </c>
      <c r="B213" s="15" t="n">
        <v>152</v>
      </c>
      <c r="C213" s="15" t="n">
        <v>444</v>
      </c>
      <c r="D213" s="16" t="n">
        <v>5328</v>
      </c>
      <c r="E213" s="34">
        <f>B213-B212</f>
        <v/>
      </c>
      <c r="F213" s="34">
        <f>C213-C212</f>
        <v/>
      </c>
      <c r="G213" s="35">
        <f>D213-D212</f>
        <v/>
      </c>
      <c r="H213">
        <f>TEXT(A213,"DD/MM HH:MM")</f>
        <v/>
      </c>
    </row>
    <row r="214">
      <c r="A214" s="30" t="n">
        <v>46306.46944444445</v>
      </c>
      <c r="B214" s="11" t="n">
        <v>152</v>
      </c>
      <c r="C214" s="11" t="n">
        <v>444</v>
      </c>
      <c r="D214" s="12" t="n">
        <v>5328</v>
      </c>
      <c r="E214" s="31">
        <f>B214-B213</f>
        <v/>
      </c>
      <c r="F214" s="31">
        <f>C214-C213</f>
        <v/>
      </c>
      <c r="G214" s="32">
        <f>D214-D213</f>
        <v/>
      </c>
      <c r="H214">
        <f>TEXT(A214,"DD/MM HH:MM")</f>
        <v/>
      </c>
    </row>
    <row r="215">
      <c r="A215" s="33" t="n">
        <v>46306.51041666666</v>
      </c>
      <c r="B215" s="15" t="n">
        <v>153</v>
      </c>
      <c r="C215" s="15" t="n">
        <v>446</v>
      </c>
      <c r="D215" s="16" t="n">
        <v>5352</v>
      </c>
      <c r="E215" s="34">
        <f>B215-B214</f>
        <v/>
      </c>
      <c r="F215" s="34">
        <f>C215-C214</f>
        <v/>
      </c>
      <c r="G215" s="35">
        <f>D215-D214</f>
        <v/>
      </c>
      <c r="H215">
        <f>TEXT(A215,"DD/MM HH:MM")</f>
        <v/>
      </c>
    </row>
    <row r="216">
      <c r="A216" s="30" t="n">
        <v>46306.55138888889</v>
      </c>
      <c r="B216" s="11" t="n">
        <v>156</v>
      </c>
      <c r="C216" s="11" t="n">
        <v>452</v>
      </c>
      <c r="D216" s="12" t="n">
        <v>5424</v>
      </c>
      <c r="E216" s="31">
        <f>B216-B215</f>
        <v/>
      </c>
      <c r="F216" s="31">
        <f>C216-C215</f>
        <v/>
      </c>
      <c r="G216" s="32">
        <f>D216-D215</f>
        <v/>
      </c>
      <c r="H216">
        <f>TEXT(A216,"DD/MM HH:MM")</f>
        <v/>
      </c>
    </row>
    <row r="217">
      <c r="A217" s="33" t="n">
        <v>46306.59513888889</v>
      </c>
      <c r="B217" s="15" t="n">
        <v>160</v>
      </c>
      <c r="C217" s="15" t="n">
        <v>460</v>
      </c>
      <c r="D217" s="16" t="n">
        <v>5520</v>
      </c>
      <c r="E217" s="34">
        <f>B217-B216</f>
        <v/>
      </c>
      <c r="F217" s="34">
        <f>C217-C216</f>
        <v/>
      </c>
      <c r="G217" s="35">
        <f>D217-D216</f>
        <v/>
      </c>
      <c r="H217">
        <f>TEXT(A217,"DD/MM HH:MM")</f>
        <v/>
      </c>
    </row>
    <row r="218">
      <c r="A218" s="30" t="n">
        <v>46306.59652777778</v>
      </c>
      <c r="B218" s="11" t="n">
        <v>160</v>
      </c>
      <c r="C218" s="11" t="n">
        <v>460</v>
      </c>
      <c r="D218" s="12" t="n">
        <v>5520</v>
      </c>
      <c r="E218" s="31">
        <f>B218-B217</f>
        <v/>
      </c>
      <c r="F218" s="31">
        <f>C218-C217</f>
        <v/>
      </c>
      <c r="G218" s="32">
        <f>D218-D217</f>
        <v/>
      </c>
      <c r="H218">
        <f>TEXT(A218,"DD/MM HH:MM")</f>
        <v/>
      </c>
    </row>
    <row r="219">
      <c r="A219" s="33" t="n">
        <v>46306.63611111111</v>
      </c>
      <c r="B219" s="15" t="n">
        <v>161</v>
      </c>
      <c r="C219" s="15" t="n">
        <v>464</v>
      </c>
      <c r="D219" s="16" t="n">
        <v>5568</v>
      </c>
      <c r="E219" s="34">
        <f>B219-B218</f>
        <v/>
      </c>
      <c r="F219" s="34">
        <f>C219-C218</f>
        <v/>
      </c>
      <c r="G219" s="35">
        <f>D219-D218</f>
        <v/>
      </c>
      <c r="H219">
        <f>TEXT(A219,"DD/MM HH:MM")</f>
        <v/>
      </c>
    </row>
    <row r="220">
      <c r="A220" s="30" t="n">
        <v>46306.66666666666</v>
      </c>
      <c r="B220" s="11" t="n">
        <v>161</v>
      </c>
      <c r="C220" s="11" t="n">
        <v>464</v>
      </c>
      <c r="D220" s="12" t="n">
        <v>5568</v>
      </c>
      <c r="E220" s="31">
        <f>B220-B219</f>
        <v/>
      </c>
      <c r="F220" s="31">
        <f>C220-C219</f>
        <v/>
      </c>
      <c r="G220" s="32">
        <f>D220-D219</f>
        <v/>
      </c>
      <c r="H220">
        <f>TEXT(A220,"DD/MM HH:MM")</f>
        <v/>
      </c>
    </row>
    <row r="221">
      <c r="A221" s="33" t="n">
        <v>46306.67638888889</v>
      </c>
      <c r="B221" s="15" t="n">
        <v>163</v>
      </c>
      <c r="C221" s="15" t="n">
        <v>471</v>
      </c>
      <c r="D221" s="16" t="n">
        <v>5652</v>
      </c>
      <c r="E221" s="34">
        <f>B221-B220</f>
        <v/>
      </c>
      <c r="F221" s="34">
        <f>C221-C220</f>
        <v/>
      </c>
      <c r="G221" s="35">
        <f>D221-D220</f>
        <v/>
      </c>
      <c r="H221">
        <f>TEXT(A221,"DD/MM HH:MM")</f>
        <v/>
      </c>
    </row>
    <row r="222">
      <c r="A222" s="30" t="n">
        <v>46306.71805555555</v>
      </c>
      <c r="B222" s="11" t="n">
        <v>163</v>
      </c>
      <c r="C222" s="11" t="n">
        <v>471</v>
      </c>
      <c r="D222" s="12" t="n">
        <v>5652</v>
      </c>
      <c r="E222" s="31">
        <f>B222-B221</f>
        <v/>
      </c>
      <c r="F222" s="31">
        <f>C222-C221</f>
        <v/>
      </c>
      <c r="G222" s="32">
        <f>D222-D221</f>
        <v/>
      </c>
      <c r="H222">
        <f>TEXT(A222,"DD/MM HH:MM")</f>
        <v/>
      </c>
    </row>
    <row r="223">
      <c r="A223" s="33" t="n">
        <v>46306.74583333333</v>
      </c>
      <c r="B223" s="15" t="n">
        <v>164</v>
      </c>
      <c r="C223" s="15" t="n">
        <v>476</v>
      </c>
      <c r="D223" s="16" t="n">
        <v>5712</v>
      </c>
      <c r="E223" s="34">
        <f>B223-B222</f>
        <v/>
      </c>
      <c r="F223" s="34">
        <f>C223-C222</f>
        <v/>
      </c>
      <c r="G223" s="35">
        <f>D223-D222</f>
        <v/>
      </c>
      <c r="H223">
        <f>TEXT(A223,"DD/MM HH:MM")</f>
        <v/>
      </c>
    </row>
    <row r="224">
      <c r="A224" s="30" t="n">
        <v>46306.75972222222</v>
      </c>
      <c r="B224" s="11" t="n">
        <v>164</v>
      </c>
      <c r="C224" s="11" t="n">
        <v>476</v>
      </c>
      <c r="D224" s="12" t="n">
        <v>5712</v>
      </c>
      <c r="E224" s="31">
        <f>B224-B223</f>
        <v/>
      </c>
      <c r="F224" s="31">
        <f>C224-C223</f>
        <v/>
      </c>
      <c r="G224" s="32">
        <f>D224-D223</f>
        <v/>
      </c>
      <c r="H224">
        <f>TEXT(A224,"DD/MM HH:MM")</f>
        <v/>
      </c>
    </row>
    <row r="225">
      <c r="A225" s="33" t="n">
        <v>46306.79791666667</v>
      </c>
      <c r="B225" s="15" t="n">
        <v>165</v>
      </c>
      <c r="C225" s="15" t="n">
        <v>481</v>
      </c>
      <c r="D225" s="16" t="n">
        <v>5772</v>
      </c>
      <c r="E225" s="34">
        <f>B225-B224</f>
        <v/>
      </c>
      <c r="F225" s="34">
        <f>C225-C224</f>
        <v/>
      </c>
      <c r="G225" s="35">
        <f>D225-D224</f>
        <v/>
      </c>
      <c r="H225">
        <f>TEXT(A225,"DD/MM HH:MM")</f>
        <v/>
      </c>
    </row>
    <row r="226">
      <c r="A226" s="30" t="n">
        <v>46306.80138888889</v>
      </c>
      <c r="B226" s="11" t="n">
        <v>165</v>
      </c>
      <c r="C226" s="11" t="n">
        <v>481</v>
      </c>
      <c r="D226" s="12" t="n">
        <v>5772</v>
      </c>
      <c r="E226" s="31">
        <f>B226-B225</f>
        <v/>
      </c>
      <c r="F226" s="31">
        <f>C226-C225</f>
        <v/>
      </c>
      <c r="G226" s="32">
        <f>D226-D225</f>
        <v/>
      </c>
      <c r="H226">
        <f>TEXT(A226,"DD/MM HH:MM")</f>
        <v/>
      </c>
    </row>
    <row r="227">
      <c r="A227" s="33" t="n">
        <v>46306.84444444445</v>
      </c>
      <c r="B227" s="15" t="n">
        <v>167</v>
      </c>
      <c r="C227" s="15" t="n">
        <v>488</v>
      </c>
      <c r="D227" s="16" t="n">
        <v>5856</v>
      </c>
      <c r="E227" s="34">
        <f>B227-B226</f>
        <v/>
      </c>
      <c r="F227" s="34">
        <f>C227-C226</f>
        <v/>
      </c>
      <c r="G227" s="35">
        <f>D227-D226</f>
        <v/>
      </c>
      <c r="H227">
        <f>TEXT(A227,"DD/MM HH:MM")</f>
        <v/>
      </c>
    </row>
    <row r="228">
      <c r="A228" s="30" t="n">
        <v>46306.875</v>
      </c>
      <c r="B228" s="11" t="n">
        <v>169</v>
      </c>
      <c r="C228" s="11" t="n">
        <v>494</v>
      </c>
      <c r="D228" s="12" t="n">
        <v>5928</v>
      </c>
      <c r="E228" s="31">
        <f>B228-B227</f>
        <v/>
      </c>
      <c r="F228" s="31">
        <f>C228-C227</f>
        <v/>
      </c>
      <c r="G228" s="32">
        <f>D228-D227</f>
        <v/>
      </c>
      <c r="H228">
        <f>TEXT(A228,"DD/MM HH:MM")</f>
        <v/>
      </c>
    </row>
    <row r="229">
      <c r="A229" s="33" t="n">
        <v>46306.88472222222</v>
      </c>
      <c r="B229" s="15" t="n">
        <v>169</v>
      </c>
      <c r="C229" s="15" t="n">
        <v>494</v>
      </c>
      <c r="D229" s="16" t="n">
        <v>5928</v>
      </c>
      <c r="E229" s="34">
        <f>B229-B228</f>
        <v/>
      </c>
      <c r="F229" s="34">
        <f>C229-C228</f>
        <v/>
      </c>
      <c r="G229" s="35">
        <f>D229-D228</f>
        <v/>
      </c>
      <c r="H229">
        <f>TEXT(A229,"DD/MM HH:MM")</f>
        <v/>
      </c>
    </row>
    <row r="230">
      <c r="A230" s="30" t="n">
        <v>46306.91527777778</v>
      </c>
      <c r="B230" s="11" t="n">
        <v>171</v>
      </c>
      <c r="C230" s="11" t="n">
        <v>499</v>
      </c>
      <c r="D230" s="12" t="n">
        <v>5988</v>
      </c>
      <c r="E230" s="31">
        <f>B230-B229</f>
        <v/>
      </c>
      <c r="F230" s="31">
        <f>C230-C229</f>
        <v/>
      </c>
      <c r="G230" s="32">
        <f>D230-D229</f>
        <v/>
      </c>
      <c r="H230">
        <f>TEXT(A230,"DD/MM HH:MM")</f>
        <v/>
      </c>
    </row>
    <row r="231">
      <c r="A231" s="33" t="n">
        <v>46306.92638888889</v>
      </c>
      <c r="B231" s="15" t="n">
        <v>171</v>
      </c>
      <c r="C231" s="15" t="n">
        <v>499</v>
      </c>
      <c r="D231" s="16" t="n">
        <v>5988</v>
      </c>
      <c r="E231" s="34">
        <f>B231-B230</f>
        <v/>
      </c>
      <c r="F231" s="34">
        <f>C231-C230</f>
        <v/>
      </c>
      <c r="G231" s="35">
        <f>D231-D230</f>
        <v/>
      </c>
      <c r="H231">
        <f>TEXT(A231,"DD/MM HH:MM")</f>
        <v/>
      </c>
    </row>
    <row r="232">
      <c r="A232" s="30" t="n">
        <v>46306.9375</v>
      </c>
      <c r="B232" s="11" t="n">
        <v>171</v>
      </c>
      <c r="C232" s="11" t="n">
        <v>499</v>
      </c>
      <c r="D232" s="12" t="n">
        <v>5988</v>
      </c>
      <c r="E232" s="31">
        <f>B232-B231</f>
        <v/>
      </c>
      <c r="F232" s="31">
        <f>C232-C231</f>
        <v/>
      </c>
      <c r="G232" s="32">
        <f>D232-D231</f>
        <v/>
      </c>
      <c r="H232">
        <f>TEXT(A232,"DD/MM HH:MM")</f>
        <v/>
      </c>
    </row>
    <row r="233">
      <c r="A233" s="33" t="n">
        <v>46306.96805555555</v>
      </c>
      <c r="B233" s="15" t="n">
        <v>171</v>
      </c>
      <c r="C233" s="15" t="n">
        <v>499</v>
      </c>
      <c r="D233" s="16" t="n">
        <v>5988</v>
      </c>
      <c r="E233" s="34">
        <f>B233-B232</f>
        <v/>
      </c>
      <c r="F233" s="34">
        <f>C233-C232</f>
        <v/>
      </c>
      <c r="G233" s="35">
        <f>D233-D232</f>
        <v/>
      </c>
      <c r="H233">
        <f>TEXT(A233,"DD/MM HH:MM")</f>
        <v/>
      </c>
    </row>
    <row r="234">
      <c r="A234" s="30" t="n">
        <v>46307.01041666666</v>
      </c>
      <c r="B234" s="11" t="n">
        <v>173</v>
      </c>
      <c r="C234" s="11" t="n">
        <v>507</v>
      </c>
      <c r="D234" s="12" t="n">
        <v>6084</v>
      </c>
      <c r="E234" s="31">
        <f>B234-B233</f>
        <v/>
      </c>
      <c r="F234" s="31">
        <f>C234-C233</f>
        <v/>
      </c>
      <c r="G234" s="32">
        <f>D234-D233</f>
        <v/>
      </c>
      <c r="H234">
        <f>TEXT(A234,"DD/MM HH:MM")</f>
        <v/>
      </c>
    </row>
    <row r="235">
      <c r="A235" s="33" t="n">
        <v>46307.05138888889</v>
      </c>
      <c r="B235" s="15" t="n">
        <v>174</v>
      </c>
      <c r="C235" s="15" t="n">
        <v>509</v>
      </c>
      <c r="D235" s="16" t="n">
        <v>6108</v>
      </c>
      <c r="E235" s="34">
        <f>B235-B234</f>
        <v/>
      </c>
      <c r="F235" s="34">
        <f>C235-C234</f>
        <v/>
      </c>
      <c r="G235" s="35">
        <f>D235-D234</f>
        <v/>
      </c>
      <c r="H235">
        <f>TEXT(A235,"DD/MM HH:MM")</f>
        <v/>
      </c>
    </row>
    <row r="236">
      <c r="A236" s="30" t="n">
        <v>46307.10069444445</v>
      </c>
      <c r="B236" s="11" t="n">
        <v>174</v>
      </c>
      <c r="C236" s="11" t="n">
        <v>509</v>
      </c>
      <c r="D236" s="12" t="n">
        <v>6108</v>
      </c>
      <c r="E236" s="31">
        <f>B236-B235</f>
        <v/>
      </c>
      <c r="F236" s="31">
        <f>C236-C235</f>
        <v/>
      </c>
      <c r="G236" s="32">
        <f>D236-D235</f>
        <v/>
      </c>
      <c r="H236">
        <f>TEXT(A236,"DD/MM HH:MM")</f>
        <v/>
      </c>
    </row>
    <row r="237">
      <c r="A237" s="33" t="n">
        <v>46307.13888888889</v>
      </c>
      <c r="B237" s="15" t="n">
        <v>174</v>
      </c>
      <c r="C237" s="15" t="n">
        <v>509</v>
      </c>
      <c r="D237" s="16" t="n">
        <v>6108</v>
      </c>
      <c r="E237" s="34">
        <f>B237-B236</f>
        <v/>
      </c>
      <c r="F237" s="34">
        <f>C237-C236</f>
        <v/>
      </c>
      <c r="G237" s="35">
        <f>D237-D236</f>
        <v/>
      </c>
      <c r="H237">
        <f>TEXT(A237,"DD/MM HH:MM")</f>
        <v/>
      </c>
    </row>
    <row r="238">
      <c r="A238" s="30" t="n">
        <v>46307.17847222222</v>
      </c>
      <c r="B238" s="11" t="n">
        <v>174</v>
      </c>
      <c r="C238" s="11" t="n">
        <v>509</v>
      </c>
      <c r="D238" s="12" t="n">
        <v>6108</v>
      </c>
      <c r="E238" s="31">
        <f>B238-B237</f>
        <v/>
      </c>
      <c r="F238" s="31">
        <f>C238-C237</f>
        <v/>
      </c>
      <c r="G238" s="32">
        <f>D238-D237</f>
        <v/>
      </c>
      <c r="H238">
        <f>TEXT(A238,"DD/MM HH:MM")</f>
        <v/>
      </c>
    </row>
    <row r="239">
      <c r="A239" s="33" t="n">
        <v>46307.22083333333</v>
      </c>
      <c r="B239" s="15" t="n">
        <v>174</v>
      </c>
      <c r="C239" s="15" t="n">
        <v>509</v>
      </c>
      <c r="D239" s="16" t="n">
        <v>6108</v>
      </c>
      <c r="E239" s="34">
        <f>B239-B238</f>
        <v/>
      </c>
      <c r="F239" s="34">
        <f>C239-C238</f>
        <v/>
      </c>
      <c r="G239" s="35">
        <f>D239-D238</f>
        <v/>
      </c>
      <c r="H239">
        <f>TEXT(A239,"DD/MM HH:MM")</f>
        <v/>
      </c>
    </row>
    <row r="240">
      <c r="A240" s="30" t="n">
        <v>46307.2625</v>
      </c>
      <c r="B240" s="11" t="n">
        <v>174</v>
      </c>
      <c r="C240" s="11" t="n">
        <v>509</v>
      </c>
      <c r="D240" s="12" t="n">
        <v>6108</v>
      </c>
      <c r="E240" s="31">
        <f>B240-B239</f>
        <v/>
      </c>
      <c r="F240" s="31">
        <f>C240-C239</f>
        <v/>
      </c>
      <c r="G240" s="32">
        <f>D240-D239</f>
        <v/>
      </c>
      <c r="H240">
        <f>TEXT(A240,"DD/MM HH:MM")</f>
        <v/>
      </c>
    </row>
    <row r="241">
      <c r="A241" s="33" t="n">
        <v>46307.30347222222</v>
      </c>
      <c r="B241" s="15" t="n">
        <v>174</v>
      </c>
      <c r="C241" s="15" t="n">
        <v>509</v>
      </c>
      <c r="D241" s="16" t="n">
        <v>6108</v>
      </c>
      <c r="E241" s="34">
        <f>B241-B240</f>
        <v/>
      </c>
      <c r="F241" s="34">
        <f>C241-C240</f>
        <v/>
      </c>
      <c r="G241" s="35">
        <f>D241-D240</f>
        <v/>
      </c>
      <c r="H241">
        <f>TEXT(A241,"DD/MM HH:MM")</f>
        <v/>
      </c>
    </row>
    <row r="242">
      <c r="A242" s="30" t="n">
        <v>46307.35</v>
      </c>
      <c r="B242" s="11" t="n">
        <v>174</v>
      </c>
      <c r="C242" s="11" t="n">
        <v>509</v>
      </c>
      <c r="D242" s="12" t="n">
        <v>6108</v>
      </c>
      <c r="E242" s="31">
        <f>B242-B241</f>
        <v/>
      </c>
      <c r="F242" s="31">
        <f>C242-C241</f>
        <v/>
      </c>
      <c r="G242" s="32">
        <f>D242-D241</f>
        <v/>
      </c>
      <c r="H242">
        <f>TEXT(A242,"DD/MM HH:MM")</f>
        <v/>
      </c>
    </row>
    <row r="243">
      <c r="A243" s="33" t="n">
        <v>46307.39027777778</v>
      </c>
      <c r="B243" s="15" t="n">
        <v>174</v>
      </c>
      <c r="C243" s="15" t="n">
        <v>509</v>
      </c>
      <c r="D243" s="16" t="n">
        <v>6108</v>
      </c>
      <c r="E243" s="34">
        <f>B243-B242</f>
        <v/>
      </c>
      <c r="F243" s="34">
        <f>C243-C242</f>
        <v/>
      </c>
      <c r="G243" s="35">
        <f>D243-D242</f>
        <v/>
      </c>
      <c r="H243">
        <f>TEXT(A243,"DD/MM HH:MM")</f>
        <v/>
      </c>
    </row>
    <row r="244">
      <c r="A244" s="30" t="n">
        <v>46307.43055555555</v>
      </c>
      <c r="B244" s="11" t="n">
        <v>174</v>
      </c>
      <c r="C244" s="11" t="n">
        <v>509</v>
      </c>
      <c r="D244" s="12" t="n">
        <v>6108</v>
      </c>
      <c r="E244" s="31">
        <f>B244-B243</f>
        <v/>
      </c>
      <c r="F244" s="31">
        <f>C244-C243</f>
        <v/>
      </c>
      <c r="G244" s="32">
        <f>D244-D243</f>
        <v/>
      </c>
      <c r="H244">
        <f>TEXT(A244,"DD/MM HH:MM")</f>
        <v/>
      </c>
    </row>
    <row r="245">
      <c r="A245" s="33" t="n">
        <v>46307.47152777778</v>
      </c>
      <c r="B245" s="15" t="n">
        <v>174</v>
      </c>
      <c r="C245" s="15" t="n">
        <v>509</v>
      </c>
      <c r="D245" s="16" t="n">
        <v>6108</v>
      </c>
      <c r="E245" s="34">
        <f>B245-B244</f>
        <v/>
      </c>
      <c r="F245" s="34">
        <f>C245-C244</f>
        <v/>
      </c>
      <c r="G245" s="35">
        <f>D245-D244</f>
        <v/>
      </c>
      <c r="H245">
        <f>TEXT(A245,"DD/MM HH:MM")</f>
        <v/>
      </c>
    </row>
    <row r="246">
      <c r="A246" s="30" t="n">
        <v>46307.51805555556</v>
      </c>
      <c r="B246" s="11" t="n">
        <v>175</v>
      </c>
      <c r="C246" s="11" t="n">
        <v>511</v>
      </c>
      <c r="D246" s="12" t="n">
        <v>6132</v>
      </c>
      <c r="E246" s="31">
        <f>B246-B245</f>
        <v/>
      </c>
      <c r="F246" s="31">
        <f>C246-C245</f>
        <v/>
      </c>
      <c r="G246" s="32">
        <f>D246-D245</f>
        <v/>
      </c>
      <c r="H246">
        <f>TEXT(A246,"DD/MM HH:MM")</f>
        <v/>
      </c>
    </row>
    <row r="247">
      <c r="A247" s="33" t="n">
        <v>46307.55416666667</v>
      </c>
      <c r="B247" s="15" t="n">
        <v>176</v>
      </c>
      <c r="C247" s="15" t="n">
        <v>515</v>
      </c>
      <c r="D247" s="16" t="n">
        <v>6180</v>
      </c>
      <c r="E247" s="34">
        <f>B247-B246</f>
        <v/>
      </c>
      <c r="F247" s="34">
        <f>C247-C246</f>
        <v/>
      </c>
      <c r="G247" s="35">
        <f>D247-D246</f>
        <v/>
      </c>
      <c r="H247">
        <f>TEXT(A247,"DD/MM HH:MM")</f>
        <v/>
      </c>
    </row>
    <row r="248">
      <c r="A248" s="30" t="n">
        <v>46307.59652777778</v>
      </c>
      <c r="B248" s="11" t="n">
        <v>175</v>
      </c>
      <c r="C248" s="11" t="n">
        <v>511</v>
      </c>
      <c r="D248" s="12" t="n">
        <v>6132</v>
      </c>
      <c r="E248" s="31">
        <f>B248-B247</f>
        <v/>
      </c>
      <c r="F248" s="31">
        <f>C248-C247</f>
        <v/>
      </c>
      <c r="G248" s="32">
        <f>D248-D247</f>
        <v/>
      </c>
      <c r="H248">
        <f>TEXT(A248,"DD/MM HH:MM")</f>
        <v/>
      </c>
    </row>
    <row r="249">
      <c r="A249" s="33" t="n">
        <v>46307.61111111111</v>
      </c>
      <c r="B249" s="15" t="n">
        <v>178</v>
      </c>
      <c r="C249" s="15" t="n">
        <v>519</v>
      </c>
      <c r="D249" s="16" t="n">
        <v>6228</v>
      </c>
      <c r="E249" s="34">
        <f>B249-B248</f>
        <v/>
      </c>
      <c r="F249" s="34">
        <f>C249-C248</f>
        <v/>
      </c>
      <c r="G249" s="35">
        <f>D249-D248</f>
        <v/>
      </c>
      <c r="H249">
        <f>TEXT(A249,"DD/MM HH:MM")</f>
        <v/>
      </c>
    </row>
    <row r="250">
      <c r="A250" s="30" t="n">
        <v>46307.64791666667</v>
      </c>
      <c r="B250" s="11" t="n">
        <v>180</v>
      </c>
      <c r="C250" s="11" t="n">
        <v>525</v>
      </c>
      <c r="D250" s="12" t="n">
        <v>6300</v>
      </c>
      <c r="E250" s="31">
        <f>B250-B249</f>
        <v/>
      </c>
      <c r="F250" s="31">
        <f>C250-C249</f>
        <v/>
      </c>
      <c r="G250" s="32">
        <f>D250-D249</f>
        <v/>
      </c>
      <c r="H250">
        <f>TEXT(A250,"DD/MM HH:MM")</f>
        <v/>
      </c>
    </row>
    <row r="251">
      <c r="A251" s="33" t="n">
        <v>46307.67708333334</v>
      </c>
      <c r="B251" s="15" t="n">
        <v>182</v>
      </c>
      <c r="C251" s="15" t="n">
        <v>529</v>
      </c>
      <c r="D251" s="16" t="n">
        <v>6348</v>
      </c>
      <c r="E251" s="34">
        <f>B251-B250</f>
        <v/>
      </c>
      <c r="F251" s="34">
        <f>C251-C250</f>
        <v/>
      </c>
      <c r="G251" s="35">
        <f>D251-D250</f>
        <v/>
      </c>
      <c r="H251">
        <f>TEXT(A251,"DD/MM HH:MM")</f>
        <v/>
      </c>
    </row>
    <row r="252">
      <c r="A252" s="30" t="n">
        <v>46307.68194444444</v>
      </c>
      <c r="B252" s="11" t="n">
        <v>182</v>
      </c>
      <c r="C252" s="11" t="n">
        <v>529</v>
      </c>
      <c r="D252" s="12" t="n">
        <v>6348</v>
      </c>
      <c r="E252" s="31">
        <f>B252-B251</f>
        <v/>
      </c>
      <c r="F252" s="31">
        <f>C252-C251</f>
        <v/>
      </c>
      <c r="G252" s="32">
        <f>D252-D251</f>
        <v/>
      </c>
      <c r="H252">
        <f>TEXT(A252,"DD/MM HH:MM")</f>
        <v/>
      </c>
    </row>
    <row r="253">
      <c r="A253" s="33" t="n">
        <v>46307.71944444445</v>
      </c>
      <c r="B253" s="15" t="n">
        <v>182</v>
      </c>
      <c r="C253" s="15" t="n">
        <v>529</v>
      </c>
      <c r="D253" s="16" t="n">
        <v>6348</v>
      </c>
      <c r="E253" s="34">
        <f>B253-B252</f>
        <v/>
      </c>
      <c r="F253" s="34">
        <f>C253-C252</f>
        <v/>
      </c>
      <c r="G253" s="35">
        <f>D253-D252</f>
        <v/>
      </c>
      <c r="H253">
        <f>TEXT(A253,"DD/MM HH:MM")</f>
        <v/>
      </c>
    </row>
    <row r="254">
      <c r="A254" s="30" t="n">
        <v>46307.72152777778</v>
      </c>
      <c r="B254" s="11" t="n">
        <v>182</v>
      </c>
      <c r="C254" s="11" t="n">
        <v>529</v>
      </c>
      <c r="D254" s="12" t="n">
        <v>6348</v>
      </c>
      <c r="E254" s="31">
        <f>B254-B253</f>
        <v/>
      </c>
      <c r="F254" s="31">
        <f>C254-C253</f>
        <v/>
      </c>
      <c r="G254" s="32">
        <f>D254-D253</f>
        <v/>
      </c>
      <c r="H254">
        <f>TEXT(A254,"DD/MM HH:MM")</f>
        <v/>
      </c>
    </row>
    <row r="255">
      <c r="A255" s="33" t="n">
        <v>46307.76180555556</v>
      </c>
      <c r="B255" s="15" t="n">
        <v>182</v>
      </c>
      <c r="C255" s="15" t="n">
        <v>529</v>
      </c>
      <c r="D255" s="16" t="n">
        <v>6348</v>
      </c>
      <c r="E255" s="34">
        <f>B255-B254</f>
        <v/>
      </c>
      <c r="F255" s="34">
        <f>C255-C254</f>
        <v/>
      </c>
      <c r="G255" s="35">
        <f>D255-D254</f>
        <v/>
      </c>
      <c r="H255">
        <f>TEXT(A255,"DD/MM HH:MM")</f>
        <v/>
      </c>
    </row>
    <row r="256">
      <c r="A256" s="30" t="n">
        <v>46307.77430555555</v>
      </c>
      <c r="B256" s="11" t="n">
        <v>182</v>
      </c>
      <c r="C256" s="11" t="n">
        <v>529</v>
      </c>
      <c r="D256" s="12" t="n">
        <v>6348</v>
      </c>
      <c r="E256" s="31">
        <f>B256-B255</f>
        <v/>
      </c>
      <c r="F256" s="31">
        <f>C256-C255</f>
        <v/>
      </c>
      <c r="G256" s="32">
        <f>D256-D255</f>
        <v/>
      </c>
      <c r="H256">
        <f>TEXT(A256,"DD/MM HH:MM")</f>
        <v/>
      </c>
    </row>
    <row r="257">
      <c r="A257" s="33" t="n">
        <v>46307.80277777778</v>
      </c>
      <c r="B257" s="15" t="n">
        <v>183</v>
      </c>
      <c r="C257" s="15" t="n">
        <v>531</v>
      </c>
      <c r="D257" s="16" t="n">
        <v>6372</v>
      </c>
      <c r="E257" s="34">
        <f>B257-B256</f>
        <v/>
      </c>
      <c r="F257" s="34">
        <f>C257-C256</f>
        <v/>
      </c>
      <c r="G257" s="35">
        <f>D257-D256</f>
        <v/>
      </c>
      <c r="H257">
        <f>TEXT(A257,"DD/MM HH:MM")</f>
        <v/>
      </c>
    </row>
    <row r="258">
      <c r="A258" s="30" t="n">
        <v>46307.84513888889</v>
      </c>
      <c r="B258" s="11" t="n">
        <v>188</v>
      </c>
      <c r="C258" s="11" t="n">
        <v>545</v>
      </c>
      <c r="D258" s="12" t="n">
        <v>6540</v>
      </c>
      <c r="E258" s="31">
        <f>B258-B257</f>
        <v/>
      </c>
      <c r="F258" s="31">
        <f>C258-C257</f>
        <v/>
      </c>
      <c r="G258" s="32">
        <f>D258-D257</f>
        <v/>
      </c>
      <c r="H258">
        <f>TEXT(A258,"DD/MM HH:MM")</f>
        <v/>
      </c>
    </row>
    <row r="259">
      <c r="A259" s="33" t="n">
        <v>46307.88611111111</v>
      </c>
      <c r="B259" s="15" t="n">
        <v>196</v>
      </c>
      <c r="C259" s="15" t="n">
        <v>575</v>
      </c>
      <c r="D259" s="16" t="n">
        <v>6900</v>
      </c>
      <c r="E259" s="34">
        <f>B259-B258</f>
        <v/>
      </c>
      <c r="F259" s="34">
        <f>C259-C258</f>
        <v/>
      </c>
      <c r="G259" s="35">
        <f>D259-D258</f>
        <v/>
      </c>
      <c r="H259">
        <f>TEXT(A259,"DD/MM HH:MM")</f>
        <v/>
      </c>
    </row>
    <row r="260">
      <c r="A260" s="30" t="n">
        <v>46307.92777777778</v>
      </c>
      <c r="B260" s="11" t="n">
        <v>200</v>
      </c>
      <c r="C260" s="11" t="n">
        <v>583</v>
      </c>
      <c r="D260" s="12" t="n">
        <v>6996</v>
      </c>
      <c r="E260" s="31">
        <f>B260-B259</f>
        <v/>
      </c>
      <c r="F260" s="31">
        <f>C260-C259</f>
        <v/>
      </c>
      <c r="G260" s="32">
        <f>D260-D259</f>
        <v/>
      </c>
      <c r="H260">
        <f>TEXT(A260,"DD/MM HH:MM")</f>
        <v/>
      </c>
    </row>
    <row r="261">
      <c r="A261" s="33" t="n">
        <v>46307.96875</v>
      </c>
      <c r="B261" s="15" t="n">
        <v>200</v>
      </c>
      <c r="C261" s="15" t="n">
        <v>583</v>
      </c>
      <c r="D261" s="16" t="n">
        <v>6996</v>
      </c>
      <c r="E261" s="34">
        <f>B261-B260</f>
        <v/>
      </c>
      <c r="F261" s="34">
        <f>C261-C260</f>
        <v/>
      </c>
      <c r="G261" s="35">
        <f>D261-D260</f>
        <v/>
      </c>
      <c r="H261">
        <f>TEXT(A261,"DD/MM HH:MM")</f>
        <v/>
      </c>
    </row>
    <row r="262">
      <c r="A262" s="30" t="n">
        <v>46308.00972222222</v>
      </c>
      <c r="B262" s="11" t="n">
        <v>200</v>
      </c>
      <c r="C262" s="11" t="n">
        <v>583</v>
      </c>
      <c r="D262" s="12" t="n">
        <v>6996</v>
      </c>
      <c r="E262" s="31">
        <f>B262-B261</f>
        <v/>
      </c>
      <c r="F262" s="31">
        <f>C262-C261</f>
        <v/>
      </c>
      <c r="G262" s="32">
        <f>D262-D261</f>
        <v/>
      </c>
      <c r="H262">
        <f>TEXT(A262,"DD/MM HH:MM")</f>
        <v/>
      </c>
    </row>
    <row r="263">
      <c r="A263" s="33" t="n">
        <v>46308.05486111111</v>
      </c>
      <c r="B263" s="15" t="n">
        <v>200</v>
      </c>
      <c r="C263" s="15" t="n">
        <v>583</v>
      </c>
      <c r="D263" s="16" t="n">
        <v>6996</v>
      </c>
      <c r="E263" s="34">
        <f>B263-B262</f>
        <v/>
      </c>
      <c r="F263" s="34">
        <f>C263-C262</f>
        <v/>
      </c>
      <c r="G263" s="35">
        <f>D263-D262</f>
        <v/>
      </c>
      <c r="H263">
        <f>TEXT(A263,"DD/MM HH:MM")</f>
        <v/>
      </c>
    </row>
    <row r="264">
      <c r="A264" s="30" t="n">
        <v>46308.10138888889</v>
      </c>
      <c r="B264" s="11" t="n">
        <v>200</v>
      </c>
      <c r="C264" s="11" t="n">
        <v>583</v>
      </c>
      <c r="D264" s="12" t="n">
        <v>6996</v>
      </c>
      <c r="E264" s="31">
        <f>B264-B263</f>
        <v/>
      </c>
      <c r="F264" s="31">
        <f>C264-C263</f>
        <v/>
      </c>
      <c r="G264" s="32">
        <f>D264-D263</f>
        <v/>
      </c>
      <c r="H264">
        <f>TEXT(A264,"DD/MM HH:MM")</f>
        <v/>
      </c>
    </row>
    <row r="265">
      <c r="A265" s="33" t="n">
        <v>46308.13819444444</v>
      </c>
      <c r="B265" s="15" t="n">
        <v>200</v>
      </c>
      <c r="C265" s="15" t="n">
        <v>583</v>
      </c>
      <c r="D265" s="16" t="n">
        <v>6996</v>
      </c>
      <c r="E265" s="34">
        <f>B265-B264</f>
        <v/>
      </c>
      <c r="F265" s="34">
        <f>C265-C264</f>
        <v/>
      </c>
      <c r="G265" s="35">
        <f>D265-D264</f>
        <v/>
      </c>
      <c r="H265">
        <f>TEXT(A265,"DD/MM HH:MM")</f>
        <v/>
      </c>
    </row>
    <row r="266">
      <c r="A266" s="30" t="n">
        <v>46308.17847222222</v>
      </c>
      <c r="B266" s="11" t="n">
        <v>200</v>
      </c>
      <c r="C266" s="11" t="n">
        <v>583</v>
      </c>
      <c r="D266" s="12" t="n">
        <v>6996</v>
      </c>
      <c r="E266" s="31">
        <f>B266-B265</f>
        <v/>
      </c>
      <c r="F266" s="31">
        <f>C266-C265</f>
        <v/>
      </c>
      <c r="G266" s="32">
        <f>D266-D265</f>
        <v/>
      </c>
      <c r="H266">
        <f>TEXT(A266,"DD/MM HH:MM")</f>
        <v/>
      </c>
    </row>
  </sheetData>
  <autoFilter ref="A1:G2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21" t="inlineStr">
        <is>
          <t>Venduto dopo il</t>
        </is>
      </c>
      <c r="B1" s="21" t="inlineStr">
        <is>
          <t>Venduto entro il</t>
        </is>
      </c>
      <c r="C1" s="21" t="inlineStr">
        <is>
          <t>Data spettacolo</t>
        </is>
      </c>
      <c r="D1" s="21" t="inlineStr">
        <is>
          <t>Turno</t>
        </is>
      </c>
      <c r="E1" s="21" t="inlineStr">
        <is>
          <t>Auto</t>
        </is>
      </c>
      <c r="F1" s="21" t="inlineStr">
        <is>
          <t>Auto da 2</t>
        </is>
      </c>
      <c r="G1" s="21" t="inlineStr">
        <is>
          <t>Auto da 3</t>
        </is>
      </c>
      <c r="H1" s="21" t="inlineStr">
        <is>
          <t>Auto da 4</t>
        </is>
      </c>
      <c r="I1" s="21" t="inlineStr">
        <is>
          <t>Auto da 5</t>
        </is>
      </c>
      <c r="J1" s="21" t="inlineStr">
        <is>
          <t>Persone</t>
        </is>
      </c>
      <c r="K1" s="21" t="inlineStr">
        <is>
          <t>Incasso</t>
        </is>
      </c>
    </row>
    <row r="2">
      <c r="A2" s="30" t="inlineStr">
        <is>
          <t>prima della 1ª rilevazione</t>
        </is>
      </c>
      <c r="B2" s="30" t="n">
        <v>46300.66319444445</v>
      </c>
      <c r="C2" s="9" t="n">
        <v>46318</v>
      </c>
      <c r="D2" s="10" t="n">
        <v>0.84375</v>
      </c>
      <c r="E2" s="36" t="n">
        <v>1</v>
      </c>
      <c r="F2" s="36" t="n">
        <v>1</v>
      </c>
      <c r="G2" s="36" t="n">
        <v>0</v>
      </c>
      <c r="H2" s="36" t="n">
        <v>0</v>
      </c>
      <c r="I2" s="36" t="n">
        <v>0</v>
      </c>
      <c r="J2" s="36" t="n">
        <v>2</v>
      </c>
      <c r="K2" s="12" t="n">
        <v>24</v>
      </c>
    </row>
    <row r="3">
      <c r="A3" s="33" t="inlineStr">
        <is>
          <t>prima della 1ª rilevazione</t>
        </is>
      </c>
      <c r="B3" s="33" t="n">
        <v>46300.66319444445</v>
      </c>
      <c r="C3" s="13" t="n">
        <v>46318</v>
      </c>
      <c r="D3" s="14" t="n">
        <v>0.96875</v>
      </c>
      <c r="E3" s="37" t="n">
        <v>1</v>
      </c>
      <c r="F3" s="37" t="n">
        <v>1</v>
      </c>
      <c r="G3" s="37" t="n">
        <v>0</v>
      </c>
      <c r="H3" s="37" t="n">
        <v>0</v>
      </c>
      <c r="I3" s="37" t="n">
        <v>0</v>
      </c>
      <c r="J3" s="37" t="n">
        <v>2</v>
      </c>
      <c r="K3" s="16" t="n">
        <v>24</v>
      </c>
    </row>
    <row r="4">
      <c r="A4" s="30" t="inlineStr">
        <is>
          <t>prima della 1ª rilevazione</t>
        </is>
      </c>
      <c r="B4" s="30" t="n">
        <v>46300.66319444445</v>
      </c>
      <c r="C4" s="9" t="n">
        <v>46320</v>
      </c>
      <c r="D4" s="10" t="n">
        <v>0.9270833333333334</v>
      </c>
      <c r="E4" s="36" t="n">
        <v>1</v>
      </c>
      <c r="F4" s="36" t="n">
        <v>1</v>
      </c>
      <c r="G4" s="36" t="n">
        <v>0</v>
      </c>
      <c r="H4" s="36" t="n">
        <v>0</v>
      </c>
      <c r="I4" s="36" t="n">
        <v>0</v>
      </c>
      <c r="J4" s="36" t="n">
        <v>2</v>
      </c>
      <c r="K4" s="12" t="n">
        <v>24</v>
      </c>
    </row>
    <row r="5">
      <c r="A5" s="33" t="inlineStr">
        <is>
          <t>prima della 1ª rilevazione</t>
        </is>
      </c>
      <c r="B5" s="33" t="n">
        <v>46300.66319444445</v>
      </c>
      <c r="C5" s="13" t="n">
        <v>46325</v>
      </c>
      <c r="D5" s="14" t="n">
        <v>0.96875</v>
      </c>
      <c r="E5" s="37" t="n">
        <v>1</v>
      </c>
      <c r="F5" s="37" t="n">
        <v>0</v>
      </c>
      <c r="G5" s="37" t="n">
        <v>0</v>
      </c>
      <c r="H5" s="37" t="n">
        <v>1</v>
      </c>
      <c r="I5" s="37" t="n">
        <v>0</v>
      </c>
      <c r="J5" s="37" t="n">
        <v>4</v>
      </c>
      <c r="K5" s="16" t="n">
        <v>48</v>
      </c>
    </row>
    <row r="6">
      <c r="A6" s="30" t="n">
        <v>46300.66319444445</v>
      </c>
      <c r="B6" s="30" t="n">
        <v>46300.73819444444</v>
      </c>
      <c r="C6" s="9" t="n">
        <v>46318</v>
      </c>
      <c r="D6" s="10" t="n">
        <v>0.9270833333333334</v>
      </c>
      <c r="E6" s="36" t="n">
        <v>1</v>
      </c>
      <c r="F6" s="36" t="n">
        <v>1</v>
      </c>
      <c r="G6" s="36" t="n">
        <v>0</v>
      </c>
      <c r="H6" s="36" t="n">
        <v>0</v>
      </c>
      <c r="I6" s="36" t="n">
        <v>0</v>
      </c>
      <c r="J6" s="36" t="n">
        <v>2</v>
      </c>
      <c r="K6" s="12" t="n">
        <v>24</v>
      </c>
    </row>
    <row r="7">
      <c r="A7" s="33" t="n">
        <v>46300.66319444445</v>
      </c>
      <c r="B7" s="33" t="n">
        <v>46300.73819444444</v>
      </c>
      <c r="C7" s="13" t="n">
        <v>46318</v>
      </c>
      <c r="D7" s="14" t="n">
        <v>0.96875</v>
      </c>
      <c r="E7" s="37" t="n">
        <v>1</v>
      </c>
      <c r="F7" s="37" t="n">
        <v>1</v>
      </c>
      <c r="G7" s="37" t="n">
        <v>0</v>
      </c>
      <c r="H7" s="37" t="n">
        <v>0</v>
      </c>
      <c r="I7" s="37" t="n">
        <v>0</v>
      </c>
      <c r="J7" s="37" t="n">
        <v>2</v>
      </c>
      <c r="K7" s="16" t="n">
        <v>24</v>
      </c>
    </row>
    <row r="8">
      <c r="A8" s="30" t="n">
        <v>46300.66319444445</v>
      </c>
      <c r="B8" s="30" t="n">
        <v>46300.73819444444</v>
      </c>
      <c r="C8" s="9" t="n">
        <v>46320</v>
      </c>
      <c r="D8" s="10" t="n">
        <v>0.8854166666666666</v>
      </c>
      <c r="E8" s="36" t="n">
        <v>1</v>
      </c>
      <c r="F8" s="36" t="n">
        <v>1</v>
      </c>
      <c r="G8" s="36" t="n">
        <v>0</v>
      </c>
      <c r="H8" s="36" t="n">
        <v>0</v>
      </c>
      <c r="I8" s="36" t="n">
        <v>0</v>
      </c>
      <c r="J8" s="36" t="n">
        <v>2</v>
      </c>
      <c r="K8" s="12" t="n">
        <v>24</v>
      </c>
    </row>
    <row r="9">
      <c r="A9" s="33" t="n">
        <v>46300.66319444445</v>
      </c>
      <c r="B9" s="33" t="n">
        <v>46300.73819444444</v>
      </c>
      <c r="C9" s="13" t="n">
        <v>46324</v>
      </c>
      <c r="D9" s="14" t="n">
        <v>0.9270833333333334</v>
      </c>
      <c r="E9" s="37" t="n">
        <v>1</v>
      </c>
      <c r="F9" s="37" t="n">
        <v>0</v>
      </c>
      <c r="G9" s="37" t="n">
        <v>0</v>
      </c>
      <c r="H9" s="37" t="n">
        <v>1</v>
      </c>
      <c r="I9" s="37" t="n">
        <v>0</v>
      </c>
      <c r="J9" s="37" t="n">
        <v>4</v>
      </c>
      <c r="K9" s="16" t="n">
        <v>48</v>
      </c>
    </row>
    <row r="10">
      <c r="A10" s="30" t="n">
        <v>46300.66319444445</v>
      </c>
      <c r="B10" s="30" t="n">
        <v>46300.73819444444</v>
      </c>
      <c r="C10" s="9" t="n">
        <v>46324</v>
      </c>
      <c r="D10" s="10" t="n">
        <v>0.9993055555555556</v>
      </c>
      <c r="E10" s="36" t="n">
        <v>1</v>
      </c>
      <c r="F10" s="36" t="n">
        <v>1</v>
      </c>
      <c r="G10" s="36" t="n">
        <v>0</v>
      </c>
      <c r="H10" s="36" t="n">
        <v>0</v>
      </c>
      <c r="I10" s="36" t="n">
        <v>0</v>
      </c>
      <c r="J10" s="36" t="n">
        <v>2</v>
      </c>
      <c r="K10" s="12" t="n">
        <v>24</v>
      </c>
    </row>
    <row r="11">
      <c r="A11" s="33" t="n">
        <v>46300.66319444445</v>
      </c>
      <c r="B11" s="33" t="n">
        <v>46300.73819444444</v>
      </c>
      <c r="C11" s="13" t="n">
        <v>46325</v>
      </c>
      <c r="D11" s="14" t="n">
        <v>0.96875</v>
      </c>
      <c r="E11" s="37" t="n">
        <v>1</v>
      </c>
      <c r="F11" s="37" t="n">
        <v>0</v>
      </c>
      <c r="G11" s="37" t="n">
        <v>0</v>
      </c>
      <c r="H11" s="37" t="n">
        <v>1</v>
      </c>
      <c r="I11" s="37" t="n">
        <v>0</v>
      </c>
      <c r="J11" s="37" t="n">
        <v>4</v>
      </c>
      <c r="K11" s="16" t="n">
        <v>48</v>
      </c>
    </row>
    <row r="12">
      <c r="A12" s="30" t="n">
        <v>46300.76388888889</v>
      </c>
      <c r="B12" s="30" t="n">
        <v>46300.76527777778</v>
      </c>
      <c r="C12" s="9" t="n">
        <v>46318</v>
      </c>
      <c r="D12" s="10" t="n">
        <v>0.8854166666666666</v>
      </c>
      <c r="E12" s="36" t="n">
        <v>1</v>
      </c>
      <c r="F12" s="36" t="n">
        <v>0</v>
      </c>
      <c r="G12" s="36" t="n">
        <v>0</v>
      </c>
      <c r="H12" s="36" t="n">
        <v>1</v>
      </c>
      <c r="I12" s="36" t="n">
        <v>0</v>
      </c>
      <c r="J12" s="36" t="n">
        <v>4</v>
      </c>
      <c r="K12" s="12" t="n">
        <v>48</v>
      </c>
    </row>
    <row r="13">
      <c r="A13" s="33" t="n">
        <v>46300.80208333334</v>
      </c>
      <c r="B13" s="33" t="n">
        <v>46300.84652777778</v>
      </c>
      <c r="C13" s="13" t="n">
        <v>46318</v>
      </c>
      <c r="D13" s="14" t="n">
        <v>0.8854166666666666</v>
      </c>
      <c r="E13" s="37" t="n">
        <v>1</v>
      </c>
      <c r="F13" s="37" t="n">
        <v>0</v>
      </c>
      <c r="G13" s="37" t="n">
        <v>0</v>
      </c>
      <c r="H13" s="37" t="n">
        <v>1</v>
      </c>
      <c r="I13" s="37" t="n">
        <v>0</v>
      </c>
      <c r="J13" s="37" t="n">
        <v>4</v>
      </c>
      <c r="K13" s="16" t="n">
        <v>48</v>
      </c>
    </row>
    <row r="14">
      <c r="A14" s="30" t="n">
        <v>46300.84652777778</v>
      </c>
      <c r="B14" s="30" t="n">
        <v>46300.86319444444</v>
      </c>
      <c r="C14" s="9" t="n">
        <v>46319</v>
      </c>
      <c r="D14" s="10" t="n">
        <v>0.9270833333333334</v>
      </c>
      <c r="E14" s="36" t="n">
        <v>1</v>
      </c>
      <c r="F14" s="36" t="n">
        <v>1</v>
      </c>
      <c r="G14" s="36" t="n">
        <v>0</v>
      </c>
      <c r="H14" s="36" t="n">
        <v>0</v>
      </c>
      <c r="I14" s="36" t="n">
        <v>0</v>
      </c>
      <c r="J14" s="36" t="n">
        <v>2</v>
      </c>
      <c r="K14" s="12" t="n">
        <v>24</v>
      </c>
    </row>
    <row r="15">
      <c r="A15" s="33" t="n">
        <v>46300.86597222222</v>
      </c>
      <c r="B15" s="33" t="n">
        <v>46300.98125</v>
      </c>
      <c r="C15" s="13" t="n">
        <v>46318</v>
      </c>
      <c r="D15" s="14" t="n">
        <v>0.8854166666666666</v>
      </c>
      <c r="E15" s="37" t="n">
        <v>3</v>
      </c>
      <c r="F15" s="37" t="n">
        <v>2</v>
      </c>
      <c r="G15" s="37" t="n">
        <v>0</v>
      </c>
      <c r="H15" s="37" t="n">
        <v>1</v>
      </c>
      <c r="I15" s="37" t="n">
        <v>0</v>
      </c>
      <c r="J15" s="37" t="n">
        <v>8</v>
      </c>
      <c r="K15" s="16" t="n">
        <v>96</v>
      </c>
    </row>
    <row r="16">
      <c r="A16" s="30" t="n">
        <v>46300.86597222222</v>
      </c>
      <c r="B16" s="30" t="n">
        <v>46300.98125</v>
      </c>
      <c r="C16" s="9" t="n">
        <v>46318</v>
      </c>
      <c r="D16" s="10" t="n">
        <v>0.9986111111111111</v>
      </c>
      <c r="E16" s="36" t="n">
        <v>2</v>
      </c>
      <c r="F16" s="36" t="n">
        <v>2</v>
      </c>
      <c r="G16" s="36" t="n">
        <v>0</v>
      </c>
      <c r="H16" s="36" t="n">
        <v>0</v>
      </c>
      <c r="I16" s="36" t="n">
        <v>0</v>
      </c>
      <c r="J16" s="36" t="n">
        <v>4</v>
      </c>
      <c r="K16" s="12" t="n">
        <v>48</v>
      </c>
    </row>
    <row r="17">
      <c r="A17" s="33" t="n">
        <v>46300.86597222222</v>
      </c>
      <c r="B17" s="33" t="n">
        <v>46300.98125</v>
      </c>
      <c r="C17" s="13" t="n">
        <v>46319</v>
      </c>
      <c r="D17" s="14" t="n">
        <v>0.9270833333333334</v>
      </c>
      <c r="E17" s="37" t="n">
        <v>1</v>
      </c>
      <c r="F17" s="37" t="n">
        <v>1</v>
      </c>
      <c r="G17" s="37" t="n">
        <v>0</v>
      </c>
      <c r="H17" s="37" t="n">
        <v>0</v>
      </c>
      <c r="I17" s="37" t="n">
        <v>0</v>
      </c>
      <c r="J17" s="37" t="n">
        <v>2</v>
      </c>
      <c r="K17" s="16" t="n">
        <v>24</v>
      </c>
    </row>
    <row r="18">
      <c r="A18" s="30" t="n">
        <v>46300.86597222222</v>
      </c>
      <c r="B18" s="30" t="n">
        <v>46300.98125</v>
      </c>
      <c r="C18" s="9" t="n">
        <v>46319</v>
      </c>
      <c r="D18" s="10" t="n">
        <v>0.96875</v>
      </c>
      <c r="E18" s="36" t="n">
        <v>1</v>
      </c>
      <c r="F18" s="36" t="n">
        <v>0</v>
      </c>
      <c r="G18" s="36" t="n">
        <v>1</v>
      </c>
      <c r="H18" s="36" t="n">
        <v>0</v>
      </c>
      <c r="I18" s="36" t="n">
        <v>0</v>
      </c>
      <c r="J18" s="36" t="n">
        <v>3</v>
      </c>
      <c r="K18" s="12" t="n">
        <v>36</v>
      </c>
    </row>
    <row r="19">
      <c r="A19" s="33" t="n">
        <v>46300.86597222222</v>
      </c>
      <c r="B19" s="33" t="n">
        <v>46300.98125</v>
      </c>
      <c r="C19" s="13" t="n">
        <v>46319</v>
      </c>
      <c r="D19" s="14" t="n">
        <v>0.9993055555555556</v>
      </c>
      <c r="E19" s="37" t="n">
        <v>1</v>
      </c>
      <c r="F19" s="37" t="n">
        <v>0</v>
      </c>
      <c r="G19" s="37" t="n">
        <v>0</v>
      </c>
      <c r="H19" s="37" t="n">
        <v>1</v>
      </c>
      <c r="I19" s="37" t="n">
        <v>0</v>
      </c>
      <c r="J19" s="37" t="n">
        <v>4</v>
      </c>
      <c r="K19" s="16" t="n">
        <v>48</v>
      </c>
    </row>
    <row r="20">
      <c r="A20" s="30" t="n">
        <v>46300.86597222222</v>
      </c>
      <c r="B20" s="30" t="n">
        <v>46300.98125</v>
      </c>
      <c r="C20" s="9" t="n">
        <v>46324</v>
      </c>
      <c r="D20" s="10" t="n">
        <v>0.9270833333333334</v>
      </c>
      <c r="E20" s="36" t="n">
        <v>1</v>
      </c>
      <c r="F20" s="36" t="n">
        <v>1</v>
      </c>
      <c r="G20" s="36" t="n">
        <v>0</v>
      </c>
      <c r="H20" s="36" t="n">
        <v>0</v>
      </c>
      <c r="I20" s="36" t="n">
        <v>0</v>
      </c>
      <c r="J20" s="36" t="n">
        <v>2</v>
      </c>
      <c r="K20" s="12" t="n">
        <v>24</v>
      </c>
    </row>
    <row r="21">
      <c r="A21" s="33" t="n">
        <v>46300.86597222222</v>
      </c>
      <c r="B21" s="33" t="n">
        <v>46300.98125</v>
      </c>
      <c r="C21" s="13" t="n">
        <v>46325</v>
      </c>
      <c r="D21" s="14" t="n">
        <v>0.9993055555555556</v>
      </c>
      <c r="E21" s="37" t="n">
        <v>1</v>
      </c>
      <c r="F21" s="37" t="n">
        <v>1</v>
      </c>
      <c r="G21" s="37" t="n">
        <v>0</v>
      </c>
      <c r="H21" s="37" t="n">
        <v>0</v>
      </c>
      <c r="I21" s="37" t="n">
        <v>0</v>
      </c>
      <c r="J21" s="37" t="n">
        <v>2</v>
      </c>
      <c r="K21" s="16" t="n">
        <v>24</v>
      </c>
    </row>
    <row r="22">
      <c r="A22" s="30" t="n">
        <v>46300.86597222222</v>
      </c>
      <c r="B22" s="30" t="n">
        <v>46300.98125</v>
      </c>
      <c r="C22" s="9" t="n">
        <v>46326</v>
      </c>
      <c r="D22" s="10" t="n">
        <v>0.9993055555555556</v>
      </c>
      <c r="E22" s="36" t="n">
        <v>1</v>
      </c>
      <c r="F22" s="36" t="n">
        <v>1</v>
      </c>
      <c r="G22" s="36" t="n">
        <v>0</v>
      </c>
      <c r="H22" s="36" t="n">
        <v>0</v>
      </c>
      <c r="I22" s="36" t="n">
        <v>0</v>
      </c>
      <c r="J22" s="36" t="n">
        <v>2</v>
      </c>
      <c r="K22" s="12" t="n">
        <v>24</v>
      </c>
    </row>
    <row r="23">
      <c r="A23" s="33" t="n">
        <v>46300.98125</v>
      </c>
      <c r="B23" s="33" t="n">
        <v>46301.01319444444</v>
      </c>
      <c r="C23" s="13" t="n">
        <v>46318</v>
      </c>
      <c r="D23" s="14" t="n">
        <v>0.9270833333333334</v>
      </c>
      <c r="E23" s="37" t="n">
        <v>1</v>
      </c>
      <c r="F23" s="37" t="n">
        <v>0</v>
      </c>
      <c r="G23" s="37" t="n">
        <v>0</v>
      </c>
      <c r="H23" s="37" t="n">
        <v>1</v>
      </c>
      <c r="I23" s="37" t="n">
        <v>0</v>
      </c>
      <c r="J23" s="37" t="n">
        <v>4</v>
      </c>
      <c r="K23" s="16" t="n">
        <v>48</v>
      </c>
    </row>
    <row r="24">
      <c r="A24" s="30" t="n">
        <v>46300.98125</v>
      </c>
      <c r="B24" s="30" t="n">
        <v>46301.01319444444</v>
      </c>
      <c r="C24" s="9" t="n">
        <v>46319</v>
      </c>
      <c r="D24" s="10" t="n">
        <v>0.96875</v>
      </c>
      <c r="E24" s="36" t="n">
        <v>1</v>
      </c>
      <c r="F24" s="36" t="n">
        <v>1</v>
      </c>
      <c r="G24" s="36" t="n">
        <v>0</v>
      </c>
      <c r="H24" s="36" t="n">
        <v>0</v>
      </c>
      <c r="I24" s="36" t="n">
        <v>0</v>
      </c>
      <c r="J24" s="36" t="n">
        <v>2</v>
      </c>
      <c r="K24" s="12" t="n">
        <v>24</v>
      </c>
    </row>
    <row r="25">
      <c r="A25" s="33" t="n">
        <v>46301.34722222222</v>
      </c>
      <c r="B25" s="33" t="n">
        <v>46301.35625</v>
      </c>
      <c r="C25" s="13" t="n">
        <v>46318</v>
      </c>
      <c r="D25" s="14" t="n">
        <v>0.96875</v>
      </c>
      <c r="E25" s="37" t="n">
        <v>1</v>
      </c>
      <c r="F25" s="37" t="n">
        <v>0</v>
      </c>
      <c r="G25" s="37" t="n">
        <v>1</v>
      </c>
      <c r="H25" s="37" t="n">
        <v>0</v>
      </c>
      <c r="I25" s="37" t="n">
        <v>0</v>
      </c>
      <c r="J25" s="37" t="n">
        <v>3</v>
      </c>
      <c r="K25" s="16" t="n">
        <v>36</v>
      </c>
    </row>
    <row r="26">
      <c r="A26" s="30" t="n">
        <v>46301.36319444444</v>
      </c>
      <c r="B26" s="30" t="n">
        <v>46301.38680555556</v>
      </c>
      <c r="C26" s="9" t="n">
        <v>46318</v>
      </c>
      <c r="D26" s="10" t="n">
        <v>0.9270833333333334</v>
      </c>
      <c r="E26" s="36" t="n">
        <v>1</v>
      </c>
      <c r="F26" s="36" t="n">
        <v>0</v>
      </c>
      <c r="G26" s="36" t="n">
        <v>1</v>
      </c>
      <c r="H26" s="36" t="n">
        <v>0</v>
      </c>
      <c r="I26" s="36" t="n">
        <v>0</v>
      </c>
      <c r="J26" s="36" t="n">
        <v>3</v>
      </c>
      <c r="K26" s="12" t="n">
        <v>36</v>
      </c>
    </row>
    <row r="27">
      <c r="A27" s="33" t="n">
        <v>46301.36319444444</v>
      </c>
      <c r="B27" s="33" t="n">
        <v>46301.38680555556</v>
      </c>
      <c r="C27" s="13" t="n">
        <v>46319</v>
      </c>
      <c r="D27" s="14" t="n">
        <v>0.8854166666666666</v>
      </c>
      <c r="E27" s="37" t="n">
        <v>1</v>
      </c>
      <c r="F27" s="37" t="n">
        <v>1</v>
      </c>
      <c r="G27" s="37" t="n">
        <v>0</v>
      </c>
      <c r="H27" s="37" t="n">
        <v>0</v>
      </c>
      <c r="I27" s="37" t="n">
        <v>0</v>
      </c>
      <c r="J27" s="37" t="n">
        <v>2</v>
      </c>
      <c r="K27" s="16" t="n">
        <v>24</v>
      </c>
    </row>
    <row r="28">
      <c r="A28" s="30" t="n">
        <v>46301.36319444444</v>
      </c>
      <c r="B28" s="30" t="n">
        <v>46301.38680555556</v>
      </c>
      <c r="C28" s="9" t="n">
        <v>46325</v>
      </c>
      <c r="D28" s="10" t="n">
        <v>0.9270833333333334</v>
      </c>
      <c r="E28" s="36" t="n">
        <v>1</v>
      </c>
      <c r="F28" s="36" t="n">
        <v>1</v>
      </c>
      <c r="G28" s="36" t="n">
        <v>0</v>
      </c>
      <c r="H28" s="36" t="n">
        <v>0</v>
      </c>
      <c r="I28" s="36" t="n">
        <v>0</v>
      </c>
      <c r="J28" s="36" t="n">
        <v>2</v>
      </c>
      <c r="K28" s="12" t="n">
        <v>24</v>
      </c>
    </row>
    <row r="29">
      <c r="A29" s="33" t="n">
        <v>46301.42847222222</v>
      </c>
      <c r="B29" s="33" t="n">
        <v>46301.46319444444</v>
      </c>
      <c r="C29" s="13" t="n">
        <v>46319</v>
      </c>
      <c r="D29" s="14" t="n">
        <v>0.9270833333333334</v>
      </c>
      <c r="E29" s="37" t="n">
        <v>1</v>
      </c>
      <c r="F29" s="37" t="n">
        <v>0</v>
      </c>
      <c r="G29" s="37" t="n">
        <v>0</v>
      </c>
      <c r="H29" s="37" t="n">
        <v>1</v>
      </c>
      <c r="I29" s="37" t="n">
        <v>0</v>
      </c>
      <c r="J29" s="37" t="n">
        <v>4</v>
      </c>
      <c r="K29" s="16" t="n">
        <v>48</v>
      </c>
    </row>
    <row r="30">
      <c r="A30" s="30" t="n">
        <v>46301.47291666667</v>
      </c>
      <c r="B30" s="30" t="n">
        <v>46301.47986111111</v>
      </c>
      <c r="C30" s="9" t="n">
        <v>46319</v>
      </c>
      <c r="D30" s="10" t="n">
        <v>0.8854166666666666</v>
      </c>
      <c r="E30" s="36" t="n">
        <v>1</v>
      </c>
      <c r="F30" s="36" t="n">
        <v>0</v>
      </c>
      <c r="G30" s="36" t="n">
        <v>0</v>
      </c>
      <c r="H30" s="36" t="n">
        <v>0</v>
      </c>
      <c r="I30" s="36" t="n">
        <v>1</v>
      </c>
      <c r="J30" s="36" t="n">
        <v>5</v>
      </c>
      <c r="K30" s="12" t="n">
        <v>60</v>
      </c>
    </row>
    <row r="31">
      <c r="A31" s="33" t="n">
        <v>46301.47986111111</v>
      </c>
      <c r="B31" s="33" t="n">
        <v>46301.51111111111</v>
      </c>
      <c r="C31" s="13" t="n">
        <v>46319</v>
      </c>
      <c r="D31" s="14" t="n">
        <v>0.9993055555555556</v>
      </c>
      <c r="E31" s="37" t="n">
        <v>1</v>
      </c>
      <c r="F31" s="37" t="n">
        <v>1</v>
      </c>
      <c r="G31" s="37" t="n">
        <v>0</v>
      </c>
      <c r="H31" s="37" t="n">
        <v>0</v>
      </c>
      <c r="I31" s="37" t="n">
        <v>0</v>
      </c>
      <c r="J31" s="37" t="n">
        <v>2</v>
      </c>
      <c r="K31" s="16" t="n">
        <v>24</v>
      </c>
    </row>
    <row r="32">
      <c r="A32" s="30" t="n">
        <v>46301.55208333334</v>
      </c>
      <c r="B32" s="30" t="n">
        <v>46301.56180555555</v>
      </c>
      <c r="C32" s="9" t="n">
        <v>46318</v>
      </c>
      <c r="D32" s="10" t="n">
        <v>0.84375</v>
      </c>
      <c r="E32" s="36" t="n">
        <v>1</v>
      </c>
      <c r="F32" s="36" t="n">
        <v>1</v>
      </c>
      <c r="G32" s="36" t="n">
        <v>0</v>
      </c>
      <c r="H32" s="36" t="n">
        <v>0</v>
      </c>
      <c r="I32" s="36" t="n">
        <v>0</v>
      </c>
      <c r="J32" s="36" t="n">
        <v>2</v>
      </c>
      <c r="K32" s="12" t="n">
        <v>24</v>
      </c>
    </row>
    <row r="33">
      <c r="A33" s="33" t="n">
        <v>46301.56180555555</v>
      </c>
      <c r="B33" s="33" t="n">
        <v>46301.59652777778</v>
      </c>
      <c r="C33" s="13" t="n">
        <v>46319</v>
      </c>
      <c r="D33" s="14" t="n">
        <v>0.9993055555555556</v>
      </c>
      <c r="E33" s="37" t="n">
        <v>1</v>
      </c>
      <c r="F33" s="37" t="n">
        <v>1</v>
      </c>
      <c r="G33" s="37" t="n">
        <v>0</v>
      </c>
      <c r="H33" s="37" t="n">
        <v>0</v>
      </c>
      <c r="I33" s="37" t="n">
        <v>0</v>
      </c>
      <c r="J33" s="37" t="n">
        <v>2</v>
      </c>
      <c r="K33" s="16" t="n">
        <v>24</v>
      </c>
    </row>
    <row r="34">
      <c r="A34" s="30" t="n">
        <v>46301.56180555555</v>
      </c>
      <c r="B34" s="30" t="n">
        <v>46301.59652777778</v>
      </c>
      <c r="C34" s="9" t="n">
        <v>46324</v>
      </c>
      <c r="D34" s="10" t="n">
        <v>0.9270833333333334</v>
      </c>
      <c r="E34" s="36" t="n">
        <v>1</v>
      </c>
      <c r="F34" s="36" t="n">
        <v>0</v>
      </c>
      <c r="G34" s="36" t="n">
        <v>1</v>
      </c>
      <c r="H34" s="36" t="n">
        <v>0</v>
      </c>
      <c r="I34" s="36" t="n">
        <v>0</v>
      </c>
      <c r="J34" s="36" t="n">
        <v>3</v>
      </c>
      <c r="K34" s="12" t="n">
        <v>36</v>
      </c>
    </row>
    <row r="35">
      <c r="A35" s="33" t="n">
        <v>46301.59652777778</v>
      </c>
      <c r="B35" s="33" t="n">
        <v>46301.63611111111</v>
      </c>
      <c r="C35" s="13" t="n">
        <v>46318</v>
      </c>
      <c r="D35" s="14" t="n">
        <v>0.96875</v>
      </c>
      <c r="E35" s="37" t="n">
        <v>1</v>
      </c>
      <c r="F35" s="37" t="n">
        <v>0</v>
      </c>
      <c r="G35" s="37" t="n">
        <v>0</v>
      </c>
      <c r="H35" s="37" t="n">
        <v>0</v>
      </c>
      <c r="I35" s="37" t="n">
        <v>1</v>
      </c>
      <c r="J35" s="37" t="n">
        <v>5</v>
      </c>
      <c r="K35" s="16" t="n">
        <v>60</v>
      </c>
    </row>
    <row r="36">
      <c r="A36" s="30" t="n">
        <v>46301.6375</v>
      </c>
      <c r="B36" s="30" t="n">
        <v>46301.67916666667</v>
      </c>
      <c r="C36" s="9" t="n">
        <v>46319</v>
      </c>
      <c r="D36" s="10" t="n">
        <v>0.96875</v>
      </c>
      <c r="E36" s="36" t="n">
        <v>1</v>
      </c>
      <c r="F36" s="36" t="n">
        <v>1</v>
      </c>
      <c r="G36" s="36" t="n">
        <v>0</v>
      </c>
      <c r="H36" s="36" t="n">
        <v>0</v>
      </c>
      <c r="I36" s="36" t="n">
        <v>0</v>
      </c>
      <c r="J36" s="36" t="n">
        <v>2</v>
      </c>
      <c r="K36" s="12" t="n">
        <v>24</v>
      </c>
    </row>
    <row r="37">
      <c r="A37" s="33" t="n">
        <v>46301.76180555556</v>
      </c>
      <c r="B37" s="33" t="n">
        <v>46301.77569444444</v>
      </c>
      <c r="C37" s="13" t="n">
        <v>46326</v>
      </c>
      <c r="D37" s="14" t="n">
        <v>0.96875</v>
      </c>
      <c r="E37" s="37" t="n">
        <v>1</v>
      </c>
      <c r="F37" s="37" t="n">
        <v>0</v>
      </c>
      <c r="G37" s="37" t="n">
        <v>0</v>
      </c>
      <c r="H37" s="37" t="n">
        <v>1</v>
      </c>
      <c r="I37" s="37" t="n">
        <v>0</v>
      </c>
      <c r="J37" s="37" t="n">
        <v>4</v>
      </c>
      <c r="K37" s="16" t="n">
        <v>48</v>
      </c>
    </row>
    <row r="38">
      <c r="A38" s="30" t="n">
        <v>46301.77569444444</v>
      </c>
      <c r="B38" s="30" t="n">
        <v>46301.80138888889</v>
      </c>
      <c r="C38" s="9" t="n">
        <v>46318</v>
      </c>
      <c r="D38" s="10" t="n">
        <v>0.96875</v>
      </c>
      <c r="E38" s="36" t="n">
        <v>1</v>
      </c>
      <c r="F38" s="36" t="n">
        <v>1</v>
      </c>
      <c r="G38" s="36" t="n">
        <v>0</v>
      </c>
      <c r="H38" s="36" t="n">
        <v>0</v>
      </c>
      <c r="I38" s="36" t="n">
        <v>0</v>
      </c>
      <c r="J38" s="36" t="n">
        <v>2</v>
      </c>
      <c r="K38" s="12" t="n">
        <v>24</v>
      </c>
    </row>
    <row r="39">
      <c r="A39" s="33" t="n">
        <v>46301.80138888889</v>
      </c>
      <c r="B39" s="33" t="n">
        <v>46301.81944444445</v>
      </c>
      <c r="C39" s="13" t="n">
        <v>46318</v>
      </c>
      <c r="D39" s="14" t="n">
        <v>0.8854166666666666</v>
      </c>
      <c r="E39" s="37" t="n">
        <v>1</v>
      </c>
      <c r="F39" s="37" t="n">
        <v>1</v>
      </c>
      <c r="G39" s="37" t="n">
        <v>0</v>
      </c>
      <c r="H39" s="37" t="n">
        <v>0</v>
      </c>
      <c r="I39" s="37" t="n">
        <v>0</v>
      </c>
      <c r="J39" s="37" t="n">
        <v>2</v>
      </c>
      <c r="K39" s="16" t="n">
        <v>24</v>
      </c>
    </row>
    <row r="40">
      <c r="A40" s="30" t="n">
        <v>46301.84513888889</v>
      </c>
      <c r="B40" s="30" t="n">
        <v>46301.84791666667</v>
      </c>
      <c r="C40" s="9" t="n">
        <v>46318</v>
      </c>
      <c r="D40" s="10" t="n">
        <v>0.9986111111111111</v>
      </c>
      <c r="E40" s="36" t="n">
        <v>1</v>
      </c>
      <c r="F40" s="36" t="n">
        <v>0</v>
      </c>
      <c r="G40" s="36" t="n">
        <v>0</v>
      </c>
      <c r="H40" s="36" t="n">
        <v>1</v>
      </c>
      <c r="I40" s="36" t="n">
        <v>0</v>
      </c>
      <c r="J40" s="36" t="n">
        <v>4</v>
      </c>
      <c r="K40" s="12" t="n">
        <v>48</v>
      </c>
    </row>
    <row r="41">
      <c r="A41" s="33" t="n">
        <v>46301.84791666667</v>
      </c>
      <c r="B41" s="33" t="n">
        <v>46301.87638888889</v>
      </c>
      <c r="C41" s="13" t="n">
        <v>46319</v>
      </c>
      <c r="D41" s="14" t="n">
        <v>0.9270833333333334</v>
      </c>
      <c r="E41" s="37" t="n">
        <v>1</v>
      </c>
      <c r="F41" s="37" t="n">
        <v>0</v>
      </c>
      <c r="G41" s="37" t="n">
        <v>0</v>
      </c>
      <c r="H41" s="37" t="n">
        <v>1</v>
      </c>
      <c r="I41" s="37" t="n">
        <v>0</v>
      </c>
      <c r="J41" s="37" t="n">
        <v>4</v>
      </c>
      <c r="K41" s="16" t="n">
        <v>48</v>
      </c>
    </row>
    <row r="42">
      <c r="A42" s="30" t="n">
        <v>46301.84791666667</v>
      </c>
      <c r="B42" s="30" t="n">
        <v>46301.87638888889</v>
      </c>
      <c r="C42" s="9" t="n">
        <v>46326</v>
      </c>
      <c r="D42" s="10" t="n">
        <v>0.96875</v>
      </c>
      <c r="E42" s="36" t="n">
        <v>1</v>
      </c>
      <c r="F42" s="36" t="n">
        <v>1</v>
      </c>
      <c r="G42" s="36" t="n">
        <v>0</v>
      </c>
      <c r="H42" s="36" t="n">
        <v>0</v>
      </c>
      <c r="I42" s="36" t="n">
        <v>0</v>
      </c>
      <c r="J42" s="36" t="n">
        <v>2</v>
      </c>
      <c r="K42" s="12" t="n">
        <v>24</v>
      </c>
    </row>
    <row r="43">
      <c r="A43" s="33" t="n">
        <v>46301.88541666666</v>
      </c>
      <c r="B43" s="33" t="n">
        <v>46301.92708333334</v>
      </c>
      <c r="C43" s="13" t="n">
        <v>46320</v>
      </c>
      <c r="D43" s="14" t="n">
        <v>0.84375</v>
      </c>
      <c r="E43" s="37" t="n">
        <v>1</v>
      </c>
      <c r="F43" s="37" t="n">
        <v>1</v>
      </c>
      <c r="G43" s="37" t="n">
        <v>0</v>
      </c>
      <c r="H43" s="37" t="n">
        <v>0</v>
      </c>
      <c r="I43" s="37" t="n">
        <v>0</v>
      </c>
      <c r="J43" s="37" t="n">
        <v>2</v>
      </c>
      <c r="K43" s="16" t="n">
        <v>24</v>
      </c>
    </row>
    <row r="44">
      <c r="A44" s="30" t="n">
        <v>46301.88541666666</v>
      </c>
      <c r="B44" s="30" t="n">
        <v>46301.92708333334</v>
      </c>
      <c r="C44" s="9" t="n">
        <v>46324</v>
      </c>
      <c r="D44" s="10" t="n">
        <v>0.84375</v>
      </c>
      <c r="E44" s="36" t="n">
        <v>1</v>
      </c>
      <c r="F44" s="36" t="n">
        <v>0</v>
      </c>
      <c r="G44" s="36" t="n">
        <v>0</v>
      </c>
      <c r="H44" s="36" t="n">
        <v>1</v>
      </c>
      <c r="I44" s="36" t="n">
        <v>0</v>
      </c>
      <c r="J44" s="36" t="n">
        <v>4</v>
      </c>
      <c r="K44" s="12" t="n">
        <v>48</v>
      </c>
    </row>
    <row r="45">
      <c r="A45" s="33" t="n">
        <v>46301.92986111111</v>
      </c>
      <c r="B45" s="33" t="n">
        <v>46301.96805555555</v>
      </c>
      <c r="C45" s="13" t="n">
        <v>46318</v>
      </c>
      <c r="D45" s="14" t="n">
        <v>0.9270833333333334</v>
      </c>
      <c r="E45" s="37" t="n">
        <v>1</v>
      </c>
      <c r="F45" s="37" t="n">
        <v>0</v>
      </c>
      <c r="G45" s="37" t="n">
        <v>0</v>
      </c>
      <c r="H45" s="37" t="n">
        <v>1</v>
      </c>
      <c r="I45" s="37" t="n">
        <v>0</v>
      </c>
      <c r="J45" s="37" t="n">
        <v>4</v>
      </c>
      <c r="K45" s="16" t="n">
        <v>48</v>
      </c>
    </row>
    <row r="46">
      <c r="A46" s="30" t="n">
        <v>46301.92986111111</v>
      </c>
      <c r="B46" s="30" t="n">
        <v>46301.96805555555</v>
      </c>
      <c r="C46" s="9" t="n">
        <v>46319</v>
      </c>
      <c r="D46" s="10" t="n">
        <v>0.8854166666666666</v>
      </c>
      <c r="E46" s="36" t="n">
        <v>1</v>
      </c>
      <c r="F46" s="36" t="n">
        <v>1</v>
      </c>
      <c r="G46" s="36" t="n">
        <v>0</v>
      </c>
      <c r="H46" s="36" t="n">
        <v>0</v>
      </c>
      <c r="I46" s="36" t="n">
        <v>0</v>
      </c>
      <c r="J46" s="36" t="n">
        <v>2</v>
      </c>
      <c r="K46" s="12" t="n">
        <v>24</v>
      </c>
    </row>
    <row r="47">
      <c r="A47" s="33" t="n">
        <v>46301.92986111111</v>
      </c>
      <c r="B47" s="33" t="n">
        <v>46301.96805555555</v>
      </c>
      <c r="C47" s="13" t="n">
        <v>46319</v>
      </c>
      <c r="D47" s="14" t="n">
        <v>0.9270833333333334</v>
      </c>
      <c r="E47" s="37" t="n">
        <v>1</v>
      </c>
      <c r="F47" s="37" t="n">
        <v>1</v>
      </c>
      <c r="G47" s="37" t="n">
        <v>0</v>
      </c>
      <c r="H47" s="37" t="n">
        <v>0</v>
      </c>
      <c r="I47" s="37" t="n">
        <v>0</v>
      </c>
      <c r="J47" s="37" t="n">
        <v>2</v>
      </c>
      <c r="K47" s="16" t="n">
        <v>24</v>
      </c>
    </row>
    <row r="48">
      <c r="A48" s="30" t="n">
        <v>46301.92986111111</v>
      </c>
      <c r="B48" s="30" t="n">
        <v>46301.96805555555</v>
      </c>
      <c r="C48" s="9" t="n">
        <v>46324</v>
      </c>
      <c r="D48" s="10" t="n">
        <v>0.9270833333333334</v>
      </c>
      <c r="E48" s="36" t="n">
        <v>2</v>
      </c>
      <c r="F48" s="36" t="n">
        <v>1</v>
      </c>
      <c r="G48" s="36" t="n">
        <v>0</v>
      </c>
      <c r="H48" s="36" t="n">
        <v>1</v>
      </c>
      <c r="I48" s="36" t="n">
        <v>0</v>
      </c>
      <c r="J48" s="36" t="n">
        <v>6</v>
      </c>
      <c r="K48" s="12" t="n">
        <v>72</v>
      </c>
    </row>
    <row r="49">
      <c r="A49" s="33" t="n">
        <v>46301.97222222222</v>
      </c>
      <c r="B49" s="33" t="n">
        <v>46302.01041666666</v>
      </c>
      <c r="C49" s="13" t="n">
        <v>46318</v>
      </c>
      <c r="D49" s="14" t="n">
        <v>0.96875</v>
      </c>
      <c r="E49" s="37" t="n">
        <v>1</v>
      </c>
      <c r="F49" s="37" t="n">
        <v>1</v>
      </c>
      <c r="G49" s="37" t="n">
        <v>0</v>
      </c>
      <c r="H49" s="37" t="n">
        <v>0</v>
      </c>
      <c r="I49" s="37" t="n">
        <v>0</v>
      </c>
      <c r="J49" s="37" t="n">
        <v>2</v>
      </c>
      <c r="K49" s="16" t="n">
        <v>24</v>
      </c>
    </row>
    <row r="50">
      <c r="A50" s="30" t="n">
        <v>46302.01041666666</v>
      </c>
      <c r="B50" s="30" t="n">
        <v>46302.05138888889</v>
      </c>
      <c r="C50" s="9" t="n">
        <v>46320</v>
      </c>
      <c r="D50" s="10" t="n">
        <v>0.96875</v>
      </c>
      <c r="E50" s="36" t="n">
        <v>1</v>
      </c>
      <c r="F50" s="36" t="n">
        <v>1</v>
      </c>
      <c r="G50" s="36" t="n">
        <v>0</v>
      </c>
      <c r="H50" s="36" t="n">
        <v>0</v>
      </c>
      <c r="I50" s="36" t="n">
        <v>0</v>
      </c>
      <c r="J50" s="36" t="n">
        <v>2</v>
      </c>
      <c r="K50" s="12" t="n">
        <v>24</v>
      </c>
    </row>
    <row r="51">
      <c r="A51" s="33" t="n">
        <v>46302.34652777778</v>
      </c>
      <c r="B51" s="33" t="n">
        <v>46302.3875</v>
      </c>
      <c r="C51" s="13" t="n">
        <v>46326</v>
      </c>
      <c r="D51" s="14" t="n">
        <v>0.96875</v>
      </c>
      <c r="E51" s="37" t="n">
        <v>1</v>
      </c>
      <c r="F51" s="37" t="n">
        <v>0</v>
      </c>
      <c r="G51" s="37" t="n">
        <v>0</v>
      </c>
      <c r="H51" s="37" t="n">
        <v>1</v>
      </c>
      <c r="I51" s="37" t="n">
        <v>0</v>
      </c>
      <c r="J51" s="37" t="n">
        <v>4</v>
      </c>
      <c r="K51" s="16" t="n">
        <v>48</v>
      </c>
    </row>
    <row r="52">
      <c r="A52" s="30" t="n">
        <v>46302.51111111111</v>
      </c>
      <c r="B52" s="30" t="n">
        <v>46302.55277777778</v>
      </c>
      <c r="C52" s="9" t="n">
        <v>46318</v>
      </c>
      <c r="D52" s="10" t="n">
        <v>0.84375</v>
      </c>
      <c r="E52" s="36" t="n">
        <v>1</v>
      </c>
      <c r="F52" s="36" t="n">
        <v>1</v>
      </c>
      <c r="G52" s="36" t="n">
        <v>0</v>
      </c>
      <c r="H52" s="36" t="n">
        <v>0</v>
      </c>
      <c r="I52" s="36" t="n">
        <v>0</v>
      </c>
      <c r="J52" s="36" t="n">
        <v>2</v>
      </c>
      <c r="K52" s="12" t="n">
        <v>24</v>
      </c>
    </row>
    <row r="53">
      <c r="A53" s="33" t="n">
        <v>46302.51111111111</v>
      </c>
      <c r="B53" s="33" t="n">
        <v>46302.55277777778</v>
      </c>
      <c r="C53" s="13" t="n">
        <v>46318</v>
      </c>
      <c r="D53" s="14" t="n">
        <v>0.9986111111111111</v>
      </c>
      <c r="E53" s="37" t="n">
        <v>1</v>
      </c>
      <c r="F53" s="37" t="n">
        <v>1</v>
      </c>
      <c r="G53" s="37" t="n">
        <v>0</v>
      </c>
      <c r="H53" s="37" t="n">
        <v>0</v>
      </c>
      <c r="I53" s="37" t="n">
        <v>0</v>
      </c>
      <c r="J53" s="37" t="n">
        <v>2</v>
      </c>
      <c r="K53" s="16" t="n">
        <v>24</v>
      </c>
    </row>
    <row r="54">
      <c r="A54" s="30" t="n">
        <v>46302.51111111111</v>
      </c>
      <c r="B54" s="30" t="n">
        <v>46302.55277777778</v>
      </c>
      <c r="C54" s="9" t="n">
        <v>46320</v>
      </c>
      <c r="D54" s="10" t="n">
        <v>0.84375</v>
      </c>
      <c r="E54" s="36" t="n">
        <v>1</v>
      </c>
      <c r="F54" s="36" t="n">
        <v>0</v>
      </c>
      <c r="G54" s="36" t="n">
        <v>0</v>
      </c>
      <c r="H54" s="36" t="n">
        <v>1</v>
      </c>
      <c r="I54" s="36" t="n">
        <v>0</v>
      </c>
      <c r="J54" s="36" t="n">
        <v>4</v>
      </c>
      <c r="K54" s="12" t="n">
        <v>48</v>
      </c>
    </row>
    <row r="55">
      <c r="A55" s="33" t="n">
        <v>46302.51111111111</v>
      </c>
      <c r="B55" s="33" t="n">
        <v>46302.55277777778</v>
      </c>
      <c r="C55" s="13" t="n">
        <v>46326</v>
      </c>
      <c r="D55" s="14" t="n">
        <v>0.8854166666666666</v>
      </c>
      <c r="E55" s="37" t="n">
        <v>1</v>
      </c>
      <c r="F55" s="37" t="n">
        <v>0</v>
      </c>
      <c r="G55" s="37" t="n">
        <v>0</v>
      </c>
      <c r="H55" s="37" t="n">
        <v>1</v>
      </c>
      <c r="I55" s="37" t="n">
        <v>0</v>
      </c>
      <c r="J55" s="37" t="n">
        <v>4</v>
      </c>
      <c r="K55" s="16" t="n">
        <v>48</v>
      </c>
    </row>
    <row r="56">
      <c r="A56" s="30" t="n">
        <v>46302.55277777778</v>
      </c>
      <c r="B56" s="30" t="n">
        <v>46302.59791666667</v>
      </c>
      <c r="C56" s="9" t="n">
        <v>46318</v>
      </c>
      <c r="D56" s="10" t="n">
        <v>0.9270833333333334</v>
      </c>
      <c r="E56" s="36" t="n">
        <v>1</v>
      </c>
      <c r="F56" s="36" t="n">
        <v>1</v>
      </c>
      <c r="G56" s="36" t="n">
        <v>0</v>
      </c>
      <c r="H56" s="36" t="n">
        <v>0</v>
      </c>
      <c r="I56" s="36" t="n">
        <v>0</v>
      </c>
      <c r="J56" s="36" t="n">
        <v>2</v>
      </c>
      <c r="K56" s="12" t="n">
        <v>24</v>
      </c>
    </row>
    <row r="57">
      <c r="A57" s="33" t="n">
        <v>46302.68333333333</v>
      </c>
      <c r="B57" s="33" t="n">
        <v>46302.72708333333</v>
      </c>
      <c r="C57" s="13" t="n">
        <v>46325</v>
      </c>
      <c r="D57" s="14" t="n">
        <v>0.84375</v>
      </c>
      <c r="E57" s="37" t="n">
        <v>1</v>
      </c>
      <c r="F57" s="37" t="n">
        <v>0</v>
      </c>
      <c r="G57" s="37" t="n">
        <v>0</v>
      </c>
      <c r="H57" s="37" t="n">
        <v>1</v>
      </c>
      <c r="I57" s="37" t="n">
        <v>0</v>
      </c>
      <c r="J57" s="37" t="n">
        <v>4</v>
      </c>
      <c r="K57" s="16" t="n">
        <v>48</v>
      </c>
    </row>
    <row r="58">
      <c r="A58" s="30" t="n">
        <v>46302.72708333333</v>
      </c>
      <c r="B58" s="30" t="n">
        <v>46302.75138888889</v>
      </c>
      <c r="C58" s="9" t="n">
        <v>46325</v>
      </c>
      <c r="D58" s="10" t="n">
        <v>0.8854166666666666</v>
      </c>
      <c r="E58" s="36" t="n">
        <v>1</v>
      </c>
      <c r="F58" s="36" t="n">
        <v>1</v>
      </c>
      <c r="G58" s="36" t="n">
        <v>0</v>
      </c>
      <c r="H58" s="36" t="n">
        <v>0</v>
      </c>
      <c r="I58" s="36" t="n">
        <v>0</v>
      </c>
      <c r="J58" s="36" t="n">
        <v>2</v>
      </c>
      <c r="K58" s="12" t="n">
        <v>24</v>
      </c>
    </row>
    <row r="59">
      <c r="A59" s="33" t="n">
        <v>46302.76458333333</v>
      </c>
      <c r="B59" s="33" t="n">
        <v>46302.79375</v>
      </c>
      <c r="C59" s="13" t="n">
        <v>46320</v>
      </c>
      <c r="D59" s="14" t="n">
        <v>0.9270833333333334</v>
      </c>
      <c r="E59" s="37" t="n">
        <v>1</v>
      </c>
      <c r="F59" s="37" t="n">
        <v>1</v>
      </c>
      <c r="G59" s="37" t="n">
        <v>0</v>
      </c>
      <c r="H59" s="37" t="n">
        <v>0</v>
      </c>
      <c r="I59" s="37" t="n">
        <v>0</v>
      </c>
      <c r="J59" s="37" t="n">
        <v>2</v>
      </c>
      <c r="K59" s="16" t="n">
        <v>24</v>
      </c>
    </row>
    <row r="60">
      <c r="A60" s="30" t="n">
        <v>46302.79375</v>
      </c>
      <c r="B60" s="30" t="n">
        <v>46302.81041666667</v>
      </c>
      <c r="C60" s="9" t="n">
        <v>46318</v>
      </c>
      <c r="D60" s="10" t="n">
        <v>0.9270833333333334</v>
      </c>
      <c r="E60" s="36" t="n">
        <v>1</v>
      </c>
      <c r="F60" s="36" t="n">
        <v>0</v>
      </c>
      <c r="G60" s="36" t="n">
        <v>0</v>
      </c>
      <c r="H60" s="36" t="n">
        <v>1</v>
      </c>
      <c r="I60" s="36" t="n">
        <v>0</v>
      </c>
      <c r="J60" s="36" t="n">
        <v>4</v>
      </c>
      <c r="K60" s="12" t="n">
        <v>48</v>
      </c>
    </row>
    <row r="61">
      <c r="A61" s="33" t="n">
        <v>46302.83958333333</v>
      </c>
      <c r="B61" s="33" t="n">
        <v>46302.84861111111</v>
      </c>
      <c r="C61" s="13" t="n">
        <v>46318</v>
      </c>
      <c r="D61" s="14" t="n">
        <v>0.9270833333333334</v>
      </c>
      <c r="E61" s="37" t="n">
        <v>1</v>
      </c>
      <c r="F61" s="37" t="n">
        <v>1</v>
      </c>
      <c r="G61" s="37" t="n">
        <v>0</v>
      </c>
      <c r="H61" s="37" t="n">
        <v>0</v>
      </c>
      <c r="I61" s="37" t="n">
        <v>0</v>
      </c>
      <c r="J61" s="37" t="n">
        <v>2</v>
      </c>
      <c r="K61" s="16" t="n">
        <v>24</v>
      </c>
    </row>
    <row r="62">
      <c r="A62" s="30" t="n">
        <v>46302.84861111111</v>
      </c>
      <c r="B62" s="30" t="n">
        <v>46302.88680555556</v>
      </c>
      <c r="C62" s="9" t="n">
        <v>46319</v>
      </c>
      <c r="D62" s="10" t="n">
        <v>0.84375</v>
      </c>
      <c r="E62" s="36" t="n">
        <v>1</v>
      </c>
      <c r="F62" s="36" t="n">
        <v>0</v>
      </c>
      <c r="G62" s="36" t="n">
        <v>0</v>
      </c>
      <c r="H62" s="36" t="n">
        <v>1</v>
      </c>
      <c r="I62" s="36" t="n">
        <v>0</v>
      </c>
      <c r="J62" s="36" t="n">
        <v>4</v>
      </c>
      <c r="K62" s="12" t="n">
        <v>48</v>
      </c>
    </row>
    <row r="63">
      <c r="A63" s="33" t="n">
        <v>46302.84861111111</v>
      </c>
      <c r="B63" s="33" t="n">
        <v>46302.88680555556</v>
      </c>
      <c r="C63" s="13" t="n">
        <v>46319</v>
      </c>
      <c r="D63" s="14" t="n">
        <v>0.8854166666666666</v>
      </c>
      <c r="E63" s="37" t="n">
        <v>1</v>
      </c>
      <c r="F63" s="37" t="n">
        <v>1</v>
      </c>
      <c r="G63" s="37" t="n">
        <v>0</v>
      </c>
      <c r="H63" s="37" t="n">
        <v>0</v>
      </c>
      <c r="I63" s="37" t="n">
        <v>0</v>
      </c>
      <c r="J63" s="37" t="n">
        <v>2</v>
      </c>
      <c r="K63" s="16" t="n">
        <v>24</v>
      </c>
    </row>
    <row r="64">
      <c r="A64" s="30" t="n">
        <v>46302.84861111111</v>
      </c>
      <c r="B64" s="30" t="n">
        <v>46302.88680555556</v>
      </c>
      <c r="C64" s="9" t="n">
        <v>46319</v>
      </c>
      <c r="D64" s="10" t="n">
        <v>0.9270833333333334</v>
      </c>
      <c r="E64" s="36" t="n">
        <v>1</v>
      </c>
      <c r="F64" s="36" t="n">
        <v>1</v>
      </c>
      <c r="G64" s="36" t="n">
        <v>0</v>
      </c>
      <c r="H64" s="36" t="n">
        <v>0</v>
      </c>
      <c r="I64" s="36" t="n">
        <v>0</v>
      </c>
      <c r="J64" s="36" t="n">
        <v>2</v>
      </c>
      <c r="K64" s="12" t="n">
        <v>24</v>
      </c>
    </row>
    <row r="65">
      <c r="A65" s="33" t="n">
        <v>46302.88680555556</v>
      </c>
      <c r="B65" s="33" t="n">
        <v>46302.9</v>
      </c>
      <c r="C65" s="13" t="n">
        <v>46318</v>
      </c>
      <c r="D65" s="14" t="n">
        <v>0.9270833333333334</v>
      </c>
      <c r="E65" s="37" t="n">
        <v>1</v>
      </c>
      <c r="F65" s="37" t="n">
        <v>0</v>
      </c>
      <c r="G65" s="37" t="n">
        <v>0</v>
      </c>
      <c r="H65" s="37" t="n">
        <v>1</v>
      </c>
      <c r="I65" s="37" t="n">
        <v>0</v>
      </c>
      <c r="J65" s="37" t="n">
        <v>4</v>
      </c>
      <c r="K65" s="16" t="n">
        <v>48</v>
      </c>
    </row>
    <row r="66">
      <c r="A66" s="30" t="n">
        <v>46302.88680555556</v>
      </c>
      <c r="B66" s="30" t="n">
        <v>46302.9</v>
      </c>
      <c r="C66" s="9" t="n">
        <v>46319</v>
      </c>
      <c r="D66" s="10" t="n">
        <v>0.84375</v>
      </c>
      <c r="E66" s="36" t="n">
        <v>1</v>
      </c>
      <c r="F66" s="36" t="n">
        <v>1</v>
      </c>
      <c r="G66" s="36" t="n">
        <v>0</v>
      </c>
      <c r="H66" s="36" t="n">
        <v>0</v>
      </c>
      <c r="I66" s="36" t="n">
        <v>0</v>
      </c>
      <c r="J66" s="36" t="n">
        <v>2</v>
      </c>
      <c r="K66" s="12" t="n">
        <v>24</v>
      </c>
    </row>
    <row r="67">
      <c r="A67" s="33" t="n">
        <v>46302.88680555556</v>
      </c>
      <c r="B67" s="33" t="n">
        <v>46302.9</v>
      </c>
      <c r="C67" s="13" t="n">
        <v>46319</v>
      </c>
      <c r="D67" s="14" t="n">
        <v>0.9270833333333334</v>
      </c>
      <c r="E67" s="37" t="n">
        <v>2</v>
      </c>
      <c r="F67" s="37" t="n">
        <v>1</v>
      </c>
      <c r="G67" s="37" t="n">
        <v>1</v>
      </c>
      <c r="H67" s="37" t="n">
        <v>0</v>
      </c>
      <c r="I67" s="37" t="n">
        <v>0</v>
      </c>
      <c r="J67" s="37" t="n">
        <v>5</v>
      </c>
      <c r="K67" s="16" t="n">
        <v>60</v>
      </c>
    </row>
    <row r="68">
      <c r="A68" s="30" t="n">
        <v>46302.91319444445</v>
      </c>
      <c r="B68" s="30" t="n">
        <v>46302.92777777778</v>
      </c>
      <c r="C68" s="9" t="n">
        <v>46318</v>
      </c>
      <c r="D68" s="10" t="n">
        <v>0.96875</v>
      </c>
      <c r="E68" s="36" t="n">
        <v>1</v>
      </c>
      <c r="F68" s="36" t="n">
        <v>0</v>
      </c>
      <c r="G68" s="36" t="n">
        <v>0</v>
      </c>
      <c r="H68" s="36" t="n">
        <v>1</v>
      </c>
      <c r="I68" s="36" t="n">
        <v>0</v>
      </c>
      <c r="J68" s="36" t="n">
        <v>4</v>
      </c>
      <c r="K68" s="12" t="n">
        <v>48</v>
      </c>
    </row>
    <row r="69">
      <c r="A69" s="33" t="n">
        <v>46302.94652777778</v>
      </c>
      <c r="B69" s="33" t="n">
        <v>46302.97083333333</v>
      </c>
      <c r="C69" s="13" t="n">
        <v>46318</v>
      </c>
      <c r="D69" s="14" t="n">
        <v>0.8854166666666666</v>
      </c>
      <c r="E69" s="37" t="n">
        <v>1</v>
      </c>
      <c r="F69" s="37" t="n">
        <v>0</v>
      </c>
      <c r="G69" s="37" t="n">
        <v>0</v>
      </c>
      <c r="H69" s="37" t="n">
        <v>0</v>
      </c>
      <c r="I69" s="37" t="n">
        <v>1</v>
      </c>
      <c r="J69" s="37" t="n">
        <v>5</v>
      </c>
      <c r="K69" s="16" t="n">
        <v>60</v>
      </c>
    </row>
    <row r="70">
      <c r="A70" s="30" t="n">
        <v>46302.94652777778</v>
      </c>
      <c r="B70" s="30" t="n">
        <v>46302.97083333333</v>
      </c>
      <c r="C70" s="9" t="n">
        <v>46318</v>
      </c>
      <c r="D70" s="10" t="n">
        <v>0.9270833333333334</v>
      </c>
      <c r="E70" s="36" t="n">
        <v>1</v>
      </c>
      <c r="F70" s="36" t="n">
        <v>0</v>
      </c>
      <c r="G70" s="36" t="n">
        <v>0</v>
      </c>
      <c r="H70" s="36" t="n">
        <v>1</v>
      </c>
      <c r="I70" s="36" t="n">
        <v>0</v>
      </c>
      <c r="J70" s="36" t="n">
        <v>4</v>
      </c>
      <c r="K70" s="12" t="n">
        <v>48</v>
      </c>
    </row>
    <row r="71">
      <c r="A71" s="33" t="n">
        <v>46302.97083333333</v>
      </c>
      <c r="B71" s="33" t="n">
        <v>46303.01180555556</v>
      </c>
      <c r="C71" s="13" t="n">
        <v>46318</v>
      </c>
      <c r="D71" s="14" t="n">
        <v>0.96875</v>
      </c>
      <c r="E71" s="37" t="n">
        <v>1</v>
      </c>
      <c r="F71" s="37" t="n">
        <v>1</v>
      </c>
      <c r="G71" s="37" t="n">
        <v>0</v>
      </c>
      <c r="H71" s="37" t="n">
        <v>0</v>
      </c>
      <c r="I71" s="37" t="n">
        <v>0</v>
      </c>
      <c r="J71" s="37" t="n">
        <v>2</v>
      </c>
      <c r="K71" s="16" t="n">
        <v>24</v>
      </c>
    </row>
    <row r="72">
      <c r="A72" s="30" t="n">
        <v>46303.26111111111</v>
      </c>
      <c r="B72" s="30" t="n">
        <v>46303.30277777778</v>
      </c>
      <c r="C72" s="9" t="n">
        <v>46326</v>
      </c>
      <c r="D72" s="10" t="n">
        <v>0.84375</v>
      </c>
      <c r="E72" s="36" t="n">
        <v>1</v>
      </c>
      <c r="F72" s="36" t="n">
        <v>1</v>
      </c>
      <c r="G72" s="36" t="n">
        <v>0</v>
      </c>
      <c r="H72" s="36" t="n">
        <v>0</v>
      </c>
      <c r="I72" s="36" t="n">
        <v>0</v>
      </c>
      <c r="J72" s="36" t="n">
        <v>2</v>
      </c>
      <c r="K72" s="12" t="n">
        <v>24</v>
      </c>
    </row>
    <row r="73">
      <c r="A73" s="33" t="n">
        <v>46303.30277777778</v>
      </c>
      <c r="B73" s="33" t="n">
        <v>46303.34861111111</v>
      </c>
      <c r="C73" s="13" t="n">
        <v>46326</v>
      </c>
      <c r="D73" s="14" t="n">
        <v>0.8854166666666666</v>
      </c>
      <c r="E73" s="37" t="n">
        <v>1</v>
      </c>
      <c r="F73" s="37" t="n">
        <v>1</v>
      </c>
      <c r="G73" s="37" t="n">
        <v>0</v>
      </c>
      <c r="H73" s="37" t="n">
        <v>0</v>
      </c>
      <c r="I73" s="37" t="n">
        <v>0</v>
      </c>
      <c r="J73" s="37" t="n">
        <v>2</v>
      </c>
      <c r="K73" s="16" t="n">
        <v>24</v>
      </c>
    </row>
    <row r="74">
      <c r="A74" s="30" t="n">
        <v>46303.38819444444</v>
      </c>
      <c r="B74" s="30" t="n">
        <v>46303.42222222222</v>
      </c>
      <c r="C74" s="9" t="n">
        <v>46319</v>
      </c>
      <c r="D74" s="10" t="n">
        <v>0.96875</v>
      </c>
      <c r="E74" s="36" t="n">
        <v>1</v>
      </c>
      <c r="F74" s="36" t="n">
        <v>0</v>
      </c>
      <c r="G74" s="36" t="n">
        <v>0</v>
      </c>
      <c r="H74" s="36" t="n">
        <v>0</v>
      </c>
      <c r="I74" s="36" t="n">
        <v>1</v>
      </c>
      <c r="J74" s="36" t="n">
        <v>5</v>
      </c>
      <c r="K74" s="12" t="n">
        <v>60</v>
      </c>
    </row>
    <row r="75">
      <c r="A75" s="33" t="n">
        <v>46303.38819444444</v>
      </c>
      <c r="B75" s="33" t="n">
        <v>46303.42222222222</v>
      </c>
      <c r="C75" s="13" t="n">
        <v>46325</v>
      </c>
      <c r="D75" s="14" t="n">
        <v>0.96875</v>
      </c>
      <c r="E75" s="37" t="n">
        <v>1</v>
      </c>
      <c r="F75" s="37" t="n">
        <v>0</v>
      </c>
      <c r="G75" s="37" t="n">
        <v>0</v>
      </c>
      <c r="H75" s="37" t="n">
        <v>1</v>
      </c>
      <c r="I75" s="37" t="n">
        <v>0</v>
      </c>
      <c r="J75" s="37" t="n">
        <v>4</v>
      </c>
      <c r="K75" s="16" t="n">
        <v>48</v>
      </c>
    </row>
    <row r="76">
      <c r="A76" s="30" t="n">
        <v>46303.42916666667</v>
      </c>
      <c r="B76" s="30" t="n">
        <v>46303.47013888889</v>
      </c>
      <c r="C76" s="9" t="n">
        <v>46319</v>
      </c>
      <c r="D76" s="10" t="n">
        <v>0.96875</v>
      </c>
      <c r="E76" s="36" t="n">
        <v>1</v>
      </c>
      <c r="F76" s="36" t="n">
        <v>0</v>
      </c>
      <c r="G76" s="36" t="n">
        <v>0</v>
      </c>
      <c r="H76" s="36" t="n">
        <v>0</v>
      </c>
      <c r="I76" s="36" t="n">
        <v>1</v>
      </c>
      <c r="J76" s="36" t="n">
        <v>5</v>
      </c>
      <c r="K76" s="12" t="n">
        <v>60</v>
      </c>
    </row>
    <row r="77">
      <c r="A77" s="33" t="n">
        <v>46303.42916666667</v>
      </c>
      <c r="B77" s="33" t="n">
        <v>46303.47013888889</v>
      </c>
      <c r="C77" s="13" t="n">
        <v>46320</v>
      </c>
      <c r="D77" s="14" t="n">
        <v>0.8854166666666666</v>
      </c>
      <c r="E77" s="37" t="n">
        <v>1</v>
      </c>
      <c r="F77" s="37" t="n">
        <v>0</v>
      </c>
      <c r="G77" s="37" t="n">
        <v>0</v>
      </c>
      <c r="H77" s="37" t="n">
        <v>1</v>
      </c>
      <c r="I77" s="37" t="n">
        <v>0</v>
      </c>
      <c r="J77" s="37" t="n">
        <v>4</v>
      </c>
      <c r="K77" s="16" t="n">
        <v>48</v>
      </c>
    </row>
    <row r="78">
      <c r="A78" s="30" t="n">
        <v>46303.47013888889</v>
      </c>
      <c r="B78" s="30" t="n">
        <v>46303.51527777778</v>
      </c>
      <c r="C78" s="9" t="n">
        <v>46318</v>
      </c>
      <c r="D78" s="10" t="n">
        <v>0.8854166666666666</v>
      </c>
      <c r="E78" s="36" t="n">
        <v>1</v>
      </c>
      <c r="F78" s="36" t="n">
        <v>0</v>
      </c>
      <c r="G78" s="36" t="n">
        <v>0</v>
      </c>
      <c r="H78" s="36" t="n">
        <v>1</v>
      </c>
      <c r="I78" s="36" t="n">
        <v>0</v>
      </c>
      <c r="J78" s="36" t="n">
        <v>4</v>
      </c>
      <c r="K78" s="12" t="n">
        <v>48</v>
      </c>
    </row>
    <row r="79">
      <c r="A79" s="33" t="n">
        <v>46303.47013888889</v>
      </c>
      <c r="B79" s="33" t="n">
        <v>46303.51527777778</v>
      </c>
      <c r="C79" s="13" t="n">
        <v>46324</v>
      </c>
      <c r="D79" s="14" t="n">
        <v>0.84375</v>
      </c>
      <c r="E79" s="37" t="n">
        <v>1</v>
      </c>
      <c r="F79" s="37" t="n">
        <v>1</v>
      </c>
      <c r="G79" s="37" t="n">
        <v>0</v>
      </c>
      <c r="H79" s="37" t="n">
        <v>0</v>
      </c>
      <c r="I79" s="37" t="n">
        <v>0</v>
      </c>
      <c r="J79" s="37" t="n">
        <v>2</v>
      </c>
      <c r="K79" s="16" t="n">
        <v>24</v>
      </c>
    </row>
    <row r="80">
      <c r="A80" s="30" t="n">
        <v>46303.47013888889</v>
      </c>
      <c r="B80" s="30" t="n">
        <v>46303.51527777778</v>
      </c>
      <c r="C80" s="9" t="n">
        <v>46326</v>
      </c>
      <c r="D80" s="10" t="n">
        <v>0.9270833333333334</v>
      </c>
      <c r="E80" s="36" t="n">
        <v>1</v>
      </c>
      <c r="F80" s="36" t="n">
        <v>0</v>
      </c>
      <c r="G80" s="36" t="n">
        <v>0</v>
      </c>
      <c r="H80" s="36" t="n">
        <v>1</v>
      </c>
      <c r="I80" s="36" t="n">
        <v>0</v>
      </c>
      <c r="J80" s="36" t="n">
        <v>4</v>
      </c>
      <c r="K80" s="12" t="n">
        <v>48</v>
      </c>
    </row>
    <row r="81">
      <c r="A81" s="33" t="n">
        <v>46303.51527777778</v>
      </c>
      <c r="B81" s="33" t="n">
        <v>46303.55277777778</v>
      </c>
      <c r="C81" s="13" t="n">
        <v>46318</v>
      </c>
      <c r="D81" s="14" t="n">
        <v>0.8854166666666666</v>
      </c>
      <c r="E81" s="37" t="n">
        <v>1</v>
      </c>
      <c r="F81" s="37" t="n">
        <v>1</v>
      </c>
      <c r="G81" s="37" t="n">
        <v>0</v>
      </c>
      <c r="H81" s="37" t="n">
        <v>0</v>
      </c>
      <c r="I81" s="37" t="n">
        <v>0</v>
      </c>
      <c r="J81" s="37" t="n">
        <v>2</v>
      </c>
      <c r="K81" s="16" t="n">
        <v>24</v>
      </c>
    </row>
    <row r="82">
      <c r="A82" s="30" t="n">
        <v>46303.51527777778</v>
      </c>
      <c r="B82" s="30" t="n">
        <v>46303.55277777778</v>
      </c>
      <c r="C82" s="9" t="n">
        <v>46318</v>
      </c>
      <c r="D82" s="10" t="n">
        <v>0.96875</v>
      </c>
      <c r="E82" s="36" t="n">
        <v>1</v>
      </c>
      <c r="F82" s="36" t="n">
        <v>0</v>
      </c>
      <c r="G82" s="36" t="n">
        <v>1</v>
      </c>
      <c r="H82" s="36" t="n">
        <v>0</v>
      </c>
      <c r="I82" s="36" t="n">
        <v>0</v>
      </c>
      <c r="J82" s="36" t="n">
        <v>3</v>
      </c>
      <c r="K82" s="12" t="n">
        <v>36</v>
      </c>
    </row>
    <row r="83">
      <c r="A83" s="33" t="n">
        <v>46303.51527777778</v>
      </c>
      <c r="B83" s="33" t="n">
        <v>46303.55277777778</v>
      </c>
      <c r="C83" s="13" t="n">
        <v>46320</v>
      </c>
      <c r="D83" s="14" t="n">
        <v>0.9993055555555556</v>
      </c>
      <c r="E83" s="37" t="n">
        <v>1</v>
      </c>
      <c r="F83" s="37" t="n">
        <v>1</v>
      </c>
      <c r="G83" s="37" t="n">
        <v>0</v>
      </c>
      <c r="H83" s="37" t="n">
        <v>0</v>
      </c>
      <c r="I83" s="37" t="n">
        <v>0</v>
      </c>
      <c r="J83" s="37" t="n">
        <v>2</v>
      </c>
      <c r="K83" s="16" t="n">
        <v>24</v>
      </c>
    </row>
    <row r="84">
      <c r="A84" s="30" t="n">
        <v>46303.59791666667</v>
      </c>
      <c r="B84" s="30" t="n">
        <v>46303.62291666667</v>
      </c>
      <c r="C84" s="9" t="n">
        <v>46325</v>
      </c>
      <c r="D84" s="10" t="n">
        <v>0.96875</v>
      </c>
      <c r="E84" s="36" t="n">
        <v>1</v>
      </c>
      <c r="F84" s="36" t="n">
        <v>1</v>
      </c>
      <c r="G84" s="36" t="n">
        <v>0</v>
      </c>
      <c r="H84" s="36" t="n">
        <v>0</v>
      </c>
      <c r="I84" s="36" t="n">
        <v>0</v>
      </c>
      <c r="J84" s="36" t="n">
        <v>2</v>
      </c>
      <c r="K84" s="12" t="n">
        <v>24</v>
      </c>
    </row>
    <row r="85">
      <c r="A85" s="33" t="n">
        <v>46303.69722222222</v>
      </c>
      <c r="B85" s="33" t="n">
        <v>46303.72013888889</v>
      </c>
      <c r="C85" s="13" t="n">
        <v>46318</v>
      </c>
      <c r="D85" s="14" t="n">
        <v>0.96875</v>
      </c>
      <c r="E85" s="37" t="n">
        <v>1</v>
      </c>
      <c r="F85" s="37" t="n">
        <v>1</v>
      </c>
      <c r="G85" s="37" t="n">
        <v>0</v>
      </c>
      <c r="H85" s="37" t="n">
        <v>0</v>
      </c>
      <c r="I85" s="37" t="n">
        <v>0</v>
      </c>
      <c r="J85" s="37" t="n">
        <v>2</v>
      </c>
      <c r="K85" s="16" t="n">
        <v>24</v>
      </c>
    </row>
    <row r="86">
      <c r="A86" s="30" t="n">
        <v>46303.72013888889</v>
      </c>
      <c r="B86" s="30" t="n">
        <v>46303.75416666667</v>
      </c>
      <c r="C86" s="9" t="n">
        <v>46318</v>
      </c>
      <c r="D86" s="10" t="n">
        <v>0.9270833333333334</v>
      </c>
      <c r="E86" s="36" t="n">
        <v>1</v>
      </c>
      <c r="F86" s="36" t="n">
        <v>0</v>
      </c>
      <c r="G86" s="36" t="n">
        <v>0</v>
      </c>
      <c r="H86" s="36" t="n">
        <v>0</v>
      </c>
      <c r="I86" s="36" t="n">
        <v>1</v>
      </c>
      <c r="J86" s="36" t="n">
        <v>5</v>
      </c>
      <c r="K86" s="12" t="n">
        <v>60</v>
      </c>
    </row>
    <row r="87">
      <c r="A87" s="33" t="n">
        <v>46303.72013888889</v>
      </c>
      <c r="B87" s="33" t="n">
        <v>46303.75416666667</v>
      </c>
      <c r="C87" s="13" t="n">
        <v>46320</v>
      </c>
      <c r="D87" s="14" t="n">
        <v>0.8854166666666666</v>
      </c>
      <c r="E87" s="37" t="n">
        <v>1</v>
      </c>
      <c r="F87" s="37" t="n">
        <v>0</v>
      </c>
      <c r="G87" s="37" t="n">
        <v>0</v>
      </c>
      <c r="H87" s="37" t="n">
        <v>1</v>
      </c>
      <c r="I87" s="37" t="n">
        <v>0</v>
      </c>
      <c r="J87" s="37" t="n">
        <v>4</v>
      </c>
      <c r="K87" s="16" t="n">
        <v>48</v>
      </c>
    </row>
    <row r="88">
      <c r="A88" s="30" t="n">
        <v>46303.72013888889</v>
      </c>
      <c r="B88" s="30" t="n">
        <v>46303.75416666667</v>
      </c>
      <c r="C88" s="9" t="n">
        <v>46324</v>
      </c>
      <c r="D88" s="10" t="n">
        <v>0.96875</v>
      </c>
      <c r="E88" s="36" t="n">
        <v>1</v>
      </c>
      <c r="F88" s="36" t="n">
        <v>0</v>
      </c>
      <c r="G88" s="36" t="n">
        <v>0</v>
      </c>
      <c r="H88" s="36" t="n">
        <v>1</v>
      </c>
      <c r="I88" s="36" t="n">
        <v>0</v>
      </c>
      <c r="J88" s="36" t="n">
        <v>4</v>
      </c>
      <c r="K88" s="12" t="n">
        <v>48</v>
      </c>
    </row>
    <row r="89">
      <c r="A89" s="33" t="n">
        <v>46303.78680555556</v>
      </c>
      <c r="B89" s="33" t="n">
        <v>46303.80277777778</v>
      </c>
      <c r="C89" s="13" t="n">
        <v>46318</v>
      </c>
      <c r="D89" s="14" t="n">
        <v>0.96875</v>
      </c>
      <c r="E89" s="37" t="n">
        <v>1</v>
      </c>
      <c r="F89" s="37" t="n">
        <v>0</v>
      </c>
      <c r="G89" s="37" t="n">
        <v>1</v>
      </c>
      <c r="H89" s="37" t="n">
        <v>0</v>
      </c>
      <c r="I89" s="37" t="n">
        <v>0</v>
      </c>
      <c r="J89" s="37" t="n">
        <v>3</v>
      </c>
      <c r="K89" s="16" t="n">
        <v>36</v>
      </c>
    </row>
    <row r="90">
      <c r="A90" s="30" t="n">
        <v>46303.78680555556</v>
      </c>
      <c r="B90" s="30" t="n">
        <v>46303.80277777778</v>
      </c>
      <c r="C90" s="9" t="n">
        <v>46319</v>
      </c>
      <c r="D90" s="10" t="n">
        <v>0.9270833333333334</v>
      </c>
      <c r="E90" s="36" t="n">
        <v>1</v>
      </c>
      <c r="F90" s="36" t="n">
        <v>0</v>
      </c>
      <c r="G90" s="36" t="n">
        <v>0</v>
      </c>
      <c r="H90" s="36" t="n">
        <v>1</v>
      </c>
      <c r="I90" s="36" t="n">
        <v>0</v>
      </c>
      <c r="J90" s="36" t="n">
        <v>4</v>
      </c>
      <c r="K90" s="12" t="n">
        <v>48</v>
      </c>
    </row>
    <row r="91">
      <c r="A91" s="33" t="n">
        <v>46303.81805555556</v>
      </c>
      <c r="B91" s="33" t="n">
        <v>46303.84583333333</v>
      </c>
      <c r="C91" s="13" t="n">
        <v>46326</v>
      </c>
      <c r="D91" s="14" t="n">
        <v>0.84375</v>
      </c>
      <c r="E91" s="37" t="n">
        <v>1</v>
      </c>
      <c r="F91" s="37" t="n">
        <v>0</v>
      </c>
      <c r="G91" s="37" t="n">
        <v>0</v>
      </c>
      <c r="H91" s="37" t="n">
        <v>0</v>
      </c>
      <c r="I91" s="37" t="n">
        <v>1</v>
      </c>
      <c r="J91" s="37" t="n">
        <v>5</v>
      </c>
      <c r="K91" s="16" t="n">
        <v>60</v>
      </c>
    </row>
    <row r="92">
      <c r="A92" s="30" t="n">
        <v>46303.84583333333</v>
      </c>
      <c r="B92" s="30" t="n">
        <v>46303.85694444444</v>
      </c>
      <c r="C92" s="9" t="n">
        <v>46318</v>
      </c>
      <c r="D92" s="10" t="n">
        <v>0.9270833333333334</v>
      </c>
      <c r="E92" s="36" t="n">
        <v>1</v>
      </c>
      <c r="F92" s="36" t="n">
        <v>0</v>
      </c>
      <c r="G92" s="36" t="n">
        <v>0</v>
      </c>
      <c r="H92" s="36" t="n">
        <v>1</v>
      </c>
      <c r="I92" s="36" t="n">
        <v>0</v>
      </c>
      <c r="J92" s="36" t="n">
        <v>4</v>
      </c>
      <c r="K92" s="12" t="n">
        <v>48</v>
      </c>
    </row>
    <row r="93">
      <c r="A93" s="33" t="n">
        <v>46303.85694444444</v>
      </c>
      <c r="B93" s="33" t="n">
        <v>46303.88611111111</v>
      </c>
      <c r="C93" s="13" t="n">
        <v>46318</v>
      </c>
      <c r="D93" s="14" t="n">
        <v>0.9270833333333334</v>
      </c>
      <c r="E93" s="37" t="n">
        <v>1</v>
      </c>
      <c r="F93" s="37" t="n">
        <v>1</v>
      </c>
      <c r="G93" s="37" t="n">
        <v>0</v>
      </c>
      <c r="H93" s="37" t="n">
        <v>0</v>
      </c>
      <c r="I93" s="37" t="n">
        <v>0</v>
      </c>
      <c r="J93" s="37" t="n">
        <v>2</v>
      </c>
      <c r="K93" s="16" t="n">
        <v>24</v>
      </c>
    </row>
    <row r="94">
      <c r="A94" s="30" t="n">
        <v>46303.85694444444</v>
      </c>
      <c r="B94" s="30" t="n">
        <v>46303.88611111111</v>
      </c>
      <c r="C94" s="9" t="n">
        <v>46318</v>
      </c>
      <c r="D94" s="10" t="n">
        <v>0.96875</v>
      </c>
      <c r="E94" s="36" t="n">
        <v>1</v>
      </c>
      <c r="F94" s="36" t="n">
        <v>1</v>
      </c>
      <c r="G94" s="36" t="n">
        <v>0</v>
      </c>
      <c r="H94" s="36" t="n">
        <v>0</v>
      </c>
      <c r="I94" s="36" t="n">
        <v>0</v>
      </c>
      <c r="J94" s="36" t="n">
        <v>2</v>
      </c>
      <c r="K94" s="12" t="n">
        <v>24</v>
      </c>
    </row>
    <row r="95">
      <c r="A95" s="33" t="n">
        <v>46303.88611111111</v>
      </c>
      <c r="B95" s="33" t="n">
        <v>46303.90555555555</v>
      </c>
      <c r="C95" s="13" t="n">
        <v>46318</v>
      </c>
      <c r="D95" s="14" t="n">
        <v>0.9986111111111111</v>
      </c>
      <c r="E95" s="37" t="n">
        <v>2</v>
      </c>
      <c r="F95" s="37" t="n">
        <v>0</v>
      </c>
      <c r="G95" s="37" t="n">
        <v>2</v>
      </c>
      <c r="H95" s="37" t="n">
        <v>0</v>
      </c>
      <c r="I95" s="37" t="n">
        <v>0</v>
      </c>
      <c r="J95" s="37" t="n">
        <v>6</v>
      </c>
      <c r="K95" s="16" t="n">
        <v>72</v>
      </c>
    </row>
    <row r="96">
      <c r="A96" s="30" t="n">
        <v>46303.88611111111</v>
      </c>
      <c r="B96" s="30" t="n">
        <v>46303.90555555555</v>
      </c>
      <c r="C96" s="9" t="n">
        <v>46324</v>
      </c>
      <c r="D96" s="10" t="n">
        <v>0.9270833333333334</v>
      </c>
      <c r="E96" s="36" t="n">
        <v>1</v>
      </c>
      <c r="F96" s="36" t="n">
        <v>1</v>
      </c>
      <c r="G96" s="36" t="n">
        <v>0</v>
      </c>
      <c r="H96" s="36" t="n">
        <v>0</v>
      </c>
      <c r="I96" s="36" t="n">
        <v>0</v>
      </c>
      <c r="J96" s="36" t="n">
        <v>2</v>
      </c>
      <c r="K96" s="12" t="n">
        <v>24</v>
      </c>
    </row>
    <row r="97">
      <c r="A97" s="33" t="n">
        <v>46303.88611111111</v>
      </c>
      <c r="B97" s="33" t="n">
        <v>46303.90555555555</v>
      </c>
      <c r="C97" s="13" t="n">
        <v>46324</v>
      </c>
      <c r="D97" s="14" t="n">
        <v>0.96875</v>
      </c>
      <c r="E97" s="37" t="n">
        <v>2</v>
      </c>
      <c r="F97" s="37" t="n">
        <v>0</v>
      </c>
      <c r="G97" s="37" t="n">
        <v>0</v>
      </c>
      <c r="H97" s="37" t="n">
        <v>1</v>
      </c>
      <c r="I97" s="37" t="n">
        <v>1</v>
      </c>
      <c r="J97" s="37" t="n">
        <v>9</v>
      </c>
      <c r="K97" s="16" t="n">
        <v>108</v>
      </c>
    </row>
    <row r="98">
      <c r="A98" s="30" t="n">
        <v>46303.88611111111</v>
      </c>
      <c r="B98" s="30" t="n">
        <v>46303.90555555555</v>
      </c>
      <c r="C98" s="9" t="n">
        <v>46326</v>
      </c>
      <c r="D98" s="10" t="n">
        <v>0.9270833333333334</v>
      </c>
      <c r="E98" s="36" t="n">
        <v>1</v>
      </c>
      <c r="F98" s="36" t="n">
        <v>0</v>
      </c>
      <c r="G98" s="36" t="n">
        <v>0</v>
      </c>
      <c r="H98" s="36" t="n">
        <v>1</v>
      </c>
      <c r="I98" s="36" t="n">
        <v>0</v>
      </c>
      <c r="J98" s="36" t="n">
        <v>4</v>
      </c>
      <c r="K98" s="12" t="n">
        <v>48</v>
      </c>
    </row>
    <row r="99">
      <c r="A99" s="33" t="n">
        <v>46303.90555555555</v>
      </c>
      <c r="B99" s="33" t="n">
        <v>46303.92847222222</v>
      </c>
      <c r="C99" s="13" t="n">
        <v>46319</v>
      </c>
      <c r="D99" s="14" t="n">
        <v>0.9270833333333334</v>
      </c>
      <c r="E99" s="37" t="n">
        <v>1</v>
      </c>
      <c r="F99" s="37" t="n">
        <v>1</v>
      </c>
      <c r="G99" s="37" t="n">
        <v>0</v>
      </c>
      <c r="H99" s="37" t="n">
        <v>0</v>
      </c>
      <c r="I99" s="37" t="n">
        <v>0</v>
      </c>
      <c r="J99" s="37" t="n">
        <v>2</v>
      </c>
      <c r="K99" s="16" t="n">
        <v>24</v>
      </c>
    </row>
    <row r="100">
      <c r="A100" s="30" t="n">
        <v>46303.90555555555</v>
      </c>
      <c r="B100" s="30" t="n">
        <v>46303.92847222222</v>
      </c>
      <c r="C100" s="9" t="n">
        <v>46325</v>
      </c>
      <c r="D100" s="10" t="n">
        <v>0.9993055555555556</v>
      </c>
      <c r="E100" s="36" t="n">
        <v>1</v>
      </c>
      <c r="F100" s="36" t="n">
        <v>1</v>
      </c>
      <c r="G100" s="36" t="n">
        <v>0</v>
      </c>
      <c r="H100" s="36" t="n">
        <v>0</v>
      </c>
      <c r="I100" s="36" t="n">
        <v>0</v>
      </c>
      <c r="J100" s="36" t="n">
        <v>2</v>
      </c>
      <c r="K100" s="12" t="n">
        <v>24</v>
      </c>
    </row>
    <row r="101">
      <c r="A101" s="33" t="n">
        <v>46303.90555555555</v>
      </c>
      <c r="B101" s="33" t="n">
        <v>46303.92847222222</v>
      </c>
      <c r="C101" s="13" t="n">
        <v>46327</v>
      </c>
      <c r="D101" s="14" t="n">
        <v>0.84375</v>
      </c>
      <c r="E101" s="37" t="n">
        <v>1</v>
      </c>
      <c r="F101" s="37" t="n">
        <v>0</v>
      </c>
      <c r="G101" s="37" t="n">
        <v>0</v>
      </c>
      <c r="H101" s="37" t="n">
        <v>1</v>
      </c>
      <c r="I101" s="37" t="n">
        <v>0</v>
      </c>
      <c r="J101" s="37" t="n">
        <v>4</v>
      </c>
      <c r="K101" s="16" t="n">
        <v>48</v>
      </c>
    </row>
    <row r="102">
      <c r="A102" s="30" t="n">
        <v>46303.92847222222</v>
      </c>
      <c r="B102" s="30" t="n">
        <v>46303.95555555556</v>
      </c>
      <c r="C102" s="9" t="n">
        <v>46318</v>
      </c>
      <c r="D102" s="10" t="n">
        <v>0.9270833333333334</v>
      </c>
      <c r="E102" s="36" t="n">
        <v>1</v>
      </c>
      <c r="F102" s="36" t="n">
        <v>1</v>
      </c>
      <c r="G102" s="36" t="n">
        <v>0</v>
      </c>
      <c r="H102" s="36" t="n">
        <v>0</v>
      </c>
      <c r="I102" s="36" t="n">
        <v>0</v>
      </c>
      <c r="J102" s="36" t="n">
        <v>2</v>
      </c>
      <c r="K102" s="12" t="n">
        <v>24</v>
      </c>
    </row>
    <row r="103">
      <c r="A103" s="33" t="n">
        <v>46303.92847222222</v>
      </c>
      <c r="B103" s="33" t="n">
        <v>46303.95555555556</v>
      </c>
      <c r="C103" s="13" t="n">
        <v>46318</v>
      </c>
      <c r="D103" s="14" t="n">
        <v>0.96875</v>
      </c>
      <c r="E103" s="37" t="n">
        <v>1</v>
      </c>
      <c r="F103" s="37" t="n">
        <v>0</v>
      </c>
      <c r="G103" s="37" t="n">
        <v>0</v>
      </c>
      <c r="H103" s="37" t="n">
        <v>1</v>
      </c>
      <c r="I103" s="37" t="n">
        <v>0</v>
      </c>
      <c r="J103" s="37" t="n">
        <v>4</v>
      </c>
      <c r="K103" s="16" t="n">
        <v>48</v>
      </c>
    </row>
    <row r="104">
      <c r="A104" s="30" t="n">
        <v>46303.95555555556</v>
      </c>
      <c r="B104" s="30" t="n">
        <v>46303.96944444445</v>
      </c>
      <c r="C104" s="9" t="n">
        <v>46318</v>
      </c>
      <c r="D104" s="10" t="n">
        <v>0.96875</v>
      </c>
      <c r="E104" s="36" t="n">
        <v>-1</v>
      </c>
      <c r="F104" s="36" t="n">
        <v>0</v>
      </c>
      <c r="G104" s="36" t="n">
        <v>0</v>
      </c>
      <c r="H104" s="36" t="n">
        <v>-1</v>
      </c>
      <c r="I104" s="36" t="n">
        <v>0</v>
      </c>
      <c r="J104" s="36" t="n">
        <v>-4</v>
      </c>
      <c r="K104" s="12" t="n">
        <v>-48</v>
      </c>
    </row>
    <row r="105">
      <c r="A105" s="33" t="n">
        <v>46303.95555555556</v>
      </c>
      <c r="B105" s="33" t="n">
        <v>46303.96944444445</v>
      </c>
      <c r="C105" s="13" t="n">
        <v>46324</v>
      </c>
      <c r="D105" s="14" t="n">
        <v>0.9270833333333334</v>
      </c>
      <c r="E105" s="37" t="n">
        <v>1</v>
      </c>
      <c r="F105" s="37" t="n">
        <v>0</v>
      </c>
      <c r="G105" s="37" t="n">
        <v>0</v>
      </c>
      <c r="H105" s="37" t="n">
        <v>1</v>
      </c>
      <c r="I105" s="37" t="n">
        <v>0</v>
      </c>
      <c r="J105" s="37" t="n">
        <v>4</v>
      </c>
      <c r="K105" s="16" t="n">
        <v>48</v>
      </c>
    </row>
    <row r="106">
      <c r="A106" s="30" t="n">
        <v>46303.96944444445</v>
      </c>
      <c r="B106" s="30" t="n">
        <v>46303.99236111111</v>
      </c>
      <c r="C106" s="9" t="n">
        <v>46324</v>
      </c>
      <c r="D106" s="10" t="n">
        <v>0.9270833333333334</v>
      </c>
      <c r="E106" s="36" t="n">
        <v>1</v>
      </c>
      <c r="F106" s="36" t="n">
        <v>1</v>
      </c>
      <c r="G106" s="36" t="n">
        <v>0</v>
      </c>
      <c r="H106" s="36" t="n">
        <v>0</v>
      </c>
      <c r="I106" s="36" t="n">
        <v>0</v>
      </c>
      <c r="J106" s="36" t="n">
        <v>2</v>
      </c>
      <c r="K106" s="12" t="n">
        <v>24</v>
      </c>
    </row>
    <row r="107">
      <c r="A107" s="33" t="n">
        <v>46303.99930555555</v>
      </c>
      <c r="B107" s="33" t="n">
        <v>46304.01041666666</v>
      </c>
      <c r="C107" s="13" t="n">
        <v>46318</v>
      </c>
      <c r="D107" s="14" t="n">
        <v>0.9270833333333334</v>
      </c>
      <c r="E107" s="37" t="n">
        <v>1</v>
      </c>
      <c r="F107" s="37" t="n">
        <v>0</v>
      </c>
      <c r="G107" s="37" t="n">
        <v>0</v>
      </c>
      <c r="H107" s="37" t="n">
        <v>1</v>
      </c>
      <c r="I107" s="37" t="n">
        <v>0</v>
      </c>
      <c r="J107" s="37" t="n">
        <v>4</v>
      </c>
      <c r="K107" s="16" t="n">
        <v>48</v>
      </c>
    </row>
    <row r="108">
      <c r="A108" s="30" t="n">
        <v>46304.30208333334</v>
      </c>
      <c r="B108" s="30" t="n">
        <v>46304.34791666667</v>
      </c>
      <c r="C108" s="9" t="n">
        <v>46318</v>
      </c>
      <c r="D108" s="10" t="n">
        <v>0.9270833333333334</v>
      </c>
      <c r="E108" s="36" t="n">
        <v>1</v>
      </c>
      <c r="F108" s="36" t="n">
        <v>0</v>
      </c>
      <c r="G108" s="36" t="n">
        <v>0</v>
      </c>
      <c r="H108" s="36" t="n">
        <v>1</v>
      </c>
      <c r="I108" s="36" t="n">
        <v>0</v>
      </c>
      <c r="J108" s="36" t="n">
        <v>4</v>
      </c>
      <c r="K108" s="12" t="n">
        <v>48</v>
      </c>
    </row>
    <row r="109">
      <c r="A109" s="33" t="n">
        <v>46304.47083333333</v>
      </c>
      <c r="B109" s="33" t="n">
        <v>46304.51180555556</v>
      </c>
      <c r="C109" s="13" t="n">
        <v>46326</v>
      </c>
      <c r="D109" s="14" t="n">
        <v>0.9270833333333334</v>
      </c>
      <c r="E109" s="37" t="n">
        <v>1</v>
      </c>
      <c r="F109" s="37" t="n">
        <v>1</v>
      </c>
      <c r="G109" s="37" t="n">
        <v>0</v>
      </c>
      <c r="H109" s="37" t="n">
        <v>0</v>
      </c>
      <c r="I109" s="37" t="n">
        <v>0</v>
      </c>
      <c r="J109" s="37" t="n">
        <v>2</v>
      </c>
      <c r="K109" s="16" t="n">
        <v>24</v>
      </c>
    </row>
    <row r="110">
      <c r="A110" s="30" t="n">
        <v>46304.54305555556</v>
      </c>
      <c r="B110" s="30" t="n">
        <v>46304.55277777778</v>
      </c>
      <c r="C110" s="9" t="n">
        <v>46318</v>
      </c>
      <c r="D110" s="10" t="n">
        <v>0.96875</v>
      </c>
      <c r="E110" s="36" t="n">
        <v>1</v>
      </c>
      <c r="F110" s="36" t="n">
        <v>0</v>
      </c>
      <c r="G110" s="36" t="n">
        <v>0</v>
      </c>
      <c r="H110" s="36" t="n">
        <v>1</v>
      </c>
      <c r="I110" s="36" t="n">
        <v>0</v>
      </c>
      <c r="J110" s="36" t="n">
        <v>4</v>
      </c>
      <c r="K110" s="12" t="n">
        <v>48</v>
      </c>
    </row>
    <row r="111">
      <c r="A111" s="33" t="n">
        <v>46304.55277777778</v>
      </c>
      <c r="B111" s="33" t="n">
        <v>46304.59652777778</v>
      </c>
      <c r="C111" s="13" t="n">
        <v>46318</v>
      </c>
      <c r="D111" s="14" t="n">
        <v>0.96875</v>
      </c>
      <c r="E111" s="37" t="n">
        <v>1</v>
      </c>
      <c r="F111" s="37" t="n">
        <v>1</v>
      </c>
      <c r="G111" s="37" t="n">
        <v>0</v>
      </c>
      <c r="H111" s="37" t="n">
        <v>0</v>
      </c>
      <c r="I111" s="37" t="n">
        <v>0</v>
      </c>
      <c r="J111" s="37" t="n">
        <v>2</v>
      </c>
      <c r="K111" s="16" t="n">
        <v>24</v>
      </c>
    </row>
    <row r="112">
      <c r="A112" s="30" t="n">
        <v>46304.59652777778</v>
      </c>
      <c r="B112" s="30" t="n">
        <v>46304.62291666667</v>
      </c>
      <c r="C112" s="9" t="n">
        <v>46318</v>
      </c>
      <c r="D112" s="10" t="n">
        <v>0.9986111111111111</v>
      </c>
      <c r="E112" s="36" t="n">
        <v>-1</v>
      </c>
      <c r="F112" s="36" t="n">
        <v>0</v>
      </c>
      <c r="G112" s="36" t="n">
        <v>-1</v>
      </c>
      <c r="H112" s="36" t="n">
        <v>0</v>
      </c>
      <c r="I112" s="36" t="n">
        <v>0</v>
      </c>
      <c r="J112" s="36" t="n">
        <v>-3</v>
      </c>
      <c r="K112" s="12" t="n">
        <v>-36</v>
      </c>
    </row>
    <row r="113">
      <c r="A113" s="33" t="n">
        <v>46304.59652777778</v>
      </c>
      <c r="B113" s="33" t="n">
        <v>46304.62291666667</v>
      </c>
      <c r="C113" s="13" t="n">
        <v>46319</v>
      </c>
      <c r="D113" s="14" t="n">
        <v>0.84375</v>
      </c>
      <c r="E113" s="37" t="n">
        <v>1</v>
      </c>
      <c r="F113" s="37" t="n">
        <v>1</v>
      </c>
      <c r="G113" s="37" t="n">
        <v>0</v>
      </c>
      <c r="H113" s="37" t="n">
        <v>0</v>
      </c>
      <c r="I113" s="37" t="n">
        <v>0</v>
      </c>
      <c r="J113" s="37" t="n">
        <v>2</v>
      </c>
      <c r="K113" s="16" t="n">
        <v>24</v>
      </c>
    </row>
    <row r="114">
      <c r="A114" s="30" t="n">
        <v>46304.62291666667</v>
      </c>
      <c r="B114" s="30" t="n">
        <v>46304.64097222222</v>
      </c>
      <c r="C114" s="9" t="n">
        <v>46319</v>
      </c>
      <c r="D114" s="10" t="n">
        <v>0.96875</v>
      </c>
      <c r="E114" s="36" t="n">
        <v>1</v>
      </c>
      <c r="F114" s="36" t="n">
        <v>1</v>
      </c>
      <c r="G114" s="36" t="n">
        <v>0</v>
      </c>
      <c r="H114" s="36" t="n">
        <v>0</v>
      </c>
      <c r="I114" s="36" t="n">
        <v>0</v>
      </c>
      <c r="J114" s="36" t="n">
        <v>2</v>
      </c>
      <c r="K114" s="12" t="n">
        <v>24</v>
      </c>
    </row>
    <row r="115">
      <c r="A115" s="33" t="n">
        <v>46304.64097222222</v>
      </c>
      <c r="B115" s="33" t="n">
        <v>46304.67986111111</v>
      </c>
      <c r="C115" s="13" t="n">
        <v>46326</v>
      </c>
      <c r="D115" s="14" t="n">
        <v>0.96875</v>
      </c>
      <c r="E115" s="37" t="n">
        <v>1</v>
      </c>
      <c r="F115" s="37" t="n">
        <v>0</v>
      </c>
      <c r="G115" s="37" t="n">
        <v>0</v>
      </c>
      <c r="H115" s="37" t="n">
        <v>1</v>
      </c>
      <c r="I115" s="37" t="n">
        <v>0</v>
      </c>
      <c r="J115" s="37" t="n">
        <v>4</v>
      </c>
      <c r="K115" s="16" t="n">
        <v>48</v>
      </c>
    </row>
    <row r="116">
      <c r="A116" s="30" t="n">
        <v>46304.71944444445</v>
      </c>
      <c r="B116" s="30" t="n">
        <v>46304.75347222222</v>
      </c>
      <c r="C116" s="9" t="n">
        <v>46318</v>
      </c>
      <c r="D116" s="10" t="n">
        <v>0.8854166666666666</v>
      </c>
      <c r="E116" s="36" t="n">
        <v>1</v>
      </c>
      <c r="F116" s="36" t="n">
        <v>0</v>
      </c>
      <c r="G116" s="36" t="n">
        <v>1</v>
      </c>
      <c r="H116" s="36" t="n">
        <v>0</v>
      </c>
      <c r="I116" s="36" t="n">
        <v>0</v>
      </c>
      <c r="J116" s="36" t="n">
        <v>3</v>
      </c>
      <c r="K116" s="12" t="n">
        <v>36</v>
      </c>
    </row>
    <row r="117">
      <c r="A117" s="33" t="n">
        <v>46304.71944444445</v>
      </c>
      <c r="B117" s="33" t="n">
        <v>46304.75347222222</v>
      </c>
      <c r="C117" s="13" t="n">
        <v>46325</v>
      </c>
      <c r="D117" s="14" t="n">
        <v>0.9993055555555556</v>
      </c>
      <c r="E117" s="37" t="n">
        <v>2</v>
      </c>
      <c r="F117" s="37" t="n">
        <v>2</v>
      </c>
      <c r="G117" s="37" t="n">
        <v>0</v>
      </c>
      <c r="H117" s="37" t="n">
        <v>0</v>
      </c>
      <c r="I117" s="37" t="n">
        <v>0</v>
      </c>
      <c r="J117" s="37" t="n">
        <v>4</v>
      </c>
      <c r="K117" s="16" t="n">
        <v>48</v>
      </c>
    </row>
    <row r="118">
      <c r="A118" s="30" t="n">
        <v>46304.79513888889</v>
      </c>
      <c r="B118" s="30" t="n">
        <v>46304.80138888889</v>
      </c>
      <c r="C118" s="9" t="n">
        <v>46325</v>
      </c>
      <c r="D118" s="10" t="n">
        <v>0.96875</v>
      </c>
      <c r="E118" s="36" t="n">
        <v>1</v>
      </c>
      <c r="F118" s="36" t="n">
        <v>1</v>
      </c>
      <c r="G118" s="36" t="n">
        <v>0</v>
      </c>
      <c r="H118" s="36" t="n">
        <v>0</v>
      </c>
      <c r="I118" s="36" t="n">
        <v>0</v>
      </c>
      <c r="J118" s="36" t="n">
        <v>2</v>
      </c>
      <c r="K118" s="12" t="n">
        <v>24</v>
      </c>
    </row>
    <row r="119">
      <c r="A119" s="33" t="n">
        <v>46304.80138888889</v>
      </c>
      <c r="B119" s="33" t="n">
        <v>46304.81944444445</v>
      </c>
      <c r="C119" s="13" t="n">
        <v>46326</v>
      </c>
      <c r="D119" s="14" t="n">
        <v>0.96875</v>
      </c>
      <c r="E119" s="37" t="n">
        <v>2</v>
      </c>
      <c r="F119" s="37" t="n">
        <v>1</v>
      </c>
      <c r="G119" s="37" t="n">
        <v>0</v>
      </c>
      <c r="H119" s="37" t="n">
        <v>1</v>
      </c>
      <c r="I119" s="37" t="n">
        <v>0</v>
      </c>
      <c r="J119" s="37" t="n">
        <v>6</v>
      </c>
      <c r="K119" s="16" t="n">
        <v>72</v>
      </c>
    </row>
    <row r="120">
      <c r="A120" s="30" t="n">
        <v>46304.88472222222</v>
      </c>
      <c r="B120" s="30" t="n">
        <v>46304.90277777778</v>
      </c>
      <c r="C120" s="9" t="n">
        <v>46318</v>
      </c>
      <c r="D120" s="10" t="n">
        <v>0.9986111111111111</v>
      </c>
      <c r="E120" s="36" t="n">
        <v>1</v>
      </c>
      <c r="F120" s="36" t="n">
        <v>0</v>
      </c>
      <c r="G120" s="36" t="n">
        <v>0</v>
      </c>
      <c r="H120" s="36" t="n">
        <v>1</v>
      </c>
      <c r="I120" s="36" t="n">
        <v>0</v>
      </c>
      <c r="J120" s="36" t="n">
        <v>4</v>
      </c>
      <c r="K120" s="12" t="n">
        <v>48</v>
      </c>
    </row>
    <row r="121">
      <c r="A121" s="33" t="n">
        <v>46304.88472222222</v>
      </c>
      <c r="B121" s="33" t="n">
        <v>46304.90277777778</v>
      </c>
      <c r="C121" s="13" t="n">
        <v>46319</v>
      </c>
      <c r="D121" s="14" t="n">
        <v>0.96875</v>
      </c>
      <c r="E121" s="37" t="n">
        <v>1</v>
      </c>
      <c r="F121" s="37" t="n">
        <v>1</v>
      </c>
      <c r="G121" s="37" t="n">
        <v>0</v>
      </c>
      <c r="H121" s="37" t="n">
        <v>0</v>
      </c>
      <c r="I121" s="37" t="n">
        <v>0</v>
      </c>
      <c r="J121" s="37" t="n">
        <v>2</v>
      </c>
      <c r="K121" s="16" t="n">
        <v>24</v>
      </c>
    </row>
    <row r="122">
      <c r="A122" s="30" t="n">
        <v>46304.90277777778</v>
      </c>
      <c r="B122" s="30" t="n">
        <v>46304.92708333334</v>
      </c>
      <c r="C122" s="9" t="n">
        <v>46319</v>
      </c>
      <c r="D122" s="10" t="n">
        <v>0.9993055555555556</v>
      </c>
      <c r="E122" s="36" t="n">
        <v>1</v>
      </c>
      <c r="F122" s="36" t="n">
        <v>0</v>
      </c>
      <c r="G122" s="36" t="n">
        <v>0</v>
      </c>
      <c r="H122" s="36" t="n">
        <v>1</v>
      </c>
      <c r="I122" s="36" t="n">
        <v>0</v>
      </c>
      <c r="J122" s="36" t="n">
        <v>4</v>
      </c>
      <c r="K122" s="12" t="n">
        <v>48</v>
      </c>
    </row>
    <row r="123">
      <c r="A123" s="33" t="n">
        <v>46304.92708333334</v>
      </c>
      <c r="B123" s="33" t="n">
        <v>46304.97013888889</v>
      </c>
      <c r="C123" s="13" t="n">
        <v>46319</v>
      </c>
      <c r="D123" s="14" t="n">
        <v>0.96875</v>
      </c>
      <c r="E123" s="37" t="n">
        <v>2</v>
      </c>
      <c r="F123" s="37" t="n">
        <v>0</v>
      </c>
      <c r="G123" s="37" t="n">
        <v>0</v>
      </c>
      <c r="H123" s="37" t="n">
        <v>2</v>
      </c>
      <c r="I123" s="37" t="n">
        <v>0</v>
      </c>
      <c r="J123" s="37" t="n">
        <v>8</v>
      </c>
      <c r="K123" s="16" t="n">
        <v>96</v>
      </c>
    </row>
    <row r="124">
      <c r="A124" s="30" t="n">
        <v>46304.92708333334</v>
      </c>
      <c r="B124" s="30" t="n">
        <v>46304.97013888889</v>
      </c>
      <c r="C124" s="9" t="n">
        <v>46319</v>
      </c>
      <c r="D124" s="10" t="n">
        <v>0.9993055555555556</v>
      </c>
      <c r="E124" s="36" t="n">
        <v>2</v>
      </c>
      <c r="F124" s="36" t="n">
        <v>1</v>
      </c>
      <c r="G124" s="36" t="n">
        <v>0</v>
      </c>
      <c r="H124" s="36" t="n">
        <v>1</v>
      </c>
      <c r="I124" s="36" t="n">
        <v>0</v>
      </c>
      <c r="J124" s="36" t="n">
        <v>6</v>
      </c>
      <c r="K124" s="12" t="n">
        <v>72</v>
      </c>
    </row>
    <row r="125">
      <c r="A125" s="33" t="n">
        <v>46304.92708333334</v>
      </c>
      <c r="B125" s="33" t="n">
        <v>46304.97013888889</v>
      </c>
      <c r="C125" s="13" t="n">
        <v>46325</v>
      </c>
      <c r="D125" s="14" t="n">
        <v>0.9270833333333334</v>
      </c>
      <c r="E125" s="37" t="n">
        <v>1</v>
      </c>
      <c r="F125" s="37" t="n">
        <v>0</v>
      </c>
      <c r="G125" s="37" t="n">
        <v>0</v>
      </c>
      <c r="H125" s="37" t="n">
        <v>1</v>
      </c>
      <c r="I125" s="37" t="n">
        <v>0</v>
      </c>
      <c r="J125" s="37" t="n">
        <v>4</v>
      </c>
      <c r="K125" s="16" t="n">
        <v>48</v>
      </c>
    </row>
    <row r="126">
      <c r="A126" s="30" t="n">
        <v>46304.97013888889</v>
      </c>
      <c r="B126" s="30" t="n">
        <v>46305.01041666666</v>
      </c>
      <c r="C126" s="9" t="n">
        <v>46326</v>
      </c>
      <c r="D126" s="10" t="n">
        <v>0.9993055555555556</v>
      </c>
      <c r="E126" s="36" t="n">
        <v>2</v>
      </c>
      <c r="F126" s="36" t="n">
        <v>0</v>
      </c>
      <c r="G126" s="36" t="n">
        <v>0</v>
      </c>
      <c r="H126" s="36" t="n">
        <v>2</v>
      </c>
      <c r="I126" s="36" t="n">
        <v>0</v>
      </c>
      <c r="J126" s="36" t="n">
        <v>8</v>
      </c>
      <c r="K126" s="12" t="n">
        <v>96</v>
      </c>
    </row>
    <row r="127">
      <c r="A127" s="33" t="n">
        <v>46305.01041666666</v>
      </c>
      <c r="B127" s="33" t="n">
        <v>46305.05138888889</v>
      </c>
      <c r="C127" s="13" t="n">
        <v>46325</v>
      </c>
      <c r="D127" s="14" t="n">
        <v>0.96875</v>
      </c>
      <c r="E127" s="37" t="n">
        <v>1</v>
      </c>
      <c r="F127" s="37" t="n">
        <v>0</v>
      </c>
      <c r="G127" s="37" t="n">
        <v>0</v>
      </c>
      <c r="H127" s="37" t="n">
        <v>0</v>
      </c>
      <c r="I127" s="37" t="n">
        <v>1</v>
      </c>
      <c r="J127" s="37" t="n">
        <v>5</v>
      </c>
      <c r="K127" s="16" t="n">
        <v>60</v>
      </c>
    </row>
    <row r="128">
      <c r="A128" s="30" t="n">
        <v>46305.05138888889</v>
      </c>
      <c r="B128" s="30" t="n">
        <v>46305.1</v>
      </c>
      <c r="C128" s="9" t="n">
        <v>46318</v>
      </c>
      <c r="D128" s="10" t="n">
        <v>0.96875</v>
      </c>
      <c r="E128" s="36" t="n">
        <v>1</v>
      </c>
      <c r="F128" s="36" t="n">
        <v>1</v>
      </c>
      <c r="G128" s="36" t="n">
        <v>0</v>
      </c>
      <c r="H128" s="36" t="n">
        <v>0</v>
      </c>
      <c r="I128" s="36" t="n">
        <v>0</v>
      </c>
      <c r="J128" s="36" t="n">
        <v>2</v>
      </c>
      <c r="K128" s="12" t="n">
        <v>24</v>
      </c>
    </row>
    <row r="129">
      <c r="A129" s="33" t="n">
        <v>46305.05138888889</v>
      </c>
      <c r="B129" s="33" t="n">
        <v>46305.1</v>
      </c>
      <c r="C129" s="13" t="n">
        <v>46325</v>
      </c>
      <c r="D129" s="14" t="n">
        <v>0.9270833333333334</v>
      </c>
      <c r="E129" s="37" t="n">
        <v>1</v>
      </c>
      <c r="F129" s="37" t="n">
        <v>1</v>
      </c>
      <c r="G129" s="37" t="n">
        <v>0</v>
      </c>
      <c r="H129" s="37" t="n">
        <v>0</v>
      </c>
      <c r="I129" s="37" t="n">
        <v>0</v>
      </c>
      <c r="J129" s="37" t="n">
        <v>2</v>
      </c>
      <c r="K129" s="16" t="n">
        <v>24</v>
      </c>
    </row>
    <row r="130">
      <c r="A130" s="30" t="n">
        <v>46305.42708333334</v>
      </c>
      <c r="B130" s="30" t="n">
        <v>46305.46875</v>
      </c>
      <c r="C130" s="9" t="n">
        <v>46326</v>
      </c>
      <c r="D130" s="10" t="n">
        <v>0.8854166666666666</v>
      </c>
      <c r="E130" s="36" t="n">
        <v>1</v>
      </c>
      <c r="F130" s="36" t="n">
        <v>1</v>
      </c>
      <c r="G130" s="36" t="n">
        <v>0</v>
      </c>
      <c r="H130" s="36" t="n">
        <v>0</v>
      </c>
      <c r="I130" s="36" t="n">
        <v>0</v>
      </c>
      <c r="J130" s="36" t="n">
        <v>2</v>
      </c>
      <c r="K130" s="12" t="n">
        <v>24</v>
      </c>
    </row>
    <row r="131">
      <c r="A131" s="33" t="n">
        <v>46305.50972222222</v>
      </c>
      <c r="B131" s="33" t="n">
        <v>46305.55138888889</v>
      </c>
      <c r="C131" s="13" t="n">
        <v>46319</v>
      </c>
      <c r="D131" s="14" t="n">
        <v>0.9270833333333334</v>
      </c>
      <c r="E131" s="37" t="n">
        <v>1</v>
      </c>
      <c r="F131" s="37" t="n">
        <v>1</v>
      </c>
      <c r="G131" s="37" t="n">
        <v>0</v>
      </c>
      <c r="H131" s="37" t="n">
        <v>0</v>
      </c>
      <c r="I131" s="37" t="n">
        <v>0</v>
      </c>
      <c r="J131" s="37" t="n">
        <v>2</v>
      </c>
      <c r="K131" s="16" t="n">
        <v>24</v>
      </c>
    </row>
    <row r="132">
      <c r="A132" s="30" t="n">
        <v>46305.50972222222</v>
      </c>
      <c r="B132" s="30" t="n">
        <v>46305.55138888889</v>
      </c>
      <c r="C132" s="9" t="n">
        <v>46326</v>
      </c>
      <c r="D132" s="10" t="n">
        <v>0.8854166666666666</v>
      </c>
      <c r="E132" s="36" t="n">
        <v>1</v>
      </c>
      <c r="F132" s="36" t="n">
        <v>1</v>
      </c>
      <c r="G132" s="36" t="n">
        <v>0</v>
      </c>
      <c r="H132" s="36" t="n">
        <v>0</v>
      </c>
      <c r="I132" s="36" t="n">
        <v>0</v>
      </c>
      <c r="J132" s="36" t="n">
        <v>2</v>
      </c>
      <c r="K132" s="12" t="n">
        <v>24</v>
      </c>
    </row>
    <row r="133">
      <c r="A133" s="33" t="n">
        <v>46305.67569444444</v>
      </c>
      <c r="B133" s="33" t="n">
        <v>46305.71458333333</v>
      </c>
      <c r="C133" s="13" t="n">
        <v>46319</v>
      </c>
      <c r="D133" s="14" t="n">
        <v>0.84375</v>
      </c>
      <c r="E133" s="37" t="n">
        <v>1</v>
      </c>
      <c r="F133" s="37" t="n">
        <v>1</v>
      </c>
      <c r="G133" s="37" t="n">
        <v>0</v>
      </c>
      <c r="H133" s="37" t="n">
        <v>0</v>
      </c>
      <c r="I133" s="37" t="n">
        <v>0</v>
      </c>
      <c r="J133" s="37" t="n">
        <v>2</v>
      </c>
      <c r="K133" s="16" t="n">
        <v>24</v>
      </c>
    </row>
    <row r="134">
      <c r="A134" s="30" t="n">
        <v>46305.67569444444</v>
      </c>
      <c r="B134" s="30" t="n">
        <v>46305.71458333333</v>
      </c>
      <c r="C134" s="9" t="n">
        <v>46325</v>
      </c>
      <c r="D134" s="10" t="n">
        <v>0.9270833333333334</v>
      </c>
      <c r="E134" s="36" t="n">
        <v>4</v>
      </c>
      <c r="F134" s="36" t="n">
        <v>4</v>
      </c>
      <c r="G134" s="36" t="n">
        <v>0</v>
      </c>
      <c r="H134" s="36" t="n">
        <v>0</v>
      </c>
      <c r="I134" s="36" t="n">
        <v>0</v>
      </c>
      <c r="J134" s="36" t="n">
        <v>8</v>
      </c>
      <c r="K134" s="12" t="n">
        <v>96</v>
      </c>
    </row>
    <row r="135">
      <c r="A135" s="33" t="n">
        <v>46305.74236111111</v>
      </c>
      <c r="B135" s="33" t="n">
        <v>46305.75972222222</v>
      </c>
      <c r="C135" s="13" t="n">
        <v>46318</v>
      </c>
      <c r="D135" s="14" t="n">
        <v>0.9270833333333334</v>
      </c>
      <c r="E135" s="37" t="n">
        <v>1</v>
      </c>
      <c r="F135" s="37" t="n">
        <v>0</v>
      </c>
      <c r="G135" s="37" t="n">
        <v>0</v>
      </c>
      <c r="H135" s="37" t="n">
        <v>1</v>
      </c>
      <c r="I135" s="37" t="n">
        <v>0</v>
      </c>
      <c r="J135" s="37" t="n">
        <v>4</v>
      </c>
      <c r="K135" s="16" t="n">
        <v>48</v>
      </c>
    </row>
    <row r="136">
      <c r="A136" s="30" t="n">
        <v>46305.75972222222</v>
      </c>
      <c r="B136" s="30" t="n">
        <v>46305.80069444444</v>
      </c>
      <c r="C136" s="9" t="n">
        <v>46326</v>
      </c>
      <c r="D136" s="10" t="n">
        <v>0.96875</v>
      </c>
      <c r="E136" s="36" t="n">
        <v>1</v>
      </c>
      <c r="F136" s="36" t="n">
        <v>1</v>
      </c>
      <c r="G136" s="36" t="n">
        <v>0</v>
      </c>
      <c r="H136" s="36" t="n">
        <v>0</v>
      </c>
      <c r="I136" s="36" t="n">
        <v>0</v>
      </c>
      <c r="J136" s="36" t="n">
        <v>2</v>
      </c>
      <c r="K136" s="12" t="n">
        <v>24</v>
      </c>
    </row>
    <row r="137">
      <c r="A137" s="33" t="n">
        <v>46305.80069444444</v>
      </c>
      <c r="B137" s="33" t="n">
        <v>46305.84444444445</v>
      </c>
      <c r="C137" s="13" t="n">
        <v>46325</v>
      </c>
      <c r="D137" s="14" t="n">
        <v>0.9270833333333334</v>
      </c>
      <c r="E137" s="37" t="n">
        <v>-3</v>
      </c>
      <c r="F137" s="37" t="n">
        <v>-3</v>
      </c>
      <c r="G137" s="37" t="n">
        <v>0</v>
      </c>
      <c r="H137" s="37" t="n">
        <v>0</v>
      </c>
      <c r="I137" s="37" t="n">
        <v>0</v>
      </c>
      <c r="J137" s="37" t="n">
        <v>-6</v>
      </c>
      <c r="K137" s="16" t="n">
        <v>-72</v>
      </c>
    </row>
    <row r="138">
      <c r="A138" s="30" t="n">
        <v>46305.80069444444</v>
      </c>
      <c r="B138" s="30" t="n">
        <v>46305.84444444445</v>
      </c>
      <c r="C138" s="9" t="n">
        <v>46326</v>
      </c>
      <c r="D138" s="10" t="n">
        <v>0.8854166666666666</v>
      </c>
      <c r="E138" s="36" t="n">
        <v>1</v>
      </c>
      <c r="F138" s="36" t="n">
        <v>1</v>
      </c>
      <c r="G138" s="36" t="n">
        <v>0</v>
      </c>
      <c r="H138" s="36" t="n">
        <v>0</v>
      </c>
      <c r="I138" s="36" t="n">
        <v>0</v>
      </c>
      <c r="J138" s="36" t="n">
        <v>2</v>
      </c>
      <c r="K138" s="12" t="n">
        <v>24</v>
      </c>
    </row>
    <row r="139">
      <c r="A139" s="33" t="n">
        <v>46305.84444444445</v>
      </c>
      <c r="B139" s="33" t="n">
        <v>46305.87013888889</v>
      </c>
      <c r="C139" s="13" t="n">
        <v>46318</v>
      </c>
      <c r="D139" s="14" t="n">
        <v>0.8854166666666666</v>
      </c>
      <c r="E139" s="37" t="n">
        <v>1</v>
      </c>
      <c r="F139" s="37" t="n">
        <v>1</v>
      </c>
      <c r="G139" s="37" t="n">
        <v>0</v>
      </c>
      <c r="H139" s="37" t="n">
        <v>0</v>
      </c>
      <c r="I139" s="37" t="n">
        <v>0</v>
      </c>
      <c r="J139" s="37" t="n">
        <v>2</v>
      </c>
      <c r="K139" s="16" t="n">
        <v>24</v>
      </c>
    </row>
    <row r="140">
      <c r="A140" s="30" t="n">
        <v>46305.84444444445</v>
      </c>
      <c r="B140" s="30" t="n">
        <v>46305.87013888889</v>
      </c>
      <c r="C140" s="9" t="n">
        <v>46319</v>
      </c>
      <c r="D140" s="10" t="n">
        <v>0.9270833333333334</v>
      </c>
      <c r="E140" s="36" t="n">
        <v>1</v>
      </c>
      <c r="F140" s="36" t="n">
        <v>0</v>
      </c>
      <c r="G140" s="36" t="n">
        <v>0</v>
      </c>
      <c r="H140" s="36" t="n">
        <v>1</v>
      </c>
      <c r="I140" s="36" t="n">
        <v>0</v>
      </c>
      <c r="J140" s="36" t="n">
        <v>4</v>
      </c>
      <c r="K140" s="12" t="n">
        <v>48</v>
      </c>
    </row>
    <row r="141">
      <c r="A141" s="33" t="n">
        <v>46305.84444444445</v>
      </c>
      <c r="B141" s="33" t="n">
        <v>46305.87013888889</v>
      </c>
      <c r="C141" s="13" t="n">
        <v>46320</v>
      </c>
      <c r="D141" s="14" t="n">
        <v>0.84375</v>
      </c>
      <c r="E141" s="37" t="n">
        <v>1</v>
      </c>
      <c r="F141" s="37" t="n">
        <v>0</v>
      </c>
      <c r="G141" s="37" t="n">
        <v>1</v>
      </c>
      <c r="H141" s="37" t="n">
        <v>0</v>
      </c>
      <c r="I141" s="37" t="n">
        <v>0</v>
      </c>
      <c r="J141" s="37" t="n">
        <v>3</v>
      </c>
      <c r="K141" s="16" t="n">
        <v>36</v>
      </c>
    </row>
    <row r="142">
      <c r="A142" s="30" t="n">
        <v>46305.84444444445</v>
      </c>
      <c r="B142" s="30" t="n">
        <v>46305.87013888889</v>
      </c>
      <c r="C142" s="9" t="n">
        <v>46327</v>
      </c>
      <c r="D142" s="10" t="n">
        <v>0.9270833333333334</v>
      </c>
      <c r="E142" s="36" t="n">
        <v>1</v>
      </c>
      <c r="F142" s="36" t="n">
        <v>1</v>
      </c>
      <c r="G142" s="36" t="n">
        <v>0</v>
      </c>
      <c r="H142" s="36" t="n">
        <v>0</v>
      </c>
      <c r="I142" s="36" t="n">
        <v>0</v>
      </c>
      <c r="J142" s="36" t="n">
        <v>2</v>
      </c>
      <c r="K142" s="12" t="n">
        <v>24</v>
      </c>
    </row>
    <row r="143">
      <c r="A143" s="33" t="n">
        <v>46305.87013888889</v>
      </c>
      <c r="B143" s="33" t="n">
        <v>46305.8875</v>
      </c>
      <c r="C143" s="13" t="n">
        <v>46318</v>
      </c>
      <c r="D143" s="14" t="n">
        <v>0.8854166666666666</v>
      </c>
      <c r="E143" s="37" t="n">
        <v>1</v>
      </c>
      <c r="F143" s="37" t="n">
        <v>1</v>
      </c>
      <c r="G143" s="37" t="n">
        <v>0</v>
      </c>
      <c r="H143" s="37" t="n">
        <v>0</v>
      </c>
      <c r="I143" s="37" t="n">
        <v>0</v>
      </c>
      <c r="J143" s="37" t="n">
        <v>2</v>
      </c>
      <c r="K143" s="16" t="n">
        <v>24</v>
      </c>
    </row>
    <row r="144">
      <c r="A144" s="30" t="n">
        <v>46305.9</v>
      </c>
      <c r="B144" s="30" t="n">
        <v>46305.92638888889</v>
      </c>
      <c r="C144" s="9" t="n">
        <v>46318</v>
      </c>
      <c r="D144" s="10" t="n">
        <v>0.9270833333333334</v>
      </c>
      <c r="E144" s="36" t="n">
        <v>1</v>
      </c>
      <c r="F144" s="36" t="n">
        <v>0</v>
      </c>
      <c r="G144" s="36" t="n">
        <v>1</v>
      </c>
      <c r="H144" s="36" t="n">
        <v>0</v>
      </c>
      <c r="I144" s="36" t="n">
        <v>0</v>
      </c>
      <c r="J144" s="36" t="n">
        <v>3</v>
      </c>
      <c r="K144" s="12" t="n">
        <v>36</v>
      </c>
    </row>
    <row r="145">
      <c r="A145" s="33" t="n">
        <v>46305.92638888889</v>
      </c>
      <c r="B145" s="33" t="n">
        <v>46305.96805555555</v>
      </c>
      <c r="C145" s="13" t="n">
        <v>46318</v>
      </c>
      <c r="D145" s="14" t="n">
        <v>0.9270833333333334</v>
      </c>
      <c r="E145" s="37" t="n">
        <v>1</v>
      </c>
      <c r="F145" s="37" t="n">
        <v>1</v>
      </c>
      <c r="G145" s="37" t="n">
        <v>0</v>
      </c>
      <c r="H145" s="37" t="n">
        <v>0</v>
      </c>
      <c r="I145" s="37" t="n">
        <v>0</v>
      </c>
      <c r="J145" s="37" t="n">
        <v>2</v>
      </c>
      <c r="K145" s="16" t="n">
        <v>24</v>
      </c>
    </row>
    <row r="146">
      <c r="A146" s="30" t="n">
        <v>46305.92638888889</v>
      </c>
      <c r="B146" s="30" t="n">
        <v>46305.96805555555</v>
      </c>
      <c r="C146" s="9" t="n">
        <v>46326</v>
      </c>
      <c r="D146" s="10" t="n">
        <v>0.9270833333333334</v>
      </c>
      <c r="E146" s="36" t="n">
        <v>1</v>
      </c>
      <c r="F146" s="36" t="n">
        <v>1</v>
      </c>
      <c r="G146" s="36" t="n">
        <v>0</v>
      </c>
      <c r="H146" s="36" t="n">
        <v>0</v>
      </c>
      <c r="I146" s="36" t="n">
        <v>0</v>
      </c>
      <c r="J146" s="36" t="n">
        <v>2</v>
      </c>
      <c r="K146" s="12" t="n">
        <v>24</v>
      </c>
    </row>
    <row r="147">
      <c r="A147" s="33" t="n">
        <v>46306.46944444445</v>
      </c>
      <c r="B147" s="33" t="n">
        <v>46306.51041666666</v>
      </c>
      <c r="C147" s="13" t="n">
        <v>46326</v>
      </c>
      <c r="D147" s="14" t="n">
        <v>0.8854166666666666</v>
      </c>
      <c r="E147" s="37" t="n">
        <v>1</v>
      </c>
      <c r="F147" s="37" t="n">
        <v>1</v>
      </c>
      <c r="G147" s="37" t="n">
        <v>0</v>
      </c>
      <c r="H147" s="37" t="n">
        <v>0</v>
      </c>
      <c r="I147" s="37" t="n">
        <v>0</v>
      </c>
      <c r="J147" s="37" t="n">
        <v>2</v>
      </c>
      <c r="K147" s="16" t="n">
        <v>24</v>
      </c>
    </row>
    <row r="148">
      <c r="A148" s="30" t="n">
        <v>46306.51041666666</v>
      </c>
      <c r="B148" s="30" t="n">
        <v>46306.55138888889</v>
      </c>
      <c r="C148" s="9" t="n">
        <v>46318</v>
      </c>
      <c r="D148" s="10" t="n">
        <v>0.9986111111111111</v>
      </c>
      <c r="E148" s="36" t="n">
        <v>1</v>
      </c>
      <c r="F148" s="36" t="n">
        <v>1</v>
      </c>
      <c r="G148" s="36" t="n">
        <v>0</v>
      </c>
      <c r="H148" s="36" t="n">
        <v>0</v>
      </c>
      <c r="I148" s="36" t="n">
        <v>0</v>
      </c>
      <c r="J148" s="36" t="n">
        <v>2</v>
      </c>
      <c r="K148" s="12" t="n">
        <v>24</v>
      </c>
    </row>
    <row r="149">
      <c r="A149" s="33" t="n">
        <v>46306.51041666666</v>
      </c>
      <c r="B149" s="33" t="n">
        <v>46306.55138888889</v>
      </c>
      <c r="C149" s="13" t="n">
        <v>46326</v>
      </c>
      <c r="D149" s="14" t="n">
        <v>0.96875</v>
      </c>
      <c r="E149" s="37" t="n">
        <v>1</v>
      </c>
      <c r="F149" s="37" t="n">
        <v>1</v>
      </c>
      <c r="G149" s="37" t="n">
        <v>0</v>
      </c>
      <c r="H149" s="37" t="n">
        <v>0</v>
      </c>
      <c r="I149" s="37" t="n">
        <v>0</v>
      </c>
      <c r="J149" s="37" t="n">
        <v>2</v>
      </c>
      <c r="K149" s="16" t="n">
        <v>24</v>
      </c>
    </row>
    <row r="150">
      <c r="A150" s="30" t="n">
        <v>46306.51041666666</v>
      </c>
      <c r="B150" s="30" t="n">
        <v>46306.55138888889</v>
      </c>
      <c r="C150" s="9" t="n">
        <v>46326</v>
      </c>
      <c r="D150" s="10" t="n">
        <v>0.9993055555555556</v>
      </c>
      <c r="E150" s="36" t="n">
        <v>1</v>
      </c>
      <c r="F150" s="36" t="n">
        <v>1</v>
      </c>
      <c r="G150" s="36" t="n">
        <v>0</v>
      </c>
      <c r="H150" s="36" t="n">
        <v>0</v>
      </c>
      <c r="I150" s="36" t="n">
        <v>0</v>
      </c>
      <c r="J150" s="36" t="n">
        <v>2</v>
      </c>
      <c r="K150" s="12" t="n">
        <v>24</v>
      </c>
    </row>
    <row r="151">
      <c r="A151" s="33" t="n">
        <v>46306.55138888889</v>
      </c>
      <c r="B151" s="33" t="n">
        <v>46306.59513888889</v>
      </c>
      <c r="C151" s="13" t="n">
        <v>46318</v>
      </c>
      <c r="D151" s="14" t="n">
        <v>0.9270833333333334</v>
      </c>
      <c r="E151" s="37" t="n">
        <v>1</v>
      </c>
      <c r="F151" s="37" t="n">
        <v>1</v>
      </c>
      <c r="G151" s="37" t="n">
        <v>0</v>
      </c>
      <c r="H151" s="37" t="n">
        <v>0</v>
      </c>
      <c r="I151" s="37" t="n">
        <v>0</v>
      </c>
      <c r="J151" s="37" t="n">
        <v>2</v>
      </c>
      <c r="K151" s="16" t="n">
        <v>24</v>
      </c>
    </row>
    <row r="152">
      <c r="A152" s="30" t="n">
        <v>46306.55138888889</v>
      </c>
      <c r="B152" s="30" t="n">
        <v>46306.59513888889</v>
      </c>
      <c r="C152" s="9" t="n">
        <v>46319</v>
      </c>
      <c r="D152" s="10" t="n">
        <v>0.9270833333333334</v>
      </c>
      <c r="E152" s="36" t="n">
        <v>1</v>
      </c>
      <c r="F152" s="36" t="n">
        <v>1</v>
      </c>
      <c r="G152" s="36" t="n">
        <v>0</v>
      </c>
      <c r="H152" s="36" t="n">
        <v>0</v>
      </c>
      <c r="I152" s="36" t="n">
        <v>0</v>
      </c>
      <c r="J152" s="36" t="n">
        <v>2</v>
      </c>
      <c r="K152" s="12" t="n">
        <v>24</v>
      </c>
    </row>
    <row r="153">
      <c r="A153" s="33" t="n">
        <v>46306.55138888889</v>
      </c>
      <c r="B153" s="33" t="n">
        <v>46306.59513888889</v>
      </c>
      <c r="C153" s="13" t="n">
        <v>46325</v>
      </c>
      <c r="D153" s="14" t="n">
        <v>0.84375</v>
      </c>
      <c r="E153" s="37" t="n">
        <v>1</v>
      </c>
      <c r="F153" s="37" t="n">
        <v>1</v>
      </c>
      <c r="G153" s="37" t="n">
        <v>0</v>
      </c>
      <c r="H153" s="37" t="n">
        <v>0</v>
      </c>
      <c r="I153" s="37" t="n">
        <v>0</v>
      </c>
      <c r="J153" s="37" t="n">
        <v>2</v>
      </c>
      <c r="K153" s="16" t="n">
        <v>24</v>
      </c>
    </row>
    <row r="154">
      <c r="A154" s="30" t="n">
        <v>46306.55138888889</v>
      </c>
      <c r="B154" s="30" t="n">
        <v>46306.59513888889</v>
      </c>
      <c r="C154" s="9" t="n">
        <v>46327</v>
      </c>
      <c r="D154" s="10" t="n">
        <v>0.8854166666666666</v>
      </c>
      <c r="E154" s="36" t="n">
        <v>1</v>
      </c>
      <c r="F154" s="36" t="n">
        <v>1</v>
      </c>
      <c r="G154" s="36" t="n">
        <v>0</v>
      </c>
      <c r="H154" s="36" t="n">
        <v>0</v>
      </c>
      <c r="I154" s="36" t="n">
        <v>0</v>
      </c>
      <c r="J154" s="36" t="n">
        <v>2</v>
      </c>
      <c r="K154" s="12" t="n">
        <v>24</v>
      </c>
    </row>
    <row r="155">
      <c r="A155" s="33" t="n">
        <v>46306.59652777778</v>
      </c>
      <c r="B155" s="33" t="n">
        <v>46306.63611111111</v>
      </c>
      <c r="C155" s="13" t="n">
        <v>46326</v>
      </c>
      <c r="D155" s="14" t="n">
        <v>0.9993055555555556</v>
      </c>
      <c r="E155" s="37" t="n">
        <v>1</v>
      </c>
      <c r="F155" s="37" t="n">
        <v>0</v>
      </c>
      <c r="G155" s="37" t="n">
        <v>0</v>
      </c>
      <c r="H155" s="37" t="n">
        <v>1</v>
      </c>
      <c r="I155" s="37" t="n">
        <v>0</v>
      </c>
      <c r="J155" s="37" t="n">
        <v>4</v>
      </c>
      <c r="K155" s="16" t="n">
        <v>48</v>
      </c>
    </row>
    <row r="156">
      <c r="A156" s="30" t="n">
        <v>46306.66666666666</v>
      </c>
      <c r="B156" s="30" t="n">
        <v>46306.67638888889</v>
      </c>
      <c r="C156" s="9" t="n">
        <v>46319</v>
      </c>
      <c r="D156" s="10" t="n">
        <v>0.8854166666666666</v>
      </c>
      <c r="E156" s="36" t="n">
        <v>2</v>
      </c>
      <c r="F156" s="36" t="n">
        <v>0</v>
      </c>
      <c r="G156" s="36" t="n">
        <v>1</v>
      </c>
      <c r="H156" s="36" t="n">
        <v>1</v>
      </c>
      <c r="I156" s="36" t="n">
        <v>0</v>
      </c>
      <c r="J156" s="36" t="n">
        <v>7</v>
      </c>
      <c r="K156" s="12" t="n">
        <v>84</v>
      </c>
    </row>
    <row r="157">
      <c r="A157" s="33" t="n">
        <v>46306.71805555555</v>
      </c>
      <c r="B157" s="33" t="n">
        <v>46306.74583333333</v>
      </c>
      <c r="C157" s="13" t="n">
        <v>46324</v>
      </c>
      <c r="D157" s="14" t="n">
        <v>0.84375</v>
      </c>
      <c r="E157" s="37" t="n">
        <v>1</v>
      </c>
      <c r="F157" s="37" t="n">
        <v>0</v>
      </c>
      <c r="G157" s="37" t="n">
        <v>0</v>
      </c>
      <c r="H157" s="37" t="n">
        <v>0</v>
      </c>
      <c r="I157" s="37" t="n">
        <v>1</v>
      </c>
      <c r="J157" s="37" t="n">
        <v>5</v>
      </c>
      <c r="K157" s="16" t="n">
        <v>60</v>
      </c>
    </row>
    <row r="158">
      <c r="A158" s="30" t="n">
        <v>46306.75972222222</v>
      </c>
      <c r="B158" s="30" t="n">
        <v>46306.79791666667</v>
      </c>
      <c r="C158" s="9" t="n">
        <v>46319</v>
      </c>
      <c r="D158" s="10" t="n">
        <v>0.96875</v>
      </c>
      <c r="E158" s="36" t="n">
        <v>1</v>
      </c>
      <c r="F158" s="36" t="n">
        <v>0</v>
      </c>
      <c r="G158" s="36" t="n">
        <v>0</v>
      </c>
      <c r="H158" s="36" t="n">
        <v>0</v>
      </c>
      <c r="I158" s="36" t="n">
        <v>1</v>
      </c>
      <c r="J158" s="36" t="n">
        <v>5</v>
      </c>
      <c r="K158" s="12" t="n">
        <v>60</v>
      </c>
    </row>
    <row r="159">
      <c r="A159" s="33" t="n">
        <v>46306.80138888889</v>
      </c>
      <c r="B159" s="33" t="n">
        <v>46306.84444444445</v>
      </c>
      <c r="C159" s="13" t="n">
        <v>46320</v>
      </c>
      <c r="D159" s="14" t="n">
        <v>0.9993055555555556</v>
      </c>
      <c r="E159" s="37" t="n">
        <v>1</v>
      </c>
      <c r="F159" s="37" t="n">
        <v>0</v>
      </c>
      <c r="G159" s="37" t="n">
        <v>0</v>
      </c>
      <c r="H159" s="37" t="n">
        <v>0</v>
      </c>
      <c r="I159" s="37" t="n">
        <v>1</v>
      </c>
      <c r="J159" s="37" t="n">
        <v>5</v>
      </c>
      <c r="K159" s="16" t="n">
        <v>60</v>
      </c>
    </row>
    <row r="160">
      <c r="A160" s="30" t="n">
        <v>46306.80138888889</v>
      </c>
      <c r="B160" s="30" t="n">
        <v>46306.84444444445</v>
      </c>
      <c r="C160" s="9" t="n">
        <v>46325</v>
      </c>
      <c r="D160" s="10" t="n">
        <v>0.9270833333333334</v>
      </c>
      <c r="E160" s="36" t="n">
        <v>1</v>
      </c>
      <c r="F160" s="36" t="n">
        <v>1</v>
      </c>
      <c r="G160" s="36" t="n">
        <v>0</v>
      </c>
      <c r="H160" s="36" t="n">
        <v>0</v>
      </c>
      <c r="I160" s="36" t="n">
        <v>0</v>
      </c>
      <c r="J160" s="36" t="n">
        <v>2</v>
      </c>
      <c r="K160" s="12" t="n">
        <v>24</v>
      </c>
    </row>
    <row r="161">
      <c r="A161" s="33" t="n">
        <v>46306.84444444445</v>
      </c>
      <c r="B161" s="33" t="n">
        <v>46306.875</v>
      </c>
      <c r="C161" s="13" t="n">
        <v>46319</v>
      </c>
      <c r="D161" s="14" t="n">
        <v>0.9270833333333334</v>
      </c>
      <c r="E161" s="37" t="n">
        <v>1</v>
      </c>
      <c r="F161" s="37" t="n">
        <v>1</v>
      </c>
      <c r="G161" s="37" t="n">
        <v>0</v>
      </c>
      <c r="H161" s="37" t="n">
        <v>0</v>
      </c>
      <c r="I161" s="37" t="n">
        <v>0</v>
      </c>
      <c r="J161" s="37" t="n">
        <v>2</v>
      </c>
      <c r="K161" s="16" t="n">
        <v>24</v>
      </c>
    </row>
    <row r="162">
      <c r="A162" s="30" t="n">
        <v>46306.84444444445</v>
      </c>
      <c r="B162" s="30" t="n">
        <v>46306.875</v>
      </c>
      <c r="C162" s="9" t="n">
        <v>46320</v>
      </c>
      <c r="D162" s="10" t="n">
        <v>0.96875</v>
      </c>
      <c r="E162" s="36" t="n">
        <v>1</v>
      </c>
      <c r="F162" s="36" t="n">
        <v>0</v>
      </c>
      <c r="G162" s="36" t="n">
        <v>0</v>
      </c>
      <c r="H162" s="36" t="n">
        <v>1</v>
      </c>
      <c r="I162" s="36" t="n">
        <v>0</v>
      </c>
      <c r="J162" s="36" t="n">
        <v>4</v>
      </c>
      <c r="K162" s="12" t="n">
        <v>48</v>
      </c>
    </row>
    <row r="163">
      <c r="A163" s="33" t="n">
        <v>46306.88472222222</v>
      </c>
      <c r="B163" s="33" t="n">
        <v>46306.91527777778</v>
      </c>
      <c r="C163" s="13" t="n">
        <v>46319</v>
      </c>
      <c r="D163" s="14" t="n">
        <v>0.96875</v>
      </c>
      <c r="E163" s="37" t="n">
        <v>1</v>
      </c>
      <c r="F163" s="37" t="n">
        <v>1</v>
      </c>
      <c r="G163" s="37" t="n">
        <v>0</v>
      </c>
      <c r="H163" s="37" t="n">
        <v>0</v>
      </c>
      <c r="I163" s="37" t="n">
        <v>0</v>
      </c>
      <c r="J163" s="37" t="n">
        <v>2</v>
      </c>
      <c r="K163" s="16" t="n">
        <v>24</v>
      </c>
    </row>
    <row r="164">
      <c r="A164" s="30" t="n">
        <v>46306.88472222222</v>
      </c>
      <c r="B164" s="30" t="n">
        <v>46306.91527777778</v>
      </c>
      <c r="C164" s="9" t="n">
        <v>46326</v>
      </c>
      <c r="D164" s="10" t="n">
        <v>0.9270833333333334</v>
      </c>
      <c r="E164" s="36" t="n">
        <v>1</v>
      </c>
      <c r="F164" s="36" t="n">
        <v>0</v>
      </c>
      <c r="G164" s="36" t="n">
        <v>1</v>
      </c>
      <c r="H164" s="36" t="n">
        <v>0</v>
      </c>
      <c r="I164" s="36" t="n">
        <v>0</v>
      </c>
      <c r="J164" s="36" t="n">
        <v>3</v>
      </c>
      <c r="K164" s="12" t="n">
        <v>36</v>
      </c>
    </row>
    <row r="165">
      <c r="A165" s="33" t="n">
        <v>46306.96805555555</v>
      </c>
      <c r="B165" s="33" t="n">
        <v>46307.01041666666</v>
      </c>
      <c r="C165" s="13" t="n">
        <v>46318</v>
      </c>
      <c r="D165" s="14" t="n">
        <v>0.96875</v>
      </c>
      <c r="E165" s="37" t="n">
        <v>1</v>
      </c>
      <c r="F165" s="37" t="n">
        <v>0</v>
      </c>
      <c r="G165" s="37" t="n">
        <v>0</v>
      </c>
      <c r="H165" s="37" t="n">
        <v>1</v>
      </c>
      <c r="I165" s="37" t="n">
        <v>0</v>
      </c>
      <c r="J165" s="37" t="n">
        <v>4</v>
      </c>
      <c r="K165" s="16" t="n">
        <v>48</v>
      </c>
    </row>
    <row r="166">
      <c r="A166" s="30" t="n">
        <v>46306.96805555555</v>
      </c>
      <c r="B166" s="30" t="n">
        <v>46307.01041666666</v>
      </c>
      <c r="C166" s="9" t="n">
        <v>46320</v>
      </c>
      <c r="D166" s="10" t="n">
        <v>0.9270833333333334</v>
      </c>
      <c r="E166" s="36" t="n">
        <v>1</v>
      </c>
      <c r="F166" s="36" t="n">
        <v>0</v>
      </c>
      <c r="G166" s="36" t="n">
        <v>0</v>
      </c>
      <c r="H166" s="36" t="n">
        <v>1</v>
      </c>
      <c r="I166" s="36" t="n">
        <v>0</v>
      </c>
      <c r="J166" s="36" t="n">
        <v>4</v>
      </c>
      <c r="K166" s="12" t="n">
        <v>48</v>
      </c>
    </row>
    <row r="167">
      <c r="A167" s="33" t="n">
        <v>46307.01041666666</v>
      </c>
      <c r="B167" s="33" t="n">
        <v>46307.05138888889</v>
      </c>
      <c r="C167" s="13" t="n">
        <v>46320</v>
      </c>
      <c r="D167" s="14" t="n">
        <v>0.9270833333333334</v>
      </c>
      <c r="E167" s="37" t="n">
        <v>1</v>
      </c>
      <c r="F167" s="37" t="n">
        <v>1</v>
      </c>
      <c r="G167" s="37" t="n">
        <v>0</v>
      </c>
      <c r="H167" s="37" t="n">
        <v>0</v>
      </c>
      <c r="I167" s="37" t="n">
        <v>0</v>
      </c>
      <c r="J167" s="37" t="n">
        <v>2</v>
      </c>
      <c r="K167" s="16" t="n">
        <v>24</v>
      </c>
    </row>
    <row r="168">
      <c r="A168" s="30" t="n">
        <v>46307.47152777778</v>
      </c>
      <c r="B168" s="30" t="n">
        <v>46307.51805555556</v>
      </c>
      <c r="C168" s="9" t="n">
        <v>46324</v>
      </c>
      <c r="D168" s="10" t="n">
        <v>0.9270833333333334</v>
      </c>
      <c r="E168" s="36" t="n">
        <v>1</v>
      </c>
      <c r="F168" s="36" t="n">
        <v>1</v>
      </c>
      <c r="G168" s="36" t="n">
        <v>0</v>
      </c>
      <c r="H168" s="36" t="n">
        <v>0</v>
      </c>
      <c r="I168" s="36" t="n">
        <v>0</v>
      </c>
      <c r="J168" s="36" t="n">
        <v>2</v>
      </c>
      <c r="K168" s="12" t="n">
        <v>24</v>
      </c>
    </row>
    <row r="169">
      <c r="A169" s="33" t="n">
        <v>46307.51805555556</v>
      </c>
      <c r="B169" s="33" t="n">
        <v>46307.55416666667</v>
      </c>
      <c r="C169" s="13" t="n">
        <v>46318</v>
      </c>
      <c r="D169" s="14" t="n">
        <v>0.8854166666666666</v>
      </c>
      <c r="E169" s="37" t="n">
        <v>1</v>
      </c>
      <c r="F169" s="37" t="n">
        <v>0</v>
      </c>
      <c r="G169" s="37" t="n">
        <v>0</v>
      </c>
      <c r="H169" s="37" t="n">
        <v>1</v>
      </c>
      <c r="I169" s="37" t="n">
        <v>0</v>
      </c>
      <c r="J169" s="37" t="n">
        <v>4</v>
      </c>
      <c r="K169" s="16" t="n">
        <v>48</v>
      </c>
    </row>
    <row r="170">
      <c r="A170" s="30" t="n">
        <v>46307.55416666667</v>
      </c>
      <c r="B170" s="30" t="n">
        <v>46307.59652777778</v>
      </c>
      <c r="C170" s="9" t="n">
        <v>46318</v>
      </c>
      <c r="D170" s="10" t="n">
        <v>0.8854166666666666</v>
      </c>
      <c r="E170" s="36" t="n">
        <v>-1</v>
      </c>
      <c r="F170" s="36" t="n">
        <v>0</v>
      </c>
      <c r="G170" s="36" t="n">
        <v>0</v>
      </c>
      <c r="H170" s="36" t="n">
        <v>-1</v>
      </c>
      <c r="I170" s="36" t="n">
        <v>0</v>
      </c>
      <c r="J170" s="36" t="n">
        <v>-4</v>
      </c>
      <c r="K170" s="12" t="n">
        <v>-48</v>
      </c>
    </row>
    <row r="171">
      <c r="A171" s="33" t="n">
        <v>46307.59652777778</v>
      </c>
      <c r="B171" s="33" t="n">
        <v>46307.61111111111</v>
      </c>
      <c r="C171" s="13" t="n">
        <v>46318</v>
      </c>
      <c r="D171" s="14" t="n">
        <v>0.8854166666666666</v>
      </c>
      <c r="E171" s="37" t="n">
        <v>1</v>
      </c>
      <c r="F171" s="37" t="n">
        <v>1</v>
      </c>
      <c r="G171" s="37" t="n">
        <v>0</v>
      </c>
      <c r="H171" s="37" t="n">
        <v>0</v>
      </c>
      <c r="I171" s="37" t="n">
        <v>0</v>
      </c>
      <c r="J171" s="37" t="n">
        <v>2</v>
      </c>
      <c r="K171" s="16" t="n">
        <v>24</v>
      </c>
    </row>
    <row r="172">
      <c r="A172" s="30" t="n">
        <v>46307.59652777778</v>
      </c>
      <c r="B172" s="30" t="n">
        <v>46307.61111111111</v>
      </c>
      <c r="C172" s="9" t="n">
        <v>46320</v>
      </c>
      <c r="D172" s="10" t="n">
        <v>0.9270833333333334</v>
      </c>
      <c r="E172" s="36" t="n">
        <v>1</v>
      </c>
      <c r="F172" s="36" t="n">
        <v>1</v>
      </c>
      <c r="G172" s="36" t="n">
        <v>0</v>
      </c>
      <c r="H172" s="36" t="n">
        <v>0</v>
      </c>
      <c r="I172" s="36" t="n">
        <v>0</v>
      </c>
      <c r="J172" s="36" t="n">
        <v>2</v>
      </c>
      <c r="K172" s="12" t="n">
        <v>24</v>
      </c>
    </row>
    <row r="173">
      <c r="A173" s="33" t="n">
        <v>46307.59652777778</v>
      </c>
      <c r="B173" s="33" t="n">
        <v>46307.61111111111</v>
      </c>
      <c r="C173" s="13" t="n">
        <v>46326</v>
      </c>
      <c r="D173" s="14" t="n">
        <v>0.9993055555555556</v>
      </c>
      <c r="E173" s="37" t="n">
        <v>1</v>
      </c>
      <c r="F173" s="37" t="n">
        <v>0</v>
      </c>
      <c r="G173" s="37" t="n">
        <v>0</v>
      </c>
      <c r="H173" s="37" t="n">
        <v>1</v>
      </c>
      <c r="I173" s="37" t="n">
        <v>0</v>
      </c>
      <c r="J173" s="37" t="n">
        <v>4</v>
      </c>
      <c r="K173" s="16" t="n">
        <v>48</v>
      </c>
    </row>
    <row r="174">
      <c r="A174" s="30" t="n">
        <v>46307.61111111111</v>
      </c>
      <c r="B174" s="30" t="n">
        <v>46307.64791666667</v>
      </c>
      <c r="C174" s="9" t="n">
        <v>46325</v>
      </c>
      <c r="D174" s="10" t="n">
        <v>0.9270833333333334</v>
      </c>
      <c r="E174" s="36" t="n">
        <v>1</v>
      </c>
      <c r="F174" s="36" t="n">
        <v>0</v>
      </c>
      <c r="G174" s="36" t="n">
        <v>0</v>
      </c>
      <c r="H174" s="36" t="n">
        <v>1</v>
      </c>
      <c r="I174" s="36" t="n">
        <v>0</v>
      </c>
      <c r="J174" s="36" t="n">
        <v>4</v>
      </c>
      <c r="K174" s="12" t="n">
        <v>48</v>
      </c>
    </row>
    <row r="175">
      <c r="A175" s="33" t="n">
        <v>46307.61111111111</v>
      </c>
      <c r="B175" s="33" t="n">
        <v>46307.64791666667</v>
      </c>
      <c r="C175" s="13" t="n">
        <v>46326</v>
      </c>
      <c r="D175" s="14" t="n">
        <v>0.9270833333333334</v>
      </c>
      <c r="E175" s="37" t="n">
        <v>1</v>
      </c>
      <c r="F175" s="37" t="n">
        <v>1</v>
      </c>
      <c r="G175" s="37" t="n">
        <v>0</v>
      </c>
      <c r="H175" s="37" t="n">
        <v>0</v>
      </c>
      <c r="I175" s="37" t="n">
        <v>0</v>
      </c>
      <c r="J175" s="37" t="n">
        <v>2</v>
      </c>
      <c r="K175" s="16" t="n">
        <v>24</v>
      </c>
    </row>
    <row r="176">
      <c r="A176" s="30" t="n">
        <v>46307.64791666667</v>
      </c>
      <c r="B176" s="30" t="n">
        <v>46307.67708333334</v>
      </c>
      <c r="C176" s="9" t="n">
        <v>46318</v>
      </c>
      <c r="D176" s="10" t="n">
        <v>0.8854166666666666</v>
      </c>
      <c r="E176" s="36" t="n">
        <v>1</v>
      </c>
      <c r="F176" s="36" t="n">
        <v>1</v>
      </c>
      <c r="G176" s="36" t="n">
        <v>0</v>
      </c>
      <c r="H176" s="36" t="n">
        <v>0</v>
      </c>
      <c r="I176" s="36" t="n">
        <v>0</v>
      </c>
      <c r="J176" s="36" t="n">
        <v>2</v>
      </c>
      <c r="K176" s="12" t="n">
        <v>24</v>
      </c>
    </row>
    <row r="177">
      <c r="A177" s="33" t="n">
        <v>46307.64791666667</v>
      </c>
      <c r="B177" s="33" t="n">
        <v>46307.67708333334</v>
      </c>
      <c r="C177" s="13" t="n">
        <v>46324</v>
      </c>
      <c r="D177" s="14" t="n">
        <v>0.8854166666666666</v>
      </c>
      <c r="E177" s="37" t="n">
        <v>1</v>
      </c>
      <c r="F177" s="37" t="n">
        <v>1</v>
      </c>
      <c r="G177" s="37" t="n">
        <v>0</v>
      </c>
      <c r="H177" s="37" t="n">
        <v>0</v>
      </c>
      <c r="I177" s="37" t="n">
        <v>0</v>
      </c>
      <c r="J177" s="37" t="n">
        <v>2</v>
      </c>
      <c r="K177" s="16" t="n">
        <v>24</v>
      </c>
    </row>
    <row r="178">
      <c r="A178" s="30" t="n">
        <v>46307.77430555555</v>
      </c>
      <c r="B178" s="30" t="n">
        <v>46307.80277777778</v>
      </c>
      <c r="C178" s="9" t="n">
        <v>46318</v>
      </c>
      <c r="D178" s="10" t="n">
        <v>0.84375</v>
      </c>
      <c r="E178" s="36" t="n">
        <v>1</v>
      </c>
      <c r="F178" s="36" t="n">
        <v>1</v>
      </c>
      <c r="G178" s="36" t="n">
        <v>0</v>
      </c>
      <c r="H178" s="36" t="n">
        <v>0</v>
      </c>
      <c r="I178" s="36" t="n">
        <v>0</v>
      </c>
      <c r="J178" s="36" t="n">
        <v>2</v>
      </c>
      <c r="K178" s="12" t="n">
        <v>24</v>
      </c>
    </row>
    <row r="179">
      <c r="A179" s="33" t="n">
        <v>46307.80277777778</v>
      </c>
      <c r="B179" s="33" t="n">
        <v>46307.84513888889</v>
      </c>
      <c r="C179" s="13" t="n">
        <v>46318</v>
      </c>
      <c r="D179" s="14" t="n">
        <v>0.84375</v>
      </c>
      <c r="E179" s="37" t="n">
        <v>1</v>
      </c>
      <c r="F179" s="37" t="n">
        <v>1</v>
      </c>
      <c r="G179" s="37" t="n">
        <v>0</v>
      </c>
      <c r="H179" s="37" t="n">
        <v>0</v>
      </c>
      <c r="I179" s="37" t="n">
        <v>0</v>
      </c>
      <c r="J179" s="37" t="n">
        <v>2</v>
      </c>
      <c r="K179" s="16" t="n">
        <v>24</v>
      </c>
    </row>
    <row r="180">
      <c r="A180" s="30" t="n">
        <v>46307.80277777778</v>
      </c>
      <c r="B180" s="30" t="n">
        <v>46307.84513888889</v>
      </c>
      <c r="C180" s="9" t="n">
        <v>46318</v>
      </c>
      <c r="D180" s="10" t="n">
        <v>0.8854166666666666</v>
      </c>
      <c r="E180" s="36" t="n">
        <v>2</v>
      </c>
      <c r="F180" s="36" t="n">
        <v>1</v>
      </c>
      <c r="G180" s="36" t="n">
        <v>0</v>
      </c>
      <c r="H180" s="36" t="n">
        <v>1</v>
      </c>
      <c r="I180" s="36" t="n">
        <v>0</v>
      </c>
      <c r="J180" s="36" t="n">
        <v>6</v>
      </c>
      <c r="K180" s="12" t="n">
        <v>72</v>
      </c>
    </row>
    <row r="181">
      <c r="A181" s="33" t="n">
        <v>46307.80277777778</v>
      </c>
      <c r="B181" s="33" t="n">
        <v>46307.84513888889</v>
      </c>
      <c r="C181" s="13" t="n">
        <v>46319</v>
      </c>
      <c r="D181" s="14" t="n">
        <v>0.8854166666666666</v>
      </c>
      <c r="E181" s="37" t="n">
        <v>1</v>
      </c>
      <c r="F181" s="37" t="n">
        <v>0</v>
      </c>
      <c r="G181" s="37" t="n">
        <v>0</v>
      </c>
      <c r="H181" s="37" t="n">
        <v>1</v>
      </c>
      <c r="I181" s="37" t="n">
        <v>0</v>
      </c>
      <c r="J181" s="37" t="n">
        <v>4</v>
      </c>
      <c r="K181" s="16" t="n">
        <v>48</v>
      </c>
    </row>
    <row r="182">
      <c r="A182" s="30" t="n">
        <v>46307.80277777778</v>
      </c>
      <c r="B182" s="30" t="n">
        <v>46307.84513888889</v>
      </c>
      <c r="C182" s="9" t="n">
        <v>46319</v>
      </c>
      <c r="D182" s="10" t="n">
        <v>0.9270833333333334</v>
      </c>
      <c r="E182" s="36" t="n">
        <v>1</v>
      </c>
      <c r="F182" s="36" t="n">
        <v>1</v>
      </c>
      <c r="G182" s="36" t="n">
        <v>0</v>
      </c>
      <c r="H182" s="36" t="n">
        <v>0</v>
      </c>
      <c r="I182" s="36" t="n">
        <v>0</v>
      </c>
      <c r="J182" s="36" t="n">
        <v>2</v>
      </c>
      <c r="K182" s="12" t="n">
        <v>24</v>
      </c>
    </row>
    <row r="183">
      <c r="A183" s="33" t="n">
        <v>46307.84513888889</v>
      </c>
      <c r="B183" s="33" t="n">
        <v>46307.88611111111</v>
      </c>
      <c r="C183" s="13" t="n">
        <v>46318</v>
      </c>
      <c r="D183" s="14" t="n">
        <v>0.96875</v>
      </c>
      <c r="E183" s="37" t="n">
        <v>1</v>
      </c>
      <c r="F183" s="37" t="n">
        <v>0</v>
      </c>
      <c r="G183" s="37" t="n">
        <v>0</v>
      </c>
      <c r="H183" s="37" t="n">
        <v>1</v>
      </c>
      <c r="I183" s="37" t="n">
        <v>0</v>
      </c>
      <c r="J183" s="37" t="n">
        <v>4</v>
      </c>
      <c r="K183" s="16" t="n">
        <v>48</v>
      </c>
    </row>
    <row r="184">
      <c r="A184" s="30" t="n">
        <v>46307.84513888889</v>
      </c>
      <c r="B184" s="30" t="n">
        <v>46307.88611111111</v>
      </c>
      <c r="C184" s="9" t="n">
        <v>46319</v>
      </c>
      <c r="D184" s="10" t="n">
        <v>0.8854166666666666</v>
      </c>
      <c r="E184" s="36" t="n">
        <v>2</v>
      </c>
      <c r="F184" s="36" t="n">
        <v>1</v>
      </c>
      <c r="G184" s="36" t="n">
        <v>0</v>
      </c>
      <c r="H184" s="36" t="n">
        <v>1</v>
      </c>
      <c r="I184" s="36" t="n">
        <v>0</v>
      </c>
      <c r="J184" s="36" t="n">
        <v>6</v>
      </c>
      <c r="K184" s="12" t="n">
        <v>72</v>
      </c>
    </row>
    <row r="185">
      <c r="A185" s="33" t="n">
        <v>46307.84513888889</v>
      </c>
      <c r="B185" s="33" t="n">
        <v>46307.88611111111</v>
      </c>
      <c r="C185" s="13" t="n">
        <v>46319</v>
      </c>
      <c r="D185" s="14" t="n">
        <v>0.96875</v>
      </c>
      <c r="E185" s="37" t="n">
        <v>1</v>
      </c>
      <c r="F185" s="37" t="n">
        <v>0</v>
      </c>
      <c r="G185" s="37" t="n">
        <v>0</v>
      </c>
      <c r="H185" s="37" t="n">
        <v>0</v>
      </c>
      <c r="I185" s="37" t="n">
        <v>1</v>
      </c>
      <c r="J185" s="37" t="n">
        <v>5</v>
      </c>
      <c r="K185" s="16" t="n">
        <v>60</v>
      </c>
    </row>
    <row r="186">
      <c r="A186" s="30" t="n">
        <v>46307.84513888889</v>
      </c>
      <c r="B186" s="30" t="n">
        <v>46307.88611111111</v>
      </c>
      <c r="C186" s="9" t="n">
        <v>46324</v>
      </c>
      <c r="D186" s="10" t="n">
        <v>0.96875</v>
      </c>
      <c r="E186" s="36" t="n">
        <v>3</v>
      </c>
      <c r="F186" s="36" t="n">
        <v>0</v>
      </c>
      <c r="G186" s="36" t="n">
        <v>0</v>
      </c>
      <c r="H186" s="36" t="n">
        <v>2</v>
      </c>
      <c r="I186" s="36" t="n">
        <v>1</v>
      </c>
      <c r="J186" s="36" t="n">
        <v>13</v>
      </c>
      <c r="K186" s="12" t="n">
        <v>156</v>
      </c>
    </row>
    <row r="187">
      <c r="A187" s="33" t="n">
        <v>46307.84513888889</v>
      </c>
      <c r="B187" s="33" t="n">
        <v>46307.88611111111</v>
      </c>
      <c r="C187" s="13" t="n">
        <v>46326</v>
      </c>
      <c r="D187" s="14" t="n">
        <v>0.96875</v>
      </c>
      <c r="E187" s="37" t="n">
        <v>1</v>
      </c>
      <c r="F187" s="37" t="n">
        <v>1</v>
      </c>
      <c r="G187" s="37" t="n">
        <v>0</v>
      </c>
      <c r="H187" s="37" t="n">
        <v>0</v>
      </c>
      <c r="I187" s="37" t="n">
        <v>0</v>
      </c>
      <c r="J187" s="37" t="n">
        <v>2</v>
      </c>
      <c r="K187" s="16" t="n">
        <v>24</v>
      </c>
    </row>
    <row r="188">
      <c r="A188" s="30" t="n">
        <v>46307.88611111111</v>
      </c>
      <c r="B188" s="30" t="n">
        <v>46307.92777777778</v>
      </c>
      <c r="C188" s="9" t="n">
        <v>46318</v>
      </c>
      <c r="D188" s="10" t="n">
        <v>0.8854166666666666</v>
      </c>
      <c r="E188" s="36" t="n">
        <v>1</v>
      </c>
      <c r="F188" s="36" t="n">
        <v>1</v>
      </c>
      <c r="G188" s="36" t="n">
        <v>0</v>
      </c>
      <c r="H188" s="36" t="n">
        <v>0</v>
      </c>
      <c r="I188" s="36" t="n">
        <v>0</v>
      </c>
      <c r="J188" s="36" t="n">
        <v>2</v>
      </c>
      <c r="K188" s="12" t="n">
        <v>24</v>
      </c>
    </row>
    <row r="189">
      <c r="A189" s="33" t="n">
        <v>46307.88611111111</v>
      </c>
      <c r="B189" s="33" t="n">
        <v>46307.92777777778</v>
      </c>
      <c r="C189" s="13" t="n">
        <v>46320</v>
      </c>
      <c r="D189" s="14" t="n">
        <v>0.96875</v>
      </c>
      <c r="E189" s="37" t="n">
        <v>1</v>
      </c>
      <c r="F189" s="37" t="n">
        <v>1</v>
      </c>
      <c r="G189" s="37" t="n">
        <v>0</v>
      </c>
      <c r="H189" s="37" t="n">
        <v>0</v>
      </c>
      <c r="I189" s="37" t="n">
        <v>0</v>
      </c>
      <c r="J189" s="37" t="n">
        <v>2</v>
      </c>
      <c r="K189" s="16" t="n">
        <v>24</v>
      </c>
    </row>
    <row r="190">
      <c r="A190" s="30" t="n">
        <v>46307.88611111111</v>
      </c>
      <c r="B190" s="30" t="n">
        <v>46307.92777777778</v>
      </c>
      <c r="C190" s="9" t="n">
        <v>46326</v>
      </c>
      <c r="D190" s="10" t="n">
        <v>0.9270833333333334</v>
      </c>
      <c r="E190" s="36" t="n">
        <v>1</v>
      </c>
      <c r="F190" s="36" t="n">
        <v>1</v>
      </c>
      <c r="G190" s="36" t="n">
        <v>0</v>
      </c>
      <c r="H190" s="36" t="n">
        <v>0</v>
      </c>
      <c r="I190" s="36" t="n">
        <v>0</v>
      </c>
      <c r="J190" s="36" t="n">
        <v>2</v>
      </c>
      <c r="K190" s="12" t="n">
        <v>24</v>
      </c>
    </row>
    <row r="191">
      <c r="A191" s="33" t="n">
        <v>46307.88611111111</v>
      </c>
      <c r="B191" s="33" t="n">
        <v>46307.92777777778</v>
      </c>
      <c r="C191" s="13" t="n">
        <v>46326</v>
      </c>
      <c r="D191" s="14" t="n">
        <v>0.96875</v>
      </c>
      <c r="E191" s="37" t="n">
        <v>1</v>
      </c>
      <c r="F191" s="37" t="n">
        <v>1</v>
      </c>
      <c r="G191" s="37" t="n">
        <v>0</v>
      </c>
      <c r="H191" s="37" t="n">
        <v>0</v>
      </c>
      <c r="I191" s="37" t="n">
        <v>0</v>
      </c>
      <c r="J191" s="37" t="n">
        <v>2</v>
      </c>
      <c r="K191" s="16" t="n">
        <v>24</v>
      </c>
    </row>
  </sheetData>
  <autoFilter ref="A1:K1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3" customWidth="1" min="5" max="5"/>
    <col width="14" customWidth="1" min="6" max="6"/>
    <col width="9" customWidth="1" min="7" max="7"/>
    <col width="9" customWidth="1" min="8" max="8"/>
    <col width="12" customWidth="1" min="9" max="9"/>
    <col width="3" customWidth="1" min="10" max="10"/>
    <col width="14" customWidth="1" min="11" max="11"/>
    <col width="9" customWidth="1" min="12" max="12"/>
    <col width="9" customWidth="1" min="13" max="13"/>
    <col width="12" customWidth="1" min="14" max="14"/>
    <col width="3" customWidth="1" min="15" max="15"/>
  </cols>
  <sheetData>
    <row r="1">
      <c r="A1" s="3" t="inlineStr">
        <is>
          <t>Quando si vende · ogni vendita è collocata a metà della finestra tra due aggiornamenti</t>
        </is>
      </c>
    </row>
    <row r="3">
      <c r="A3" s="6" t="inlineStr">
        <is>
          <t>Giorno</t>
        </is>
      </c>
      <c r="B3" s="6" t="inlineStr">
        <is>
          <t>Auto</t>
        </is>
      </c>
      <c r="C3" s="6" t="inlineStr">
        <is>
          <t>Persone</t>
        </is>
      </c>
      <c r="D3" s="6" t="inlineStr">
        <is>
          <t>Incasso</t>
        </is>
      </c>
      <c r="F3" s="6" t="inlineStr">
        <is>
          <t>Fascia oraria</t>
        </is>
      </c>
      <c r="G3" s="6" t="inlineStr">
        <is>
          <t>Auto</t>
        </is>
      </c>
      <c r="H3" s="6" t="inlineStr">
        <is>
          <t>Persone</t>
        </is>
      </c>
      <c r="I3" s="6" t="inlineStr">
        <is>
          <t>Incasso</t>
        </is>
      </c>
      <c r="K3" s="6" t="inlineStr">
        <is>
          <t>Giorno settimana</t>
        </is>
      </c>
      <c r="L3" s="6" t="inlineStr">
        <is>
          <t>Auto</t>
        </is>
      </c>
      <c r="M3" s="6" t="inlineStr">
        <is>
          <t>Persone</t>
        </is>
      </c>
      <c r="N3" s="6" t="inlineStr">
        <is>
          <t>Incasso</t>
        </is>
      </c>
    </row>
    <row r="4">
      <c r="A4" s="9" t="n">
        <v>46300</v>
      </c>
      <c r="B4" s="11" t="n">
        <v>22</v>
      </c>
      <c r="C4" s="11" t="n">
        <v>59</v>
      </c>
      <c r="D4" s="12" t="n">
        <v>708</v>
      </c>
      <c r="F4" s="38" t="inlineStr">
        <is>
          <t>00:00-01:00</t>
        </is>
      </c>
      <c r="G4" s="11" t="n">
        <v>4</v>
      </c>
      <c r="H4" s="11" t="n">
        <v>13</v>
      </c>
      <c r="I4" s="12" t="n">
        <v>156</v>
      </c>
      <c r="K4" s="38" t="inlineStr">
        <is>
          <t>Lunedì</t>
        </is>
      </c>
      <c r="L4" s="11" t="n">
        <v>49</v>
      </c>
      <c r="M4" s="11" t="n">
        <v>135</v>
      </c>
      <c r="N4" s="12" t="n">
        <v>1620</v>
      </c>
    </row>
    <row r="5">
      <c r="A5" s="9" t="n">
        <v>46301</v>
      </c>
      <c r="B5" s="11" t="n">
        <v>26</v>
      </c>
      <c r="C5" s="11" t="n">
        <v>75</v>
      </c>
      <c r="D5" s="12" t="n">
        <v>900</v>
      </c>
      <c r="F5" s="38" t="inlineStr">
        <is>
          <t>01:00-02:00</t>
        </is>
      </c>
      <c r="G5" s="11" t="n">
        <v>2</v>
      </c>
      <c r="H5" s="11" t="n">
        <v>4</v>
      </c>
      <c r="I5" s="12" t="n">
        <v>48</v>
      </c>
      <c r="K5" s="38" t="inlineStr">
        <is>
          <t>Martedì</t>
        </is>
      </c>
      <c r="L5" s="11" t="n">
        <v>26</v>
      </c>
      <c r="M5" s="11" t="n">
        <v>75</v>
      </c>
      <c r="N5" s="12" t="n">
        <v>900</v>
      </c>
    </row>
    <row r="6">
      <c r="A6" s="9" t="n">
        <v>46302</v>
      </c>
      <c r="B6" s="11" t="n">
        <v>23</v>
      </c>
      <c r="C6" s="11" t="n">
        <v>68</v>
      </c>
      <c r="D6" s="12" t="n">
        <v>816</v>
      </c>
      <c r="F6" s="38" t="inlineStr">
        <is>
          <t>02:00-03:00</t>
        </is>
      </c>
      <c r="G6" s="11" t="n">
        <v>0</v>
      </c>
      <c r="H6" s="11" t="n">
        <v>0</v>
      </c>
      <c r="I6" s="12" t="n">
        <v>0</v>
      </c>
      <c r="K6" s="38" t="inlineStr">
        <is>
          <t>Mercoledì</t>
        </is>
      </c>
      <c r="L6" s="11" t="n">
        <v>23</v>
      </c>
      <c r="M6" s="11" t="n">
        <v>68</v>
      </c>
      <c r="N6" s="12" t="n">
        <v>816</v>
      </c>
    </row>
    <row r="7">
      <c r="A7" s="9" t="n">
        <v>46303</v>
      </c>
      <c r="B7" s="11" t="n">
        <v>35</v>
      </c>
      <c r="C7" s="11" t="n">
        <v>113</v>
      </c>
      <c r="D7" s="12" t="n">
        <v>1356</v>
      </c>
      <c r="F7" s="38" t="inlineStr">
        <is>
          <t>03:00-04:00</t>
        </is>
      </c>
      <c r="G7" s="11" t="n">
        <v>0</v>
      </c>
      <c r="H7" s="11" t="n">
        <v>0</v>
      </c>
      <c r="I7" s="12" t="n">
        <v>0</v>
      </c>
      <c r="K7" s="38" t="inlineStr">
        <is>
          <t>Giovedì</t>
        </is>
      </c>
      <c r="L7" s="11" t="n">
        <v>35</v>
      </c>
      <c r="M7" s="11" t="n">
        <v>113</v>
      </c>
      <c r="N7" s="12" t="n">
        <v>1356</v>
      </c>
    </row>
    <row r="8">
      <c r="A8" s="9" t="n">
        <v>46304</v>
      </c>
      <c r="B8" s="11" t="n">
        <v>23</v>
      </c>
      <c r="C8" s="11" t="n">
        <v>72</v>
      </c>
      <c r="D8" s="12" t="n">
        <v>864</v>
      </c>
      <c r="F8" s="38" t="inlineStr">
        <is>
          <t>04:00-05:00</t>
        </is>
      </c>
      <c r="G8" s="11" t="n">
        <v>0</v>
      </c>
      <c r="H8" s="11" t="n">
        <v>0</v>
      </c>
      <c r="I8" s="12" t="n">
        <v>0</v>
      </c>
      <c r="K8" s="38" t="inlineStr">
        <is>
          <t>Venerdì</t>
        </is>
      </c>
      <c r="L8" s="11" t="n">
        <v>23</v>
      </c>
      <c r="M8" s="11" t="n">
        <v>72</v>
      </c>
      <c r="N8" s="12" t="n">
        <v>864</v>
      </c>
    </row>
    <row r="9">
      <c r="A9" s="9" t="n">
        <v>46305</v>
      </c>
      <c r="B9" s="11" t="n">
        <v>19</v>
      </c>
      <c r="C9" s="11" t="n">
        <v>47</v>
      </c>
      <c r="D9" s="12" t="n">
        <v>564</v>
      </c>
      <c r="F9" s="38" t="inlineStr">
        <is>
          <t>05:00-06:00</t>
        </is>
      </c>
      <c r="G9" s="11" t="n">
        <v>0</v>
      </c>
      <c r="H9" s="11" t="n">
        <v>0</v>
      </c>
      <c r="I9" s="12" t="n">
        <v>0</v>
      </c>
      <c r="K9" s="38" t="inlineStr">
        <is>
          <t>Sabato</t>
        </is>
      </c>
      <c r="L9" s="11" t="n">
        <v>19</v>
      </c>
      <c r="M9" s="11" t="n">
        <v>47</v>
      </c>
      <c r="N9" s="12" t="n">
        <v>564</v>
      </c>
    </row>
    <row r="10">
      <c r="A10" s="9" t="n">
        <v>46306</v>
      </c>
      <c r="B10" s="11" t="n">
        <v>21</v>
      </c>
      <c r="C10" s="11" t="n">
        <v>63</v>
      </c>
      <c r="D10" s="12" t="n">
        <v>756</v>
      </c>
      <c r="F10" s="38" t="inlineStr">
        <is>
          <t>06:00-07:00</t>
        </is>
      </c>
      <c r="G10" s="11" t="n">
        <v>1</v>
      </c>
      <c r="H10" s="11" t="n">
        <v>2</v>
      </c>
      <c r="I10" s="12" t="n">
        <v>24</v>
      </c>
      <c r="K10" s="38" t="inlineStr">
        <is>
          <t>Domenica</t>
        </is>
      </c>
      <c r="L10" s="11" t="n">
        <v>21</v>
      </c>
      <c r="M10" s="11" t="n">
        <v>63</v>
      </c>
      <c r="N10" s="12" t="n">
        <v>756</v>
      </c>
    </row>
    <row r="11">
      <c r="A11" s="9" t="n">
        <v>46307</v>
      </c>
      <c r="B11" s="11" t="n">
        <v>27</v>
      </c>
      <c r="C11" s="11" t="n">
        <v>76</v>
      </c>
      <c r="D11" s="12" t="n">
        <v>912</v>
      </c>
      <c r="F11" s="38" t="inlineStr">
        <is>
          <t>07:00-08:00</t>
        </is>
      </c>
      <c r="G11" s="11" t="n">
        <v>2</v>
      </c>
      <c r="H11" s="11" t="n">
        <v>6</v>
      </c>
      <c r="I11" s="12" t="n">
        <v>72</v>
      </c>
    </row>
    <row r="12">
      <c r="F12" s="38" t="inlineStr">
        <is>
          <t>08:00-09:00</t>
        </is>
      </c>
      <c r="G12" s="11" t="n">
        <v>2</v>
      </c>
      <c r="H12" s="11" t="n">
        <v>7</v>
      </c>
      <c r="I12" s="12" t="n">
        <v>84</v>
      </c>
    </row>
    <row r="13">
      <c r="F13" s="38" t="inlineStr">
        <is>
          <t>09:00-10:00</t>
        </is>
      </c>
      <c r="G13" s="11" t="n">
        <v>5</v>
      </c>
      <c r="H13" s="11" t="n">
        <v>16</v>
      </c>
      <c r="I13" s="12" t="n">
        <v>192</v>
      </c>
    </row>
    <row r="14">
      <c r="F14" s="38" t="inlineStr">
        <is>
          <t>10:00-11:00</t>
        </is>
      </c>
      <c r="G14" s="11" t="n">
        <v>4</v>
      </c>
      <c r="H14" s="11" t="n">
        <v>15</v>
      </c>
      <c r="I14" s="12" t="n">
        <v>180</v>
      </c>
    </row>
    <row r="15">
      <c r="F15" s="38" t="inlineStr">
        <is>
          <t>11:00-12:00</t>
        </is>
      </c>
      <c r="G15" s="11" t="n">
        <v>8</v>
      </c>
      <c r="H15" s="11" t="n">
        <v>23</v>
      </c>
      <c r="I15" s="12" t="n">
        <v>276</v>
      </c>
    </row>
    <row r="16">
      <c r="F16" s="38" t="inlineStr">
        <is>
          <t>12:00-13:00</t>
        </is>
      </c>
      <c r="G16" s="11" t="n">
        <v>13</v>
      </c>
      <c r="H16" s="11" t="n">
        <v>33</v>
      </c>
      <c r="I16" s="12" t="n">
        <v>396</v>
      </c>
    </row>
    <row r="17">
      <c r="F17" s="38" t="inlineStr">
        <is>
          <t>13:00-14:00</t>
        </is>
      </c>
      <c r="G17" s="11" t="n">
        <v>9</v>
      </c>
      <c r="H17" s="11" t="n">
        <v>19</v>
      </c>
      <c r="I17" s="12" t="n">
        <v>228</v>
      </c>
    </row>
    <row r="18">
      <c r="F18" s="38" t="inlineStr">
        <is>
          <t>14:00-15:00</t>
        </is>
      </c>
      <c r="G18" s="11" t="n">
        <v>6</v>
      </c>
      <c r="H18" s="11" t="n">
        <v>18</v>
      </c>
      <c r="I18" s="12" t="n">
        <v>216</v>
      </c>
    </row>
    <row r="19">
      <c r="F19" s="38" t="inlineStr">
        <is>
          <t>15:00-16:00</t>
        </is>
      </c>
      <c r="G19" s="11" t="n">
        <v>7</v>
      </c>
      <c r="H19" s="11" t="n">
        <v>18</v>
      </c>
      <c r="I19" s="12" t="n">
        <v>216</v>
      </c>
    </row>
    <row r="20">
      <c r="F20" s="38" t="inlineStr">
        <is>
          <t>16:00-17:00</t>
        </is>
      </c>
      <c r="G20" s="11" t="n">
        <v>14</v>
      </c>
      <c r="H20" s="11" t="n">
        <v>37</v>
      </c>
      <c r="I20" s="12" t="n">
        <v>444</v>
      </c>
    </row>
    <row r="21">
      <c r="F21" s="38" t="inlineStr">
        <is>
          <t>17:00-18:00</t>
        </is>
      </c>
      <c r="G21" s="11" t="n">
        <v>9</v>
      </c>
      <c r="H21" s="11" t="n">
        <v>29</v>
      </c>
      <c r="I21" s="12" t="n">
        <v>348</v>
      </c>
    </row>
    <row r="22">
      <c r="F22" s="38" t="inlineStr">
        <is>
          <t>18:00-19:00</t>
        </is>
      </c>
      <c r="G22" s="11" t="n">
        <v>8</v>
      </c>
      <c r="H22" s="11" t="n">
        <v>25</v>
      </c>
      <c r="I22" s="12" t="n">
        <v>300</v>
      </c>
    </row>
    <row r="23">
      <c r="F23" s="38" t="inlineStr">
        <is>
          <t>19:00-20:00</t>
        </is>
      </c>
      <c r="G23" s="11" t="n">
        <v>14</v>
      </c>
      <c r="H23" s="11" t="n">
        <v>47</v>
      </c>
      <c r="I23" s="12" t="n">
        <v>564</v>
      </c>
    </row>
    <row r="24">
      <c r="F24" s="38" t="inlineStr">
        <is>
          <t>20:00-21:00</t>
        </is>
      </c>
      <c r="G24" s="11" t="n">
        <v>25</v>
      </c>
      <c r="H24" s="11" t="n">
        <v>77</v>
      </c>
      <c r="I24" s="12" t="n">
        <v>924</v>
      </c>
    </row>
    <row r="25">
      <c r="F25" s="38" t="inlineStr">
        <is>
          <t>21:00-22:00</t>
        </is>
      </c>
      <c r="G25" s="11" t="n">
        <v>23</v>
      </c>
      <c r="H25" s="11" t="n">
        <v>66</v>
      </c>
      <c r="I25" s="12" t="n">
        <v>792</v>
      </c>
    </row>
    <row r="26">
      <c r="F26" s="38" t="inlineStr">
        <is>
          <t>22:00-23:00</t>
        </is>
      </c>
      <c r="G26" s="11" t="n">
        <v>29</v>
      </c>
      <c r="H26" s="11" t="n">
        <v>81</v>
      </c>
      <c r="I26" s="12" t="n">
        <v>972</v>
      </c>
    </row>
    <row r="27">
      <c r="F27" s="38" t="inlineStr">
        <is>
          <t>23:00-00:00</t>
        </is>
      </c>
      <c r="G27" s="11" t="n">
        <v>11</v>
      </c>
      <c r="H27" s="11" t="n">
        <v>37</v>
      </c>
      <c r="I27" s="12" t="n">
        <v>444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2026-10-13T02:17:22Z</dcterms:created>
  <dcterms:modified xsi:type="dcterms:W3CDTF">2026-10-13T02:17:23Z</dcterms:modified>
</cp:coreProperties>
</file>