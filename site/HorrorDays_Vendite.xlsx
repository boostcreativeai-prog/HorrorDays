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'Spettacoli'!$A$1:$R$37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'Storico'!$A$1:$G$497</definedName>
    <definedName name="_xlnm._FilterDatabase" localSheetId="8" hidden="1">'Registro vendite'!$A$1:$K$480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'Storico'!$H$2:$H$497</f>
            </numRef>
          </cat>
          <val>
            <numRef>
              <f>'Storico'!$C$2:$C$497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INDEX(Spettacoli!$B$2:$B$37,MATCH(LARGE(Spettacoli!$R$2:$R$37,1),Spettacoli!$R$2:$R$37,0))</f>
        <v/>
      </c>
      <c r="L6" s="10">
        <f>INDEX(Spettacoli!$D$2:$D$37,MATCH(LARGE(Spettacoli!$R$2:$R$37,1),Spettacoli!$R$2:$R$37,0))</f>
        <v/>
      </c>
      <c r="M6" s="11">
        <f>INDEX(Spettacoli!$F$2:$F$37,MATCH(LARGE(Spettacoli!$R$2:$R$37,1),Spettacoli!$R$2:$R$37,0))</f>
        <v/>
      </c>
      <c r="N6" s="11">
        <f>INDEX(Spettacoli!$G$2:$G$37,MATCH(LARGE(Spettacoli!$R$2:$R$37,1),Spettacoli!$R$2:$R$37,0))</f>
        <v/>
      </c>
      <c r="O6" s="12">
        <f>INDEX(Spettacoli!$M$2:$M$37,MATCH(LARGE(Spettacoli!$R$2:$R$37,1),Spettacoli!$R$2:$R$37,0))</f>
        <v/>
      </c>
    </row>
    <row r="7">
      <c r="K7" s="13">
        <f>INDEX(Spettacoli!$B$2:$B$37,MATCH(LARGE(Spettacoli!$R$2:$R$37,2),Spettacoli!$R$2:$R$37,0))</f>
        <v/>
      </c>
      <c r="L7" s="14">
        <f>INDEX(Spettacoli!$D$2:$D$37,MATCH(LARGE(Spettacoli!$R$2:$R$37,2),Spettacoli!$R$2:$R$37,0))</f>
        <v/>
      </c>
      <c r="M7" s="15">
        <f>INDEX(Spettacoli!$F$2:$F$37,MATCH(LARGE(Spettacoli!$R$2:$R$37,2),Spettacoli!$R$2:$R$37,0))</f>
        <v/>
      </c>
      <c r="N7" s="15">
        <f>INDEX(Spettacoli!$G$2:$G$37,MATCH(LARGE(Spettacoli!$R$2:$R$37,2),Spettacoli!$R$2:$R$37,0))</f>
        <v/>
      </c>
      <c r="O7" s="16">
        <f>INDEX(Spettacoli!$M$2:$M$37,MATCH(LARGE(Spettacoli!$R$2:$R$37,2),Spettacoli!$R$2:$R$37,0))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INDEX(Spettacoli!$B$2:$B$37,MATCH(LARGE(Spettacoli!$R$2:$R$37,3),Spettacoli!$R$2:$R$37,0))</f>
        <v/>
      </c>
      <c r="L8" s="10">
        <f>INDEX(Spettacoli!$D$2:$D$37,MATCH(LARGE(Spettacoli!$R$2:$R$37,3),Spettacoli!$R$2:$R$37,0))</f>
        <v/>
      </c>
      <c r="M8" s="11">
        <f>INDEX(Spettacoli!$F$2:$F$37,MATCH(LARGE(Spettacoli!$R$2:$R$37,3),Spettacoli!$R$2:$R$37,0))</f>
        <v/>
      </c>
      <c r="N8" s="11">
        <f>INDEX(Spettacoli!$G$2:$G$37,MATCH(LARGE(Spettacoli!$R$2:$R$37,3),Spettacoli!$R$2:$R$37,0))</f>
        <v/>
      </c>
      <c r="O8" s="12">
        <f>INDEX(Spettacoli!$M$2:$M$37,MATCH(LARGE(Spettacoli!$R$2:$R$37,3),Spettacoli!$R$2:$R$37,0))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IF(SUM(Spettacoli!E2:E37)&gt;0,SUM(Spettacoli!F2:F37)/SUM(Spettacoli!E2:E37),0)</f>
        <v/>
      </c>
      <c r="F9" s="5" t="n"/>
      <c r="H9" s="19">
        <f>COUNTIF(Spettacoli!$Q$2:$Q$37,"Venduto")&amp;" / "&amp;COUNTA(Spettacoli!A2:A37)</f>
        <v/>
      </c>
      <c r="I9" s="5" t="n"/>
      <c r="K9" s="13">
        <f>INDEX(Spettacoli!$B$2:$B$37,MATCH(LARGE(Spettacoli!$R$2:$R$37,4),Spettacoli!$R$2:$R$37,0))</f>
        <v/>
      </c>
      <c r="L9" s="14">
        <f>INDEX(Spettacoli!$D$2:$D$37,MATCH(LARGE(Spettacoli!$R$2:$R$37,4),Spettacoli!$R$2:$R$37,0))</f>
        <v/>
      </c>
      <c r="M9" s="15">
        <f>INDEX(Spettacoli!$F$2:$F$37,MATCH(LARGE(Spettacoli!$R$2:$R$37,4),Spettacoli!$R$2:$R$37,0))</f>
        <v/>
      </c>
      <c r="N9" s="15">
        <f>INDEX(Spettacoli!$G$2:$G$37,MATCH(LARGE(Spettacoli!$R$2:$R$37,4),Spettacoli!$R$2:$R$37,0))</f>
        <v/>
      </c>
      <c r="O9" s="16">
        <f>INDEX(Spettacoli!$M$2:$M$37,MATCH(LARGE(Spettacoli!$R$2:$R$37,4),Spettacoli!$R$2:$R$37,0))</f>
        <v/>
      </c>
    </row>
    <row r="10">
      <c r="K10" s="9">
        <f>INDEX(Spettacoli!$B$2:$B$37,MATCH(LARGE(Spettacoli!$R$2:$R$37,5),Spettacoli!$R$2:$R$37,0))</f>
        <v/>
      </c>
      <c r="L10" s="10">
        <f>INDEX(Spettacoli!$D$2:$D$37,MATCH(LARGE(Spettacoli!$R$2:$R$37,5),Spettacoli!$R$2:$R$37,0))</f>
        <v/>
      </c>
      <c r="M10" s="11">
        <f>INDEX(Spettacoli!$F$2:$F$37,MATCH(LARGE(Spettacoli!$R$2:$R$37,5),Spettacoli!$R$2:$R$37,0))</f>
        <v/>
      </c>
      <c r="N10" s="11">
        <f>INDEX(Spettacoli!$G$2:$G$37,MATCH(LARGE(Spettacoli!$R$2:$R$37,5),Spettacoli!$R$2:$R$37,0))</f>
        <v/>
      </c>
      <c r="O10" s="12">
        <f>INDEX(Spettacoli!$M$2:$M$37,MATCH(LARGE(Spettacoli!$R$2:$R$37,5),Spettacoli!$R$2:$R$37,0))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</sheetData>
  <autoFilter ref="A1:R37"/>
  <conditionalFormatting sqref="Q2:Q37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6</v>
      </c>
      <c r="I38" s="11" t="n">
        <v>0</v>
      </c>
      <c r="J38" s="12" t="n">
        <v>288</v>
      </c>
      <c r="K38" s="12" t="n">
        <v>0</v>
      </c>
      <c r="L38" s="12" t="n">
        <v>261.84</v>
      </c>
      <c r="M38" s="12" t="n">
        <v>26.16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7</v>
      </c>
      <c r="I89" s="15" t="n">
        <v>0</v>
      </c>
      <c r="J89" s="16" t="n">
        <v>336</v>
      </c>
      <c r="K89" s="16" t="n">
        <v>0</v>
      </c>
      <c r="L89" s="16" t="n">
        <v>305.48</v>
      </c>
      <c r="M89" s="16" t="n">
        <v>30.52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5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</sheetData>
  <autoFilter ref="A1:G4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</sheetData>
  <autoFilter ref="A1:K4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76</v>
      </c>
      <c r="M5" s="11" t="n">
        <v>222</v>
      </c>
      <c r="N5" s="12" t="n">
        <v>2664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25</v>
      </c>
      <c r="C19" s="11" t="n">
        <v>72</v>
      </c>
      <c r="D19" s="12" t="n">
        <v>864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2026-10-20T15:53:21Z</dcterms:created>
  <dcterms:modified xsi:type="dcterms:W3CDTF">2026-10-20T15:53:21Z</dcterms:modified>
</cp:coreProperties>
</file>