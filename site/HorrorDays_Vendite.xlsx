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'Storico'!$A$1:$G$309</definedName>
    <definedName name="_xlnm._FilterDatabase" localSheetId="8" hidden="1">'Registro vendite'!$A$1:$K$227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'Storico'!$H$2:$H$309</f>
            </numRef>
          </cat>
          <val>
            <numRef>
              <f>'Storico'!$C$2:$C$309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MAX(Storico!A2:A309)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I8</t>
        </is>
      </c>
      <c r="F3" s="23">
        <f>IFERROR(INDEX(Tariffe!$B$2:$B$200,MATCH(E3,Tariffe!$A$2:$A$200,0)),"DA DEFINIRE")</f>
        <v/>
      </c>
      <c r="G3" s="16" t="n">
        <v>24</v>
      </c>
      <c r="H3" s="15" t="n">
        <v>5</v>
      </c>
      <c r="I3" s="15" t="n">
        <v>0</v>
      </c>
      <c r="J3" s="16" t="n">
        <v>120</v>
      </c>
      <c r="K3" s="16" t="n">
        <v>0</v>
      </c>
      <c r="L3" s="16" t="n">
        <v>109.1</v>
      </c>
      <c r="M3" s="16" t="n">
        <v>10.9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I1</t>
        </is>
      </c>
      <c r="F4" s="22">
        <f>IFERROR(INDEX(Tariffe!$B$2:$B$200,MATCH(E4,Tariffe!$A$2:$A$200,0)),"DA DEFINIRE")</f>
        <v/>
      </c>
      <c r="G4" s="12" t="n">
        <v>48</v>
      </c>
      <c r="H4" s="11" t="n">
        <v>5</v>
      </c>
      <c r="I4" s="11" t="n">
        <v>1</v>
      </c>
      <c r="J4" s="12" t="n">
        <v>240</v>
      </c>
      <c r="K4" s="12" t="n">
        <v>0</v>
      </c>
      <c r="L4" s="12" t="n">
        <v>218.2</v>
      </c>
      <c r="M4" s="12" t="n">
        <v>21.8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I2</t>
        </is>
      </c>
      <c r="F5" s="23">
        <f>IFERROR(INDEX(Tariffe!$B$2:$B$200,MATCH(E5,Tariffe!$A$2:$A$200,0)),"DA DEFINIRE")</f>
        <v/>
      </c>
      <c r="G5" s="16" t="n">
        <v>36</v>
      </c>
      <c r="H5" s="15" t="n">
        <v>3</v>
      </c>
      <c r="I5" s="15" t="n">
        <v>0</v>
      </c>
      <c r="J5" s="16" t="n">
        <v>108</v>
      </c>
      <c r="K5" s="16" t="n">
        <v>0</v>
      </c>
      <c r="L5" s="16" t="n">
        <v>98.19</v>
      </c>
      <c r="M5" s="16" t="n">
        <v>9.81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I5</t>
        </is>
      </c>
      <c r="F6" s="22">
        <f>IFERROR(INDEX(Tariffe!$B$2:$B$200,MATCH(E6,Tariffe!$A$2:$A$200,0)),"DA DEFINIRE")</f>
        <v/>
      </c>
      <c r="G6" s="12" t="n">
        <v>60</v>
      </c>
      <c r="H6" s="11" t="n">
        <v>2</v>
      </c>
      <c r="I6" s="11" t="n">
        <v>0</v>
      </c>
      <c r="J6" s="12" t="n">
        <v>120</v>
      </c>
      <c r="K6" s="12" t="n">
        <v>0</v>
      </c>
      <c r="L6" s="12" t="n">
        <v>109.1</v>
      </c>
      <c r="M6" s="12" t="n">
        <v>10.9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13</v>
      </c>
      <c r="I7" s="15" t="n">
        <v>0</v>
      </c>
      <c r="J7" s="16" t="n">
        <v>312</v>
      </c>
      <c r="K7" s="16" t="n">
        <v>0</v>
      </c>
      <c r="L7" s="16" t="n">
        <v>283.66</v>
      </c>
      <c r="M7" s="16" t="n">
        <v>28.34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9</v>
      </c>
      <c r="I8" s="11" t="n">
        <v>0</v>
      </c>
      <c r="J8" s="12" t="n">
        <v>432</v>
      </c>
      <c r="K8" s="12" t="n">
        <v>0</v>
      </c>
      <c r="L8" s="12" t="n">
        <v>392.76</v>
      </c>
      <c r="M8" s="12" t="n">
        <v>39.24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I2</t>
        </is>
      </c>
      <c r="F9" s="23">
        <f>IFERROR(INDEX(Tariffe!$B$2:$B$200,MATCH(E9,Tariffe!$A$2:$A$200,0)),"DA DEFINIRE")</f>
        <v/>
      </c>
      <c r="G9" s="16" t="n">
        <v>36</v>
      </c>
      <c r="H9" s="15" t="n">
        <v>2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I5</t>
        </is>
      </c>
      <c r="F10" s="22">
        <f>IFERROR(INDEX(Tariffe!$B$2:$B$200,MATCH(E10,Tariffe!$A$2:$A$200,0)),"DA DEFINIRE")</f>
        <v/>
      </c>
      <c r="G10" s="12" t="n">
        <v>60</v>
      </c>
      <c r="H10" s="11" t="n">
        <v>2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9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5</v>
      </c>
      <c r="I12" s="11" t="n">
        <v>1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I2</t>
        </is>
      </c>
      <c r="F13" s="23">
        <f>IFERROR(INDEX(Tariffe!$B$2:$B$200,MATCH(E13,Tariffe!$A$2:$A$200,0)),"DA DEFINIRE")</f>
        <v/>
      </c>
      <c r="G13" s="16" t="n">
        <v>36</v>
      </c>
      <c r="H13" s="15" t="n">
        <v>3</v>
      </c>
      <c r="I13" s="15" t="n">
        <v>0</v>
      </c>
      <c r="J13" s="16" t="n">
        <v>108</v>
      </c>
      <c r="K13" s="16" t="n">
        <v>0</v>
      </c>
      <c r="L13" s="16" t="n">
        <v>98.19</v>
      </c>
      <c r="M13" s="16" t="n">
        <v>9.81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I5</t>
        </is>
      </c>
      <c r="F14" s="22">
        <f>IFERROR(INDEX(Tariffe!$B$2:$B$200,MATCH(E14,Tariffe!$A$2:$A$200,0)),"DA DEFINIRE")</f>
        <v/>
      </c>
      <c r="G14" s="12" t="n">
        <v>60</v>
      </c>
      <c r="H14" s="11" t="n">
        <v>1</v>
      </c>
      <c r="I14" s="11" t="n">
        <v>0</v>
      </c>
      <c r="J14" s="12" t="n">
        <v>60</v>
      </c>
      <c r="K14" s="12" t="n">
        <v>0</v>
      </c>
      <c r="L14" s="12" t="n">
        <v>54.55</v>
      </c>
      <c r="M14" s="12" t="n">
        <v>5.45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10</v>
      </c>
      <c r="I15" s="15" t="n">
        <v>0</v>
      </c>
      <c r="J15" s="16" t="n">
        <v>240</v>
      </c>
      <c r="K15" s="16" t="n">
        <v>0</v>
      </c>
      <c r="L15" s="16" t="n">
        <v>218.2</v>
      </c>
      <c r="M15" s="16" t="n">
        <v>21.8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2</v>
      </c>
      <c r="I16" s="11" t="n">
        <v>0</v>
      </c>
      <c r="J16" s="12" t="n">
        <v>96</v>
      </c>
      <c r="K16" s="12" t="n">
        <v>0</v>
      </c>
      <c r="L16" s="12" t="n">
        <v>87.28</v>
      </c>
      <c r="M16" s="12" t="n">
        <v>8.720000000000001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1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4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5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11</v>
      </c>
      <c r="I27" s="15" t="n">
        <v>0</v>
      </c>
      <c r="J27" s="16" t="n">
        <v>264</v>
      </c>
      <c r="K27" s="16" t="n">
        <v>0</v>
      </c>
      <c r="L27" s="16" t="n">
        <v>240.02</v>
      </c>
      <c r="M27" s="16" t="n">
        <v>23.98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2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1</v>
      </c>
      <c r="I29" s="15" t="n">
        <v>0</v>
      </c>
      <c r="J29" s="16" t="n">
        <v>36</v>
      </c>
      <c r="K29" s="16" t="n">
        <v>0</v>
      </c>
      <c r="L29" s="16" t="n">
        <v>32.73</v>
      </c>
      <c r="M29" s="16" t="n">
        <v>3.27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5</v>
      </c>
      <c r="I30" s="11" t="n">
        <v>0</v>
      </c>
      <c r="J30" s="12" t="n">
        <v>300</v>
      </c>
      <c r="K30" s="12" t="n">
        <v>0</v>
      </c>
      <c r="L30" s="12" t="n">
        <v>272.75</v>
      </c>
      <c r="M30" s="12" t="n">
        <v>27.25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5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20261024_2359</t>
        </is>
      </c>
      <c r="B33" s="13" t="n">
        <v>46319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1</v>
      </c>
      <c r="I35" s="15" t="n">
        <v>0</v>
      </c>
      <c r="J35" s="16" t="n">
        <v>36</v>
      </c>
      <c r="K35" s="16" t="n">
        <v>0</v>
      </c>
      <c r="L35" s="16" t="n">
        <v>32.73</v>
      </c>
      <c r="M35" s="16" t="n">
        <v>3.27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20261025_2115</t>
        </is>
      </c>
      <c r="B38" s="9" t="n">
        <v>46320</v>
      </c>
      <c r="C38" s="10" t="n">
        <v>0.8854166666666666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20261025_2215</t>
        </is>
      </c>
      <c r="B40" s="9" t="n">
        <v>46320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20261025_2315</t>
        </is>
      </c>
      <c r="B42" s="9" t="n">
        <v>46320</v>
      </c>
      <c r="C42" s="10" t="n">
        <v>0.96875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20261025_2359</t>
        </is>
      </c>
      <c r="B44" s="9" t="n">
        <v>46320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20261029_2015</t>
        </is>
      </c>
      <c r="B47" s="13" t="n">
        <v>46324</v>
      </c>
      <c r="C47" s="14" t="n">
        <v>0.84375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20261029_2115</t>
        </is>
      </c>
      <c r="B48" s="9" t="n">
        <v>46324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20261029_2115</t>
        </is>
      </c>
      <c r="B49" s="13" t="n">
        <v>46324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20261029_2215</t>
        </is>
      </c>
      <c r="B51" s="13" t="n">
        <v>46324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20261029_2215</t>
        </is>
      </c>
      <c r="B52" s="9" t="n">
        <v>46324</v>
      </c>
      <c r="C52" s="10" t="n">
        <v>0.9270833333333334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5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20261029_2315</t>
        </is>
      </c>
      <c r="B53" s="13" t="n">
        <v>46324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4</v>
      </c>
      <c r="I53" s="15" t="n">
        <v>0</v>
      </c>
      <c r="J53" s="16" t="n">
        <v>192</v>
      </c>
      <c r="K53" s="16" t="n">
        <v>0</v>
      </c>
      <c r="L53" s="16" t="n">
        <v>174.56</v>
      </c>
      <c r="M53" s="16" t="n">
        <v>17.44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20261029_2315</t>
        </is>
      </c>
      <c r="B54" s="9" t="n">
        <v>46324</v>
      </c>
      <c r="C54" s="10" t="n">
        <v>0.96875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20261029_2359</t>
        </is>
      </c>
      <c r="B55" s="13" t="n">
        <v>46324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20261030_2015</t>
        </is>
      </c>
      <c r="B56" s="9" t="n">
        <v>46325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20261030_2015</t>
        </is>
      </c>
      <c r="B57" s="13" t="n">
        <v>46325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20261030_2115</t>
        </is>
      </c>
      <c r="B58" s="9" t="n">
        <v>46325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20261030_2115</t>
        </is>
      </c>
      <c r="B59" s="13" t="n">
        <v>46325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20261030_2215</t>
        </is>
      </c>
      <c r="B60" s="9" t="n">
        <v>46325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20261030_2215</t>
        </is>
      </c>
      <c r="B61" s="13" t="n">
        <v>46325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3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3</v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20261030_2315</t>
        </is>
      </c>
      <c r="B63" s="13" t="n">
        <v>46325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20261030_2315</t>
        </is>
      </c>
      <c r="B64" s="9" t="n">
        <v>46325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20261030_2359</t>
        </is>
      </c>
      <c r="B65" s="13" t="n">
        <v>46325</v>
      </c>
      <c r="C65" s="14" t="n">
        <v>0.9993055555555556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20261030_2359</t>
        </is>
      </c>
      <c r="B66" s="9" t="n">
        <v>46325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20261031_2015</t>
        </is>
      </c>
      <c r="B67" s="13" t="n">
        <v>46326</v>
      </c>
      <c r="C67" s="14" t="n">
        <v>0.84375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20261031_2015</t>
        </is>
      </c>
      <c r="B68" s="9" t="n">
        <v>46326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20261031_2115</t>
        </is>
      </c>
      <c r="B69" s="13" t="n">
        <v>46326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20261031_2115</t>
        </is>
      </c>
      <c r="B70" s="9" t="n">
        <v>46326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20261031_2215</t>
        </is>
      </c>
      <c r="B72" s="9" t="n">
        <v>46326</v>
      </c>
      <c r="C72" s="10" t="n">
        <v>0.9270833333333334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1</v>
      </c>
      <c r="I72" s="11" t="n">
        <v>0</v>
      </c>
      <c r="J72" s="12" t="n">
        <v>36</v>
      </c>
      <c r="K72" s="12" t="n">
        <v>0</v>
      </c>
      <c r="L72" s="12" t="n">
        <v>32.73</v>
      </c>
      <c r="M72" s="12" t="n">
        <v>3.27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20261031_2215</t>
        </is>
      </c>
      <c r="B73" s="13" t="n">
        <v>46326</v>
      </c>
      <c r="C73" s="14" t="n">
        <v>0.9270833333333334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6</v>
      </c>
      <c r="I73" s="15" t="n">
        <v>0</v>
      </c>
      <c r="J73" s="16" t="n">
        <v>144</v>
      </c>
      <c r="K73" s="16" t="n">
        <v>0</v>
      </c>
      <c r="L73" s="16" t="n">
        <v>130.92</v>
      </c>
      <c r="M73" s="16" t="n">
        <v>13.08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20261031_2315</t>
        </is>
      </c>
      <c r="B74" s="9" t="n">
        <v>46326</v>
      </c>
      <c r="C74" s="10" t="n">
        <v>0.96875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5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20261031_2315</t>
        </is>
      </c>
      <c r="B75" s="13" t="n">
        <v>46326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7</v>
      </c>
      <c r="I75" s="15" t="n">
        <v>0</v>
      </c>
      <c r="J75" s="16" t="n">
        <v>168</v>
      </c>
      <c r="K75" s="16" t="n">
        <v>0</v>
      </c>
      <c r="L75" s="16" t="n">
        <v>152.74</v>
      </c>
      <c r="M75" s="16" t="n">
        <v>15.26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20261031_2359</t>
        </is>
      </c>
      <c r="B76" s="9" t="n">
        <v>46326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4</v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20261031_2359</t>
        </is>
      </c>
      <c r="B77" s="13" t="n">
        <v>46326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20261101_2015</t>
        </is>
      </c>
      <c r="B78" s="9" t="n">
        <v>46327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20261101_2115</t>
        </is>
      </c>
      <c r="B79" s="13" t="n">
        <v>46327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20261101_2215</t>
        </is>
      </c>
      <c r="B80" s="9" t="n">
        <v>46327</v>
      </c>
      <c r="C80" s="10" t="n">
        <v>0.9270833333333334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20261101_2215</t>
        </is>
      </c>
      <c r="B81" s="13" t="n">
        <v>46327</v>
      </c>
      <c r="C81" s="14" t="n">
        <v>0.9270833333333334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2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20261101_2359</t>
        </is>
      </c>
      <c r="B82" s="9" t="n">
        <v>46327</v>
      </c>
      <c r="C82" s="10" t="n">
        <v>0.9993055555555556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</sheetData>
  <autoFilter ref="A1:P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</sheetData>
  <autoFilter ref="A1:G30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</sheetData>
  <autoFilter ref="A1:K22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34</v>
      </c>
      <c r="M6" s="11" t="n">
        <v>104</v>
      </c>
      <c r="N6" s="12" t="n">
        <v>1248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11</v>
      </c>
      <c r="C13" s="11" t="n">
        <v>36</v>
      </c>
      <c r="D13" s="12" t="n">
        <v>432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2026-10-14T14:29:36Z</dcterms:created>
  <dcterms:modified xsi:type="dcterms:W3CDTF">2026-10-14T14:29:36Z</dcterms:modified>
</cp:coreProperties>
</file>