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'Vendite'!$A$1:$R$145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'Storico'!$A$1:$G$796</definedName>
    <definedName name="_xlnm._FilterDatabase" localSheetId="8" hidden="1">'Registro vendite'!$A$1:$K$1350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'Storico'!$H$2:$H$796</f>
            </numRef>
          </cat>
          <val>
            <numRef>
              <f>'Storico'!$C$2:$C$796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vendite'!$A$4:$A$27</f>
            </numRef>
          </cat>
          <val>
            <numRef>
              <f>'Picchi vendite'!$B$4:$B$27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MAX(Storico!A2:A796)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192</v>
      </c>
      <c r="K62" s="12" t="n">
        <v>0</v>
      </c>
      <c r="L62" s="12" t="n">
        <v>174.56</v>
      </c>
      <c r="M62" s="12" t="n">
        <v>17.44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4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180</v>
      </c>
      <c r="K64" s="12" t="n">
        <v>0</v>
      </c>
      <c r="L64" s="12" t="n">
        <v>163.65</v>
      </c>
      <c r="M64" s="12" t="n">
        <v>16.35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216</v>
      </c>
      <c r="K65" s="16" t="n">
        <v>0</v>
      </c>
      <c r="L65" s="16" t="n">
        <v>196.38</v>
      </c>
      <c r="M65" s="16" t="n">
        <v>19.62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9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624</v>
      </c>
      <c r="K66" s="12" t="n">
        <v>0</v>
      </c>
      <c r="L66" s="12" t="n">
        <v>567.3200000000001</v>
      </c>
      <c r="M66" s="12" t="n">
        <v>56.68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13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396</v>
      </c>
      <c r="K67" s="16" t="n">
        <v>0</v>
      </c>
      <c r="L67" s="16" t="n">
        <v>360.03</v>
      </c>
      <c r="M67" s="16" t="n">
        <v>35.97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11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300</v>
      </c>
      <c r="K68" s="12" t="n">
        <v>0</v>
      </c>
      <c r="L68" s="12" t="n">
        <v>272.75</v>
      </c>
      <c r="M68" s="12" t="n">
        <v>27.25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5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456</v>
      </c>
      <c r="K69" s="16" t="n">
        <v>0</v>
      </c>
      <c r="L69" s="16" t="n">
        <v>414.58</v>
      </c>
      <c r="M69" s="16" t="n">
        <v>41.42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19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1392</v>
      </c>
      <c r="K74" s="12" t="n">
        <v>0</v>
      </c>
      <c r="L74" s="12" t="n">
        <v>1265.56</v>
      </c>
      <c r="M74" s="12" t="n">
        <v>126.44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29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288</v>
      </c>
      <c r="K75" s="16" t="n">
        <v>0</v>
      </c>
      <c r="L75" s="16" t="n">
        <v>261.84</v>
      </c>
      <c r="M75" s="16" t="n">
        <v>26.16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8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I5 60€</t>
        </is>
      </c>
      <c r="F79" s="23">
        <f>IFERROR(INDEX(Tariffe!$B$2:$B$200,MATCH(E79,Tariffe!$A$2:$A$200,0)),"DA DEFINIRE")</f>
        <v/>
      </c>
      <c r="G79" s="16" t="n">
        <v>60</v>
      </c>
      <c r="H79" s="15">
        <f>Q79*R79</f>
        <v/>
      </c>
      <c r="I79" s="15" t="n">
        <v>0</v>
      </c>
      <c r="J79" s="16" t="n">
        <v>180</v>
      </c>
      <c r="K79" s="16" t="n">
        <v>0</v>
      </c>
      <c r="L79" s="16" t="n">
        <v>163.65</v>
      </c>
      <c r="M79" s="16" t="n">
        <v>16.35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3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288</v>
      </c>
      <c r="K80" s="12" t="n">
        <v>0</v>
      </c>
      <c r="L80" s="12" t="n">
        <v>261.84</v>
      </c>
      <c r="M80" s="12" t="n">
        <v>26.16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264</v>
      </c>
      <c r="K82" s="12" t="n">
        <v>0</v>
      </c>
      <c r="L82" s="12" t="n">
        <v>240.02</v>
      </c>
      <c r="M82" s="12" t="n">
        <v>23.98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11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6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0</v>
      </c>
      <c r="J86" s="12" t="n">
        <v>408</v>
      </c>
      <c r="K86" s="12" t="n">
        <v>0</v>
      </c>
      <c r="L86" s="12" t="n">
        <v>370.94</v>
      </c>
      <c r="M86" s="12" t="n">
        <v>37.06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17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1584</v>
      </c>
      <c r="K87" s="16" t="n">
        <v>0</v>
      </c>
      <c r="L87" s="16" t="n">
        <v>1440.12</v>
      </c>
      <c r="M87" s="16" t="n">
        <v>143.88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33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144</v>
      </c>
      <c r="K88" s="12" t="n">
        <v>0</v>
      </c>
      <c r="L88" s="12" t="n">
        <v>130.92</v>
      </c>
      <c r="M88" s="12" t="n">
        <v>13.08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480</v>
      </c>
      <c r="K89" s="16" t="n">
        <v>0</v>
      </c>
      <c r="L89" s="16" t="n">
        <v>436.4</v>
      </c>
      <c r="M89" s="16" t="n">
        <v>43.6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8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3</v>
      </c>
      <c r="J90" s="12" t="n">
        <v>840</v>
      </c>
      <c r="K90" s="12" t="n">
        <v>0</v>
      </c>
      <c r="L90" s="12" t="n">
        <v>763.7</v>
      </c>
      <c r="M90" s="12" t="n">
        <v>76.3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35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960</v>
      </c>
      <c r="K91" s="16" t="n">
        <v>0</v>
      </c>
      <c r="L91" s="16" t="n">
        <v>872.8</v>
      </c>
      <c r="M91" s="16" t="n">
        <v>87.2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20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I2 36€</t>
        </is>
      </c>
      <c r="F92" s="22">
        <f>IFERROR(INDEX(Tariffe!$B$2:$B$200,MATCH(E92,Tariffe!$A$2:$A$200,0)),"DA DEFINIRE")</f>
        <v/>
      </c>
      <c r="G92" s="12" t="n">
        <v>36</v>
      </c>
      <c r="H92" s="11">
        <f>Q92*R92</f>
        <v/>
      </c>
      <c r="I92" s="11" t="n">
        <v>0</v>
      </c>
      <c r="J92" s="12" t="n">
        <v>180</v>
      </c>
      <c r="K92" s="12" t="n">
        <v>0</v>
      </c>
      <c r="L92" s="12" t="n">
        <v>163.65</v>
      </c>
      <c r="M92" s="12" t="n">
        <v>16.35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5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660</v>
      </c>
      <c r="K93" s="16" t="n">
        <v>0</v>
      </c>
      <c r="L93" s="16" t="n">
        <v>600.05</v>
      </c>
      <c r="M93" s="16" t="n">
        <v>59.95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11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576</v>
      </c>
      <c r="K94" s="12" t="n">
        <v>0</v>
      </c>
      <c r="L94" s="12" t="n">
        <v>523.6799999999999</v>
      </c>
      <c r="M94" s="12" t="n">
        <v>52.32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240</v>
      </c>
      <c r="K95" s="16" t="n">
        <v>0</v>
      </c>
      <c r="L95" s="16" t="n">
        <v>218.2</v>
      </c>
      <c r="M95" s="16" t="n">
        <v>21.8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5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360</v>
      </c>
      <c r="K96" s="12" t="n">
        <v>0</v>
      </c>
      <c r="L96" s="12" t="n">
        <v>327.3</v>
      </c>
      <c r="M96" s="12" t="n">
        <v>32.7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6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408</v>
      </c>
      <c r="K97" s="16" t="n">
        <v>0</v>
      </c>
      <c r="L97" s="16" t="n">
        <v>370.94</v>
      </c>
      <c r="M97" s="16" t="n">
        <v>37.06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17</v>
      </c>
      <c r="R97" s="15">
        <f>IFERROR(INDEX(Tariffe!$E$2:$E$200,MATCH(E97,Tariffe!$A$2:$A$200,0))*1,1)</f>
        <v/>
      </c>
    </row>
    <row r="98">
      <c r="A98" s="22" t="inlineStr">
        <is>
          <t>20261031_1915</t>
        </is>
      </c>
      <c r="B98" s="9" t="n">
        <v>46326</v>
      </c>
      <c r="C98" s="10" t="n">
        <v>0.8020833333333334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48</v>
      </c>
      <c r="K98" s="12" t="n">
        <v>0</v>
      </c>
      <c r="L98" s="12" t="n">
        <v>43.64</v>
      </c>
      <c r="M98" s="12" t="n">
        <v>4.36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</v>
      </c>
      <c r="R98" s="11">
        <f>IFERROR(INDEX(Tariffe!$E$2:$E$200,MATCH(E98,Tariffe!$A$2:$A$200,0))*1,1)</f>
        <v/>
      </c>
    </row>
    <row r="99">
      <c r="A99" s="23" t="inlineStr">
        <is>
          <t>20261031_1915</t>
        </is>
      </c>
      <c r="B99" s="13" t="n">
        <v>46326</v>
      </c>
      <c r="C99" s="14" t="n">
        <v>0.8020833333333334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</v>
      </c>
      <c r="R99" s="15">
        <f>IFERROR(INDEX(Tariffe!$E$2:$E$200,MATCH(E99,Tariffe!$A$2:$A$200,0))*1,1)</f>
        <v/>
      </c>
    </row>
    <row r="100">
      <c r="A100" s="22" t="inlineStr">
        <is>
          <t>20261031_1915</t>
        </is>
      </c>
      <c r="B100" s="9" t="n">
        <v>46326</v>
      </c>
      <c r="C100" s="10" t="n">
        <v>0.8020833333333334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48</v>
      </c>
      <c r="K100" s="12" t="n">
        <v>0</v>
      </c>
      <c r="L100" s="12" t="n">
        <v>43.64</v>
      </c>
      <c r="M100" s="12" t="n">
        <v>4.36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2</v>
      </c>
      <c r="R100" s="11">
        <f>IFERROR(INDEX(Tariffe!$E$2:$E$200,MATCH(E100,Tariffe!$A$2:$A$200,0))*1,1)</f>
        <v/>
      </c>
    </row>
    <row r="101">
      <c r="A101" s="23" t="inlineStr">
        <is>
          <t>20261031_2015</t>
        </is>
      </c>
      <c r="B101" s="13" t="n">
        <v>46326</v>
      </c>
      <c r="C101" s="14" t="n">
        <v>0.84375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1344</v>
      </c>
      <c r="K101" s="16" t="n">
        <v>0</v>
      </c>
      <c r="L101" s="16" t="n">
        <v>1221.92</v>
      </c>
      <c r="M101" s="16" t="n">
        <v>122.08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28</v>
      </c>
      <c r="R101" s="15">
        <f>IFERROR(INDEX(Tariffe!$E$2:$E$200,MATCH(E101,Tariffe!$A$2:$A$200,0))*1,1)</f>
        <v/>
      </c>
    </row>
    <row r="102">
      <c r="A102" s="22" t="inlineStr">
        <is>
          <t>20261031_2015</t>
        </is>
      </c>
      <c r="B102" s="9" t="n">
        <v>46326</v>
      </c>
      <c r="C102" s="10" t="n">
        <v>0.84375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216</v>
      </c>
      <c r="K102" s="12" t="n">
        <v>0</v>
      </c>
      <c r="L102" s="12" t="n">
        <v>196.38</v>
      </c>
      <c r="M102" s="12" t="n">
        <v>19.62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6</v>
      </c>
      <c r="R102" s="11">
        <f>IFERROR(INDEX(Tariffe!$E$2:$E$200,MATCH(E102,Tariffe!$A$2:$A$200,0))*1,1)</f>
        <v/>
      </c>
    </row>
    <row r="103">
      <c r="A103" s="23" t="inlineStr">
        <is>
          <t>20261031_2015</t>
        </is>
      </c>
      <c r="B103" s="13" t="n">
        <v>46326</v>
      </c>
      <c r="C103" s="14" t="n">
        <v>0.84375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2</v>
      </c>
      <c r="J103" s="16" t="n">
        <v>660</v>
      </c>
      <c r="K103" s="16" t="n">
        <v>0</v>
      </c>
      <c r="L103" s="16" t="n">
        <v>600.05</v>
      </c>
      <c r="M103" s="16" t="n">
        <v>59.95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11</v>
      </c>
      <c r="R103" s="15">
        <f>IFERROR(INDEX(Tariffe!$E$2:$E$200,MATCH(E103,Tariffe!$A$2:$A$200,0))*1,1)</f>
        <v/>
      </c>
    </row>
    <row r="104">
      <c r="A104" s="22" t="inlineStr">
        <is>
          <t>20261031_2015</t>
        </is>
      </c>
      <c r="B104" s="9" t="n">
        <v>46326</v>
      </c>
      <c r="C104" s="10" t="n">
        <v>0.84375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576</v>
      </c>
      <c r="K104" s="12" t="n">
        <v>0</v>
      </c>
      <c r="L104" s="12" t="n">
        <v>523.6799999999999</v>
      </c>
      <c r="M104" s="12" t="n">
        <v>52.32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24</v>
      </c>
      <c r="R104" s="11">
        <f>IFERROR(INDEX(Tariffe!$E$2:$E$200,MATCH(E104,Tariffe!$A$2:$A$200,0))*1,1)</f>
        <v/>
      </c>
    </row>
    <row r="105">
      <c r="A105" s="23" t="inlineStr">
        <is>
          <t>20261031_2115</t>
        </is>
      </c>
      <c r="B105" s="13" t="n">
        <v>46326</v>
      </c>
      <c r="C105" s="14" t="n">
        <v>0.8854166666666666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0</v>
      </c>
      <c r="J105" s="16" t="n">
        <v>1440</v>
      </c>
      <c r="K105" s="16" t="n">
        <v>0</v>
      </c>
      <c r="L105" s="16" t="n">
        <v>1309.2</v>
      </c>
      <c r="M105" s="16" t="n">
        <v>130.8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30</v>
      </c>
      <c r="R105" s="15">
        <f>IFERROR(INDEX(Tariffe!$E$2:$E$200,MATCH(E105,Tariffe!$A$2:$A$200,0))*1,1)</f>
        <v/>
      </c>
    </row>
    <row r="106">
      <c r="A106" s="22" t="inlineStr">
        <is>
          <t>20261031_2115</t>
        </is>
      </c>
      <c r="B106" s="9" t="n">
        <v>46326</v>
      </c>
      <c r="C106" s="10" t="n">
        <v>0.8854166666666666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216</v>
      </c>
      <c r="K106" s="12" t="n">
        <v>0</v>
      </c>
      <c r="L106" s="12" t="n">
        <v>196.38</v>
      </c>
      <c r="M106" s="12" t="n">
        <v>19.62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6</v>
      </c>
      <c r="R106" s="11">
        <f>IFERROR(INDEX(Tariffe!$E$2:$E$200,MATCH(E106,Tariffe!$A$2:$A$200,0))*1,1)</f>
        <v/>
      </c>
    </row>
    <row r="107">
      <c r="A107" s="23" t="inlineStr">
        <is>
          <t>20261031_2115</t>
        </is>
      </c>
      <c r="B107" s="13" t="n">
        <v>46326</v>
      </c>
      <c r="C107" s="14" t="n">
        <v>0.8854166666666666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360</v>
      </c>
      <c r="K107" s="16" t="n">
        <v>0</v>
      </c>
      <c r="L107" s="16" t="n">
        <v>327.3</v>
      </c>
      <c r="M107" s="16" t="n">
        <v>32.7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6</v>
      </c>
      <c r="R107" s="15">
        <f>IFERROR(INDEX(Tariffe!$E$2:$E$200,MATCH(E107,Tariffe!$A$2:$A$200,0))*1,1)</f>
        <v/>
      </c>
    </row>
    <row r="108">
      <c r="A108" s="22" t="inlineStr">
        <is>
          <t>20261031_2115</t>
        </is>
      </c>
      <c r="B108" s="9" t="n">
        <v>46326</v>
      </c>
      <c r="C108" s="10" t="n">
        <v>0.8854166666666666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912</v>
      </c>
      <c r="K108" s="12" t="n">
        <v>0</v>
      </c>
      <c r="L108" s="12" t="n">
        <v>829.16</v>
      </c>
      <c r="M108" s="12" t="n">
        <v>82.84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38</v>
      </c>
      <c r="R108" s="11">
        <f>IFERROR(INDEX(Tariffe!$E$2:$E$200,MATCH(E108,Tariffe!$A$2:$A$200,0))*1,1)</f>
        <v/>
      </c>
    </row>
    <row r="109">
      <c r="A109" s="23" t="inlineStr">
        <is>
          <t>20261031_2215</t>
        </is>
      </c>
      <c r="B109" s="13" t="n">
        <v>46326</v>
      </c>
      <c r="C109" s="14" t="n">
        <v>0.9270833333333334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3</v>
      </c>
      <c r="J109" s="16" t="n">
        <v>1296</v>
      </c>
      <c r="K109" s="16" t="n">
        <v>0</v>
      </c>
      <c r="L109" s="16" t="n">
        <v>1178.28</v>
      </c>
      <c r="M109" s="16" t="n">
        <v>117.72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27</v>
      </c>
      <c r="R109" s="15">
        <f>IFERROR(INDEX(Tariffe!$E$2:$E$200,MATCH(E109,Tariffe!$A$2:$A$200,0))*1,1)</f>
        <v/>
      </c>
    </row>
    <row r="110">
      <c r="A110" s="22" t="inlineStr">
        <is>
          <t>20261031_2215</t>
        </is>
      </c>
      <c r="B110" s="9" t="n">
        <v>46326</v>
      </c>
      <c r="C110" s="10" t="n">
        <v>0.9270833333333334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180</v>
      </c>
      <c r="K110" s="12" t="n">
        <v>0</v>
      </c>
      <c r="L110" s="12" t="n">
        <v>163.65</v>
      </c>
      <c r="M110" s="12" t="n">
        <v>16.35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20261031_2215</t>
        </is>
      </c>
      <c r="B111" s="13" t="n">
        <v>46326</v>
      </c>
      <c r="C111" s="14" t="n">
        <v>0.9270833333333334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240</v>
      </c>
      <c r="K111" s="16" t="n">
        <v>0</v>
      </c>
      <c r="L111" s="16" t="n">
        <v>218.2</v>
      </c>
      <c r="M111" s="16" t="n">
        <v>21.8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4</v>
      </c>
      <c r="R111" s="15">
        <f>IFERROR(INDEX(Tariffe!$E$2:$E$200,MATCH(E111,Tariffe!$A$2:$A$200,0))*1,1)</f>
        <v/>
      </c>
    </row>
    <row r="112">
      <c r="A112" s="22" t="inlineStr">
        <is>
          <t>20261031_2215</t>
        </is>
      </c>
      <c r="B112" s="9" t="n">
        <v>46326</v>
      </c>
      <c r="C112" s="10" t="n">
        <v>0.9270833333333334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1056</v>
      </c>
      <c r="K112" s="12" t="n">
        <v>0</v>
      </c>
      <c r="L112" s="12" t="n">
        <v>960.08</v>
      </c>
      <c r="M112" s="12" t="n">
        <v>95.92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44</v>
      </c>
      <c r="R112" s="11">
        <f>IFERROR(INDEX(Tariffe!$E$2:$E$200,MATCH(E112,Tariffe!$A$2:$A$200,0))*1,1)</f>
        <v/>
      </c>
    </row>
    <row r="113">
      <c r="A113" s="23" t="inlineStr">
        <is>
          <t>20261031_2315</t>
        </is>
      </c>
      <c r="B113" s="13" t="n">
        <v>46326</v>
      </c>
      <c r="C113" s="14" t="n">
        <v>0.96875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1968</v>
      </c>
      <c r="K113" s="16" t="n">
        <v>0</v>
      </c>
      <c r="L113" s="16" t="n">
        <v>1789.24</v>
      </c>
      <c r="M113" s="16" t="n">
        <v>178.76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41</v>
      </c>
      <c r="R113" s="15">
        <f>IFERROR(INDEX(Tariffe!$E$2:$E$200,MATCH(E113,Tariffe!$A$2:$A$200,0))*1,1)</f>
        <v/>
      </c>
    </row>
    <row r="114">
      <c r="A114" s="22" t="inlineStr">
        <is>
          <t>20261031_2315</t>
        </is>
      </c>
      <c r="B114" s="9" t="n">
        <v>46326</v>
      </c>
      <c r="C114" s="10" t="n">
        <v>0.96875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108</v>
      </c>
      <c r="K114" s="12" t="n">
        <v>0</v>
      </c>
      <c r="L114" s="12" t="n">
        <v>98.19</v>
      </c>
      <c r="M114" s="12" t="n">
        <v>9.81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3</v>
      </c>
      <c r="R114" s="11">
        <f>IFERROR(INDEX(Tariffe!$E$2:$E$200,MATCH(E114,Tariffe!$A$2:$A$200,0))*1,1)</f>
        <v/>
      </c>
    </row>
    <row r="115">
      <c r="A115" s="23" t="inlineStr">
        <is>
          <t>20261031_2315</t>
        </is>
      </c>
      <c r="B115" s="13" t="n">
        <v>46326</v>
      </c>
      <c r="C115" s="14" t="n">
        <v>0.96875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300</v>
      </c>
      <c r="K115" s="16" t="n">
        <v>0</v>
      </c>
      <c r="L115" s="16" t="n">
        <v>272.75</v>
      </c>
      <c r="M115" s="16" t="n">
        <v>27.25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20261031_2315</t>
        </is>
      </c>
      <c r="B116" s="9" t="n">
        <v>46326</v>
      </c>
      <c r="C116" s="10" t="n">
        <v>0.96875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744</v>
      </c>
      <c r="K116" s="12" t="n">
        <v>0</v>
      </c>
      <c r="L116" s="12" t="n">
        <v>676.42</v>
      </c>
      <c r="M116" s="12" t="n">
        <v>67.58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31</v>
      </c>
      <c r="R116" s="11">
        <f>IFERROR(INDEX(Tariffe!$E$2:$E$200,MATCH(E116,Tariffe!$A$2:$A$200,0))*1,1)</f>
        <v/>
      </c>
    </row>
    <row r="117">
      <c r="A117" s="23" t="inlineStr">
        <is>
          <t>20261031_2359</t>
        </is>
      </c>
      <c r="B117" s="13" t="n">
        <v>46326</v>
      </c>
      <c r="C117" s="14" t="n">
        <v>0.9993055555555556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2256</v>
      </c>
      <c r="K117" s="16" t="n">
        <v>0</v>
      </c>
      <c r="L117" s="16" t="n">
        <v>2051.08</v>
      </c>
      <c r="M117" s="16" t="n">
        <v>204.92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47</v>
      </c>
      <c r="R117" s="15">
        <f>IFERROR(INDEX(Tariffe!$E$2:$E$200,MATCH(E117,Tariffe!$A$2:$A$200,0))*1,1)</f>
        <v/>
      </c>
    </row>
    <row r="118">
      <c r="A118" s="22" t="inlineStr">
        <is>
          <t>20261031_2359</t>
        </is>
      </c>
      <c r="B118" s="9" t="n">
        <v>46326</v>
      </c>
      <c r="C118" s="10" t="n">
        <v>0.9993055555555556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36</v>
      </c>
      <c r="K118" s="12" t="n">
        <v>0</v>
      </c>
      <c r="L118" s="12" t="n">
        <v>32.73</v>
      </c>
      <c r="M118" s="12" t="n">
        <v>3.27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20261031_2359</t>
        </is>
      </c>
      <c r="B119" s="13" t="n">
        <v>46326</v>
      </c>
      <c r="C119" s="14" t="n">
        <v>0.9993055555555556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300</v>
      </c>
      <c r="K119" s="16" t="n">
        <v>0</v>
      </c>
      <c r="L119" s="16" t="n">
        <v>272.75</v>
      </c>
      <c r="M119" s="16" t="n">
        <v>27.25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20261031_2359</t>
        </is>
      </c>
      <c r="B120" s="9" t="n">
        <v>46326</v>
      </c>
      <c r="C120" s="10" t="n">
        <v>0.9993055555555556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648</v>
      </c>
      <c r="K120" s="12" t="n">
        <v>0</v>
      </c>
      <c r="L120" s="12" t="n">
        <v>589.14</v>
      </c>
      <c r="M120" s="12" t="n">
        <v>58.86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27</v>
      </c>
      <c r="R120" s="11">
        <f>IFERROR(INDEX(Tariffe!$E$2:$E$200,MATCH(E120,Tariffe!$A$2:$A$200,0))*1,1)</f>
        <v/>
      </c>
    </row>
    <row r="121">
      <c r="A121" s="23" t="inlineStr">
        <is>
          <t>20261101_1915</t>
        </is>
      </c>
      <c r="B121" s="13" t="n">
        <v>46327</v>
      </c>
      <c r="C121" s="14" t="n">
        <v>0.8020833333333334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36</v>
      </c>
      <c r="K121" s="16" t="n">
        <v>0</v>
      </c>
      <c r="L121" s="16" t="n">
        <v>32.73</v>
      </c>
      <c r="M121" s="16" t="n">
        <v>3.27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1</v>
      </c>
      <c r="R121" s="15">
        <f>IFERROR(INDEX(Tariffe!$E$2:$E$200,MATCH(E121,Tariffe!$A$2:$A$200,0))*1,1)</f>
        <v/>
      </c>
    </row>
    <row r="122">
      <c r="A122" s="22" t="inlineStr">
        <is>
          <t>20261101_1915</t>
        </is>
      </c>
      <c r="B122" s="9" t="n">
        <v>46327</v>
      </c>
      <c r="C122" s="10" t="n">
        <v>0.8020833333333334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20261101_2015</t>
        </is>
      </c>
      <c r="B123" s="13" t="n">
        <v>46327</v>
      </c>
      <c r="C123" s="14" t="n">
        <v>0.84375</v>
      </c>
      <c r="D123" s="23" t="inlineStr">
        <is>
          <t>UN Unico</t>
        </is>
      </c>
      <c r="E123" s="23" t="inlineStr">
        <is>
          <t>I1 48€</t>
        </is>
      </c>
      <c r="F123" s="23">
        <f>IFERROR(INDEX(Tariffe!$B$2:$B$200,MATCH(E123,Tariffe!$A$2:$A$200,0)),"DA DEFINIRE")</f>
        <v/>
      </c>
      <c r="G123" s="16" t="n">
        <v>48</v>
      </c>
      <c r="H123" s="15">
        <f>Q123*R123</f>
        <v/>
      </c>
      <c r="I123" s="15" t="n">
        <v>0</v>
      </c>
      <c r="J123" s="16" t="n">
        <v>384</v>
      </c>
      <c r="K123" s="16" t="n">
        <v>0</v>
      </c>
      <c r="L123" s="16" t="n">
        <v>349.12</v>
      </c>
      <c r="M123" s="16" t="n">
        <v>34.88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8</v>
      </c>
      <c r="R123" s="15">
        <f>IFERROR(INDEX(Tariffe!$E$2:$E$200,MATCH(E123,Tariffe!$A$2:$A$200,0))*1,1)</f>
        <v/>
      </c>
    </row>
    <row r="124">
      <c r="A124" s="22" t="inlineStr">
        <is>
          <t>20261101_2015</t>
        </is>
      </c>
      <c r="B124" s="9" t="n">
        <v>46327</v>
      </c>
      <c r="C124" s="10" t="n">
        <v>0.84375</v>
      </c>
      <c r="D124" s="22" t="inlineStr">
        <is>
          <t>UN Unico</t>
        </is>
      </c>
      <c r="E124" s="22" t="inlineStr">
        <is>
          <t>I2 36€</t>
        </is>
      </c>
      <c r="F124" s="22">
        <f>IFERROR(INDEX(Tariffe!$B$2:$B$200,MATCH(E124,Tariffe!$A$2:$A$200,0)),"DA DEFINIRE")</f>
        <v/>
      </c>
      <c r="G124" s="12" t="n">
        <v>36</v>
      </c>
      <c r="H124" s="11">
        <f>Q124*R124</f>
        <v/>
      </c>
      <c r="I124" s="11" t="n">
        <v>0</v>
      </c>
      <c r="J124" s="12" t="n">
        <v>72</v>
      </c>
      <c r="K124" s="12" t="n">
        <v>0</v>
      </c>
      <c r="L124" s="12" t="n">
        <v>65.45999999999999</v>
      </c>
      <c r="M124" s="12" t="n">
        <v>6.54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</v>
      </c>
      <c r="R124" s="11">
        <f>IFERROR(INDEX(Tariffe!$E$2:$E$200,MATCH(E124,Tariffe!$A$2:$A$200,0))*1,1)</f>
        <v/>
      </c>
    </row>
    <row r="125">
      <c r="A125" s="23" t="inlineStr">
        <is>
          <t>20261101_2015</t>
        </is>
      </c>
      <c r="B125" s="13" t="n">
        <v>46327</v>
      </c>
      <c r="C125" s="14" t="n">
        <v>0.84375</v>
      </c>
      <c r="D125" s="23" t="inlineStr">
        <is>
          <t>UN Unico</t>
        </is>
      </c>
      <c r="E125" s="23" t="inlineStr">
        <is>
          <t>I5 60€</t>
        </is>
      </c>
      <c r="F125" s="23">
        <f>IFERROR(INDEX(Tariffe!$B$2:$B$200,MATCH(E125,Tariffe!$A$2:$A$200,0)),"DA DEFINIRE")</f>
        <v/>
      </c>
      <c r="G125" s="16" t="n">
        <v>60</v>
      </c>
      <c r="H125" s="15">
        <f>Q125*R125</f>
        <v/>
      </c>
      <c r="I125" s="15" t="n">
        <v>0</v>
      </c>
      <c r="J125" s="16" t="n">
        <v>120</v>
      </c>
      <c r="K125" s="16" t="n">
        <v>0</v>
      </c>
      <c r="L125" s="16" t="n">
        <v>109.1</v>
      </c>
      <c r="M125" s="16" t="n">
        <v>10.9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20261101_2015</t>
        </is>
      </c>
      <c r="B126" s="9" t="n">
        <v>46327</v>
      </c>
      <c r="C126" s="10" t="n">
        <v>0.84375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120</v>
      </c>
      <c r="K126" s="12" t="n">
        <v>0</v>
      </c>
      <c r="L126" s="12" t="n">
        <v>109.1</v>
      </c>
      <c r="M126" s="12" t="n">
        <v>10.9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5</v>
      </c>
      <c r="R126" s="11">
        <f>IFERROR(INDEX(Tariffe!$E$2:$E$200,MATCH(E126,Tariffe!$A$2:$A$200,0))*1,1)</f>
        <v/>
      </c>
    </row>
    <row r="127">
      <c r="A127" s="23" t="inlineStr">
        <is>
          <t>20261101_2115</t>
        </is>
      </c>
      <c r="B127" s="13" t="n">
        <v>46327</v>
      </c>
      <c r="C127" s="14" t="n">
        <v>0.8854166666666666</v>
      </c>
      <c r="D127" s="23" t="inlineStr">
        <is>
          <t>UN Unico</t>
        </is>
      </c>
      <c r="E127" s="23" t="inlineStr">
        <is>
          <t>I1 48€</t>
        </is>
      </c>
      <c r="F127" s="23">
        <f>IFERROR(INDEX(Tariffe!$B$2:$B$200,MATCH(E127,Tariffe!$A$2:$A$200,0)),"DA DEFINIRE")</f>
        <v/>
      </c>
      <c r="G127" s="16" t="n">
        <v>48</v>
      </c>
      <c r="H127" s="15">
        <f>Q127*R127</f>
        <v/>
      </c>
      <c r="I127" s="15" t="n">
        <v>0</v>
      </c>
      <c r="J127" s="16" t="n">
        <v>432</v>
      </c>
      <c r="K127" s="16" t="n">
        <v>0</v>
      </c>
      <c r="L127" s="16" t="n">
        <v>392.76</v>
      </c>
      <c r="M127" s="16" t="n">
        <v>39.24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9</v>
      </c>
      <c r="R127" s="15">
        <f>IFERROR(INDEX(Tariffe!$E$2:$E$200,MATCH(E127,Tariffe!$A$2:$A$200,0))*1,1)</f>
        <v/>
      </c>
    </row>
    <row r="128">
      <c r="A128" s="22" t="inlineStr">
        <is>
          <t>20261101_2115</t>
        </is>
      </c>
      <c r="B128" s="9" t="n">
        <v>46327</v>
      </c>
      <c r="C128" s="10" t="n">
        <v>0.8854166666666666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144</v>
      </c>
      <c r="K128" s="12" t="n">
        <v>0</v>
      </c>
      <c r="L128" s="12" t="n">
        <v>130.92</v>
      </c>
      <c r="M128" s="12" t="n">
        <v>13.08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4</v>
      </c>
      <c r="R128" s="11">
        <f>IFERROR(INDEX(Tariffe!$E$2:$E$200,MATCH(E128,Tariffe!$A$2:$A$200,0))*1,1)</f>
        <v/>
      </c>
    </row>
    <row r="129">
      <c r="A129" s="23" t="inlineStr">
        <is>
          <t>20261101_2115</t>
        </is>
      </c>
      <c r="B129" s="13" t="n">
        <v>46327</v>
      </c>
      <c r="C129" s="14" t="n">
        <v>0.8854166666666666</v>
      </c>
      <c r="D129" s="23" t="inlineStr">
        <is>
          <t>UN Unico</t>
        </is>
      </c>
      <c r="E129" s="23" t="inlineStr">
        <is>
          <t>I5 60€</t>
        </is>
      </c>
      <c r="F129" s="23">
        <f>IFERROR(INDEX(Tariffe!$B$2:$B$200,MATCH(E129,Tariffe!$A$2:$A$200,0)),"DA DEFINIRE")</f>
        <v/>
      </c>
      <c r="G129" s="16" t="n">
        <v>60</v>
      </c>
      <c r="H129" s="15">
        <f>Q129*R129</f>
        <v/>
      </c>
      <c r="I129" s="15" t="n">
        <v>0</v>
      </c>
      <c r="J129" s="16" t="n">
        <v>60</v>
      </c>
      <c r="K129" s="16" t="n">
        <v>0</v>
      </c>
      <c r="L129" s="16" t="n">
        <v>54.55</v>
      </c>
      <c r="M129" s="16" t="n">
        <v>5.45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20261101_2115</t>
        </is>
      </c>
      <c r="B130" s="9" t="n">
        <v>46327</v>
      </c>
      <c r="C130" s="10" t="n">
        <v>0.8854166666666666</v>
      </c>
      <c r="D130" s="22" t="inlineStr">
        <is>
          <t>UN Unico</t>
        </is>
      </c>
      <c r="E130" s="22" t="inlineStr">
        <is>
          <t>I8 24€</t>
        </is>
      </c>
      <c r="F130" s="22">
        <f>IFERROR(INDEX(Tariffe!$B$2:$B$200,MATCH(E130,Tariffe!$A$2:$A$200,0)),"DA DEFINIRE")</f>
        <v/>
      </c>
      <c r="G130" s="12" t="n">
        <v>24</v>
      </c>
      <c r="H130" s="11">
        <f>Q130*R130</f>
        <v/>
      </c>
      <c r="I130" s="11" t="n">
        <v>0</v>
      </c>
      <c r="J130" s="12" t="n">
        <v>264</v>
      </c>
      <c r="K130" s="12" t="n">
        <v>0</v>
      </c>
      <c r="L130" s="12" t="n">
        <v>240.02</v>
      </c>
      <c r="M130" s="12" t="n">
        <v>23.98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11</v>
      </c>
      <c r="R130" s="11">
        <f>IFERROR(INDEX(Tariffe!$E$2:$E$200,MATCH(E130,Tariffe!$A$2:$A$200,0))*1,1)</f>
        <v/>
      </c>
    </row>
    <row r="131">
      <c r="A131" s="23" t="inlineStr">
        <is>
          <t>20261101_2215</t>
        </is>
      </c>
      <c r="B131" s="13" t="n">
        <v>46327</v>
      </c>
      <c r="C131" s="14" t="n">
        <v>0.9270833333333334</v>
      </c>
      <c r="D131" s="23" t="inlineStr">
        <is>
          <t>UN Unico</t>
        </is>
      </c>
      <c r="E131" s="23" t="inlineStr">
        <is>
          <t>I1 48€</t>
        </is>
      </c>
      <c r="F131" s="23">
        <f>IFERROR(INDEX(Tariffe!$B$2:$B$200,MATCH(E131,Tariffe!$A$2:$A$200,0)),"DA DEFINIRE")</f>
        <v/>
      </c>
      <c r="G131" s="16" t="n">
        <v>48</v>
      </c>
      <c r="H131" s="15">
        <f>Q131*R131</f>
        <v/>
      </c>
      <c r="I131" s="15" t="n">
        <v>0</v>
      </c>
      <c r="J131" s="16" t="n">
        <v>816</v>
      </c>
      <c r="K131" s="16" t="n">
        <v>0</v>
      </c>
      <c r="L131" s="16" t="n">
        <v>741.88</v>
      </c>
      <c r="M131" s="16" t="n">
        <v>74.12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17</v>
      </c>
      <c r="R131" s="15">
        <f>IFERROR(INDEX(Tariffe!$E$2:$E$200,MATCH(E131,Tariffe!$A$2:$A$200,0))*1,1)</f>
        <v/>
      </c>
    </row>
    <row r="132">
      <c r="A132" s="22" t="inlineStr">
        <is>
          <t>20261101_2215</t>
        </is>
      </c>
      <c r="B132" s="9" t="n">
        <v>46327</v>
      </c>
      <c r="C132" s="10" t="n">
        <v>0.9270833333333334</v>
      </c>
      <c r="D132" s="22" t="inlineStr">
        <is>
          <t>UN Unico</t>
        </is>
      </c>
      <c r="E132" s="22" t="inlineStr">
        <is>
          <t>I2 36€</t>
        </is>
      </c>
      <c r="F132" s="22">
        <f>IFERROR(INDEX(Tariffe!$B$2:$B$200,MATCH(E132,Tariffe!$A$2:$A$200,0)),"DA DEFINIRE")</f>
        <v/>
      </c>
      <c r="G132" s="12" t="n">
        <v>36</v>
      </c>
      <c r="H132" s="11">
        <f>Q132*R132</f>
        <v/>
      </c>
      <c r="I132" s="11" t="n">
        <v>0</v>
      </c>
      <c r="J132" s="12" t="n">
        <v>108</v>
      </c>
      <c r="K132" s="12" t="n">
        <v>0</v>
      </c>
      <c r="L132" s="12" t="n">
        <v>98.19</v>
      </c>
      <c r="M132" s="12" t="n">
        <v>9.81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3</v>
      </c>
      <c r="R132" s="11">
        <f>IFERROR(INDEX(Tariffe!$E$2:$E$200,MATCH(E132,Tariffe!$A$2:$A$200,0))*1,1)</f>
        <v/>
      </c>
    </row>
    <row r="133">
      <c r="A133" s="23" t="inlineStr">
        <is>
          <t>20261101_2215</t>
        </is>
      </c>
      <c r="B133" s="13" t="n">
        <v>46327</v>
      </c>
      <c r="C133" s="14" t="n">
        <v>0.9270833333333334</v>
      </c>
      <c r="D133" s="23" t="inlineStr">
        <is>
          <t>UN Unico</t>
        </is>
      </c>
      <c r="E133" s="23" t="inlineStr">
        <is>
          <t>I5 60€</t>
        </is>
      </c>
      <c r="F133" s="23">
        <f>IFERROR(INDEX(Tariffe!$B$2:$B$200,MATCH(E133,Tariffe!$A$2:$A$200,0)),"DA DEFINIRE")</f>
        <v/>
      </c>
      <c r="G133" s="16" t="n">
        <v>60</v>
      </c>
      <c r="H133" s="15">
        <f>Q133*R133</f>
        <v/>
      </c>
      <c r="I133" s="15" t="n">
        <v>0</v>
      </c>
      <c r="J133" s="16" t="n">
        <v>60</v>
      </c>
      <c r="K133" s="16" t="n">
        <v>0</v>
      </c>
      <c r="L133" s="16" t="n">
        <v>54.55</v>
      </c>
      <c r="M133" s="16" t="n">
        <v>5.45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</v>
      </c>
      <c r="R133" s="15">
        <f>IFERROR(INDEX(Tariffe!$E$2:$E$200,MATCH(E133,Tariffe!$A$2:$A$200,0))*1,1)</f>
        <v/>
      </c>
    </row>
    <row r="134">
      <c r="A134" s="22" t="inlineStr">
        <is>
          <t>20261101_2215</t>
        </is>
      </c>
      <c r="B134" s="9" t="n">
        <v>46327</v>
      </c>
      <c r="C134" s="10" t="n">
        <v>0.9270833333333334</v>
      </c>
      <c r="D134" s="22" t="inlineStr">
        <is>
          <t>UN Unico</t>
        </is>
      </c>
      <c r="E134" s="22" t="inlineStr">
        <is>
          <t>I8 24€</t>
        </is>
      </c>
      <c r="F134" s="22">
        <f>IFERROR(INDEX(Tariffe!$B$2:$B$200,MATCH(E134,Tariffe!$A$2:$A$200,0)),"DA DEFINIRE")</f>
        <v/>
      </c>
      <c r="G134" s="12" t="n">
        <v>24</v>
      </c>
      <c r="H134" s="11">
        <f>Q134*R134</f>
        <v/>
      </c>
      <c r="I134" s="11" t="n">
        <v>0</v>
      </c>
      <c r="J134" s="12" t="n">
        <v>456</v>
      </c>
      <c r="K134" s="12" t="n">
        <v>0</v>
      </c>
      <c r="L134" s="12" t="n">
        <v>414.58</v>
      </c>
      <c r="M134" s="12" t="n">
        <v>41.42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19</v>
      </c>
      <c r="R134" s="11">
        <f>IFERROR(INDEX(Tariffe!$E$2:$E$200,MATCH(E134,Tariffe!$A$2:$A$200,0))*1,1)</f>
        <v/>
      </c>
    </row>
    <row r="135">
      <c r="A135" s="23" t="inlineStr">
        <is>
          <t>20261101_2315</t>
        </is>
      </c>
      <c r="B135" s="13" t="n">
        <v>46327</v>
      </c>
      <c r="C135" s="14" t="n">
        <v>0.96875</v>
      </c>
      <c r="D135" s="23" t="inlineStr">
        <is>
          <t>UN Unico</t>
        </is>
      </c>
      <c r="E135" s="23" t="inlineStr">
        <is>
          <t>I1 48€</t>
        </is>
      </c>
      <c r="F135" s="23">
        <f>IFERROR(INDEX(Tariffe!$B$2:$B$200,MATCH(E135,Tariffe!$A$2:$A$200,0)),"DA DEFINIRE")</f>
        <v/>
      </c>
      <c r="G135" s="16" t="n">
        <v>48</v>
      </c>
      <c r="H135" s="15">
        <f>Q135*R135</f>
        <v/>
      </c>
      <c r="I135" s="15" t="n">
        <v>0</v>
      </c>
      <c r="J135" s="16" t="n">
        <v>144</v>
      </c>
      <c r="K135" s="16" t="n">
        <v>0</v>
      </c>
      <c r="L135" s="16" t="n">
        <v>130.92</v>
      </c>
      <c r="M135" s="16" t="n">
        <v>13.08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3</v>
      </c>
      <c r="R135" s="15">
        <f>IFERROR(INDEX(Tariffe!$E$2:$E$200,MATCH(E135,Tariffe!$A$2:$A$200,0))*1,1)</f>
        <v/>
      </c>
    </row>
    <row r="136">
      <c r="A136" s="22" t="inlineStr">
        <is>
          <t>20261101_2315</t>
        </is>
      </c>
      <c r="B136" s="9" t="n">
        <v>46327</v>
      </c>
      <c r="C136" s="10" t="n">
        <v>0.96875</v>
      </c>
      <c r="D136" s="22" t="inlineStr">
        <is>
          <t>UN Unico</t>
        </is>
      </c>
      <c r="E136" s="22" t="inlineStr">
        <is>
          <t>I2 36€</t>
        </is>
      </c>
      <c r="F136" s="22">
        <f>IFERROR(INDEX(Tariffe!$B$2:$B$200,MATCH(E136,Tariffe!$A$2:$A$200,0)),"DA DEFINIRE")</f>
        <v/>
      </c>
      <c r="G136" s="12" t="n">
        <v>36</v>
      </c>
      <c r="H136" s="11">
        <f>Q136*R136</f>
        <v/>
      </c>
      <c r="I136" s="11" t="n">
        <v>0</v>
      </c>
      <c r="J136" s="12" t="n">
        <v>72</v>
      </c>
      <c r="K136" s="12" t="n">
        <v>0</v>
      </c>
      <c r="L136" s="12" t="n">
        <v>65.45999999999999</v>
      </c>
      <c r="M136" s="12" t="n">
        <v>6.54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2</v>
      </c>
      <c r="R136" s="11">
        <f>IFERROR(INDEX(Tariffe!$E$2:$E$200,MATCH(E136,Tariffe!$A$2:$A$200,0))*1,1)</f>
        <v/>
      </c>
    </row>
    <row r="137">
      <c r="A137" s="23" t="inlineStr">
        <is>
          <t>20261101_2315</t>
        </is>
      </c>
      <c r="B137" s="13" t="n">
        <v>46327</v>
      </c>
      <c r="C137" s="14" t="n">
        <v>0.96875</v>
      </c>
      <c r="D137" s="23" t="inlineStr">
        <is>
          <t>UN Unico</t>
        </is>
      </c>
      <c r="E137" s="23" t="inlineStr">
        <is>
          <t>I5 60€</t>
        </is>
      </c>
      <c r="F137" s="23">
        <f>IFERROR(INDEX(Tariffe!$B$2:$B$200,MATCH(E137,Tariffe!$A$2:$A$200,0)),"DA DEFINIRE")</f>
        <v/>
      </c>
      <c r="G137" s="16" t="n">
        <v>60</v>
      </c>
      <c r="H137" s="15">
        <f>Q137*R137</f>
        <v/>
      </c>
      <c r="I137" s="15" t="n">
        <v>0</v>
      </c>
      <c r="J137" s="16" t="n">
        <v>180</v>
      </c>
      <c r="K137" s="16" t="n">
        <v>0</v>
      </c>
      <c r="L137" s="16" t="n">
        <v>163.65</v>
      </c>
      <c r="M137" s="16" t="n">
        <v>16.35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</v>
      </c>
      <c r="R137" s="15">
        <f>IFERROR(INDEX(Tariffe!$E$2:$E$200,MATCH(E137,Tariffe!$A$2:$A$200,0))*1,1)</f>
        <v/>
      </c>
    </row>
    <row r="138">
      <c r="A138" s="22" t="inlineStr">
        <is>
          <t>20261101_2315</t>
        </is>
      </c>
      <c r="B138" s="9" t="n">
        <v>46327</v>
      </c>
      <c r="C138" s="10" t="n">
        <v>0.96875</v>
      </c>
      <c r="D138" s="22" t="inlineStr">
        <is>
          <t>UN Unico</t>
        </is>
      </c>
      <c r="E138" s="22" t="inlineStr">
        <is>
          <t>I8 24€</t>
        </is>
      </c>
      <c r="F138" s="22">
        <f>IFERROR(INDEX(Tariffe!$B$2:$B$200,MATCH(E138,Tariffe!$A$2:$A$200,0)),"DA DEFINIRE")</f>
        <v/>
      </c>
      <c r="G138" s="12" t="n">
        <v>24</v>
      </c>
      <c r="H138" s="11">
        <f>Q138*R138</f>
        <v/>
      </c>
      <c r="I138" s="11" t="n">
        <v>0</v>
      </c>
      <c r="J138" s="12" t="n">
        <v>96</v>
      </c>
      <c r="K138" s="12" t="n">
        <v>0</v>
      </c>
      <c r="L138" s="12" t="n">
        <v>87.28</v>
      </c>
      <c r="M138" s="12" t="n">
        <v>8.720000000000001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4</v>
      </c>
      <c r="R138" s="11">
        <f>IFERROR(INDEX(Tariffe!$E$2:$E$200,MATCH(E138,Tariffe!$A$2:$A$200,0))*1,1)</f>
        <v/>
      </c>
    </row>
    <row r="139">
      <c r="A139" s="23" t="inlineStr">
        <is>
          <t>20261101_2359</t>
        </is>
      </c>
      <c r="B139" s="13" t="n">
        <v>46327</v>
      </c>
      <c r="C139" s="14" t="n">
        <v>0.9993055555555556</v>
      </c>
      <c r="D139" s="23" t="inlineStr">
        <is>
          <t>UN Unico</t>
        </is>
      </c>
      <c r="E139" s="23" t="inlineStr">
        <is>
          <t>I1 48€</t>
        </is>
      </c>
      <c r="F139" s="23">
        <f>IFERROR(INDEX(Tariffe!$B$2:$B$200,MATCH(E139,Tariffe!$A$2:$A$200,0)),"DA DEFINIRE")</f>
        <v/>
      </c>
      <c r="G139" s="16" t="n">
        <v>48</v>
      </c>
      <c r="H139" s="15">
        <f>Q139*R139</f>
        <v/>
      </c>
      <c r="I139" s="15" t="n">
        <v>0</v>
      </c>
      <c r="J139" s="16" t="n">
        <v>144</v>
      </c>
      <c r="K139" s="16" t="n">
        <v>0</v>
      </c>
      <c r="L139" s="16" t="n">
        <v>130.92</v>
      </c>
      <c r="M139" s="16" t="n">
        <v>13.08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3</v>
      </c>
      <c r="R139" s="15">
        <f>IFERROR(INDEX(Tariffe!$E$2:$E$200,MATCH(E139,Tariffe!$A$2:$A$200,0))*1,1)</f>
        <v/>
      </c>
    </row>
    <row r="140">
      <c r="A140" s="22" t="inlineStr">
        <is>
          <t>20261101_2359</t>
        </is>
      </c>
      <c r="B140" s="9" t="n">
        <v>46327</v>
      </c>
      <c r="C140" s="10" t="n">
        <v>0.9993055555555556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60</v>
      </c>
      <c r="K140" s="12" t="n">
        <v>0</v>
      </c>
      <c r="L140" s="12" t="n">
        <v>54.55</v>
      </c>
      <c r="M140" s="12" t="n">
        <v>5.45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1</v>
      </c>
      <c r="R140" s="11">
        <f>IFERROR(INDEX(Tariffe!$E$2:$E$200,MATCH(E140,Tariffe!$A$2:$A$200,0))*1,1)</f>
        <v/>
      </c>
    </row>
    <row r="141">
      <c r="A141" s="23" t="inlineStr">
        <is>
          <t>20261101_2359</t>
        </is>
      </c>
      <c r="B141" s="13" t="n">
        <v>46327</v>
      </c>
      <c r="C141" s="14" t="n">
        <v>0.9993055555555556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24</v>
      </c>
      <c r="K141" s="16" t="n">
        <v>0</v>
      </c>
      <c r="L141" s="16" t="n">
        <v>21.82</v>
      </c>
      <c r="M141" s="16" t="n">
        <v>2.18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1</v>
      </c>
      <c r="R141" s="15">
        <f>IFERROR(INDEX(Tariffe!$E$2:$E$200,MATCH(E141,Tariffe!$A$2:$A$200,0))*1,1)</f>
        <v/>
      </c>
    </row>
    <row r="142">
      <c r="A142" s="22" t="inlineStr">
        <is>
          <t>20261102_2015</t>
        </is>
      </c>
      <c r="B142" s="9" t="n">
        <v>46328</v>
      </c>
      <c r="C142" s="10" t="n">
        <v>0.84375</v>
      </c>
      <c r="D142" s="22" t="inlineStr">
        <is>
          <t>UN Unico</t>
        </is>
      </c>
      <c r="E142" s="22" t="inlineStr">
        <is>
          <t>I1 15€</t>
        </is>
      </c>
      <c r="F142" s="22">
        <f>IFERROR(INDEX(Tariffe!$B$2:$B$200,MATCH(E142,Tariffe!$A$2:$A$200,0)),"DA DEFINIRE")</f>
        <v/>
      </c>
      <c r="G142" s="12" t="n">
        <v>15</v>
      </c>
      <c r="H142" s="11">
        <f>Q142*R142</f>
        <v/>
      </c>
      <c r="I142" s="11" t="n">
        <v>0</v>
      </c>
      <c r="J142" s="12" t="n">
        <v>30</v>
      </c>
      <c r="K142" s="12" t="n">
        <v>0</v>
      </c>
      <c r="L142" s="12" t="n">
        <v>27.28</v>
      </c>
      <c r="M142" s="12" t="n">
        <v>2.72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2</v>
      </c>
      <c r="R142" s="11">
        <f>IFERROR(INDEX(Tariffe!$E$2:$E$200,MATCH(E142,Tariffe!$A$2:$A$200,0))*1,1)</f>
        <v/>
      </c>
    </row>
    <row r="143">
      <c r="A143" s="23" t="inlineStr">
        <is>
          <t>20261102_2215</t>
        </is>
      </c>
      <c r="B143" s="13" t="n">
        <v>46328</v>
      </c>
      <c r="C143" s="14" t="n">
        <v>0.9270833333333334</v>
      </c>
      <c r="D143" s="23" t="inlineStr">
        <is>
          <t>UN Unico</t>
        </is>
      </c>
      <c r="E143" s="23" t="inlineStr">
        <is>
          <t>I1 15€</t>
        </is>
      </c>
      <c r="F143" s="23">
        <f>IFERROR(INDEX(Tariffe!$B$2:$B$200,MATCH(E143,Tariffe!$A$2:$A$200,0)),"DA DEFINIRE")</f>
        <v/>
      </c>
      <c r="G143" s="16" t="n">
        <v>15</v>
      </c>
      <c r="H143" s="15">
        <f>Q143*R143</f>
        <v/>
      </c>
      <c r="I143" s="15" t="n">
        <v>0</v>
      </c>
      <c r="J143" s="16" t="n">
        <v>90</v>
      </c>
      <c r="K143" s="16" t="n">
        <v>0</v>
      </c>
      <c r="L143" s="16" t="n">
        <v>81.84</v>
      </c>
      <c r="M143" s="16" t="n">
        <v>8.16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6</v>
      </c>
      <c r="R143" s="15">
        <f>IFERROR(INDEX(Tariffe!$E$2:$E$200,MATCH(E143,Tariffe!$A$2:$A$200,0))*1,1)</f>
        <v/>
      </c>
    </row>
    <row r="144">
      <c r="A144" s="22" t="inlineStr">
        <is>
          <t>20261102_2315</t>
        </is>
      </c>
      <c r="B144" s="9" t="n">
        <v>46328</v>
      </c>
      <c r="C144" s="10" t="n">
        <v>0.96875</v>
      </c>
      <c r="D144" s="22" t="inlineStr">
        <is>
          <t>UN Unico</t>
        </is>
      </c>
      <c r="E144" s="22" t="inlineStr">
        <is>
          <t>I1 15€</t>
        </is>
      </c>
      <c r="F144" s="22">
        <f>IFERROR(INDEX(Tariffe!$B$2:$B$200,MATCH(E144,Tariffe!$A$2:$A$200,0)),"DA DEFINIRE")</f>
        <v/>
      </c>
      <c r="G144" s="12" t="n">
        <v>15</v>
      </c>
      <c r="H144" s="11">
        <f>Q144*R144</f>
        <v/>
      </c>
      <c r="I144" s="11" t="n">
        <v>0</v>
      </c>
      <c r="J144" s="12" t="n">
        <v>45</v>
      </c>
      <c r="K144" s="12" t="n">
        <v>0</v>
      </c>
      <c r="L144" s="12" t="n">
        <v>40.92</v>
      </c>
      <c r="M144" s="12" t="n">
        <v>4.08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3</v>
      </c>
      <c r="R144" s="11">
        <f>IFERROR(INDEX(Tariffe!$E$2:$E$200,MATCH(E144,Tariffe!$A$2:$A$200,0))*1,1)</f>
        <v/>
      </c>
    </row>
    <row r="145">
      <c r="A145" s="23" t="inlineStr">
        <is>
          <t>20261102_2359</t>
        </is>
      </c>
      <c r="B145" s="13" t="n">
        <v>46328</v>
      </c>
      <c r="C145" s="14" t="n">
        <v>0.9993055555555556</v>
      </c>
      <c r="D145" s="23" t="inlineStr">
        <is>
          <t>UN Unico</t>
        </is>
      </c>
      <c r="E145" s="23" t="inlineStr">
        <is>
          <t>I1 15€</t>
        </is>
      </c>
      <c r="F145" s="23">
        <f>IFERROR(INDEX(Tariffe!$B$2:$B$200,MATCH(E145,Tariffe!$A$2:$A$200,0)),"DA DEFINIRE")</f>
        <v/>
      </c>
      <c r="G145" s="16" t="n">
        <v>15</v>
      </c>
      <c r="H145" s="15">
        <f>Q145*R145</f>
        <v/>
      </c>
      <c r="I145" s="15" t="n">
        <v>0</v>
      </c>
      <c r="J145" s="16" t="n">
        <v>15</v>
      </c>
      <c r="K145" s="16" t="n">
        <v>0</v>
      </c>
      <c r="L145" s="16" t="n">
        <v>13.64</v>
      </c>
      <c r="M145" s="16" t="n">
        <v>1.36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1</v>
      </c>
      <c r="R145" s="15">
        <f>IFERROR(INDEX(Tariffe!$E$2:$E$200,MATCH(E145,Tariffe!$A$2:$A$200,0))*1,1)</f>
        <v/>
      </c>
    </row>
  </sheetData>
  <autoFilter ref="A1:R14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</sheetData>
  <autoFilter ref="A1:G79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</sheetData>
  <autoFilter ref="A1:K135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47</v>
      </c>
      <c r="H4" s="11" t="n">
        <v>163</v>
      </c>
      <c r="I4" s="12" t="n">
        <v>1956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32</v>
      </c>
      <c r="H5" s="11" t="n">
        <v>104</v>
      </c>
      <c r="I5" s="12" t="n">
        <v>1248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4</v>
      </c>
      <c r="H6" s="11" t="n">
        <v>13</v>
      </c>
      <c r="I6" s="12" t="n">
        <v>156</v>
      </c>
      <c r="K6" s="38" t="inlineStr">
        <is>
          <t>Mercoledì</t>
        </is>
      </c>
      <c r="L6" s="11" t="n">
        <v>105</v>
      </c>
      <c r="M6" s="11" t="n">
        <v>317</v>
      </c>
      <c r="N6" s="12" t="n">
        <v>3804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15</v>
      </c>
      <c r="H12" s="11" t="n">
        <v>40</v>
      </c>
      <c r="I12" s="12" t="n">
        <v>480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33</v>
      </c>
      <c r="H13" s="11" t="n">
        <v>101</v>
      </c>
      <c r="I13" s="12" t="n">
        <v>1212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54</v>
      </c>
      <c r="H14" s="11" t="n">
        <v>167</v>
      </c>
      <c r="I14" s="12" t="n">
        <v>2004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75</v>
      </c>
      <c r="H15" s="11" t="n">
        <v>233</v>
      </c>
      <c r="I15" s="12" t="n">
        <v>2796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76</v>
      </c>
      <c r="H16" s="11" t="n">
        <v>237</v>
      </c>
      <c r="I16" s="12" t="n">
        <v>2844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101</v>
      </c>
      <c r="H17" s="11" t="n">
        <v>302</v>
      </c>
      <c r="I17" s="12" t="n">
        <v>3624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132</v>
      </c>
      <c r="H18" s="11" t="n">
        <v>417</v>
      </c>
      <c r="I18" s="12" t="n">
        <v>5004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116</v>
      </c>
      <c r="H19" s="11" t="n">
        <v>382</v>
      </c>
      <c r="I19" s="12" t="n">
        <v>4584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157</v>
      </c>
      <c r="H20" s="11" t="n">
        <v>494</v>
      </c>
      <c r="I20" s="12" t="n">
        <v>5928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107</v>
      </c>
      <c r="H21" s="11" t="n">
        <v>311</v>
      </c>
      <c r="I21" s="12" t="n">
        <v>3732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186</v>
      </c>
      <c r="H22" s="11" t="n">
        <v>566</v>
      </c>
      <c r="I22" s="12" t="n">
        <v>6792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181</v>
      </c>
      <c r="H23" s="11" t="n">
        <v>546</v>
      </c>
      <c r="I23" s="12" t="n">
        <v>6552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118</v>
      </c>
      <c r="H24" s="11" t="n">
        <v>365</v>
      </c>
      <c r="I24" s="12" t="n">
        <v>4386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204</v>
      </c>
      <c r="H25" s="11" t="n">
        <v>631</v>
      </c>
      <c r="I25" s="12" t="n">
        <v>7581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179</v>
      </c>
      <c r="H26" s="11" t="n">
        <v>569</v>
      </c>
      <c r="I26" s="12" t="n">
        <v>6840</v>
      </c>
    </row>
    <row r="27">
      <c r="A27" s="9" t="n">
        <v>46323</v>
      </c>
      <c r="B27" s="11" t="n">
        <v>13</v>
      </c>
      <c r="C27" s="11" t="n">
        <v>52</v>
      </c>
      <c r="D27" s="12" t="n">
        <v>624</v>
      </c>
      <c r="F27" s="38" t="inlineStr">
        <is>
          <t>23:00-00:00</t>
        </is>
      </c>
      <c r="G27" s="11" t="n">
        <v>100</v>
      </c>
      <c r="H27" s="11" t="n">
        <v>343</v>
      </c>
      <c r="I27" s="12" t="n">
        <v>4125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2026-10-28T05:37:05Z</dcterms:created>
  <dcterms:modified xsi:type="dcterms:W3CDTF">2026-10-28T05:37:05Z</dcterms:modified>
</cp:coreProperties>
</file>