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'Vendite'!$A$1:$R$130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'Storico'!$A$1:$G$671</definedName>
    <definedName name="_xlnm._FilterDatabase" localSheetId="8" hidden="1">'Registro vendite'!$A$1:$K$894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'Storico'!$H$2:$H$671</f>
            </numRef>
          </cat>
          <val>
            <numRef>
              <f>'Storico'!$C$2:$C$671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vendite'!$A$4:$A$24</f>
            </numRef>
          </cat>
          <val>
            <numRef>
              <f>'Picchi vendite'!$B$4:$B$24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MAX(Storico!A2:A671)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672</v>
      </c>
      <c r="K42" s="12" t="n">
        <v>0</v>
      </c>
      <c r="L42" s="12" t="n">
        <v>610.96</v>
      </c>
      <c r="M42" s="12" t="n">
        <v>61.04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14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420</v>
      </c>
      <c r="K44" s="12" t="n">
        <v>0</v>
      </c>
      <c r="L44" s="12" t="n">
        <v>381.85</v>
      </c>
      <c r="M44" s="12" t="n">
        <v>38.15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7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576</v>
      </c>
      <c r="K45" s="16" t="n">
        <v>0</v>
      </c>
      <c r="L45" s="16" t="n">
        <v>523.6799999999999</v>
      </c>
      <c r="M45" s="16" t="n">
        <v>52.32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24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540</v>
      </c>
      <c r="K48" s="12" t="n">
        <v>0</v>
      </c>
      <c r="L48" s="12" t="n">
        <v>490.95</v>
      </c>
      <c r="M48" s="12" t="n">
        <v>49.05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9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888</v>
      </c>
      <c r="K49" s="16" t="n">
        <v>0</v>
      </c>
      <c r="L49" s="16" t="n">
        <v>807.34</v>
      </c>
      <c r="M49" s="16" t="n">
        <v>80.66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37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1056</v>
      </c>
      <c r="K50" s="12" t="n">
        <v>0</v>
      </c>
      <c r="L50" s="12" t="n">
        <v>960.08</v>
      </c>
      <c r="M50" s="12" t="n">
        <v>95.92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22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3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300</v>
      </c>
      <c r="K52" s="12" t="n">
        <v>0</v>
      </c>
      <c r="L52" s="12" t="n">
        <v>272.75</v>
      </c>
      <c r="M52" s="12" t="n">
        <v>27.25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5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672</v>
      </c>
      <c r="K53" s="16" t="n">
        <v>0</v>
      </c>
      <c r="L53" s="16" t="n">
        <v>610.96</v>
      </c>
      <c r="M53" s="16" t="n">
        <v>61.04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28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1056</v>
      </c>
      <c r="K54" s="12" t="n">
        <v>0</v>
      </c>
      <c r="L54" s="12" t="n">
        <v>960.08</v>
      </c>
      <c r="M54" s="12" t="n">
        <v>95.92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22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180</v>
      </c>
      <c r="K55" s="16" t="n">
        <v>0</v>
      </c>
      <c r="L55" s="16" t="n">
        <v>163.65</v>
      </c>
      <c r="M55" s="16" t="n">
        <v>16.35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5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420</v>
      </c>
      <c r="K56" s="12" t="n">
        <v>0</v>
      </c>
      <c r="L56" s="12" t="n">
        <v>381.85</v>
      </c>
      <c r="M56" s="12" t="n">
        <v>38.15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7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288</v>
      </c>
      <c r="K57" s="16" t="n">
        <v>0</v>
      </c>
      <c r="L57" s="16" t="n">
        <v>261.84</v>
      </c>
      <c r="M57" s="16" t="n">
        <v>26.16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12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336</v>
      </c>
      <c r="K58" s="12" t="n">
        <v>0</v>
      </c>
      <c r="L58" s="12" t="n">
        <v>305.48</v>
      </c>
      <c r="M58" s="12" t="n">
        <v>30.52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0</v>
      </c>
      <c r="J59" s="16" t="n">
        <v>36</v>
      </c>
      <c r="K59" s="16" t="n">
        <v>0</v>
      </c>
      <c r="L59" s="16" t="n">
        <v>32.73</v>
      </c>
      <c r="M59" s="16" t="n">
        <v>3.27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1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60</v>
      </c>
      <c r="K60" s="12" t="n">
        <v>0</v>
      </c>
      <c r="L60" s="12" t="n">
        <v>54.55</v>
      </c>
      <c r="M60" s="12" t="n">
        <v>5.45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1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6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72</v>
      </c>
      <c r="K64" s="12" t="n">
        <v>0</v>
      </c>
      <c r="L64" s="12" t="n">
        <v>65.45999999999999</v>
      </c>
      <c r="M64" s="12" t="n">
        <v>6.54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3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96</v>
      </c>
      <c r="K65" s="16" t="n">
        <v>0</v>
      </c>
      <c r="L65" s="16" t="n">
        <v>87.28</v>
      </c>
      <c r="M65" s="16" t="n">
        <v>8.720000000000001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2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1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5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480</v>
      </c>
      <c r="K69" s="16" t="n">
        <v>0</v>
      </c>
      <c r="L69" s="16" t="n">
        <v>436.4</v>
      </c>
      <c r="M69" s="16" t="n">
        <v>43.6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10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144</v>
      </c>
      <c r="K70" s="12" t="n">
        <v>0</v>
      </c>
      <c r="L70" s="12" t="n">
        <v>130.92</v>
      </c>
      <c r="M70" s="12" t="n">
        <v>13.08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4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I8 24€</t>
        </is>
      </c>
      <c r="F71" s="23">
        <f>IFERROR(INDEX(Tariffe!$B$2:$B$200,MATCH(E71,Tariffe!$A$2:$A$200,0)),"DA DEFINIRE")</f>
        <v/>
      </c>
      <c r="G71" s="16" t="n">
        <v>24</v>
      </c>
      <c r="H71" s="15">
        <f>Q71*R71</f>
        <v/>
      </c>
      <c r="I71" s="15" t="n">
        <v>0</v>
      </c>
      <c r="J71" s="16" t="n">
        <v>384</v>
      </c>
      <c r="K71" s="16" t="n">
        <v>0</v>
      </c>
      <c r="L71" s="16" t="n">
        <v>349.12</v>
      </c>
      <c r="M71" s="16" t="n">
        <v>34.88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16</v>
      </c>
      <c r="R71" s="15">
        <f>IFERROR(INDEX(Tariffe!$E$2:$E$200,MATCH(E71,Tariffe!$A$2:$A$200,0))*1,1)</f>
        <v/>
      </c>
    </row>
    <row r="72">
      <c r="A72" s="22" t="inlineStr">
        <is>
          <t>20261029_2315</t>
        </is>
      </c>
      <c r="B72" s="9" t="n">
        <v>46324</v>
      </c>
      <c r="C72" s="10" t="n">
        <v>0.96875</v>
      </c>
      <c r="D72" s="22" t="inlineStr">
        <is>
          <t>UN Unico</t>
        </is>
      </c>
      <c r="E72" s="22" t="inlineStr">
        <is>
          <t>I1 48€</t>
        </is>
      </c>
      <c r="F72" s="22">
        <f>IFERROR(INDEX(Tariffe!$B$2:$B$200,MATCH(E72,Tariffe!$A$2:$A$200,0)),"DA DEFINIRE")</f>
        <v/>
      </c>
      <c r="G72" s="12" t="n">
        <v>48</v>
      </c>
      <c r="H72" s="11">
        <f>Q72*R72</f>
        <v/>
      </c>
      <c r="I72" s="11" t="n">
        <v>0</v>
      </c>
      <c r="J72" s="12" t="n">
        <v>288</v>
      </c>
      <c r="K72" s="12" t="n">
        <v>0</v>
      </c>
      <c r="L72" s="12" t="n">
        <v>261.84</v>
      </c>
      <c r="M72" s="12" t="n">
        <v>26.16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6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I2 36€</t>
        </is>
      </c>
      <c r="F73" s="23">
        <f>IFERROR(INDEX(Tariffe!$B$2:$B$200,MATCH(E73,Tariffe!$A$2:$A$200,0)),"DA DEFINIRE")</f>
        <v/>
      </c>
      <c r="G73" s="16" t="n">
        <v>36</v>
      </c>
      <c r="H73" s="15">
        <f>Q73*R73</f>
        <v/>
      </c>
      <c r="I73" s="15" t="n">
        <v>0</v>
      </c>
      <c r="J73" s="16" t="n">
        <v>72</v>
      </c>
      <c r="K73" s="16" t="n">
        <v>0</v>
      </c>
      <c r="L73" s="16" t="n">
        <v>65.45999999999999</v>
      </c>
      <c r="M73" s="16" t="n">
        <v>6.54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I5 60€</t>
        </is>
      </c>
      <c r="F74" s="22">
        <f>IFERROR(INDEX(Tariffe!$B$2:$B$200,MATCH(E74,Tariffe!$A$2:$A$200,0)),"DA DEFINIRE")</f>
        <v/>
      </c>
      <c r="G74" s="12" t="n">
        <v>60</v>
      </c>
      <c r="H74" s="11">
        <f>Q74*R74</f>
        <v/>
      </c>
      <c r="I74" s="11" t="n">
        <v>0</v>
      </c>
      <c r="J74" s="12" t="n">
        <v>240</v>
      </c>
      <c r="K74" s="12" t="n">
        <v>0</v>
      </c>
      <c r="L74" s="12" t="n">
        <v>218.2</v>
      </c>
      <c r="M74" s="12" t="n">
        <v>21.8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4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I8 24€</t>
        </is>
      </c>
      <c r="F75" s="23">
        <f>IFERROR(INDEX(Tariffe!$B$2:$B$200,MATCH(E75,Tariffe!$A$2:$A$200,0)),"DA DEFINIRE")</f>
        <v/>
      </c>
      <c r="G75" s="16" t="n">
        <v>24</v>
      </c>
      <c r="H75" s="15">
        <f>Q75*R75</f>
        <v/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8</v>
      </c>
      <c r="R75" s="15">
        <f>IFERROR(INDEX(Tariffe!$E$2:$E$200,MATCH(E75,Tariffe!$A$2:$A$200,0))*1,1)</f>
        <v/>
      </c>
    </row>
    <row r="76">
      <c r="A76" s="22" t="inlineStr">
        <is>
          <t>20261029_2359</t>
        </is>
      </c>
      <c r="B76" s="9" t="n">
        <v>46324</v>
      </c>
      <c r="C76" s="10" t="n">
        <v>0.9993055555555556</v>
      </c>
      <c r="D76" s="22" t="inlineStr">
        <is>
          <t>UN Unico</t>
        </is>
      </c>
      <c r="E76" s="22" t="inlineStr">
        <is>
          <t>I1 48€</t>
        </is>
      </c>
      <c r="F76" s="22">
        <f>IFERROR(INDEX(Tariffe!$B$2:$B$200,MATCH(E76,Tariffe!$A$2:$A$200,0)),"DA DEFINIRE")</f>
        <v/>
      </c>
      <c r="G76" s="12" t="n">
        <v>48</v>
      </c>
      <c r="H76" s="11">
        <f>Q76*R76</f>
        <v/>
      </c>
      <c r="I76" s="11" t="n">
        <v>0</v>
      </c>
      <c r="J76" s="12" t="n">
        <v>48</v>
      </c>
      <c r="K76" s="12" t="n">
        <v>0</v>
      </c>
      <c r="L76" s="12" t="n">
        <v>43.64</v>
      </c>
      <c r="M76" s="12" t="n">
        <v>4.36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I8 24€</t>
        </is>
      </c>
      <c r="F77" s="23">
        <f>IFERROR(INDEX(Tariffe!$B$2:$B$200,MATCH(E77,Tariffe!$A$2:$A$200,0)),"DA DEFINIRE")</f>
        <v/>
      </c>
      <c r="G77" s="16" t="n">
        <v>24</v>
      </c>
      <c r="H77" s="15">
        <f>Q77*R77</f>
        <v/>
      </c>
      <c r="I77" s="15" t="n">
        <v>0</v>
      </c>
      <c r="J77" s="16" t="n">
        <v>72</v>
      </c>
      <c r="K77" s="16" t="n">
        <v>0</v>
      </c>
      <c r="L77" s="16" t="n">
        <v>65.45999999999999</v>
      </c>
      <c r="M77" s="16" t="n">
        <v>6.54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3</v>
      </c>
      <c r="R77" s="15">
        <f>IFERROR(INDEX(Tariffe!$E$2:$E$200,MATCH(E77,Tariffe!$A$2:$A$200,0))*1,1)</f>
        <v/>
      </c>
    </row>
    <row r="78">
      <c r="A78" s="22" t="inlineStr">
        <is>
          <t>20261030_2015</t>
        </is>
      </c>
      <c r="B78" s="9" t="n">
        <v>46325</v>
      </c>
      <c r="C78" s="10" t="n">
        <v>0.84375</v>
      </c>
      <c r="D78" s="22" t="inlineStr">
        <is>
          <t>UN Unico</t>
        </is>
      </c>
      <c r="E78" s="22" t="inlineStr">
        <is>
          <t>I1 48€</t>
        </is>
      </c>
      <c r="F78" s="22">
        <f>IFERROR(INDEX(Tariffe!$B$2:$B$200,MATCH(E78,Tariffe!$A$2:$A$200,0)),"DA DEFINIRE")</f>
        <v/>
      </c>
      <c r="G78" s="12" t="n">
        <v>48</v>
      </c>
      <c r="H78" s="11">
        <f>Q78*R78</f>
        <v/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20261030_2015</t>
        </is>
      </c>
      <c r="B79" s="13" t="n">
        <v>46325</v>
      </c>
      <c r="C79" s="14" t="n">
        <v>0.84375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72</v>
      </c>
      <c r="K79" s="16" t="n">
        <v>0</v>
      </c>
      <c r="L79" s="16" t="n">
        <v>65.45999999999999</v>
      </c>
      <c r="M79" s="16" t="n">
        <v>6.54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3</v>
      </c>
      <c r="R79" s="15">
        <f>IFERROR(INDEX(Tariffe!$E$2:$E$200,MATCH(E79,Tariffe!$A$2:$A$200,0))*1,1)</f>
        <v/>
      </c>
    </row>
    <row r="80">
      <c r="A80" s="22" t="inlineStr">
        <is>
          <t>20261030_2115</t>
        </is>
      </c>
      <c r="B80" s="9" t="n">
        <v>46325</v>
      </c>
      <c r="C80" s="10" t="n">
        <v>0.8854166666666666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20261030_2115</t>
        </is>
      </c>
      <c r="B81" s="13" t="n">
        <v>46325</v>
      </c>
      <c r="C81" s="14" t="n">
        <v>0.8854166666666666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120</v>
      </c>
      <c r="K81" s="16" t="n">
        <v>0</v>
      </c>
      <c r="L81" s="16" t="n">
        <v>109.1</v>
      </c>
      <c r="M81" s="16" t="n">
        <v>10.9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5</v>
      </c>
      <c r="R81" s="15">
        <f>IFERROR(INDEX(Tariffe!$E$2:$E$200,MATCH(E81,Tariffe!$A$2:$A$200,0))*1,1)</f>
        <v/>
      </c>
    </row>
    <row r="82">
      <c r="A82" s="22" t="inlineStr">
        <is>
          <t>20261030_2215</t>
        </is>
      </c>
      <c r="B82" s="9" t="n">
        <v>46325</v>
      </c>
      <c r="C82" s="10" t="n">
        <v>0.9270833333333334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576</v>
      </c>
      <c r="K82" s="12" t="n">
        <v>0</v>
      </c>
      <c r="L82" s="12" t="n">
        <v>523.6799999999999</v>
      </c>
      <c r="M82" s="12" t="n">
        <v>52.32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12</v>
      </c>
      <c r="R82" s="11">
        <f>IFERROR(INDEX(Tariffe!$E$2:$E$200,MATCH(E82,Tariffe!$A$2:$A$200,0))*1,1)</f>
        <v/>
      </c>
    </row>
    <row r="83">
      <c r="A83" s="23" t="inlineStr">
        <is>
          <t>20261030_2215</t>
        </is>
      </c>
      <c r="B83" s="13" t="n">
        <v>46325</v>
      </c>
      <c r="C83" s="14" t="n">
        <v>0.9270833333333334</v>
      </c>
      <c r="D83" s="23" t="inlineStr">
        <is>
          <t>UN Unico</t>
        </is>
      </c>
      <c r="E83" s="23" t="inlineStr">
        <is>
          <t>I2 36€</t>
        </is>
      </c>
      <c r="F83" s="23">
        <f>IFERROR(INDEX(Tariffe!$B$2:$B$200,MATCH(E83,Tariffe!$A$2:$A$200,0)),"DA DEFINIRE")</f>
        <v/>
      </c>
      <c r="G83" s="16" t="n">
        <v>36</v>
      </c>
      <c r="H83" s="15">
        <f>Q83*R83</f>
        <v/>
      </c>
      <c r="I83" s="15" t="n">
        <v>0</v>
      </c>
      <c r="J83" s="16" t="n">
        <v>72</v>
      </c>
      <c r="K83" s="16" t="n">
        <v>0</v>
      </c>
      <c r="L83" s="16" t="n">
        <v>65.45999999999999</v>
      </c>
      <c r="M83" s="16" t="n">
        <v>6.54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2</v>
      </c>
      <c r="R83" s="15">
        <f>IFERROR(INDEX(Tariffe!$E$2:$E$200,MATCH(E83,Tariffe!$A$2:$A$200,0))*1,1)</f>
        <v/>
      </c>
    </row>
    <row r="84">
      <c r="A84" s="22" t="inlineStr">
        <is>
          <t>20261030_2215</t>
        </is>
      </c>
      <c r="B84" s="9" t="n">
        <v>46325</v>
      </c>
      <c r="C84" s="10" t="n">
        <v>0.9270833333333334</v>
      </c>
      <c r="D84" s="22" t="inlineStr">
        <is>
          <t>UN Unico</t>
        </is>
      </c>
      <c r="E84" s="22" t="inlineStr">
        <is>
          <t>I5 60€</t>
        </is>
      </c>
      <c r="F84" s="22">
        <f>IFERROR(INDEX(Tariffe!$B$2:$B$200,MATCH(E84,Tariffe!$A$2:$A$200,0)),"DA DEFINIRE")</f>
        <v/>
      </c>
      <c r="G84" s="12" t="n">
        <v>60</v>
      </c>
      <c r="H84" s="11">
        <f>Q84*R84</f>
        <v/>
      </c>
      <c r="I84" s="11" t="n">
        <v>0</v>
      </c>
      <c r="J84" s="12" t="n">
        <v>180</v>
      </c>
      <c r="K84" s="12" t="n">
        <v>0</v>
      </c>
      <c r="L84" s="12" t="n">
        <v>163.65</v>
      </c>
      <c r="M84" s="12" t="n">
        <v>16.35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3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I8 24€</t>
        </is>
      </c>
      <c r="F85" s="23">
        <f>IFERROR(INDEX(Tariffe!$B$2:$B$200,MATCH(E85,Tariffe!$A$2:$A$200,0)),"DA DEFINIRE")</f>
        <v/>
      </c>
      <c r="G85" s="16" t="n">
        <v>24</v>
      </c>
      <c r="H85" s="15">
        <f>Q85*R85</f>
        <v/>
      </c>
      <c r="I85" s="15" t="n">
        <v>3</v>
      </c>
      <c r="J85" s="16" t="n">
        <v>240</v>
      </c>
      <c r="K85" s="16" t="n">
        <v>0</v>
      </c>
      <c r="L85" s="16" t="n">
        <v>218.2</v>
      </c>
      <c r="M85" s="16" t="n">
        <v>21.8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10</v>
      </c>
      <c r="R85" s="15">
        <f>IFERROR(INDEX(Tariffe!$E$2:$E$200,MATCH(E85,Tariffe!$A$2:$A$200,0))*1,1)</f>
        <v/>
      </c>
    </row>
    <row r="86">
      <c r="A86" s="22" t="inlineStr">
        <is>
          <t>20261030_2315</t>
        </is>
      </c>
      <c r="B86" s="9" t="n">
        <v>46325</v>
      </c>
      <c r="C86" s="10" t="n">
        <v>0.96875</v>
      </c>
      <c r="D86" s="22" t="inlineStr">
        <is>
          <t>UN Unico</t>
        </is>
      </c>
      <c r="E86" s="22" t="inlineStr">
        <is>
          <t>I1 48€</t>
        </is>
      </c>
      <c r="F86" s="22">
        <f>IFERROR(INDEX(Tariffe!$B$2:$B$200,MATCH(E86,Tariffe!$A$2:$A$200,0)),"DA DEFINIRE")</f>
        <v/>
      </c>
      <c r="G86" s="12" t="n">
        <v>48</v>
      </c>
      <c r="H86" s="11">
        <f>Q86*R86</f>
        <v/>
      </c>
      <c r="I86" s="11" t="n">
        <v>0</v>
      </c>
      <c r="J86" s="12" t="n">
        <v>240</v>
      </c>
      <c r="K86" s="12" t="n">
        <v>0</v>
      </c>
      <c r="L86" s="12" t="n">
        <v>218.2</v>
      </c>
      <c r="M86" s="12" t="n">
        <v>21.8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5</v>
      </c>
      <c r="R86" s="11">
        <f>IFERROR(INDEX(Tariffe!$E$2:$E$200,MATCH(E86,Tariffe!$A$2:$A$200,0))*1,1)</f>
        <v/>
      </c>
    </row>
    <row r="87">
      <c r="A87" s="23" t="inlineStr">
        <is>
          <t>20261030_2315</t>
        </is>
      </c>
      <c r="B87" s="13" t="n">
        <v>46325</v>
      </c>
      <c r="C87" s="14" t="n">
        <v>0.96875</v>
      </c>
      <c r="D87" s="23" t="inlineStr">
        <is>
          <t>UN Unico</t>
        </is>
      </c>
      <c r="E87" s="23" t="inlineStr">
        <is>
          <t>I2 36€</t>
        </is>
      </c>
      <c r="F87" s="23">
        <f>IFERROR(INDEX(Tariffe!$B$2:$B$200,MATCH(E87,Tariffe!$A$2:$A$200,0)),"DA DEFINIRE")</f>
        <v/>
      </c>
      <c r="G87" s="16" t="n">
        <v>36</v>
      </c>
      <c r="H87" s="15">
        <f>Q87*R87</f>
        <v/>
      </c>
      <c r="I87" s="15" t="n">
        <v>0</v>
      </c>
      <c r="J87" s="16" t="n">
        <v>72</v>
      </c>
      <c r="K87" s="16" t="n">
        <v>0</v>
      </c>
      <c r="L87" s="16" t="n">
        <v>65.45999999999999</v>
      </c>
      <c r="M87" s="16" t="n">
        <v>6.54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2</v>
      </c>
      <c r="R87" s="15">
        <f>IFERROR(INDEX(Tariffe!$E$2:$E$200,MATCH(E87,Tariffe!$A$2:$A$200,0))*1,1)</f>
        <v/>
      </c>
    </row>
    <row r="88">
      <c r="A88" s="22" t="inlineStr">
        <is>
          <t>20261030_2315</t>
        </is>
      </c>
      <c r="B88" s="9" t="n">
        <v>46325</v>
      </c>
      <c r="C88" s="10" t="n">
        <v>0.96875</v>
      </c>
      <c r="D88" s="22" t="inlineStr">
        <is>
          <t>UN Unico</t>
        </is>
      </c>
      <c r="E88" s="22" t="inlineStr">
        <is>
          <t>I5 60€</t>
        </is>
      </c>
      <c r="F88" s="22">
        <f>IFERROR(INDEX(Tariffe!$B$2:$B$200,MATCH(E88,Tariffe!$A$2:$A$200,0)),"DA DEFINIRE")</f>
        <v/>
      </c>
      <c r="G88" s="12" t="n">
        <v>60</v>
      </c>
      <c r="H88" s="11">
        <f>Q88*R88</f>
        <v/>
      </c>
      <c r="I88" s="11" t="n">
        <v>0</v>
      </c>
      <c r="J88" s="12" t="n">
        <v>60</v>
      </c>
      <c r="K88" s="12" t="n">
        <v>0</v>
      </c>
      <c r="L88" s="12" t="n">
        <v>54.55</v>
      </c>
      <c r="M88" s="12" t="n">
        <v>5.45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I8 24€</t>
        </is>
      </c>
      <c r="F89" s="23">
        <f>IFERROR(INDEX(Tariffe!$B$2:$B$200,MATCH(E89,Tariffe!$A$2:$A$200,0)),"DA DEFINIRE")</f>
        <v/>
      </c>
      <c r="G89" s="16" t="n">
        <v>24</v>
      </c>
      <c r="H89" s="15">
        <f>Q89*R89</f>
        <v/>
      </c>
      <c r="I89" s="15" t="n">
        <v>0</v>
      </c>
      <c r="J89" s="16" t="n">
        <v>168</v>
      </c>
      <c r="K89" s="16" t="n">
        <v>0</v>
      </c>
      <c r="L89" s="16" t="n">
        <v>152.74</v>
      </c>
      <c r="M89" s="16" t="n">
        <v>15.26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7</v>
      </c>
      <c r="R89" s="15">
        <f>IFERROR(INDEX(Tariffe!$E$2:$E$200,MATCH(E89,Tariffe!$A$2:$A$200,0))*1,1)</f>
        <v/>
      </c>
    </row>
    <row r="90">
      <c r="A90" s="22" t="inlineStr">
        <is>
          <t>20261030_2359</t>
        </is>
      </c>
      <c r="B90" s="9" t="n">
        <v>46325</v>
      </c>
      <c r="C90" s="10" t="n">
        <v>0.9993055555555556</v>
      </c>
      <c r="D90" s="22" t="inlineStr">
        <is>
          <t>UN Unico</t>
        </is>
      </c>
      <c r="E90" s="22" t="inlineStr">
        <is>
          <t>I1 48€</t>
        </is>
      </c>
      <c r="F90" s="22">
        <f>IFERROR(INDEX(Tariffe!$B$2:$B$200,MATCH(E90,Tariffe!$A$2:$A$200,0)),"DA DEFINIRE")</f>
        <v/>
      </c>
      <c r="G90" s="12" t="n">
        <v>48</v>
      </c>
      <c r="H90" s="11">
        <f>Q90*R90</f>
        <v/>
      </c>
      <c r="I90" s="11" t="n">
        <v>0</v>
      </c>
      <c r="J90" s="12" t="n">
        <v>48</v>
      </c>
      <c r="K90" s="12" t="n">
        <v>0</v>
      </c>
      <c r="L90" s="12" t="n">
        <v>43.64</v>
      </c>
      <c r="M90" s="12" t="n">
        <v>4.36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1</v>
      </c>
      <c r="R90" s="11">
        <f>IFERROR(INDEX(Tariffe!$E$2:$E$200,MATCH(E90,Tariffe!$A$2:$A$200,0))*1,1)</f>
        <v/>
      </c>
    </row>
    <row r="91">
      <c r="A91" s="23" t="inlineStr">
        <is>
          <t>20261030_2359</t>
        </is>
      </c>
      <c r="B91" s="13" t="n">
        <v>46325</v>
      </c>
      <c r="C91" s="14" t="n">
        <v>0.9993055555555556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60</v>
      </c>
      <c r="K91" s="16" t="n">
        <v>0</v>
      </c>
      <c r="L91" s="16" t="n">
        <v>54.55</v>
      </c>
      <c r="M91" s="16" t="n">
        <v>5.45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1</v>
      </c>
      <c r="R91" s="15">
        <f>IFERROR(INDEX(Tariffe!$E$2:$E$200,MATCH(E91,Tariffe!$A$2:$A$200,0))*1,1)</f>
        <v/>
      </c>
    </row>
    <row r="92">
      <c r="A92" s="22" t="inlineStr">
        <is>
          <t>20261030_2359</t>
        </is>
      </c>
      <c r="B92" s="9" t="n">
        <v>46325</v>
      </c>
      <c r="C92" s="10" t="n">
        <v>0.9993055555555556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192</v>
      </c>
      <c r="K92" s="12" t="n">
        <v>0</v>
      </c>
      <c r="L92" s="12" t="n">
        <v>174.56</v>
      </c>
      <c r="M92" s="12" t="n">
        <v>17.44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8</v>
      </c>
      <c r="R92" s="11">
        <f>IFERROR(INDEX(Tariffe!$E$2:$E$200,MATCH(E92,Tariffe!$A$2:$A$200,0))*1,1)</f>
        <v/>
      </c>
    </row>
    <row r="93">
      <c r="A93" s="23" t="inlineStr">
        <is>
          <t>20261031_2015</t>
        </is>
      </c>
      <c r="B93" s="13" t="n">
        <v>46326</v>
      </c>
      <c r="C93" s="14" t="n">
        <v>0.84375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240</v>
      </c>
      <c r="K93" s="16" t="n">
        <v>0</v>
      </c>
      <c r="L93" s="16" t="n">
        <v>218.2</v>
      </c>
      <c r="M93" s="16" t="n">
        <v>21.8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5</v>
      </c>
      <c r="R93" s="15">
        <f>IFERROR(INDEX(Tariffe!$E$2:$E$200,MATCH(E93,Tariffe!$A$2:$A$200,0))*1,1)</f>
        <v/>
      </c>
    </row>
    <row r="94">
      <c r="A94" s="22" t="inlineStr">
        <is>
          <t>20261031_2015</t>
        </is>
      </c>
      <c r="B94" s="9" t="n">
        <v>46326</v>
      </c>
      <c r="C94" s="10" t="n">
        <v>0.84375</v>
      </c>
      <c r="D94" s="22" t="inlineStr">
        <is>
          <t>UN Unico</t>
        </is>
      </c>
      <c r="E94" s="22" t="inlineStr">
        <is>
          <t>I2 36€</t>
        </is>
      </c>
      <c r="F94" s="22">
        <f>IFERROR(INDEX(Tariffe!$B$2:$B$200,MATCH(E94,Tariffe!$A$2:$A$200,0)),"DA DEFINIRE")</f>
        <v/>
      </c>
      <c r="G94" s="12" t="n">
        <v>36</v>
      </c>
      <c r="H94" s="11">
        <f>Q94*R94</f>
        <v/>
      </c>
      <c r="I94" s="11" t="n">
        <v>0</v>
      </c>
      <c r="J94" s="12" t="n">
        <v>72</v>
      </c>
      <c r="K94" s="12" t="n">
        <v>0</v>
      </c>
      <c r="L94" s="12" t="n">
        <v>65.45999999999999</v>
      </c>
      <c r="M94" s="12" t="n">
        <v>6.54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2</v>
      </c>
      <c r="R94" s="11">
        <f>IFERROR(INDEX(Tariffe!$E$2:$E$200,MATCH(E94,Tariffe!$A$2:$A$200,0))*1,1)</f>
        <v/>
      </c>
    </row>
    <row r="95">
      <c r="A95" s="23" t="inlineStr">
        <is>
          <t>20261031_2015</t>
        </is>
      </c>
      <c r="B95" s="13" t="n">
        <v>46326</v>
      </c>
      <c r="C95" s="14" t="n">
        <v>0.84375</v>
      </c>
      <c r="D95" s="23" t="inlineStr">
        <is>
          <t>UN Unico</t>
        </is>
      </c>
      <c r="E95" s="23" t="inlineStr">
        <is>
          <t>I5 60€</t>
        </is>
      </c>
      <c r="F95" s="23">
        <f>IFERROR(INDEX(Tariffe!$B$2:$B$200,MATCH(E95,Tariffe!$A$2:$A$200,0)),"DA DEFINIRE")</f>
        <v/>
      </c>
      <c r="G95" s="16" t="n">
        <v>60</v>
      </c>
      <c r="H95" s="15">
        <f>Q95*R95</f>
        <v/>
      </c>
      <c r="I95" s="15" t="n">
        <v>2</v>
      </c>
      <c r="J95" s="16" t="n">
        <v>180</v>
      </c>
      <c r="K95" s="16" t="n">
        <v>0</v>
      </c>
      <c r="L95" s="16" t="n">
        <v>163.65</v>
      </c>
      <c r="M95" s="16" t="n">
        <v>16.35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3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I8 24€</t>
        </is>
      </c>
      <c r="F96" s="22">
        <f>IFERROR(INDEX(Tariffe!$B$2:$B$200,MATCH(E96,Tariffe!$A$2:$A$200,0)),"DA DEFINIRE")</f>
        <v/>
      </c>
      <c r="G96" s="12" t="n">
        <v>24</v>
      </c>
      <c r="H96" s="11">
        <f>Q96*R96</f>
        <v/>
      </c>
      <c r="I96" s="11" t="n">
        <v>0</v>
      </c>
      <c r="J96" s="12" t="n">
        <v>72</v>
      </c>
      <c r="K96" s="12" t="n">
        <v>0</v>
      </c>
      <c r="L96" s="12" t="n">
        <v>65.45999999999999</v>
      </c>
      <c r="M96" s="12" t="n">
        <v>6.54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3</v>
      </c>
      <c r="R96" s="11">
        <f>IFERROR(INDEX(Tariffe!$E$2:$E$200,MATCH(E96,Tariffe!$A$2:$A$200,0))*1,1)</f>
        <v/>
      </c>
    </row>
    <row r="97">
      <c r="A97" s="23" t="inlineStr">
        <is>
          <t>20261031_2115</t>
        </is>
      </c>
      <c r="B97" s="13" t="n">
        <v>46326</v>
      </c>
      <c r="C97" s="14" t="n">
        <v>0.8854166666666666</v>
      </c>
      <c r="D97" s="23" t="inlineStr">
        <is>
          <t>UN Unico</t>
        </is>
      </c>
      <c r="E97" s="23" t="inlineStr">
        <is>
          <t>I1 48€</t>
        </is>
      </c>
      <c r="F97" s="23">
        <f>IFERROR(INDEX(Tariffe!$B$2:$B$200,MATCH(E97,Tariffe!$A$2:$A$200,0)),"DA DEFINIRE")</f>
        <v/>
      </c>
      <c r="G97" s="16" t="n">
        <v>48</v>
      </c>
      <c r="H97" s="15">
        <f>Q97*R97</f>
        <v/>
      </c>
      <c r="I97" s="15" t="n">
        <v>0</v>
      </c>
      <c r="J97" s="16" t="n">
        <v>576</v>
      </c>
      <c r="K97" s="16" t="n">
        <v>0</v>
      </c>
      <c r="L97" s="16" t="n">
        <v>523.6799999999999</v>
      </c>
      <c r="M97" s="16" t="n">
        <v>52.32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12</v>
      </c>
      <c r="R97" s="15">
        <f>IFERROR(INDEX(Tariffe!$E$2:$E$200,MATCH(E97,Tariffe!$A$2:$A$200,0))*1,1)</f>
        <v/>
      </c>
    </row>
    <row r="98">
      <c r="A98" s="22" t="inlineStr">
        <is>
          <t>20261031_2115</t>
        </is>
      </c>
      <c r="B98" s="9" t="n">
        <v>46326</v>
      </c>
      <c r="C98" s="10" t="n">
        <v>0.8854166666666666</v>
      </c>
      <c r="D98" s="22" t="inlineStr">
        <is>
          <t>UN Unico</t>
        </is>
      </c>
      <c r="E98" s="22" t="inlineStr">
        <is>
          <t>I2 36€</t>
        </is>
      </c>
      <c r="F98" s="22">
        <f>IFERROR(INDEX(Tariffe!$B$2:$B$200,MATCH(E98,Tariffe!$A$2:$A$200,0)),"DA DEFINIRE")</f>
        <v/>
      </c>
      <c r="G98" s="12" t="n">
        <v>36</v>
      </c>
      <c r="H98" s="11">
        <f>Q98*R98</f>
        <v/>
      </c>
      <c r="I98" s="11" t="n">
        <v>0</v>
      </c>
      <c r="J98" s="12" t="n">
        <v>144</v>
      </c>
      <c r="K98" s="12" t="n">
        <v>0</v>
      </c>
      <c r="L98" s="12" t="n">
        <v>130.92</v>
      </c>
      <c r="M98" s="12" t="n">
        <v>13.08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4</v>
      </c>
      <c r="R98" s="11">
        <f>IFERROR(INDEX(Tariffe!$E$2:$E$200,MATCH(E98,Tariffe!$A$2:$A$200,0))*1,1)</f>
        <v/>
      </c>
    </row>
    <row r="99">
      <c r="A99" s="23" t="inlineStr">
        <is>
          <t>20261031_2115</t>
        </is>
      </c>
      <c r="B99" s="13" t="n">
        <v>46326</v>
      </c>
      <c r="C99" s="14" t="n">
        <v>0.8854166666666666</v>
      </c>
      <c r="D99" s="23" t="inlineStr">
        <is>
          <t>UN Unico</t>
        </is>
      </c>
      <c r="E99" s="23" t="inlineStr">
        <is>
          <t>I5 60€</t>
        </is>
      </c>
      <c r="F99" s="23">
        <f>IFERROR(INDEX(Tariffe!$B$2:$B$200,MATCH(E99,Tariffe!$A$2:$A$200,0)),"DA DEFINIRE")</f>
        <v/>
      </c>
      <c r="G99" s="16" t="n">
        <v>60</v>
      </c>
      <c r="H99" s="15">
        <f>Q99*R99</f>
        <v/>
      </c>
      <c r="I99" s="15" t="n">
        <v>0</v>
      </c>
      <c r="J99" s="16" t="n">
        <v>120</v>
      </c>
      <c r="K99" s="16" t="n">
        <v>0</v>
      </c>
      <c r="L99" s="16" t="n">
        <v>109.1</v>
      </c>
      <c r="M99" s="16" t="n">
        <v>10.9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2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I8 24€</t>
        </is>
      </c>
      <c r="F100" s="22">
        <f>IFERROR(INDEX(Tariffe!$B$2:$B$200,MATCH(E100,Tariffe!$A$2:$A$200,0)),"DA DEFINIRE")</f>
        <v/>
      </c>
      <c r="G100" s="12" t="n">
        <v>24</v>
      </c>
      <c r="H100" s="11">
        <f>Q100*R100</f>
        <v/>
      </c>
      <c r="I100" s="11" t="n">
        <v>0</v>
      </c>
      <c r="J100" s="12" t="n">
        <v>216</v>
      </c>
      <c r="K100" s="12" t="n">
        <v>0</v>
      </c>
      <c r="L100" s="12" t="n">
        <v>196.38</v>
      </c>
      <c r="M100" s="12" t="n">
        <v>19.62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9</v>
      </c>
      <c r="R100" s="11">
        <f>IFERROR(INDEX(Tariffe!$E$2:$E$200,MATCH(E100,Tariffe!$A$2:$A$200,0))*1,1)</f>
        <v/>
      </c>
    </row>
    <row r="101">
      <c r="A101" s="23" t="inlineStr">
        <is>
          <t>20261031_2215</t>
        </is>
      </c>
      <c r="B101" s="13" t="n">
        <v>46326</v>
      </c>
      <c r="C101" s="14" t="n">
        <v>0.9270833333333334</v>
      </c>
      <c r="D101" s="23" t="inlineStr">
        <is>
          <t>UN Unico</t>
        </is>
      </c>
      <c r="E101" s="23" t="inlineStr">
        <is>
          <t>I1 48€</t>
        </is>
      </c>
      <c r="F101" s="23">
        <f>IFERROR(INDEX(Tariffe!$B$2:$B$200,MATCH(E101,Tariffe!$A$2:$A$200,0)),"DA DEFINIRE")</f>
        <v/>
      </c>
      <c r="G101" s="16" t="n">
        <v>48</v>
      </c>
      <c r="H101" s="15">
        <f>Q101*R101</f>
        <v/>
      </c>
      <c r="I101" s="15" t="n">
        <v>3</v>
      </c>
      <c r="J101" s="16" t="n">
        <v>528</v>
      </c>
      <c r="K101" s="16" t="n">
        <v>0</v>
      </c>
      <c r="L101" s="16" t="n">
        <v>480.04</v>
      </c>
      <c r="M101" s="16" t="n">
        <v>47.96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11</v>
      </c>
      <c r="R101" s="15">
        <f>IFERROR(INDEX(Tariffe!$E$2:$E$200,MATCH(E101,Tariffe!$A$2:$A$200,0))*1,1)</f>
        <v/>
      </c>
    </row>
    <row r="102">
      <c r="A102" s="22" t="inlineStr">
        <is>
          <t>20261031_2215</t>
        </is>
      </c>
      <c r="B102" s="9" t="n">
        <v>46326</v>
      </c>
      <c r="C102" s="10" t="n">
        <v>0.9270833333333334</v>
      </c>
      <c r="D102" s="22" t="inlineStr">
        <is>
          <t>UN Unico</t>
        </is>
      </c>
      <c r="E102" s="22" t="inlineStr">
        <is>
          <t>I2 36€</t>
        </is>
      </c>
      <c r="F102" s="22">
        <f>IFERROR(INDEX(Tariffe!$B$2:$B$200,MATCH(E102,Tariffe!$A$2:$A$200,0)),"DA DEFINIRE")</f>
        <v/>
      </c>
      <c r="G102" s="12" t="n">
        <v>36</v>
      </c>
      <c r="H102" s="11">
        <f>Q102*R102</f>
        <v/>
      </c>
      <c r="I102" s="11" t="n">
        <v>0</v>
      </c>
      <c r="J102" s="12" t="n">
        <v>108</v>
      </c>
      <c r="K102" s="12" t="n">
        <v>0</v>
      </c>
      <c r="L102" s="12" t="n">
        <v>98.19</v>
      </c>
      <c r="M102" s="12" t="n">
        <v>9.81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20261031_2215</t>
        </is>
      </c>
      <c r="B103" s="13" t="n">
        <v>46326</v>
      </c>
      <c r="C103" s="14" t="n">
        <v>0.9270833333333334</v>
      </c>
      <c r="D103" s="23" t="inlineStr">
        <is>
          <t>UN Unico</t>
        </is>
      </c>
      <c r="E103" s="23" t="inlineStr">
        <is>
          <t>I5 60€</t>
        </is>
      </c>
      <c r="F103" s="23">
        <f>IFERROR(INDEX(Tariffe!$B$2:$B$200,MATCH(E103,Tariffe!$A$2:$A$200,0)),"DA DEFINIRE")</f>
        <v/>
      </c>
      <c r="G103" s="16" t="n">
        <v>60</v>
      </c>
      <c r="H103" s="15">
        <f>Q103*R103</f>
        <v/>
      </c>
      <c r="I103" s="15" t="n">
        <v>0</v>
      </c>
      <c r="J103" s="16" t="n">
        <v>120</v>
      </c>
      <c r="K103" s="16" t="n">
        <v>0</v>
      </c>
      <c r="L103" s="16" t="n">
        <v>109.1</v>
      </c>
      <c r="M103" s="16" t="n">
        <v>10.9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2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I8 24€</t>
        </is>
      </c>
      <c r="F104" s="22">
        <f>IFERROR(INDEX(Tariffe!$B$2:$B$200,MATCH(E104,Tariffe!$A$2:$A$200,0)),"DA DEFINIRE")</f>
        <v/>
      </c>
      <c r="G104" s="12" t="n">
        <v>24</v>
      </c>
      <c r="H104" s="11">
        <f>Q104*R104</f>
        <v/>
      </c>
      <c r="I104" s="11" t="n">
        <v>0</v>
      </c>
      <c r="J104" s="12" t="n">
        <v>672</v>
      </c>
      <c r="K104" s="12" t="n">
        <v>0</v>
      </c>
      <c r="L104" s="12" t="n">
        <v>610.96</v>
      </c>
      <c r="M104" s="12" t="n">
        <v>61.04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28</v>
      </c>
      <c r="R104" s="11">
        <f>IFERROR(INDEX(Tariffe!$E$2:$E$200,MATCH(E104,Tariffe!$A$2:$A$200,0))*1,1)</f>
        <v/>
      </c>
    </row>
    <row r="105">
      <c r="A105" s="23" t="inlineStr">
        <is>
          <t>20261031_2315</t>
        </is>
      </c>
      <c r="B105" s="13" t="n">
        <v>46326</v>
      </c>
      <c r="C105" s="14" t="n">
        <v>0.96875</v>
      </c>
      <c r="D105" s="23" t="inlineStr">
        <is>
          <t>UN Unico</t>
        </is>
      </c>
      <c r="E105" s="23" t="inlineStr">
        <is>
          <t>I1 48€</t>
        </is>
      </c>
      <c r="F105" s="23">
        <f>IFERROR(INDEX(Tariffe!$B$2:$B$200,MATCH(E105,Tariffe!$A$2:$A$200,0)),"DA DEFINIRE")</f>
        <v/>
      </c>
      <c r="G105" s="16" t="n">
        <v>48</v>
      </c>
      <c r="H105" s="15">
        <f>Q105*R105</f>
        <v/>
      </c>
      <c r="I105" s="15" t="n">
        <v>0</v>
      </c>
      <c r="J105" s="16" t="n">
        <v>1152</v>
      </c>
      <c r="K105" s="16" t="n">
        <v>0</v>
      </c>
      <c r="L105" s="16" t="n">
        <v>1047.36</v>
      </c>
      <c r="M105" s="16" t="n">
        <v>104.64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24</v>
      </c>
      <c r="R105" s="15">
        <f>IFERROR(INDEX(Tariffe!$E$2:$E$200,MATCH(E105,Tariffe!$A$2:$A$200,0))*1,1)</f>
        <v/>
      </c>
    </row>
    <row r="106">
      <c r="A106" s="22" t="inlineStr">
        <is>
          <t>20261031_2315</t>
        </is>
      </c>
      <c r="B106" s="9" t="n">
        <v>46326</v>
      </c>
      <c r="C106" s="10" t="n">
        <v>0.96875</v>
      </c>
      <c r="D106" s="22" t="inlineStr">
        <is>
          <t>UN Unico</t>
        </is>
      </c>
      <c r="E106" s="22" t="inlineStr">
        <is>
          <t>I2 36€</t>
        </is>
      </c>
      <c r="F106" s="22">
        <f>IFERROR(INDEX(Tariffe!$B$2:$B$200,MATCH(E106,Tariffe!$A$2:$A$200,0)),"DA DEFINIRE")</f>
        <v/>
      </c>
      <c r="G106" s="12" t="n">
        <v>36</v>
      </c>
      <c r="H106" s="11">
        <f>Q106*R106</f>
        <v/>
      </c>
      <c r="I106" s="11" t="n">
        <v>0</v>
      </c>
      <c r="J106" s="12" t="n">
        <v>108</v>
      </c>
      <c r="K106" s="12" t="n">
        <v>0</v>
      </c>
      <c r="L106" s="12" t="n">
        <v>98.19</v>
      </c>
      <c r="M106" s="12" t="n">
        <v>9.81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3</v>
      </c>
      <c r="R106" s="11">
        <f>IFERROR(INDEX(Tariffe!$E$2:$E$200,MATCH(E106,Tariffe!$A$2:$A$200,0))*1,1)</f>
        <v/>
      </c>
    </row>
    <row r="107">
      <c r="A107" s="23" t="inlineStr">
        <is>
          <t>20261031_2315</t>
        </is>
      </c>
      <c r="B107" s="13" t="n">
        <v>46326</v>
      </c>
      <c r="C107" s="14" t="n">
        <v>0.96875</v>
      </c>
      <c r="D107" s="23" t="inlineStr">
        <is>
          <t>UN Unico</t>
        </is>
      </c>
      <c r="E107" s="23" t="inlineStr">
        <is>
          <t>I5 60€</t>
        </is>
      </c>
      <c r="F107" s="23">
        <f>IFERROR(INDEX(Tariffe!$B$2:$B$200,MATCH(E107,Tariffe!$A$2:$A$200,0)),"DA DEFINIRE")</f>
        <v/>
      </c>
      <c r="G107" s="16" t="n">
        <v>60</v>
      </c>
      <c r="H107" s="15">
        <f>Q107*R107</f>
        <v/>
      </c>
      <c r="I107" s="15" t="n">
        <v>0</v>
      </c>
      <c r="J107" s="16" t="n">
        <v>180</v>
      </c>
      <c r="K107" s="16" t="n">
        <v>0</v>
      </c>
      <c r="L107" s="16" t="n">
        <v>163.65</v>
      </c>
      <c r="M107" s="16" t="n">
        <v>16.35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3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I8 24€</t>
        </is>
      </c>
      <c r="F108" s="22">
        <f>IFERROR(INDEX(Tariffe!$B$2:$B$200,MATCH(E108,Tariffe!$A$2:$A$200,0)),"DA DEFINIRE")</f>
        <v/>
      </c>
      <c r="G108" s="12" t="n">
        <v>24</v>
      </c>
      <c r="H108" s="11">
        <f>Q108*R108</f>
        <v/>
      </c>
      <c r="I108" s="11" t="n">
        <v>0</v>
      </c>
      <c r="J108" s="12" t="n">
        <v>456</v>
      </c>
      <c r="K108" s="12" t="n">
        <v>0</v>
      </c>
      <c r="L108" s="12" t="n">
        <v>414.58</v>
      </c>
      <c r="M108" s="12" t="n">
        <v>41.42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19</v>
      </c>
      <c r="R108" s="11">
        <f>IFERROR(INDEX(Tariffe!$E$2:$E$200,MATCH(E108,Tariffe!$A$2:$A$200,0))*1,1)</f>
        <v/>
      </c>
    </row>
    <row r="109">
      <c r="A109" s="23" t="inlineStr">
        <is>
          <t>20261031_2359</t>
        </is>
      </c>
      <c r="B109" s="13" t="n">
        <v>46326</v>
      </c>
      <c r="C109" s="14" t="n">
        <v>0.9993055555555556</v>
      </c>
      <c r="D109" s="23" t="inlineStr">
        <is>
          <t>UN Unico</t>
        </is>
      </c>
      <c r="E109" s="23" t="inlineStr">
        <is>
          <t>I1 48€</t>
        </is>
      </c>
      <c r="F109" s="23">
        <f>IFERROR(INDEX(Tariffe!$B$2:$B$200,MATCH(E109,Tariffe!$A$2:$A$200,0)),"DA DEFINIRE")</f>
        <v/>
      </c>
      <c r="G109" s="16" t="n">
        <v>48</v>
      </c>
      <c r="H109" s="15">
        <f>Q109*R109</f>
        <v/>
      </c>
      <c r="I109" s="15" t="n">
        <v>0</v>
      </c>
      <c r="J109" s="16" t="n">
        <v>816</v>
      </c>
      <c r="K109" s="16" t="n">
        <v>0</v>
      </c>
      <c r="L109" s="16" t="n">
        <v>741.88</v>
      </c>
      <c r="M109" s="16" t="n">
        <v>74.12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17</v>
      </c>
      <c r="R109" s="15">
        <f>IFERROR(INDEX(Tariffe!$E$2:$E$200,MATCH(E109,Tariffe!$A$2:$A$200,0))*1,1)</f>
        <v/>
      </c>
    </row>
    <row r="110">
      <c r="A110" s="22" t="inlineStr">
        <is>
          <t>20261031_2359</t>
        </is>
      </c>
      <c r="B110" s="9" t="n">
        <v>46326</v>
      </c>
      <c r="C110" s="10" t="n">
        <v>0.9993055555555556</v>
      </c>
      <c r="D110" s="22" t="inlineStr">
        <is>
          <t>UN Unico</t>
        </is>
      </c>
      <c r="E110" s="22" t="inlineStr">
        <is>
          <t>I2 36€</t>
        </is>
      </c>
      <c r="F110" s="22">
        <f>IFERROR(INDEX(Tariffe!$B$2:$B$200,MATCH(E110,Tariffe!$A$2:$A$200,0)),"DA DEFINIRE")</f>
        <v/>
      </c>
      <c r="G110" s="12" t="n">
        <v>36</v>
      </c>
      <c r="H110" s="11">
        <f>Q110*R110</f>
        <v/>
      </c>
      <c r="I110" s="11" t="n">
        <v>0</v>
      </c>
      <c r="J110" s="12" t="n">
        <v>36</v>
      </c>
      <c r="K110" s="12" t="n">
        <v>0</v>
      </c>
      <c r="L110" s="12" t="n">
        <v>32.73</v>
      </c>
      <c r="M110" s="12" t="n">
        <v>3.27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1</v>
      </c>
      <c r="R110" s="11">
        <f>IFERROR(INDEX(Tariffe!$E$2:$E$200,MATCH(E110,Tariffe!$A$2:$A$200,0))*1,1)</f>
        <v/>
      </c>
    </row>
    <row r="111">
      <c r="A111" s="23" t="inlineStr">
        <is>
          <t>20261031_2359</t>
        </is>
      </c>
      <c r="B111" s="13" t="n">
        <v>46326</v>
      </c>
      <c r="C111" s="14" t="n">
        <v>0.9993055555555556</v>
      </c>
      <c r="D111" s="23" t="inlineStr">
        <is>
          <t>UN Unico</t>
        </is>
      </c>
      <c r="E111" s="23" t="inlineStr">
        <is>
          <t>I5 60€</t>
        </is>
      </c>
      <c r="F111" s="23">
        <f>IFERROR(INDEX(Tariffe!$B$2:$B$200,MATCH(E111,Tariffe!$A$2:$A$200,0)),"DA DEFINIRE")</f>
        <v/>
      </c>
      <c r="G111" s="16" t="n">
        <v>60</v>
      </c>
      <c r="H111" s="15">
        <f>Q111*R111</f>
        <v/>
      </c>
      <c r="I111" s="15" t="n">
        <v>0</v>
      </c>
      <c r="J111" s="16" t="n">
        <v>120</v>
      </c>
      <c r="K111" s="16" t="n">
        <v>0</v>
      </c>
      <c r="L111" s="16" t="n">
        <v>109.1</v>
      </c>
      <c r="M111" s="16" t="n">
        <v>10.9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I8 24€</t>
        </is>
      </c>
      <c r="F112" s="22">
        <f>IFERROR(INDEX(Tariffe!$B$2:$B$200,MATCH(E112,Tariffe!$A$2:$A$200,0)),"DA DEFINIRE")</f>
        <v/>
      </c>
      <c r="G112" s="12" t="n">
        <v>24</v>
      </c>
      <c r="H112" s="11">
        <f>Q112*R112</f>
        <v/>
      </c>
      <c r="I112" s="11" t="n">
        <v>0</v>
      </c>
      <c r="J112" s="12" t="n">
        <v>336</v>
      </c>
      <c r="K112" s="12" t="n">
        <v>0</v>
      </c>
      <c r="L112" s="12" t="n">
        <v>305.48</v>
      </c>
      <c r="M112" s="12" t="n">
        <v>30.52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14</v>
      </c>
      <c r="R112" s="11">
        <f>IFERROR(INDEX(Tariffe!$E$2:$E$200,MATCH(E112,Tariffe!$A$2:$A$200,0))*1,1)</f>
        <v/>
      </c>
    </row>
    <row r="113">
      <c r="A113" s="23" t="inlineStr">
        <is>
          <t>20261101_2015</t>
        </is>
      </c>
      <c r="B113" s="13" t="n">
        <v>46327</v>
      </c>
      <c r="C113" s="14" t="n">
        <v>0.84375</v>
      </c>
      <c r="D113" s="23" t="inlineStr">
        <is>
          <t>UN Unico</t>
        </is>
      </c>
      <c r="E113" s="23" t="inlineStr">
        <is>
          <t>I1 48€</t>
        </is>
      </c>
      <c r="F113" s="23">
        <f>IFERROR(INDEX(Tariffe!$B$2:$B$200,MATCH(E113,Tariffe!$A$2:$A$200,0)),"DA DEFINIRE")</f>
        <v/>
      </c>
      <c r="G113" s="16" t="n">
        <v>48</v>
      </c>
      <c r="H113" s="15">
        <f>Q113*R113</f>
        <v/>
      </c>
      <c r="I113" s="15" t="n">
        <v>0</v>
      </c>
      <c r="J113" s="16" t="n">
        <v>96</v>
      </c>
      <c r="K113" s="16" t="n">
        <v>0</v>
      </c>
      <c r="L113" s="16" t="n">
        <v>87.28</v>
      </c>
      <c r="M113" s="16" t="n">
        <v>8.720000000000001</v>
      </c>
      <c r="N113" s="23" t="inlineStr">
        <is>
          <t>11/2026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2</v>
      </c>
      <c r="R113" s="15">
        <f>IFERROR(INDEX(Tariffe!$E$2:$E$200,MATCH(E113,Tariffe!$A$2:$A$200,0))*1,1)</f>
        <v/>
      </c>
    </row>
    <row r="114">
      <c r="A114" s="22" t="inlineStr">
        <is>
          <t>20261101_2015</t>
        </is>
      </c>
      <c r="B114" s="9" t="n">
        <v>46327</v>
      </c>
      <c r="C114" s="10" t="n">
        <v>0.84375</v>
      </c>
      <c r="D114" s="22" t="inlineStr">
        <is>
          <t>UN Unico</t>
        </is>
      </c>
      <c r="E114" s="22" t="inlineStr">
        <is>
          <t>I2 36€</t>
        </is>
      </c>
      <c r="F114" s="22">
        <f>IFERROR(INDEX(Tariffe!$B$2:$B$200,MATCH(E114,Tariffe!$A$2:$A$200,0)),"DA DEFINIRE")</f>
        <v/>
      </c>
      <c r="G114" s="12" t="n">
        <v>36</v>
      </c>
      <c r="H114" s="11">
        <f>Q114*R114</f>
        <v/>
      </c>
      <c r="I114" s="11" t="n">
        <v>0</v>
      </c>
      <c r="J114" s="12" t="n">
        <v>36</v>
      </c>
      <c r="K114" s="12" t="n">
        <v>0</v>
      </c>
      <c r="L114" s="12" t="n">
        <v>32.73</v>
      </c>
      <c r="M114" s="12" t="n">
        <v>3.27</v>
      </c>
      <c r="N114" s="22" t="inlineStr">
        <is>
          <t>11/2026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1</v>
      </c>
      <c r="R114" s="11">
        <f>IFERROR(INDEX(Tariffe!$E$2:$E$200,MATCH(E114,Tariffe!$A$2:$A$200,0))*1,1)</f>
        <v/>
      </c>
    </row>
    <row r="115">
      <c r="A115" s="23" t="inlineStr">
        <is>
          <t>20261101_2015</t>
        </is>
      </c>
      <c r="B115" s="13" t="n">
        <v>46327</v>
      </c>
      <c r="C115" s="14" t="n">
        <v>0.84375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48</v>
      </c>
      <c r="K115" s="16" t="n">
        <v>0</v>
      </c>
      <c r="L115" s="16" t="n">
        <v>43.64</v>
      </c>
      <c r="M115" s="16" t="n">
        <v>4.36</v>
      </c>
      <c r="N115" s="23" t="inlineStr">
        <is>
          <t>11/2026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2</v>
      </c>
      <c r="R115" s="15">
        <f>IFERROR(INDEX(Tariffe!$E$2:$E$200,MATCH(E115,Tariffe!$A$2:$A$200,0))*1,1)</f>
        <v/>
      </c>
    </row>
    <row r="116">
      <c r="A116" s="22" t="inlineStr">
        <is>
          <t>20261101_2115</t>
        </is>
      </c>
      <c r="B116" s="9" t="n">
        <v>46327</v>
      </c>
      <c r="C116" s="10" t="n">
        <v>0.8854166666666666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192</v>
      </c>
      <c r="K116" s="12" t="n">
        <v>0</v>
      </c>
      <c r="L116" s="12" t="n">
        <v>174.56</v>
      </c>
      <c r="M116" s="12" t="n">
        <v>17.44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4</v>
      </c>
      <c r="R116" s="11">
        <f>IFERROR(INDEX(Tariffe!$E$2:$E$200,MATCH(E116,Tariffe!$A$2:$A$200,0))*1,1)</f>
        <v/>
      </c>
    </row>
    <row r="117">
      <c r="A117" s="23" t="inlineStr">
        <is>
          <t>20261101_2115</t>
        </is>
      </c>
      <c r="B117" s="13" t="n">
        <v>46327</v>
      </c>
      <c r="C117" s="14" t="n">
        <v>0.8854166666666666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144</v>
      </c>
      <c r="K117" s="16" t="n">
        <v>0</v>
      </c>
      <c r="L117" s="16" t="n">
        <v>130.92</v>
      </c>
      <c r="M117" s="16" t="n">
        <v>13.08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4</v>
      </c>
      <c r="R117" s="15">
        <f>IFERROR(INDEX(Tariffe!$E$2:$E$200,MATCH(E117,Tariffe!$A$2:$A$200,0))*1,1)</f>
        <v/>
      </c>
    </row>
    <row r="118">
      <c r="A118" s="22" t="inlineStr">
        <is>
          <t>20261101_2115</t>
        </is>
      </c>
      <c r="B118" s="9" t="n">
        <v>46327</v>
      </c>
      <c r="C118" s="10" t="n">
        <v>0.8854166666666666</v>
      </c>
      <c r="D118" s="22" t="inlineStr">
        <is>
          <t>UN Unico</t>
        </is>
      </c>
      <c r="E118" s="22" t="inlineStr">
        <is>
          <t>I8 24€</t>
        </is>
      </c>
      <c r="F118" s="22">
        <f>IFERROR(INDEX(Tariffe!$B$2:$B$200,MATCH(E118,Tariffe!$A$2:$A$200,0)),"DA DEFINIRE")</f>
        <v/>
      </c>
      <c r="G118" s="12" t="n">
        <v>24</v>
      </c>
      <c r="H118" s="11">
        <f>Q118*R118</f>
        <v/>
      </c>
      <c r="I118" s="11" t="n">
        <v>0</v>
      </c>
      <c r="J118" s="12" t="n">
        <v>168</v>
      </c>
      <c r="K118" s="12" t="n">
        <v>0</v>
      </c>
      <c r="L118" s="12" t="n">
        <v>152.74</v>
      </c>
      <c r="M118" s="12" t="n">
        <v>15.26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7</v>
      </c>
      <c r="R118" s="11">
        <f>IFERROR(INDEX(Tariffe!$E$2:$E$200,MATCH(E118,Tariffe!$A$2:$A$200,0))*1,1)</f>
        <v/>
      </c>
    </row>
    <row r="119">
      <c r="A119" s="23" t="inlineStr">
        <is>
          <t>20261101_2215</t>
        </is>
      </c>
      <c r="B119" s="13" t="n">
        <v>46327</v>
      </c>
      <c r="C119" s="14" t="n">
        <v>0.9270833333333334</v>
      </c>
      <c r="D119" s="23" t="inlineStr">
        <is>
          <t>UN Unico</t>
        </is>
      </c>
      <c r="E119" s="23" t="inlineStr">
        <is>
          <t>I1 48€</t>
        </is>
      </c>
      <c r="F119" s="23">
        <f>IFERROR(INDEX(Tariffe!$B$2:$B$200,MATCH(E119,Tariffe!$A$2:$A$200,0)),"DA DEFINIRE")</f>
        <v/>
      </c>
      <c r="G119" s="16" t="n">
        <v>48</v>
      </c>
      <c r="H119" s="15">
        <f>Q119*R119</f>
        <v/>
      </c>
      <c r="I119" s="15" t="n">
        <v>0</v>
      </c>
      <c r="J119" s="16" t="n">
        <v>48</v>
      </c>
      <c r="K119" s="16" t="n">
        <v>0</v>
      </c>
      <c r="L119" s="16" t="n">
        <v>43.64</v>
      </c>
      <c r="M119" s="16" t="n">
        <v>4.36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1</v>
      </c>
      <c r="R119" s="15">
        <f>IFERROR(INDEX(Tariffe!$E$2:$E$200,MATCH(E119,Tariffe!$A$2:$A$200,0))*1,1)</f>
        <v/>
      </c>
    </row>
    <row r="120">
      <c r="A120" s="22" t="inlineStr">
        <is>
          <t>20261101_2215</t>
        </is>
      </c>
      <c r="B120" s="9" t="n">
        <v>46327</v>
      </c>
      <c r="C120" s="10" t="n">
        <v>0.9270833333333334</v>
      </c>
      <c r="D120" s="22" t="inlineStr">
        <is>
          <t>UN Unico</t>
        </is>
      </c>
      <c r="E120" s="22" t="inlineStr">
        <is>
          <t>I2 36€</t>
        </is>
      </c>
      <c r="F120" s="22">
        <f>IFERROR(INDEX(Tariffe!$B$2:$B$200,MATCH(E120,Tariffe!$A$2:$A$200,0)),"DA DEFINIRE")</f>
        <v/>
      </c>
      <c r="G120" s="12" t="n">
        <v>36</v>
      </c>
      <c r="H120" s="11">
        <f>Q120*R120</f>
        <v/>
      </c>
      <c r="I120" s="11" t="n">
        <v>0</v>
      </c>
      <c r="J120" s="12" t="n">
        <v>72</v>
      </c>
      <c r="K120" s="12" t="n">
        <v>0</v>
      </c>
      <c r="L120" s="12" t="n">
        <v>65.45999999999999</v>
      </c>
      <c r="M120" s="12" t="n">
        <v>6.54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2</v>
      </c>
      <c r="R120" s="11">
        <f>IFERROR(INDEX(Tariffe!$E$2:$E$200,MATCH(E120,Tariffe!$A$2:$A$200,0))*1,1)</f>
        <v/>
      </c>
    </row>
    <row r="121">
      <c r="A121" s="23" t="inlineStr">
        <is>
          <t>20261101_2215</t>
        </is>
      </c>
      <c r="B121" s="13" t="n">
        <v>46327</v>
      </c>
      <c r="C121" s="14" t="n">
        <v>0.9270833333333334</v>
      </c>
      <c r="D121" s="23" t="inlineStr">
        <is>
          <t>UN Unico</t>
        </is>
      </c>
      <c r="E121" s="23" t="inlineStr">
        <is>
          <t>I5 60€</t>
        </is>
      </c>
      <c r="F121" s="23">
        <f>IFERROR(INDEX(Tariffe!$B$2:$B$200,MATCH(E121,Tariffe!$A$2:$A$200,0)),"DA DEFINIRE")</f>
        <v/>
      </c>
      <c r="G121" s="16" t="n">
        <v>60</v>
      </c>
      <c r="H121" s="15">
        <f>Q121*R121</f>
        <v/>
      </c>
      <c r="I121" s="15" t="n">
        <v>0</v>
      </c>
      <c r="J121" s="16" t="n">
        <v>60</v>
      </c>
      <c r="K121" s="16" t="n">
        <v>0</v>
      </c>
      <c r="L121" s="16" t="n">
        <v>54.55</v>
      </c>
      <c r="M121" s="16" t="n">
        <v>5.45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1</v>
      </c>
      <c r="R121" s="15">
        <f>IFERROR(INDEX(Tariffe!$E$2:$E$200,MATCH(E121,Tariffe!$A$2:$A$200,0))*1,1)</f>
        <v/>
      </c>
    </row>
    <row r="122">
      <c r="A122" s="22" t="inlineStr">
        <is>
          <t>20261101_2215</t>
        </is>
      </c>
      <c r="B122" s="9" t="n">
        <v>46327</v>
      </c>
      <c r="C122" s="10" t="n">
        <v>0.9270833333333334</v>
      </c>
      <c r="D122" s="22" t="inlineStr">
        <is>
          <t>UN Unico</t>
        </is>
      </c>
      <c r="E122" s="22" t="inlineStr">
        <is>
          <t>I8 24€</t>
        </is>
      </c>
      <c r="F122" s="22">
        <f>IFERROR(INDEX(Tariffe!$B$2:$B$200,MATCH(E122,Tariffe!$A$2:$A$200,0)),"DA DEFINIRE")</f>
        <v/>
      </c>
      <c r="G122" s="12" t="n">
        <v>24</v>
      </c>
      <c r="H122" s="11">
        <f>Q122*R122</f>
        <v/>
      </c>
      <c r="I122" s="11" t="n">
        <v>0</v>
      </c>
      <c r="J122" s="12" t="n">
        <v>120</v>
      </c>
      <c r="K122" s="12" t="n">
        <v>0</v>
      </c>
      <c r="L122" s="12" t="n">
        <v>109.1</v>
      </c>
      <c r="M122" s="12" t="n">
        <v>10.9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5</v>
      </c>
      <c r="R122" s="11">
        <f>IFERROR(INDEX(Tariffe!$E$2:$E$200,MATCH(E122,Tariffe!$A$2:$A$200,0))*1,1)</f>
        <v/>
      </c>
    </row>
    <row r="123">
      <c r="A123" s="23" t="inlineStr">
        <is>
          <t>20261101_2315</t>
        </is>
      </c>
      <c r="B123" s="13" t="n">
        <v>46327</v>
      </c>
      <c r="C123" s="14" t="n">
        <v>0.96875</v>
      </c>
      <c r="D123" s="23" t="inlineStr">
        <is>
          <t>UN Unico</t>
        </is>
      </c>
      <c r="E123" s="23" t="inlineStr">
        <is>
          <t>I2 36€</t>
        </is>
      </c>
      <c r="F123" s="23">
        <f>IFERROR(INDEX(Tariffe!$B$2:$B$200,MATCH(E123,Tariffe!$A$2:$A$200,0)),"DA DEFINIRE")</f>
        <v/>
      </c>
      <c r="G123" s="16" t="n">
        <v>36</v>
      </c>
      <c r="H123" s="15">
        <f>Q123*R123</f>
        <v/>
      </c>
      <c r="I123" s="15" t="n">
        <v>0</v>
      </c>
      <c r="J123" s="16" t="n">
        <v>36</v>
      </c>
      <c r="K123" s="16" t="n">
        <v>0</v>
      </c>
      <c r="L123" s="16" t="n">
        <v>32.73</v>
      </c>
      <c r="M123" s="16" t="n">
        <v>3.27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1</v>
      </c>
      <c r="R123" s="15">
        <f>IFERROR(INDEX(Tariffe!$E$2:$E$200,MATCH(E123,Tariffe!$A$2:$A$200,0))*1,1)</f>
        <v/>
      </c>
    </row>
    <row r="124">
      <c r="A124" s="22" t="inlineStr">
        <is>
          <t>20261101_2315</t>
        </is>
      </c>
      <c r="B124" s="9" t="n">
        <v>46327</v>
      </c>
      <c r="C124" s="10" t="n">
        <v>0.96875</v>
      </c>
      <c r="D124" s="22" t="inlineStr">
        <is>
          <t>UN Unico</t>
        </is>
      </c>
      <c r="E124" s="22" t="inlineStr">
        <is>
          <t>I8 24€</t>
        </is>
      </c>
      <c r="F124" s="22">
        <f>IFERROR(INDEX(Tariffe!$B$2:$B$200,MATCH(E124,Tariffe!$A$2:$A$200,0)),"DA DEFINIRE")</f>
        <v/>
      </c>
      <c r="G124" s="12" t="n">
        <v>24</v>
      </c>
      <c r="H124" s="11">
        <f>Q124*R124</f>
        <v/>
      </c>
      <c r="I124" s="11" t="n">
        <v>0</v>
      </c>
      <c r="J124" s="12" t="n">
        <v>48</v>
      </c>
      <c r="K124" s="12" t="n">
        <v>0</v>
      </c>
      <c r="L124" s="12" t="n">
        <v>43.64</v>
      </c>
      <c r="M124" s="12" t="n">
        <v>4.36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2</v>
      </c>
      <c r="R124" s="11">
        <f>IFERROR(INDEX(Tariffe!$E$2:$E$200,MATCH(E124,Tariffe!$A$2:$A$200,0))*1,1)</f>
        <v/>
      </c>
    </row>
    <row r="125">
      <c r="A125" s="23" t="inlineStr">
        <is>
          <t>20261101_2359</t>
        </is>
      </c>
      <c r="B125" s="13" t="n">
        <v>46327</v>
      </c>
      <c r="C125" s="14" t="n">
        <v>0.9993055555555556</v>
      </c>
      <c r="D125" s="23" t="inlineStr">
        <is>
          <t>UN Unico</t>
        </is>
      </c>
      <c r="E125" s="23" t="inlineStr">
        <is>
          <t>I5 60€</t>
        </is>
      </c>
      <c r="F125" s="23">
        <f>IFERROR(INDEX(Tariffe!$B$2:$B$200,MATCH(E125,Tariffe!$A$2:$A$200,0)),"DA DEFINIRE")</f>
        <v/>
      </c>
      <c r="G125" s="16" t="n">
        <v>60</v>
      </c>
      <c r="H125" s="15">
        <f>Q125*R125</f>
        <v/>
      </c>
      <c r="I125" s="15" t="n">
        <v>0</v>
      </c>
      <c r="J125" s="16" t="n">
        <v>60</v>
      </c>
      <c r="K125" s="16" t="n">
        <v>0</v>
      </c>
      <c r="L125" s="16" t="n">
        <v>54.55</v>
      </c>
      <c r="M125" s="16" t="n">
        <v>5.45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1</v>
      </c>
      <c r="R125" s="15">
        <f>IFERROR(INDEX(Tariffe!$E$2:$E$200,MATCH(E125,Tariffe!$A$2:$A$200,0))*1,1)</f>
        <v/>
      </c>
    </row>
    <row r="126">
      <c r="A126" s="22" t="inlineStr">
        <is>
          <t>20261101_2359</t>
        </is>
      </c>
      <c r="B126" s="9" t="n">
        <v>46327</v>
      </c>
      <c r="C126" s="10" t="n">
        <v>0.9993055555555556</v>
      </c>
      <c r="D126" s="22" t="inlineStr">
        <is>
          <t>UN Unico</t>
        </is>
      </c>
      <c r="E126" s="22" t="inlineStr">
        <is>
          <t>I8 24€</t>
        </is>
      </c>
      <c r="F126" s="22">
        <f>IFERROR(INDEX(Tariffe!$B$2:$B$200,MATCH(E126,Tariffe!$A$2:$A$200,0)),"DA DEFINIRE")</f>
        <v/>
      </c>
      <c r="G126" s="12" t="n">
        <v>24</v>
      </c>
      <c r="H126" s="11">
        <f>Q126*R126</f>
        <v/>
      </c>
      <c r="I126" s="11" t="n">
        <v>0</v>
      </c>
      <c r="J126" s="12" t="n">
        <v>24</v>
      </c>
      <c r="K126" s="12" t="n">
        <v>0</v>
      </c>
      <c r="L126" s="12" t="n">
        <v>21.82</v>
      </c>
      <c r="M126" s="12" t="n">
        <v>2.18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20261102_2015</t>
        </is>
      </c>
      <c r="B127" s="13" t="n">
        <v>46328</v>
      </c>
      <c r="C127" s="14" t="n">
        <v>0.84375</v>
      </c>
      <c r="D127" s="23" t="inlineStr">
        <is>
          <t>UN Unico</t>
        </is>
      </c>
      <c r="E127" s="23" t="inlineStr">
        <is>
          <t>I1 15€</t>
        </is>
      </c>
      <c r="F127" s="23">
        <f>IFERROR(INDEX(Tariffe!$B$2:$B$200,MATCH(E127,Tariffe!$A$2:$A$200,0)),"DA DEFINIRE")</f>
        <v/>
      </c>
      <c r="G127" s="16" t="n">
        <v>15</v>
      </c>
      <c r="H127" s="15">
        <f>Q127*R127</f>
        <v/>
      </c>
      <c r="I127" s="15" t="n">
        <v>0</v>
      </c>
      <c r="J127" s="16" t="n">
        <v>30</v>
      </c>
      <c r="K127" s="16" t="n">
        <v>0</v>
      </c>
      <c r="L127" s="16" t="n">
        <v>27.28</v>
      </c>
      <c r="M127" s="16" t="n">
        <v>2.72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2</v>
      </c>
      <c r="R127" s="15">
        <f>IFERROR(INDEX(Tariffe!$E$2:$E$200,MATCH(E127,Tariffe!$A$2:$A$200,0))*1,1)</f>
        <v/>
      </c>
    </row>
    <row r="128">
      <c r="A128" s="22" t="inlineStr">
        <is>
          <t>20261102_2215</t>
        </is>
      </c>
      <c r="B128" s="9" t="n">
        <v>46328</v>
      </c>
      <c r="C128" s="10" t="n">
        <v>0.9270833333333334</v>
      </c>
      <c r="D128" s="22" t="inlineStr">
        <is>
          <t>UN Unico</t>
        </is>
      </c>
      <c r="E128" s="22" t="inlineStr">
        <is>
          <t>I1 15€</t>
        </is>
      </c>
      <c r="F128" s="22">
        <f>IFERROR(INDEX(Tariffe!$B$2:$B$200,MATCH(E128,Tariffe!$A$2:$A$200,0)),"DA DEFINIRE")</f>
        <v/>
      </c>
      <c r="G128" s="12" t="n">
        <v>15</v>
      </c>
      <c r="H128" s="11">
        <f>Q128*R128</f>
        <v/>
      </c>
      <c r="I128" s="11" t="n">
        <v>0</v>
      </c>
      <c r="J128" s="12" t="n">
        <v>45</v>
      </c>
      <c r="K128" s="12" t="n">
        <v>0</v>
      </c>
      <c r="L128" s="12" t="n">
        <v>40.92</v>
      </c>
      <c r="M128" s="12" t="n">
        <v>4.08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3</v>
      </c>
      <c r="R128" s="11">
        <f>IFERROR(INDEX(Tariffe!$E$2:$E$200,MATCH(E128,Tariffe!$A$2:$A$200,0))*1,1)</f>
        <v/>
      </c>
    </row>
    <row r="129">
      <c r="A129" s="23" t="inlineStr">
        <is>
          <t>20261102_2315</t>
        </is>
      </c>
      <c r="B129" s="13" t="n">
        <v>46328</v>
      </c>
      <c r="C129" s="14" t="n">
        <v>0.96875</v>
      </c>
      <c r="D129" s="23" t="inlineStr">
        <is>
          <t>UN Unico</t>
        </is>
      </c>
      <c r="E129" s="23" t="inlineStr">
        <is>
          <t>I1 15€</t>
        </is>
      </c>
      <c r="F129" s="23">
        <f>IFERROR(INDEX(Tariffe!$B$2:$B$200,MATCH(E129,Tariffe!$A$2:$A$200,0)),"DA DEFINIRE")</f>
        <v/>
      </c>
      <c r="G129" s="16" t="n">
        <v>15</v>
      </c>
      <c r="H129" s="15">
        <f>Q129*R129</f>
        <v/>
      </c>
      <c r="I129" s="15" t="n">
        <v>0</v>
      </c>
      <c r="J129" s="16" t="n">
        <v>45</v>
      </c>
      <c r="K129" s="16" t="n">
        <v>0</v>
      </c>
      <c r="L129" s="16" t="n">
        <v>40.92</v>
      </c>
      <c r="M129" s="16" t="n">
        <v>4.08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3</v>
      </c>
      <c r="R129" s="15">
        <f>IFERROR(INDEX(Tariffe!$E$2:$E$200,MATCH(E129,Tariffe!$A$2:$A$200,0))*1,1)</f>
        <v/>
      </c>
    </row>
    <row r="130">
      <c r="A130" s="22" t="inlineStr">
        <is>
          <t>20261102_2359</t>
        </is>
      </c>
      <c r="B130" s="9" t="n">
        <v>46328</v>
      </c>
      <c r="C130" s="10" t="n">
        <v>0.9993055555555556</v>
      </c>
      <c r="D130" s="22" t="inlineStr">
        <is>
          <t>UN Unico</t>
        </is>
      </c>
      <c r="E130" s="22" t="inlineStr">
        <is>
          <t>I1 15€</t>
        </is>
      </c>
      <c r="F130" s="22">
        <f>IFERROR(INDEX(Tariffe!$B$2:$B$200,MATCH(E130,Tariffe!$A$2:$A$200,0)),"DA DEFINIRE")</f>
        <v/>
      </c>
      <c r="G130" s="12" t="n">
        <v>15</v>
      </c>
      <c r="H130" s="11">
        <f>Q130*R130</f>
        <v/>
      </c>
      <c r="I130" s="11" t="n">
        <v>0</v>
      </c>
      <c r="J130" s="12" t="n">
        <v>15</v>
      </c>
      <c r="K130" s="12" t="n">
        <v>0</v>
      </c>
      <c r="L130" s="12" t="n">
        <v>13.64</v>
      </c>
      <c r="M130" s="12" t="n">
        <v>1.36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</sheetData>
  <autoFilter ref="A1:R13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6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</sheetData>
  <autoFilter ref="A1:G67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89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</sheetData>
  <autoFilter ref="A1:K89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32</v>
      </c>
      <c r="H4" s="11" t="n">
        <v>109</v>
      </c>
      <c r="I4" s="12" t="n">
        <v>1308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11</v>
      </c>
      <c r="H5" s="11" t="n">
        <v>30</v>
      </c>
      <c r="I5" s="12" t="n">
        <v>360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236</v>
      </c>
      <c r="M10" s="11" t="n">
        <v>760</v>
      </c>
      <c r="N10" s="12" t="n">
        <v>9120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11</v>
      </c>
      <c r="H12" s="11" t="n">
        <v>29</v>
      </c>
      <c r="I12" s="12" t="n">
        <v>348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23</v>
      </c>
      <c r="H13" s="11" t="n">
        <v>70</v>
      </c>
      <c r="I13" s="12" t="n">
        <v>840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39</v>
      </c>
      <c r="H14" s="11" t="n">
        <v>121</v>
      </c>
      <c r="I14" s="12" t="n">
        <v>1452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53</v>
      </c>
      <c r="H15" s="11" t="n">
        <v>156</v>
      </c>
      <c r="I15" s="12" t="n">
        <v>1872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56</v>
      </c>
      <c r="H16" s="11" t="n">
        <v>171</v>
      </c>
      <c r="I16" s="12" t="n">
        <v>2052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70</v>
      </c>
      <c r="H17" s="11" t="n">
        <v>198</v>
      </c>
      <c r="I17" s="12" t="n">
        <v>2376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106</v>
      </c>
      <c r="H18" s="11" t="n">
        <v>335</v>
      </c>
      <c r="I18" s="12" t="n">
        <v>4020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83</v>
      </c>
      <c r="H19" s="11" t="n">
        <v>265</v>
      </c>
      <c r="I19" s="12" t="n">
        <v>3180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104</v>
      </c>
      <c r="H20" s="11" t="n">
        <v>331</v>
      </c>
      <c r="I20" s="12" t="n">
        <v>3972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51</v>
      </c>
      <c r="H21" s="11" t="n">
        <v>145</v>
      </c>
      <c r="I21" s="12" t="n">
        <v>1740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97</v>
      </c>
      <c r="H22" s="11" t="n">
        <v>295</v>
      </c>
      <c r="I22" s="12" t="n">
        <v>3540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97</v>
      </c>
      <c r="H23" s="11" t="n">
        <v>298</v>
      </c>
      <c r="I23" s="12" t="n">
        <v>3576</v>
      </c>
    </row>
    <row r="24">
      <c r="A24" s="9" t="n">
        <v>46320</v>
      </c>
      <c r="B24" s="11" t="n">
        <v>159</v>
      </c>
      <c r="C24" s="11" t="n">
        <v>511</v>
      </c>
      <c r="D24" s="12" t="n">
        <v>6132</v>
      </c>
      <c r="F24" s="38" t="inlineStr">
        <is>
          <t>20:00-21:00</t>
        </is>
      </c>
      <c r="G24" s="11" t="n">
        <v>69</v>
      </c>
      <c r="H24" s="11" t="n">
        <v>197</v>
      </c>
      <c r="I24" s="12" t="n">
        <v>2370</v>
      </c>
    </row>
    <row r="25">
      <c r="F25" s="38" t="inlineStr">
        <is>
          <t>21:00-22:00</t>
        </is>
      </c>
      <c r="G25" s="11" t="n">
        <v>90</v>
      </c>
      <c r="H25" s="11" t="n">
        <v>268</v>
      </c>
      <c r="I25" s="12" t="n">
        <v>3222</v>
      </c>
    </row>
    <row r="26">
      <c r="F26" s="38" t="inlineStr">
        <is>
          <t>22:00-23:00</t>
        </is>
      </c>
      <c r="G26" s="11" t="n">
        <v>121</v>
      </c>
      <c r="H26" s="11" t="n">
        <v>363</v>
      </c>
      <c r="I26" s="12" t="n">
        <v>4362</v>
      </c>
    </row>
    <row r="27">
      <c r="F27" s="38" t="inlineStr">
        <is>
          <t>23:00-00:00</t>
        </is>
      </c>
      <c r="G27" s="11" t="n">
        <v>37</v>
      </c>
      <c r="H27" s="11" t="n">
        <v>126</v>
      </c>
      <c r="I27" s="12" t="n">
        <v>1521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2026-10-25T15:25:07Z</dcterms:created>
  <dcterms:modified xsi:type="dcterms:W3CDTF">2026-10-25T15:25:08Z</dcterms:modified>
</cp:coreProperties>
</file>