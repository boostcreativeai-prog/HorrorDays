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'Vendite'!$A$1:$P$80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'Storico'!$A$1:$G$300</definedName>
    <definedName name="_xlnm._FilterDatabase" localSheetId="8" hidden="1">'Registro vendite'!$A$1:$K$217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'Storico'!$H$2:$H$300</f>
            </numRef>
          </cat>
          <val>
            <numRef>
              <f>'Storico'!$C$2:$C$300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vendite'!$A$4:$A$13</f>
            </numRef>
          </cat>
          <val>
            <numRef>
              <f>'Picchi vendite'!$B$4:$B$13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MAX(Storico!A2:A300)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5</v>
      </c>
      <c r="I2" s="11" t="n">
        <v>0</v>
      </c>
      <c r="J2" s="12" t="n">
        <v>120</v>
      </c>
      <c r="K2" s="12" t="n">
        <v>0</v>
      </c>
      <c r="L2" s="12" t="n">
        <v>109.1</v>
      </c>
      <c r="M2" s="12" t="n">
        <v>10.9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5</v>
      </c>
      <c r="I3" s="15" t="n">
        <v>1</v>
      </c>
      <c r="J3" s="16" t="n">
        <v>240</v>
      </c>
      <c r="K3" s="16" t="n">
        <v>0</v>
      </c>
      <c r="L3" s="16" t="n">
        <v>218.2</v>
      </c>
      <c r="M3" s="16" t="n">
        <v>21.8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3</v>
      </c>
      <c r="I4" s="11" t="n">
        <v>0</v>
      </c>
      <c r="J4" s="12" t="n">
        <v>108</v>
      </c>
      <c r="K4" s="12" t="n">
        <v>0</v>
      </c>
      <c r="L4" s="12" t="n">
        <v>98.19</v>
      </c>
      <c r="M4" s="12" t="n">
        <v>9.81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2</v>
      </c>
      <c r="I5" s="15" t="n">
        <v>0</v>
      </c>
      <c r="J5" s="16" t="n">
        <v>120</v>
      </c>
      <c r="K5" s="16" t="n">
        <v>0</v>
      </c>
      <c r="L5" s="16" t="n">
        <v>109.1</v>
      </c>
      <c r="M5" s="16" t="n">
        <v>10.9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12</v>
      </c>
      <c r="I6" s="11" t="n">
        <v>0</v>
      </c>
      <c r="J6" s="12" t="n">
        <v>288</v>
      </c>
      <c r="K6" s="12" t="n">
        <v>0</v>
      </c>
      <c r="L6" s="12" t="n">
        <v>261.84</v>
      </c>
      <c r="M6" s="12" t="n">
        <v>26.16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2</v>
      </c>
      <c r="I9" s="15" t="n">
        <v>0</v>
      </c>
      <c r="J9" s="16" t="n">
        <v>120</v>
      </c>
      <c r="K9" s="16" t="n">
        <v>0</v>
      </c>
      <c r="L9" s="16" t="n">
        <v>109.1</v>
      </c>
      <c r="M9" s="16" t="n">
        <v>10.9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9</v>
      </c>
      <c r="I10" s="11" t="n">
        <v>0</v>
      </c>
      <c r="J10" s="12" t="n">
        <v>216</v>
      </c>
      <c r="K10" s="12" t="n">
        <v>0</v>
      </c>
      <c r="L10" s="12" t="n">
        <v>196.38</v>
      </c>
      <c r="M10" s="12" t="n">
        <v>19.62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4</v>
      </c>
      <c r="I11" s="15" t="n">
        <v>1</v>
      </c>
      <c r="J11" s="16" t="n">
        <v>192</v>
      </c>
      <c r="K11" s="16" t="n">
        <v>0</v>
      </c>
      <c r="L11" s="16" t="n">
        <v>174.56</v>
      </c>
      <c r="M11" s="16" t="n">
        <v>17.44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10</v>
      </c>
      <c r="I14" s="11" t="n">
        <v>0</v>
      </c>
      <c r="J14" s="12" t="n">
        <v>240</v>
      </c>
      <c r="K14" s="12" t="n">
        <v>0</v>
      </c>
      <c r="L14" s="12" t="n">
        <v>218.2</v>
      </c>
      <c r="M14" s="12" t="n">
        <v>21.8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5</v>
      </c>
      <c r="I23" s="15" t="n">
        <v>0</v>
      </c>
      <c r="J23" s="16" t="n">
        <v>120</v>
      </c>
      <c r="K23" s="16" t="n">
        <v>0</v>
      </c>
      <c r="L23" s="16" t="n">
        <v>109.1</v>
      </c>
      <c r="M23" s="16" t="n">
        <v>10.9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11</v>
      </c>
      <c r="I26" s="11" t="n">
        <v>0</v>
      </c>
      <c r="J26" s="12" t="n">
        <v>264</v>
      </c>
      <c r="K26" s="12" t="n">
        <v>0</v>
      </c>
      <c r="L26" s="12" t="n">
        <v>240.02</v>
      </c>
      <c r="M26" s="12" t="n">
        <v>23.98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5</v>
      </c>
      <c r="I29" s="15" t="n">
        <v>0</v>
      </c>
      <c r="J29" s="16" t="n">
        <v>300</v>
      </c>
      <c r="K29" s="16" t="n">
        <v>0</v>
      </c>
      <c r="L29" s="16" t="n">
        <v>272.75</v>
      </c>
      <c r="M29" s="16" t="n">
        <v>27.25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</v>
      </c>
      <c r="I37" s="15" t="n">
        <v>0</v>
      </c>
      <c r="J37" s="16" t="n">
        <v>48</v>
      </c>
      <c r="K37" s="16" t="n">
        <v>0</v>
      </c>
      <c r="L37" s="16" t="n">
        <v>43.64</v>
      </c>
      <c r="M37" s="16" t="n">
        <v>4.36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20261030_2115</t>
        </is>
      </c>
      <c r="B57" s="13" t="n">
        <v>46325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2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20261030_2215</t>
        </is>
      </c>
      <c r="B59" s="13" t="n">
        <v>46325</v>
      </c>
      <c r="C59" s="14" t="n">
        <v>0.9270833333333334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4</v>
      </c>
      <c r="I59" s="15" t="n">
        <v>3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3</v>
      </c>
      <c r="I60" s="11" t="n">
        <v>0</v>
      </c>
      <c r="J60" s="12" t="n">
        <v>144</v>
      </c>
      <c r="K60" s="12" t="n">
        <v>0</v>
      </c>
      <c r="L60" s="12" t="n">
        <v>130.92</v>
      </c>
      <c r="M60" s="12" t="n">
        <v>13.08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1</v>
      </c>
      <c r="I61" s="15" t="n">
        <v>0</v>
      </c>
      <c r="J61" s="16" t="n">
        <v>60</v>
      </c>
      <c r="K61" s="16" t="n">
        <v>0</v>
      </c>
      <c r="L61" s="16" t="n">
        <v>54.55</v>
      </c>
      <c r="M61" s="16" t="n">
        <v>5.45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20261030_2315</t>
        </is>
      </c>
      <c r="B62" s="9" t="n">
        <v>46325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2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20261030_2359</t>
        </is>
      </c>
      <c r="B63" s="13" t="n">
        <v>46325</v>
      </c>
      <c r="C63" s="14" t="n">
        <v>0.9993055555555556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1</v>
      </c>
      <c r="I63" s="15" t="n">
        <v>0</v>
      </c>
      <c r="J63" s="16" t="n">
        <v>48</v>
      </c>
      <c r="K63" s="16" t="n">
        <v>0</v>
      </c>
      <c r="L63" s="16" t="n">
        <v>43.64</v>
      </c>
      <c r="M63" s="16" t="n">
        <v>4.36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20261030_2359</t>
        </is>
      </c>
      <c r="B64" s="9" t="n">
        <v>46325</v>
      </c>
      <c r="C64" s="10" t="n">
        <v>0.9993055555555556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5</v>
      </c>
      <c r="I64" s="11" t="n">
        <v>0</v>
      </c>
      <c r="J64" s="12" t="n">
        <v>120</v>
      </c>
      <c r="K64" s="12" t="n">
        <v>0</v>
      </c>
      <c r="L64" s="12" t="n">
        <v>109.1</v>
      </c>
      <c r="M64" s="12" t="n">
        <v>10.9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20261031_2015</t>
        </is>
      </c>
      <c r="B65" s="13" t="n">
        <v>46326</v>
      </c>
      <c r="C65" s="14" t="n">
        <v>0.84375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1</v>
      </c>
      <c r="I65" s="15" t="n">
        <v>0</v>
      </c>
      <c r="J65" s="16" t="n">
        <v>60</v>
      </c>
      <c r="K65" s="16" t="n">
        <v>0</v>
      </c>
      <c r="L65" s="16" t="n">
        <v>54.55</v>
      </c>
      <c r="M65" s="16" t="n">
        <v>5.45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20261031_2015</t>
        </is>
      </c>
      <c r="B66" s="9" t="n">
        <v>46326</v>
      </c>
      <c r="C66" s="10" t="n">
        <v>0.84375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</v>
      </c>
      <c r="I66" s="11" t="n">
        <v>0</v>
      </c>
      <c r="J66" s="12" t="n">
        <v>24</v>
      </c>
      <c r="K66" s="12" t="n">
        <v>0</v>
      </c>
      <c r="L66" s="12" t="n">
        <v>21.82</v>
      </c>
      <c r="M66" s="12" t="n">
        <v>2.18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20261031_2115</t>
        </is>
      </c>
      <c r="B67" s="13" t="n">
        <v>46326</v>
      </c>
      <c r="C67" s="14" t="n">
        <v>0.8854166666666666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20261031_2115</t>
        </is>
      </c>
      <c r="B68" s="9" t="n">
        <v>46326</v>
      </c>
      <c r="C68" s="10" t="n">
        <v>0.8854166666666666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5</v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2</v>
      </c>
      <c r="I69" s="15" t="n">
        <v>0</v>
      </c>
      <c r="J69" s="16" t="n">
        <v>96</v>
      </c>
      <c r="K69" s="16" t="n">
        <v>0</v>
      </c>
      <c r="L69" s="16" t="n">
        <v>87.28</v>
      </c>
      <c r="M69" s="16" t="n">
        <v>8.720000000000001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20261031_2215</t>
        </is>
      </c>
      <c r="B70" s="9" t="n">
        <v>46326</v>
      </c>
      <c r="C70" s="10" t="n">
        <v>0.9270833333333334</v>
      </c>
      <c r="D70" s="22" t="inlineStr">
        <is>
          <t>UN Unico</t>
        </is>
      </c>
      <c r="E70" s="22" t="inlineStr">
        <is>
          <t>I2</t>
        </is>
      </c>
      <c r="F70" s="22">
        <f>IFERROR(INDEX(Tariffe!$B$2:$B$200,MATCH(E70,Tariffe!$A$2:$A$200,0)),"DA DEFINIRE")</f>
        <v/>
      </c>
      <c r="G70" s="12" t="n">
        <v>36</v>
      </c>
      <c r="H70" s="11" t="n">
        <v>1</v>
      </c>
      <c r="I70" s="11" t="n">
        <v>0</v>
      </c>
      <c r="J70" s="12" t="n">
        <v>36</v>
      </c>
      <c r="K70" s="12" t="n">
        <v>0</v>
      </c>
      <c r="L70" s="12" t="n">
        <v>32.73</v>
      </c>
      <c r="M70" s="12" t="n">
        <v>3.27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20261031_2215</t>
        </is>
      </c>
      <c r="B71" s="13" t="n">
        <v>46326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5</v>
      </c>
      <c r="I71" s="15" t="n">
        <v>0</v>
      </c>
      <c r="J71" s="16" t="n">
        <v>120</v>
      </c>
      <c r="K71" s="16" t="n">
        <v>0</v>
      </c>
      <c r="L71" s="16" t="n">
        <v>109.1</v>
      </c>
      <c r="M71" s="16" t="n">
        <v>10.9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20261031_2315</t>
        </is>
      </c>
      <c r="B72" s="9" t="n">
        <v>46326</v>
      </c>
      <c r="C72" s="10" t="n">
        <v>0.96875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20261031_2315</t>
        </is>
      </c>
      <c r="B73" s="13" t="n">
        <v>46326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7</v>
      </c>
      <c r="I73" s="15" t="n">
        <v>0</v>
      </c>
      <c r="J73" s="16" t="n">
        <v>168</v>
      </c>
      <c r="K73" s="16" t="n">
        <v>0</v>
      </c>
      <c r="L73" s="16" t="n">
        <v>152.74</v>
      </c>
      <c r="M73" s="16" t="n">
        <v>15.26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20261031_2359</t>
        </is>
      </c>
      <c r="B74" s="9" t="n">
        <v>46326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4</v>
      </c>
      <c r="I74" s="11" t="n">
        <v>0</v>
      </c>
      <c r="J74" s="12" t="n">
        <v>192</v>
      </c>
      <c r="K74" s="12" t="n">
        <v>0</v>
      </c>
      <c r="L74" s="12" t="n">
        <v>174.56</v>
      </c>
      <c r="M74" s="12" t="n">
        <v>17.44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20261031_2359</t>
        </is>
      </c>
      <c r="B75" s="13" t="n">
        <v>46326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3</v>
      </c>
      <c r="I75" s="15" t="n">
        <v>0</v>
      </c>
      <c r="J75" s="16" t="n">
        <v>72</v>
      </c>
      <c r="K75" s="16" t="n">
        <v>0</v>
      </c>
      <c r="L75" s="16" t="n">
        <v>65.45999999999999</v>
      </c>
      <c r="M75" s="16" t="n">
        <v>6.54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20261101_2015</t>
        </is>
      </c>
      <c r="B76" s="9" t="n">
        <v>46327</v>
      </c>
      <c r="C76" s="10" t="n">
        <v>0.84375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20261101_2115</t>
        </is>
      </c>
      <c r="B77" s="13" t="n">
        <v>46327</v>
      </c>
      <c r="C77" s="14" t="n">
        <v>0.8854166666666666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2</v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11/2026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20261101_2215</t>
        </is>
      </c>
      <c r="B78" s="9" t="n">
        <v>46327</v>
      </c>
      <c r="C78" s="10" t="n">
        <v>0.9270833333333334</v>
      </c>
      <c r="D78" s="22" t="inlineStr">
        <is>
          <t>UN Unico</t>
        </is>
      </c>
      <c r="E78" s="22" t="inlineStr">
        <is>
          <t>I5</t>
        </is>
      </c>
      <c r="F78" s="22">
        <f>IFERROR(INDEX(Tariffe!$B$2:$B$200,MATCH(E78,Tariffe!$A$2:$A$200,0)),"DA DEFINIRE")</f>
        <v/>
      </c>
      <c r="G78" s="12" t="n">
        <v>60</v>
      </c>
      <c r="H78" s="11" t="n">
        <v>1</v>
      </c>
      <c r="I78" s="11" t="n">
        <v>0</v>
      </c>
      <c r="J78" s="12" t="n">
        <v>60</v>
      </c>
      <c r="K78" s="12" t="n">
        <v>0</v>
      </c>
      <c r="L78" s="12" t="n">
        <v>54.55</v>
      </c>
      <c r="M78" s="12" t="n">
        <v>5.45</v>
      </c>
      <c r="N78" s="22" t="inlineStr">
        <is>
          <t>11/2026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20261101_2215</t>
        </is>
      </c>
      <c r="B79" s="13" t="n">
        <v>46327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2</v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11/2026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20261101_2359</t>
        </is>
      </c>
      <c r="B80" s="9" t="n">
        <v>46327</v>
      </c>
      <c r="C80" s="10" t="n">
        <v>0.9993055555555556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1</v>
      </c>
      <c r="I80" s="11" t="n">
        <v>0</v>
      </c>
      <c r="J80" s="12" t="n">
        <v>60</v>
      </c>
      <c r="K80" s="12" t="n">
        <v>0</v>
      </c>
      <c r="L80" s="12" t="n">
        <v>54.55</v>
      </c>
      <c r="M80" s="12" t="n">
        <v>5.45</v>
      </c>
      <c r="N80" s="22" t="inlineStr">
        <is>
          <t>11/2026</t>
        </is>
      </c>
      <c r="O80" s="11">
        <f>IFERROR(INDEX(Tariffe!$D$2:$D$200,MATCH(E80,Tariffe!$A$2:$A$200,0))*1,0)</f>
        <v/>
      </c>
      <c r="P80" s="11">
        <f>H80*O80</f>
        <v/>
      </c>
    </row>
  </sheetData>
  <autoFilter ref="A1:P8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</sheetData>
  <autoFilter ref="A1:G30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</sheetData>
  <autoFilter ref="A1:K21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24</v>
      </c>
      <c r="M6" s="11" t="n">
        <v>71</v>
      </c>
      <c r="N6" s="12" t="n">
        <v>852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1</v>
      </c>
      <c r="C13" s="11" t="n">
        <v>3</v>
      </c>
      <c r="D13" s="12" t="n">
        <v>36</v>
      </c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5</v>
      </c>
      <c r="H14" s="11" t="n">
        <v>20</v>
      </c>
      <c r="I14" s="12" t="n">
        <v>240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7</v>
      </c>
      <c r="H18" s="11" t="n">
        <v>21</v>
      </c>
      <c r="I18" s="12" t="n">
        <v>252</v>
      </c>
    </row>
    <row r="19">
      <c r="F19" s="38" t="inlineStr">
        <is>
          <t>15:00-16:00</t>
        </is>
      </c>
      <c r="G19" s="11" t="n">
        <v>8</v>
      </c>
      <c r="H19" s="11" t="n">
        <v>20</v>
      </c>
      <c r="I19" s="12" t="n">
        <v>240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10</v>
      </c>
      <c r="H21" s="11" t="n">
        <v>31</v>
      </c>
      <c r="I21" s="12" t="n">
        <v>372</v>
      </c>
    </row>
    <row r="22">
      <c r="F22" s="38" t="inlineStr">
        <is>
          <t>18:00-19:00</t>
        </is>
      </c>
      <c r="G22" s="11" t="n">
        <v>10</v>
      </c>
      <c r="H22" s="11" t="n">
        <v>29</v>
      </c>
      <c r="I22" s="12" t="n">
        <v>348</v>
      </c>
    </row>
    <row r="23">
      <c r="F23" s="38" t="inlineStr">
        <is>
          <t>19:00-20:00</t>
        </is>
      </c>
      <c r="G23" s="11" t="n">
        <v>15</v>
      </c>
      <c r="H23" s="11" t="n">
        <v>52</v>
      </c>
      <c r="I23" s="12" t="n">
        <v>624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36</v>
      </c>
      <c r="H26" s="11" t="n">
        <v>100</v>
      </c>
      <c r="I26" s="12" t="n">
        <v>1200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2026-10-14T05:27:14Z</dcterms:created>
  <dcterms:modified xsi:type="dcterms:W3CDTF">2026-10-14T05:27:14Z</dcterms:modified>
</cp:coreProperties>
</file>