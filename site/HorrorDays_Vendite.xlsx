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'Vendite'!$A$1:$R$132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'Storico'!$A$1:$G$710</definedName>
    <definedName name="_xlnm._FilterDatabase" localSheetId="8" hidden="1">'Registro vendite'!$A$1:$K$1027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'Storico'!$H$2:$H$710</f>
            </numRef>
          </cat>
          <val>
            <numRef>
              <f>'Storico'!$C$2:$C$710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MAX(Storico!A2:A710)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5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216</v>
      </c>
      <c r="K68" s="12" t="n">
        <v>0</v>
      </c>
      <c r="L68" s="12" t="n">
        <v>196.38</v>
      </c>
      <c r="M68" s="12" t="n">
        <v>19.62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9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576</v>
      </c>
      <c r="K69" s="16" t="n">
        <v>0</v>
      </c>
      <c r="L69" s="16" t="n">
        <v>523.6799999999999</v>
      </c>
      <c r="M69" s="16" t="n">
        <v>52.32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12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408</v>
      </c>
      <c r="K72" s="12" t="n">
        <v>0</v>
      </c>
      <c r="L72" s="12" t="n">
        <v>370.94</v>
      </c>
      <c r="M72" s="12" t="n">
        <v>37.06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17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336</v>
      </c>
      <c r="K73" s="16" t="n">
        <v>0</v>
      </c>
      <c r="L73" s="16" t="n">
        <v>305.48</v>
      </c>
      <c r="M73" s="16" t="n">
        <v>30.52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7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300</v>
      </c>
      <c r="K75" s="16" t="n">
        <v>0</v>
      </c>
      <c r="L75" s="16" t="n">
        <v>272.75</v>
      </c>
      <c r="M75" s="16" t="n">
        <v>27.25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240</v>
      </c>
      <c r="K76" s="12" t="n">
        <v>0</v>
      </c>
      <c r="L76" s="12" t="n">
        <v>218.2</v>
      </c>
      <c r="M76" s="12" t="n">
        <v>21.8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10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I8 24€</t>
        </is>
      </c>
      <c r="F78" s="22">
        <f>IFERROR(INDEX(Tariffe!$B$2:$B$200,MATCH(E78,Tariffe!$A$2:$A$200,0)),"DA DEFINIRE")</f>
        <v/>
      </c>
      <c r="G78" s="12" t="n">
        <v>24</v>
      </c>
      <c r="H78" s="11">
        <f>Q78*R78</f>
        <v/>
      </c>
      <c r="I78" s="11" t="n">
        <v>0</v>
      </c>
      <c r="J78" s="12" t="n">
        <v>96</v>
      </c>
      <c r="K78" s="12" t="n">
        <v>0</v>
      </c>
      <c r="L78" s="12" t="n">
        <v>87.28</v>
      </c>
      <c r="M78" s="12" t="n">
        <v>8.720000000000001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I1 48€</t>
        </is>
      </c>
      <c r="F79" s="23">
        <f>IFERROR(INDEX(Tariffe!$B$2:$B$200,MATCH(E79,Tariffe!$A$2:$A$200,0)),"DA DEFINIRE")</f>
        <v/>
      </c>
      <c r="G79" s="16" t="n">
        <v>48</v>
      </c>
      <c r="H79" s="15">
        <f>Q79*R79</f>
        <v/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72</v>
      </c>
      <c r="K80" s="12" t="n">
        <v>0</v>
      </c>
      <c r="L80" s="12" t="n">
        <v>65.45999999999999</v>
      </c>
      <c r="M80" s="12" t="n">
        <v>6.54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3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I5 60€</t>
        </is>
      </c>
      <c r="F82" s="22">
        <f>IFERROR(INDEX(Tariffe!$B$2:$B$200,MATCH(E82,Tariffe!$A$2:$A$200,0)),"DA DEFINIRE")</f>
        <v/>
      </c>
      <c r="G82" s="12" t="n">
        <v>60</v>
      </c>
      <c r="H82" s="11">
        <f>Q82*R82</f>
        <v/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I8 24€</t>
        </is>
      </c>
      <c r="F83" s="23">
        <f>IFERROR(INDEX(Tariffe!$B$2:$B$200,MATCH(E83,Tariffe!$A$2:$A$200,0)),"DA DEFINIRE")</f>
        <v/>
      </c>
      <c r="G83" s="16" t="n">
        <v>24</v>
      </c>
      <c r="H83" s="15">
        <f>Q83*R83</f>
        <v/>
      </c>
      <c r="I83" s="15" t="n">
        <v>0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10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I1 48€</t>
        </is>
      </c>
      <c r="F84" s="22">
        <f>IFERROR(INDEX(Tariffe!$B$2:$B$200,MATCH(E84,Tariffe!$A$2:$A$200,0)),"DA DEFINIRE")</f>
        <v/>
      </c>
      <c r="G84" s="12" t="n">
        <v>48</v>
      </c>
      <c r="H84" s="11">
        <f>Q84*R84</f>
        <v/>
      </c>
      <c r="I84" s="11" t="n">
        <v>0</v>
      </c>
      <c r="J84" s="12" t="n">
        <v>624</v>
      </c>
      <c r="K84" s="12" t="n">
        <v>0</v>
      </c>
      <c r="L84" s="12" t="n">
        <v>567.3200000000001</v>
      </c>
      <c r="M84" s="12" t="n">
        <v>56.68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I2 36€</t>
        </is>
      </c>
      <c r="F85" s="23">
        <f>IFERROR(INDEX(Tariffe!$B$2:$B$200,MATCH(E85,Tariffe!$A$2:$A$200,0)),"DA DEFINIRE")</f>
        <v/>
      </c>
      <c r="G85" s="16" t="n">
        <v>36</v>
      </c>
      <c r="H85" s="15">
        <f>Q85*R85</f>
        <v/>
      </c>
      <c r="I85" s="15" t="n">
        <v>0</v>
      </c>
      <c r="J85" s="16" t="n">
        <v>108</v>
      </c>
      <c r="K85" s="16" t="n">
        <v>0</v>
      </c>
      <c r="L85" s="16" t="n">
        <v>98.19</v>
      </c>
      <c r="M85" s="16" t="n">
        <v>9.81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I5 60€</t>
        </is>
      </c>
      <c r="F86" s="22">
        <f>IFERROR(INDEX(Tariffe!$B$2:$B$200,MATCH(E86,Tariffe!$A$2:$A$200,0)),"DA DEFINIRE")</f>
        <v/>
      </c>
      <c r="G86" s="12" t="n">
        <v>60</v>
      </c>
      <c r="H86" s="11">
        <f>Q86*R86</f>
        <v/>
      </c>
      <c r="I86" s="11" t="n">
        <v>0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I8 24€</t>
        </is>
      </c>
      <c r="F87" s="23">
        <f>IFERROR(INDEX(Tariffe!$B$2:$B$200,MATCH(E87,Tariffe!$A$2:$A$200,0)),"DA DEFINIRE")</f>
        <v/>
      </c>
      <c r="G87" s="16" t="n">
        <v>24</v>
      </c>
      <c r="H87" s="15">
        <f>Q87*R87</f>
        <v/>
      </c>
      <c r="I87" s="15" t="n">
        <v>3</v>
      </c>
      <c r="J87" s="16" t="n">
        <v>408</v>
      </c>
      <c r="K87" s="16" t="n">
        <v>0</v>
      </c>
      <c r="L87" s="16" t="n">
        <v>370.94</v>
      </c>
      <c r="M87" s="16" t="n">
        <v>37.06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17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I1 48€</t>
        </is>
      </c>
      <c r="F88" s="22">
        <f>IFERROR(INDEX(Tariffe!$B$2:$B$200,MATCH(E88,Tariffe!$A$2:$A$200,0)),"DA DEFINIRE")</f>
        <v/>
      </c>
      <c r="G88" s="12" t="n">
        <v>48</v>
      </c>
      <c r="H88" s="11">
        <f>Q88*R88</f>
        <v/>
      </c>
      <c r="I88" s="11" t="n">
        <v>0</v>
      </c>
      <c r="J88" s="12" t="n">
        <v>336</v>
      </c>
      <c r="K88" s="12" t="n">
        <v>0</v>
      </c>
      <c r="L88" s="12" t="n">
        <v>305.48</v>
      </c>
      <c r="M88" s="12" t="n">
        <v>30.52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7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I2 36€</t>
        </is>
      </c>
      <c r="F89" s="23">
        <f>IFERROR(INDEX(Tariffe!$B$2:$B$200,MATCH(E89,Tariffe!$A$2:$A$200,0)),"DA DEFINIRE")</f>
        <v/>
      </c>
      <c r="G89" s="16" t="n">
        <v>36</v>
      </c>
      <c r="H89" s="15">
        <f>Q89*R89</f>
        <v/>
      </c>
      <c r="I89" s="15" t="n">
        <v>0</v>
      </c>
      <c r="J89" s="16" t="n">
        <v>72</v>
      </c>
      <c r="K89" s="16" t="n">
        <v>0</v>
      </c>
      <c r="L89" s="16" t="n">
        <v>65.45999999999999</v>
      </c>
      <c r="M89" s="16" t="n">
        <v>6.54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I5 60€</t>
        </is>
      </c>
      <c r="F90" s="22">
        <f>IFERROR(INDEX(Tariffe!$B$2:$B$200,MATCH(E90,Tariffe!$A$2:$A$200,0)),"DA DEFINIRE")</f>
        <v/>
      </c>
      <c r="G90" s="12" t="n">
        <v>60</v>
      </c>
      <c r="H90" s="11">
        <f>Q90*R90</f>
        <v/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I8 24€</t>
        </is>
      </c>
      <c r="F91" s="23">
        <f>IFERROR(INDEX(Tariffe!$B$2:$B$200,MATCH(E91,Tariffe!$A$2:$A$200,0)),"DA DEFINIRE")</f>
        <v/>
      </c>
      <c r="G91" s="16" t="n">
        <v>24</v>
      </c>
      <c r="H91" s="15">
        <f>Q91*R91</f>
        <v/>
      </c>
      <c r="I91" s="15" t="n">
        <v>0</v>
      </c>
      <c r="J91" s="16" t="n">
        <v>216</v>
      </c>
      <c r="K91" s="16" t="n">
        <v>0</v>
      </c>
      <c r="L91" s="16" t="n">
        <v>196.38</v>
      </c>
      <c r="M91" s="16" t="n">
        <v>19.62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9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I1 48€</t>
        </is>
      </c>
      <c r="F92" s="22">
        <f>IFERROR(INDEX(Tariffe!$B$2:$B$200,MATCH(E92,Tariffe!$A$2:$A$200,0)),"DA DEFINIRE")</f>
        <v/>
      </c>
      <c r="G92" s="12" t="n">
        <v>48</v>
      </c>
      <c r="H92" s="11">
        <f>Q92*R92</f>
        <v/>
      </c>
      <c r="I92" s="11" t="n">
        <v>0</v>
      </c>
      <c r="J92" s="12" t="n">
        <v>48</v>
      </c>
      <c r="K92" s="12" t="n">
        <v>0</v>
      </c>
      <c r="L92" s="12" t="n">
        <v>43.64</v>
      </c>
      <c r="M92" s="12" t="n">
        <v>4.36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10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2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2</v>
      </c>
      <c r="J97" s="16" t="n">
        <v>180</v>
      </c>
      <c r="K97" s="16" t="n">
        <v>0</v>
      </c>
      <c r="L97" s="16" t="n">
        <v>163.65</v>
      </c>
      <c r="M97" s="16" t="n">
        <v>16.35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96</v>
      </c>
      <c r="K98" s="12" t="n">
        <v>0</v>
      </c>
      <c r="L98" s="12" t="n">
        <v>87.28</v>
      </c>
      <c r="M98" s="12" t="n">
        <v>8.720000000000001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672</v>
      </c>
      <c r="K99" s="16" t="n">
        <v>0</v>
      </c>
      <c r="L99" s="16" t="n">
        <v>610.96</v>
      </c>
      <c r="M99" s="16" t="n">
        <v>61.04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14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5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312</v>
      </c>
      <c r="K102" s="12" t="n">
        <v>0</v>
      </c>
      <c r="L102" s="12" t="n">
        <v>283.66</v>
      </c>
      <c r="M102" s="12" t="n">
        <v>28.34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13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3</v>
      </c>
      <c r="J103" s="16" t="n">
        <v>864</v>
      </c>
      <c r="K103" s="16" t="n">
        <v>0</v>
      </c>
      <c r="L103" s="16" t="n">
        <v>785.52</v>
      </c>
      <c r="M103" s="16" t="n">
        <v>78.48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18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108</v>
      </c>
      <c r="K104" s="12" t="n">
        <v>0</v>
      </c>
      <c r="L104" s="12" t="n">
        <v>98.19</v>
      </c>
      <c r="M104" s="12" t="n">
        <v>9.81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0</v>
      </c>
      <c r="J105" s="16" t="n">
        <v>240</v>
      </c>
      <c r="K105" s="16" t="n">
        <v>0</v>
      </c>
      <c r="L105" s="16" t="n">
        <v>218.2</v>
      </c>
      <c r="M105" s="16" t="n">
        <v>21.8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840</v>
      </c>
      <c r="K106" s="12" t="n">
        <v>0</v>
      </c>
      <c r="L106" s="12" t="n">
        <v>763.7</v>
      </c>
      <c r="M106" s="12" t="n">
        <v>76.3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35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1584</v>
      </c>
      <c r="K107" s="16" t="n">
        <v>0</v>
      </c>
      <c r="L107" s="16" t="n">
        <v>1440.12</v>
      </c>
      <c r="M107" s="16" t="n">
        <v>143.88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108</v>
      </c>
      <c r="K108" s="12" t="n">
        <v>0</v>
      </c>
      <c r="L108" s="12" t="n">
        <v>98.19</v>
      </c>
      <c r="M108" s="12" t="n">
        <v>9.81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240</v>
      </c>
      <c r="K109" s="16" t="n">
        <v>0</v>
      </c>
      <c r="L109" s="16" t="n">
        <v>218.2</v>
      </c>
      <c r="M109" s="16" t="n">
        <v>21.8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504</v>
      </c>
      <c r="K110" s="12" t="n">
        <v>0</v>
      </c>
      <c r="L110" s="12" t="n">
        <v>458.22</v>
      </c>
      <c r="M110" s="12" t="n">
        <v>45.78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21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0</v>
      </c>
      <c r="J111" s="16" t="n">
        <v>1008</v>
      </c>
      <c r="K111" s="16" t="n">
        <v>0</v>
      </c>
      <c r="L111" s="16" t="n">
        <v>916.4400000000001</v>
      </c>
      <c r="M111" s="16" t="n">
        <v>91.56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21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180</v>
      </c>
      <c r="K113" s="16" t="n">
        <v>0</v>
      </c>
      <c r="L113" s="16" t="n">
        <v>163.65</v>
      </c>
      <c r="M113" s="16" t="n">
        <v>16.35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360</v>
      </c>
      <c r="K114" s="12" t="n">
        <v>0</v>
      </c>
      <c r="L114" s="12" t="n">
        <v>327.3</v>
      </c>
      <c r="M114" s="12" t="n">
        <v>32.7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15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36</v>
      </c>
      <c r="K116" s="12" t="n">
        <v>0</v>
      </c>
      <c r="L116" s="12" t="n">
        <v>32.73</v>
      </c>
      <c r="M116" s="12" t="n">
        <v>3.27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1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72</v>
      </c>
      <c r="K117" s="16" t="n">
        <v>0</v>
      </c>
      <c r="L117" s="16" t="n">
        <v>65.45999999999999</v>
      </c>
      <c r="M117" s="16" t="n">
        <v>6.54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3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192</v>
      </c>
      <c r="K118" s="12" t="n">
        <v>0</v>
      </c>
      <c r="L118" s="12" t="n">
        <v>174.56</v>
      </c>
      <c r="M118" s="12" t="n">
        <v>17.44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</v>
      </c>
      <c r="R118" s="11">
        <f>IFERROR(INDEX(Tariffe!$E$2:$E$200,MATCH(E118,Tariffe!$A$2:$A$200,0))*1,1)</f>
        <v/>
      </c>
    </row>
    <row r="119">
      <c r="A119" s="23" t="inlineStr">
        <is>
          <t>20261101_2115</t>
        </is>
      </c>
      <c r="B119" s="13" t="n">
        <v>46327</v>
      </c>
      <c r="C119" s="14" t="n">
        <v>0.8854166666666666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144</v>
      </c>
      <c r="K119" s="16" t="n">
        <v>0</v>
      </c>
      <c r="L119" s="16" t="n">
        <v>130.92</v>
      </c>
      <c r="M119" s="16" t="n">
        <v>13.08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216</v>
      </c>
      <c r="K120" s="12" t="n">
        <v>0</v>
      </c>
      <c r="L120" s="12" t="n">
        <v>196.38</v>
      </c>
      <c r="M120" s="12" t="n">
        <v>19.62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9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108</v>
      </c>
      <c r="K122" s="12" t="n">
        <v>0</v>
      </c>
      <c r="L122" s="12" t="n">
        <v>98.19</v>
      </c>
      <c r="M122" s="12" t="n">
        <v>9.81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3</v>
      </c>
      <c r="R122" s="11">
        <f>IFERROR(INDEX(Tariffe!$E$2:$E$200,MATCH(E122,Tariffe!$A$2:$A$200,0))*1,1)</f>
        <v/>
      </c>
    </row>
    <row r="123">
      <c r="A123" s="23" t="inlineStr">
        <is>
          <t>20261101_2215</t>
        </is>
      </c>
      <c r="B123" s="13" t="n">
        <v>46327</v>
      </c>
      <c r="C123" s="14" t="n">
        <v>0.9270833333333334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168</v>
      </c>
      <c r="K124" s="12" t="n">
        <v>0</v>
      </c>
      <c r="L124" s="12" t="n">
        <v>152.74</v>
      </c>
      <c r="M124" s="12" t="n">
        <v>15.26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7</v>
      </c>
      <c r="R124" s="11">
        <f>IFERROR(INDEX(Tariffe!$E$2:$E$200,MATCH(E124,Tariffe!$A$2:$A$200,0))*1,1)</f>
        <v/>
      </c>
    </row>
    <row r="125">
      <c r="A125" s="23" t="inlineStr">
        <is>
          <t>20261101_2315</t>
        </is>
      </c>
      <c r="B125" s="13" t="n">
        <v>46327</v>
      </c>
      <c r="C125" s="14" t="n">
        <v>0.96875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72</v>
      </c>
      <c r="K125" s="16" t="n">
        <v>0</v>
      </c>
      <c r="L125" s="16" t="n">
        <v>65.45999999999999</v>
      </c>
      <c r="M125" s="16" t="n">
        <v>6.54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</v>
      </c>
      <c r="R125" s="15">
        <f>IFERROR(INDEX(Tariffe!$E$2:$E$200,MATCH(E125,Tariffe!$A$2:$A$200,0))*1,1)</f>
        <v/>
      </c>
    </row>
    <row r="126">
      <c r="A126" s="22" t="inlineStr">
        <is>
          <t>20261101_2315</t>
        </is>
      </c>
      <c r="B126" s="9" t="n">
        <v>46327</v>
      </c>
      <c r="C126" s="10" t="n">
        <v>0.96875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48</v>
      </c>
      <c r="K126" s="12" t="n">
        <v>0</v>
      </c>
      <c r="L126" s="12" t="n">
        <v>43.64</v>
      </c>
      <c r="M126" s="12" t="n">
        <v>4.36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2</v>
      </c>
      <c r="R126" s="11">
        <f>IFERROR(INDEX(Tariffe!$E$2:$E$200,MATCH(E126,Tariffe!$A$2:$A$200,0))*1,1)</f>
        <v/>
      </c>
    </row>
    <row r="127">
      <c r="A127" s="23" t="inlineStr">
        <is>
          <t>20261101_2359</t>
        </is>
      </c>
      <c r="B127" s="13" t="n">
        <v>46327</v>
      </c>
      <c r="C127" s="14" t="n">
        <v>0.9993055555555556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20261101_2359</t>
        </is>
      </c>
      <c r="B128" s="9" t="n">
        <v>46327</v>
      </c>
      <c r="C128" s="10" t="n">
        <v>0.9993055555555556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24</v>
      </c>
      <c r="K128" s="12" t="n">
        <v>0</v>
      </c>
      <c r="L128" s="12" t="n">
        <v>21.82</v>
      </c>
      <c r="M128" s="12" t="n">
        <v>2.18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</v>
      </c>
      <c r="R128" s="11">
        <f>IFERROR(INDEX(Tariffe!$E$2:$E$200,MATCH(E128,Tariffe!$A$2:$A$200,0))*1,1)</f>
        <v/>
      </c>
    </row>
    <row r="129">
      <c r="A129" s="23" t="inlineStr">
        <is>
          <t>20261102_2015</t>
        </is>
      </c>
      <c r="B129" s="13" t="n">
        <v>46328</v>
      </c>
      <c r="C129" s="14" t="n">
        <v>0.84375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30</v>
      </c>
      <c r="K129" s="16" t="n">
        <v>0</v>
      </c>
      <c r="L129" s="16" t="n">
        <v>27.28</v>
      </c>
      <c r="M129" s="16" t="n">
        <v>2.72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20261102_2215</t>
        </is>
      </c>
      <c r="B130" s="9" t="n">
        <v>46328</v>
      </c>
      <c r="C130" s="10" t="n">
        <v>0.9270833333333334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90</v>
      </c>
      <c r="K130" s="12" t="n">
        <v>0</v>
      </c>
      <c r="L130" s="12" t="n">
        <v>81.84</v>
      </c>
      <c r="M130" s="12" t="n">
        <v>8.16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6</v>
      </c>
      <c r="R130" s="11">
        <f>IFERROR(INDEX(Tariffe!$E$2:$E$200,MATCH(E130,Tariffe!$A$2:$A$200,0))*1,1)</f>
        <v/>
      </c>
    </row>
    <row r="131">
      <c r="A131" s="23" t="inlineStr">
        <is>
          <t>20261102_2315</t>
        </is>
      </c>
      <c r="B131" s="13" t="n">
        <v>46328</v>
      </c>
      <c r="C131" s="14" t="n">
        <v>0.96875</v>
      </c>
      <c r="D131" s="23" t="inlineStr">
        <is>
          <t>UN Unico</t>
        </is>
      </c>
      <c r="E131" s="23" t="inlineStr">
        <is>
          <t>I1 15€</t>
        </is>
      </c>
      <c r="F131" s="23">
        <f>IFERROR(INDEX(Tariffe!$B$2:$B$200,MATCH(E131,Tariffe!$A$2:$A$200,0)),"DA DEFINIRE")</f>
        <v/>
      </c>
      <c r="G131" s="16" t="n">
        <v>15</v>
      </c>
      <c r="H131" s="15">
        <f>Q131*R131</f>
        <v/>
      </c>
      <c r="I131" s="15" t="n">
        <v>0</v>
      </c>
      <c r="J131" s="16" t="n">
        <v>45</v>
      </c>
      <c r="K131" s="16" t="n">
        <v>0</v>
      </c>
      <c r="L131" s="16" t="n">
        <v>40.92</v>
      </c>
      <c r="M131" s="16" t="n">
        <v>4.08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20261102_2359</t>
        </is>
      </c>
      <c r="B132" s="9" t="n">
        <v>46328</v>
      </c>
      <c r="C132" s="10" t="n">
        <v>0.9993055555555556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15</v>
      </c>
      <c r="K132" s="12" t="n">
        <v>0</v>
      </c>
      <c r="L132" s="12" t="n">
        <v>13.64</v>
      </c>
      <c r="M132" s="12" t="n">
        <v>1.36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</sheetData>
  <autoFilter ref="A1:R1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</sheetData>
  <autoFilter ref="A1:G71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</sheetData>
  <autoFilter ref="A1:K102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478</v>
      </c>
      <c r="M10" s="11" t="n">
        <v>1515</v>
      </c>
      <c r="N10" s="12" t="n">
        <v>18189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125</v>
      </c>
      <c r="H20" s="11" t="n">
        <v>395</v>
      </c>
      <c r="I20" s="12" t="n">
        <v>4740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91</v>
      </c>
      <c r="H21" s="11" t="n">
        <v>257</v>
      </c>
      <c r="I21" s="12" t="n">
        <v>3084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156</v>
      </c>
      <c r="H22" s="11" t="n">
        <v>476</v>
      </c>
      <c r="I22" s="12" t="n">
        <v>5712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401</v>
      </c>
      <c r="C24" s="11" t="n">
        <v>1266</v>
      </c>
      <c r="D24" s="12" t="n">
        <v>15201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51</v>
      </c>
      <c r="H27" s="11" t="n">
        <v>176</v>
      </c>
      <c r="I27" s="12" t="n">
        <v>2121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2026-10-25T22:32:30Z</dcterms:created>
  <dcterms:modified xsi:type="dcterms:W3CDTF">2026-10-25T22:32:31Z</dcterms:modified>
</cp:coreProperties>
</file>