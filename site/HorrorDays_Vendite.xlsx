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'Vendite'!$A$1:$P$86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'Storico'!$A$1:$G$333</definedName>
    <definedName name="_xlnm._FilterDatabase" localSheetId="8" hidden="1">'Registro vendite'!$A$1:$K$251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'Storico'!$H$2:$H$333</f>
            </numRef>
          </cat>
          <val>
            <numRef>
              <f>'Storico'!$C$2:$C$333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vendite'!$A$4:$A$14</f>
            </numRef>
          </cat>
          <val>
            <numRef>
              <f>'Picchi vendite'!$B$4:$B$14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MAX(Storico!A2:A333)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2</v>
      </c>
      <c r="I2" s="11" t="n">
        <v>0</v>
      </c>
      <c r="J2" s="12" t="n">
        <v>96</v>
      </c>
      <c r="K2" s="12" t="n">
        <v>0</v>
      </c>
      <c r="L2" s="12" t="n">
        <v>87.28</v>
      </c>
      <c r="M2" s="12" t="n">
        <v>8.720000000000001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2</v>
      </c>
      <c r="I3" s="15" t="n">
        <v>0</v>
      </c>
      <c r="J3" s="16" t="n">
        <v>72</v>
      </c>
      <c r="K3" s="16" t="n">
        <v>0</v>
      </c>
      <c r="L3" s="16" t="n">
        <v>65.45999999999999</v>
      </c>
      <c r="M3" s="16" t="n">
        <v>6.54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I8</t>
        </is>
      </c>
      <c r="F4" s="22">
        <f>IFERROR(INDEX(Tariffe!$B$2:$B$200,MATCH(E4,Tariffe!$A$2:$A$200,0)),"DA DEFINIRE")</f>
        <v/>
      </c>
      <c r="G4" s="12" t="n">
        <v>24</v>
      </c>
      <c r="H4" s="11" t="n">
        <v>6</v>
      </c>
      <c r="I4" s="11" t="n">
        <v>0</v>
      </c>
      <c r="J4" s="12" t="n">
        <v>144</v>
      </c>
      <c r="K4" s="12" t="n">
        <v>0</v>
      </c>
      <c r="L4" s="12" t="n">
        <v>130.92</v>
      </c>
      <c r="M4" s="12" t="n">
        <v>13.08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I1</t>
        </is>
      </c>
      <c r="F5" s="23">
        <f>IFERROR(INDEX(Tariffe!$B$2:$B$200,MATCH(E5,Tariffe!$A$2:$A$200,0)),"DA DEFINIRE")</f>
        <v/>
      </c>
      <c r="G5" s="16" t="n">
        <v>48</v>
      </c>
      <c r="H5" s="15" t="n">
        <v>5</v>
      </c>
      <c r="I5" s="15" t="n">
        <v>1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I2</t>
        </is>
      </c>
      <c r="F6" s="22">
        <f>IFERROR(INDEX(Tariffe!$B$2:$B$200,MATCH(E6,Tariffe!$A$2:$A$200,0)),"DA DEFINIRE")</f>
        <v/>
      </c>
      <c r="G6" s="12" t="n">
        <v>36</v>
      </c>
      <c r="H6" s="11" t="n">
        <v>3</v>
      </c>
      <c r="I6" s="11" t="n">
        <v>0</v>
      </c>
      <c r="J6" s="12" t="n">
        <v>108</v>
      </c>
      <c r="K6" s="12" t="n">
        <v>0</v>
      </c>
      <c r="L6" s="12" t="n">
        <v>98.19</v>
      </c>
      <c r="M6" s="12" t="n">
        <v>9.81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I5</t>
        </is>
      </c>
      <c r="F7" s="23">
        <f>IFERROR(INDEX(Tariffe!$B$2:$B$200,MATCH(E7,Tariffe!$A$2:$A$200,0)),"DA DEFINIRE")</f>
        <v/>
      </c>
      <c r="G7" s="16" t="n">
        <v>60</v>
      </c>
      <c r="H7" s="15" t="n">
        <v>3</v>
      </c>
      <c r="I7" s="15" t="n">
        <v>0</v>
      </c>
      <c r="J7" s="16" t="n">
        <v>180</v>
      </c>
      <c r="K7" s="16" t="n">
        <v>0</v>
      </c>
      <c r="L7" s="16" t="n">
        <v>163.65</v>
      </c>
      <c r="M7" s="16" t="n">
        <v>16.35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15</v>
      </c>
      <c r="I8" s="11" t="n">
        <v>0</v>
      </c>
      <c r="J8" s="12" t="n">
        <v>360</v>
      </c>
      <c r="K8" s="12" t="n">
        <v>0</v>
      </c>
      <c r="L8" s="12" t="n">
        <v>327.3</v>
      </c>
      <c r="M8" s="12" t="n">
        <v>32.7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9</v>
      </c>
      <c r="I9" s="15" t="n">
        <v>0</v>
      </c>
      <c r="J9" s="16" t="n">
        <v>432</v>
      </c>
      <c r="K9" s="16" t="n">
        <v>0</v>
      </c>
      <c r="L9" s="16" t="n">
        <v>392.76</v>
      </c>
      <c r="M9" s="16" t="n">
        <v>39.24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2</v>
      </c>
      <c r="I10" s="11" t="n">
        <v>0</v>
      </c>
      <c r="J10" s="12" t="n">
        <v>72</v>
      </c>
      <c r="K10" s="12" t="n">
        <v>0</v>
      </c>
      <c r="L10" s="12" t="n">
        <v>65.45999999999999</v>
      </c>
      <c r="M10" s="12" t="n">
        <v>6.54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2</v>
      </c>
      <c r="I11" s="15" t="n">
        <v>0</v>
      </c>
      <c r="J11" s="16" t="n">
        <v>120</v>
      </c>
      <c r="K11" s="16" t="n">
        <v>0</v>
      </c>
      <c r="L11" s="16" t="n">
        <v>109.1</v>
      </c>
      <c r="M11" s="16" t="n">
        <v>10.9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9</v>
      </c>
      <c r="I12" s="11" t="n">
        <v>0</v>
      </c>
      <c r="J12" s="12" t="n">
        <v>216</v>
      </c>
      <c r="K12" s="12" t="n">
        <v>0</v>
      </c>
      <c r="L12" s="12" t="n">
        <v>196.38</v>
      </c>
      <c r="M12" s="12" t="n">
        <v>19.62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6</v>
      </c>
      <c r="I13" s="15" t="n">
        <v>1</v>
      </c>
      <c r="J13" s="16" t="n">
        <v>288</v>
      </c>
      <c r="K13" s="16" t="n">
        <v>0</v>
      </c>
      <c r="L13" s="16" t="n">
        <v>261.84</v>
      </c>
      <c r="M13" s="16" t="n">
        <v>26.16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I2</t>
        </is>
      </c>
      <c r="F14" s="22">
        <f>IFERROR(INDEX(Tariffe!$B$2:$B$200,MATCH(E14,Tariffe!$A$2:$A$200,0)),"DA DEFINIRE")</f>
        <v/>
      </c>
      <c r="G14" s="12" t="n">
        <v>36</v>
      </c>
      <c r="H14" s="11" t="n">
        <v>3</v>
      </c>
      <c r="I14" s="11" t="n">
        <v>0</v>
      </c>
      <c r="J14" s="12" t="n">
        <v>108</v>
      </c>
      <c r="K14" s="12" t="n">
        <v>0</v>
      </c>
      <c r="L14" s="12" t="n">
        <v>98.19</v>
      </c>
      <c r="M14" s="12" t="n">
        <v>9.81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I5</t>
        </is>
      </c>
      <c r="F15" s="23">
        <f>IFERROR(INDEX(Tariffe!$B$2:$B$200,MATCH(E15,Tariffe!$A$2:$A$200,0)),"DA DEFINIRE")</f>
        <v/>
      </c>
      <c r="G15" s="16" t="n">
        <v>60</v>
      </c>
      <c r="H15" s="15" t="n">
        <v>1</v>
      </c>
      <c r="I15" s="15" t="n">
        <v>0</v>
      </c>
      <c r="J15" s="16" t="n">
        <v>60</v>
      </c>
      <c r="K15" s="16" t="n">
        <v>0</v>
      </c>
      <c r="L15" s="16" t="n">
        <v>54.55</v>
      </c>
      <c r="M15" s="16" t="n">
        <v>5.45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11</v>
      </c>
      <c r="I16" s="11" t="n">
        <v>0</v>
      </c>
      <c r="J16" s="12" t="n">
        <v>264</v>
      </c>
      <c r="K16" s="12" t="n">
        <v>0</v>
      </c>
      <c r="L16" s="12" t="n">
        <v>240.02</v>
      </c>
      <c r="M16" s="12" t="n">
        <v>23.98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2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I2</t>
        </is>
      </c>
      <c r="F18" s="22">
        <f>IFERROR(INDEX(Tariffe!$B$2:$B$200,MATCH(E18,Tariffe!$A$2:$A$200,0)),"DA DEFINIRE")</f>
        <v/>
      </c>
      <c r="G18" s="12" t="n">
        <v>36</v>
      </c>
      <c r="H18" s="11" t="n">
        <v>1</v>
      </c>
      <c r="I18" s="11" t="n">
        <v>1</v>
      </c>
      <c r="J18" s="12" t="n">
        <v>36</v>
      </c>
      <c r="K18" s="12" t="n">
        <v>0</v>
      </c>
      <c r="L18" s="12" t="n">
        <v>32.73</v>
      </c>
      <c r="M18" s="12" t="n">
        <v>3.27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4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20261024_2015</t>
        </is>
      </c>
      <c r="B20" s="9" t="n">
        <v>46319</v>
      </c>
      <c r="C20" s="10" t="n">
        <v>0.84375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1</v>
      </c>
      <c r="I20" s="11" t="n">
        <v>0</v>
      </c>
      <c r="J20" s="12" t="n">
        <v>48</v>
      </c>
      <c r="K20" s="12" t="n">
        <v>0</v>
      </c>
      <c r="L20" s="12" t="n">
        <v>43.64</v>
      </c>
      <c r="M20" s="12" t="n">
        <v>4.36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20261024_2015</t>
        </is>
      </c>
      <c r="B21" s="13" t="n">
        <v>46319</v>
      </c>
      <c r="C21" s="14" t="n">
        <v>0.84375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3</v>
      </c>
      <c r="I21" s="15" t="n">
        <v>0</v>
      </c>
      <c r="J21" s="16" t="n">
        <v>72</v>
      </c>
      <c r="K21" s="16" t="n">
        <v>0</v>
      </c>
      <c r="L21" s="16" t="n">
        <v>65.45999999999999</v>
      </c>
      <c r="M21" s="16" t="n">
        <v>6.54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3</v>
      </c>
      <c r="I22" s="11" t="n">
        <v>0</v>
      </c>
      <c r="J22" s="12" t="n">
        <v>144</v>
      </c>
      <c r="K22" s="12" t="n">
        <v>0</v>
      </c>
      <c r="L22" s="12" t="n">
        <v>130.92</v>
      </c>
      <c r="M22" s="12" t="n">
        <v>13.08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20261024_2115</t>
        </is>
      </c>
      <c r="B24" s="9" t="n">
        <v>46319</v>
      </c>
      <c r="C24" s="10" t="n">
        <v>0.8854166666666666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1</v>
      </c>
      <c r="I24" s="11" t="n">
        <v>0</v>
      </c>
      <c r="J24" s="12" t="n">
        <v>60</v>
      </c>
      <c r="K24" s="12" t="n">
        <v>0</v>
      </c>
      <c r="L24" s="12" t="n">
        <v>54.55</v>
      </c>
      <c r="M24" s="12" t="n">
        <v>5.45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20261024_2115</t>
        </is>
      </c>
      <c r="B25" s="13" t="n">
        <v>46319</v>
      </c>
      <c r="C25" s="14" t="n">
        <v>0.8854166666666666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6</v>
      </c>
      <c r="I25" s="15" t="n">
        <v>0</v>
      </c>
      <c r="J25" s="16" t="n">
        <v>144</v>
      </c>
      <c r="K25" s="16" t="n">
        <v>0</v>
      </c>
      <c r="L25" s="16" t="n">
        <v>130.92</v>
      </c>
      <c r="M25" s="16" t="n">
        <v>13.08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4</v>
      </c>
      <c r="I26" s="11" t="n">
        <v>0</v>
      </c>
      <c r="J26" s="12" t="n">
        <v>192</v>
      </c>
      <c r="K26" s="12" t="n">
        <v>0</v>
      </c>
      <c r="L26" s="12" t="n">
        <v>174.56</v>
      </c>
      <c r="M26" s="12" t="n">
        <v>17.44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20261024_2215</t>
        </is>
      </c>
      <c r="B27" s="13" t="n">
        <v>46319</v>
      </c>
      <c r="C27" s="14" t="n">
        <v>0.9270833333333334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20261024_2215</t>
        </is>
      </c>
      <c r="B28" s="9" t="n">
        <v>46319</v>
      </c>
      <c r="C28" s="10" t="n">
        <v>0.9270833333333334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1</v>
      </c>
      <c r="I28" s="11" t="n">
        <v>0</v>
      </c>
      <c r="J28" s="12" t="n">
        <v>60</v>
      </c>
      <c r="K28" s="12" t="n">
        <v>0</v>
      </c>
      <c r="L28" s="12" t="n">
        <v>54.55</v>
      </c>
      <c r="M28" s="12" t="n">
        <v>5.45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20261024_2215</t>
        </is>
      </c>
      <c r="B29" s="13" t="n">
        <v>46319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11</v>
      </c>
      <c r="I29" s="15" t="n">
        <v>0</v>
      </c>
      <c r="J29" s="16" t="n">
        <v>264</v>
      </c>
      <c r="K29" s="16" t="n">
        <v>0</v>
      </c>
      <c r="L29" s="16" t="n">
        <v>240.02</v>
      </c>
      <c r="M29" s="16" t="n">
        <v>23.98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2</v>
      </c>
      <c r="I30" s="11" t="n">
        <v>0</v>
      </c>
      <c r="J30" s="12" t="n">
        <v>96</v>
      </c>
      <c r="K30" s="12" t="n">
        <v>0</v>
      </c>
      <c r="L30" s="12" t="n">
        <v>87.28</v>
      </c>
      <c r="M30" s="12" t="n">
        <v>8.720000000000001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20261024_2315</t>
        </is>
      </c>
      <c r="B31" s="13" t="n">
        <v>46319</v>
      </c>
      <c r="C31" s="14" t="n">
        <v>0.96875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1</v>
      </c>
      <c r="I31" s="15" t="n">
        <v>0</v>
      </c>
      <c r="J31" s="16" t="n">
        <v>36</v>
      </c>
      <c r="K31" s="16" t="n">
        <v>0</v>
      </c>
      <c r="L31" s="16" t="n">
        <v>32.73</v>
      </c>
      <c r="M31" s="16" t="n">
        <v>3.27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20261024_2315</t>
        </is>
      </c>
      <c r="B32" s="9" t="n">
        <v>46319</v>
      </c>
      <c r="C32" s="10" t="n">
        <v>0.96875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5</v>
      </c>
      <c r="I32" s="11" t="n">
        <v>0</v>
      </c>
      <c r="J32" s="12" t="n">
        <v>300</v>
      </c>
      <c r="K32" s="12" t="n">
        <v>0</v>
      </c>
      <c r="L32" s="12" t="n">
        <v>272.75</v>
      </c>
      <c r="M32" s="12" t="n">
        <v>27.25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20261024_2315</t>
        </is>
      </c>
      <c r="B33" s="13" t="n">
        <v>46319</v>
      </c>
      <c r="C33" s="14" t="n">
        <v>0.96875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6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20261024_2359</t>
        </is>
      </c>
      <c r="B34" s="9" t="n">
        <v>46319</v>
      </c>
      <c r="C34" s="10" t="n">
        <v>0.9993055555555556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20261024_2359</t>
        </is>
      </c>
      <c r="B35" s="13" t="n">
        <v>46319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3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20261025_2015</t>
        </is>
      </c>
      <c r="B36" s="9" t="n">
        <v>46320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3</v>
      </c>
      <c r="I36" s="11" t="n">
        <v>0</v>
      </c>
      <c r="J36" s="12" t="n">
        <v>144</v>
      </c>
      <c r="K36" s="12" t="n">
        <v>0</v>
      </c>
      <c r="L36" s="12" t="n">
        <v>130.92</v>
      </c>
      <c r="M36" s="12" t="n">
        <v>13.08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20261025_2015</t>
        </is>
      </c>
      <c r="B37" s="13" t="n">
        <v>46320</v>
      </c>
      <c r="C37" s="14" t="n">
        <v>0.84375</v>
      </c>
      <c r="D37" s="23" t="inlineStr">
        <is>
          <t>UN Unico</t>
        </is>
      </c>
      <c r="E37" s="23" t="inlineStr">
        <is>
          <t>I2</t>
        </is>
      </c>
      <c r="F37" s="23">
        <f>IFERROR(INDEX(Tariffe!$B$2:$B$200,MATCH(E37,Tariffe!$A$2:$A$200,0)),"DA DEFINIRE")</f>
        <v/>
      </c>
      <c r="G37" s="16" t="n">
        <v>36</v>
      </c>
      <c r="H37" s="15" t="n">
        <v>1</v>
      </c>
      <c r="I37" s="15" t="n">
        <v>0</v>
      </c>
      <c r="J37" s="16" t="n">
        <v>36</v>
      </c>
      <c r="K37" s="16" t="n">
        <v>0</v>
      </c>
      <c r="L37" s="16" t="n">
        <v>32.73</v>
      </c>
      <c r="M37" s="16" t="n">
        <v>3.27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20261025_2015</t>
        </is>
      </c>
      <c r="B38" s="9" t="n">
        <v>46320</v>
      </c>
      <c r="C38" s="10" t="n">
        <v>0.84375</v>
      </c>
      <c r="D38" s="22" t="inlineStr">
        <is>
          <t>UN Unico</t>
        </is>
      </c>
      <c r="E38" s="22" t="inlineStr">
        <is>
          <t>I5</t>
        </is>
      </c>
      <c r="F38" s="22">
        <f>IFERROR(INDEX(Tariffe!$B$2:$B$200,MATCH(E38,Tariffe!$A$2:$A$200,0)),"DA DEFINIRE")</f>
        <v/>
      </c>
      <c r="G38" s="12" t="n">
        <v>60</v>
      </c>
      <c r="H38" s="11" t="n">
        <v>1</v>
      </c>
      <c r="I38" s="11" t="n">
        <v>0</v>
      </c>
      <c r="J38" s="12" t="n">
        <v>60</v>
      </c>
      <c r="K38" s="12" t="n">
        <v>0</v>
      </c>
      <c r="L38" s="12" t="n">
        <v>54.55</v>
      </c>
      <c r="M38" s="12" t="n">
        <v>5.45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20261025_2015</t>
        </is>
      </c>
      <c r="B39" s="13" t="n">
        <v>46320</v>
      </c>
      <c r="C39" s="14" t="n">
        <v>0.84375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2</v>
      </c>
      <c r="I39" s="15" t="n">
        <v>0</v>
      </c>
      <c r="J39" s="16" t="n">
        <v>48</v>
      </c>
      <c r="K39" s="16" t="n">
        <v>0</v>
      </c>
      <c r="L39" s="16" t="n">
        <v>43.64</v>
      </c>
      <c r="M39" s="16" t="n">
        <v>4.36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20261025_2115</t>
        </is>
      </c>
      <c r="B40" s="9" t="n">
        <v>46320</v>
      </c>
      <c r="C40" s="10" t="n">
        <v>0.8854166666666666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2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20261025_2115</t>
        </is>
      </c>
      <c r="B41" s="13" t="n">
        <v>46320</v>
      </c>
      <c r="C41" s="14" t="n">
        <v>0.8854166666666666</v>
      </c>
      <c r="D41" s="23" t="inlineStr">
        <is>
          <t>UN Unico</t>
        </is>
      </c>
      <c r="E41" s="23" t="inlineStr">
        <is>
          <t>I5</t>
        </is>
      </c>
      <c r="F41" s="23">
        <f>IFERROR(INDEX(Tariffe!$B$2:$B$200,MATCH(E41,Tariffe!$A$2:$A$200,0)),"DA DEFINIRE")</f>
        <v/>
      </c>
      <c r="G41" s="16" t="n">
        <v>60</v>
      </c>
      <c r="H41" s="15" t="n">
        <v>1</v>
      </c>
      <c r="I41" s="15" t="n">
        <v>0</v>
      </c>
      <c r="J41" s="16" t="n">
        <v>60</v>
      </c>
      <c r="K41" s="16" t="n">
        <v>0</v>
      </c>
      <c r="L41" s="16" t="n">
        <v>54.55</v>
      </c>
      <c r="M41" s="16" t="n">
        <v>5.45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20261025_2115</t>
        </is>
      </c>
      <c r="B42" s="9" t="n">
        <v>46320</v>
      </c>
      <c r="C42" s="10" t="n">
        <v>0.8854166666666666</v>
      </c>
      <c r="D42" s="22" t="inlineStr">
        <is>
          <t>UN Unico</t>
        </is>
      </c>
      <c r="E42" s="22" t="inlineStr">
        <is>
          <t>I8</t>
        </is>
      </c>
      <c r="F42" s="22">
        <f>IFERROR(INDEX(Tariffe!$B$2:$B$200,MATCH(E42,Tariffe!$A$2:$A$200,0)),"DA DEFINIRE")</f>
        <v/>
      </c>
      <c r="G42" s="12" t="n">
        <v>24</v>
      </c>
      <c r="H42" s="11" t="n">
        <v>2</v>
      </c>
      <c r="I42" s="11" t="n">
        <v>0</v>
      </c>
      <c r="J42" s="12" t="n">
        <v>48</v>
      </c>
      <c r="K42" s="12" t="n">
        <v>0</v>
      </c>
      <c r="L42" s="12" t="n">
        <v>43.64</v>
      </c>
      <c r="M42" s="12" t="n">
        <v>4.36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20261025_2215</t>
        </is>
      </c>
      <c r="B43" s="13" t="n">
        <v>46320</v>
      </c>
      <c r="C43" s="14" t="n">
        <v>0.9270833333333334</v>
      </c>
      <c r="D43" s="23" t="inlineStr">
        <is>
          <t>UN Unico</t>
        </is>
      </c>
      <c r="E43" s="23" t="inlineStr">
        <is>
          <t>I1</t>
        </is>
      </c>
      <c r="F43" s="23">
        <f>IFERROR(INDEX(Tariffe!$B$2:$B$200,MATCH(E43,Tariffe!$A$2:$A$200,0)),"DA DEFINIRE")</f>
        <v/>
      </c>
      <c r="G43" s="16" t="n">
        <v>48</v>
      </c>
      <c r="H43" s="15" t="n">
        <v>1</v>
      </c>
      <c r="I43" s="15" t="n">
        <v>0</v>
      </c>
      <c r="J43" s="16" t="n">
        <v>48</v>
      </c>
      <c r="K43" s="16" t="n">
        <v>0</v>
      </c>
      <c r="L43" s="16" t="n">
        <v>43.64</v>
      </c>
      <c r="M43" s="16" t="n">
        <v>4.36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20261025_2215</t>
        </is>
      </c>
      <c r="B44" s="9" t="n">
        <v>46320</v>
      </c>
      <c r="C44" s="10" t="n">
        <v>0.9270833333333334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5</v>
      </c>
      <c r="I44" s="11" t="n">
        <v>0</v>
      </c>
      <c r="J44" s="12" t="n">
        <v>120</v>
      </c>
      <c r="K44" s="12" t="n">
        <v>0</v>
      </c>
      <c r="L44" s="12" t="n">
        <v>109.1</v>
      </c>
      <c r="M44" s="12" t="n">
        <v>10.9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20261025_2315</t>
        </is>
      </c>
      <c r="B45" s="13" t="n">
        <v>46320</v>
      </c>
      <c r="C45" s="14" t="n">
        <v>0.96875</v>
      </c>
      <c r="D45" s="23" t="inlineStr">
        <is>
          <t>UN Unico</t>
        </is>
      </c>
      <c r="E45" s="23" t="inlineStr">
        <is>
          <t>I1</t>
        </is>
      </c>
      <c r="F45" s="23">
        <f>IFERROR(INDEX(Tariffe!$B$2:$B$200,MATCH(E45,Tariffe!$A$2:$A$200,0)),"DA DEFINIRE")</f>
        <v/>
      </c>
      <c r="G45" s="16" t="n">
        <v>48</v>
      </c>
      <c r="H45" s="15" t="n">
        <v>1</v>
      </c>
      <c r="I45" s="15" t="n">
        <v>0</v>
      </c>
      <c r="J45" s="16" t="n">
        <v>48</v>
      </c>
      <c r="K45" s="16" t="n">
        <v>0</v>
      </c>
      <c r="L45" s="16" t="n">
        <v>43.64</v>
      </c>
      <c r="M45" s="16" t="n">
        <v>4.36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20261025_2315</t>
        </is>
      </c>
      <c r="B46" s="9" t="n">
        <v>46320</v>
      </c>
      <c r="C46" s="10" t="n">
        <v>0.96875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2</v>
      </c>
      <c r="I46" s="11" t="n">
        <v>0</v>
      </c>
      <c r="J46" s="12" t="n">
        <v>48</v>
      </c>
      <c r="K46" s="12" t="n">
        <v>0</v>
      </c>
      <c r="L46" s="12" t="n">
        <v>43.64</v>
      </c>
      <c r="M46" s="12" t="n">
        <v>4.36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20261025_2359</t>
        </is>
      </c>
      <c r="B47" s="13" t="n">
        <v>46320</v>
      </c>
      <c r="C47" s="14" t="n">
        <v>0.9993055555555556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20261025_2359</t>
        </is>
      </c>
      <c r="B48" s="9" t="n">
        <v>46320</v>
      </c>
      <c r="C48" s="10" t="n">
        <v>0.9993055555555556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3</v>
      </c>
      <c r="I48" s="11" t="n">
        <v>0</v>
      </c>
      <c r="J48" s="12" t="n">
        <v>72</v>
      </c>
      <c r="K48" s="12" t="n">
        <v>0</v>
      </c>
      <c r="L48" s="12" t="n">
        <v>65.45999999999999</v>
      </c>
      <c r="M48" s="12" t="n">
        <v>6.54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20261029_2015</t>
        </is>
      </c>
      <c r="B49" s="13" t="n">
        <v>46324</v>
      </c>
      <c r="C49" s="14" t="n">
        <v>0.84375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1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20261029_2015</t>
        </is>
      </c>
      <c r="B50" s="9" t="n">
        <v>46324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20261029_2015</t>
        </is>
      </c>
      <c r="B51" s="13" t="n">
        <v>46324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20261029_2115</t>
        </is>
      </c>
      <c r="B52" s="9" t="n">
        <v>46324</v>
      </c>
      <c r="C52" s="10" t="n">
        <v>0.8854166666666666</v>
      </c>
      <c r="D52" s="22" t="inlineStr">
        <is>
          <t>UN Unico</t>
        </is>
      </c>
      <c r="E52" s="22" t="inlineStr">
        <is>
          <t>I5</t>
        </is>
      </c>
      <c r="F52" s="22">
        <f>IFERROR(INDEX(Tariffe!$B$2:$B$200,MATCH(E52,Tariffe!$A$2:$A$200,0)),"DA DEFINIRE")</f>
        <v/>
      </c>
      <c r="G52" s="12" t="n">
        <v>60</v>
      </c>
      <c r="H52" s="11" t="n">
        <v>1</v>
      </c>
      <c r="I52" s="11" t="n">
        <v>0</v>
      </c>
      <c r="J52" s="12" t="n">
        <v>60</v>
      </c>
      <c r="K52" s="12" t="n">
        <v>0</v>
      </c>
      <c r="L52" s="12" t="n">
        <v>54.55</v>
      </c>
      <c r="M52" s="12" t="n">
        <v>5.45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20261029_2115</t>
        </is>
      </c>
      <c r="B53" s="13" t="n">
        <v>46324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20261029_2215</t>
        </is>
      </c>
      <c r="B54" s="9" t="n">
        <v>46324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3</v>
      </c>
      <c r="I54" s="11" t="n">
        <v>0</v>
      </c>
      <c r="J54" s="12" t="n">
        <v>144</v>
      </c>
      <c r="K54" s="12" t="n">
        <v>0</v>
      </c>
      <c r="L54" s="12" t="n">
        <v>130.92</v>
      </c>
      <c r="M54" s="12" t="n">
        <v>13.08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20261029_2215</t>
        </is>
      </c>
      <c r="B55" s="13" t="n">
        <v>46324</v>
      </c>
      <c r="C55" s="14" t="n">
        <v>0.9270833333333334</v>
      </c>
      <c r="D55" s="23" t="inlineStr">
        <is>
          <t>UN Unico</t>
        </is>
      </c>
      <c r="E55" s="23" t="inlineStr">
        <is>
          <t>I2</t>
        </is>
      </c>
      <c r="F55" s="23">
        <f>IFERROR(INDEX(Tariffe!$B$2:$B$200,MATCH(E55,Tariffe!$A$2:$A$200,0)),"DA DEFINIRE")</f>
        <v/>
      </c>
      <c r="G55" s="16" t="n">
        <v>36</v>
      </c>
      <c r="H55" s="15" t="n">
        <v>2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20261029_2215</t>
        </is>
      </c>
      <c r="B56" s="9" t="n">
        <v>46324</v>
      </c>
      <c r="C56" s="10" t="n">
        <v>0.9270833333333334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5</v>
      </c>
      <c r="I56" s="11" t="n">
        <v>0</v>
      </c>
      <c r="J56" s="12" t="n">
        <v>120</v>
      </c>
      <c r="K56" s="12" t="n">
        <v>0</v>
      </c>
      <c r="L56" s="12" t="n">
        <v>109.1</v>
      </c>
      <c r="M56" s="12" t="n">
        <v>10.9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20261029_2315</t>
        </is>
      </c>
      <c r="B57" s="13" t="n">
        <v>46324</v>
      </c>
      <c r="C57" s="14" t="n">
        <v>0.96875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4</v>
      </c>
      <c r="I57" s="15" t="n">
        <v>0</v>
      </c>
      <c r="J57" s="16" t="n">
        <v>192</v>
      </c>
      <c r="K57" s="16" t="n">
        <v>0</v>
      </c>
      <c r="L57" s="16" t="n">
        <v>174.56</v>
      </c>
      <c r="M57" s="16" t="n">
        <v>17.44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20261029_2315</t>
        </is>
      </c>
      <c r="B58" s="9" t="n">
        <v>46324</v>
      </c>
      <c r="C58" s="10" t="n">
        <v>0.96875</v>
      </c>
      <c r="D58" s="22" t="inlineStr">
        <is>
          <t>UN Unico</t>
        </is>
      </c>
      <c r="E58" s="22" t="inlineStr">
        <is>
          <t>I5</t>
        </is>
      </c>
      <c r="F58" s="22">
        <f>IFERROR(INDEX(Tariffe!$B$2:$B$200,MATCH(E58,Tariffe!$A$2:$A$200,0)),"DA DEFINIRE")</f>
        <v/>
      </c>
      <c r="G58" s="12" t="n">
        <v>60</v>
      </c>
      <c r="H58" s="11" t="n">
        <v>2</v>
      </c>
      <c r="I58" s="11" t="n">
        <v>0</v>
      </c>
      <c r="J58" s="12" t="n">
        <v>120</v>
      </c>
      <c r="K58" s="12" t="n">
        <v>0</v>
      </c>
      <c r="L58" s="12" t="n">
        <v>109.1</v>
      </c>
      <c r="M58" s="12" t="n">
        <v>10.9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20261029_2359</t>
        </is>
      </c>
      <c r="B59" s="13" t="n">
        <v>46324</v>
      </c>
      <c r="C59" s="14" t="n">
        <v>0.9993055555555556</v>
      </c>
      <c r="D59" s="23" t="inlineStr">
        <is>
          <t>UN Unico</t>
        </is>
      </c>
      <c r="E59" s="23" t="inlineStr">
        <is>
          <t>I8</t>
        </is>
      </c>
      <c r="F59" s="23">
        <f>IFERROR(INDEX(Tariffe!$B$2:$B$200,MATCH(E59,Tariffe!$A$2:$A$200,0)),"DA DEFINIRE")</f>
        <v/>
      </c>
      <c r="G59" s="16" t="n">
        <v>24</v>
      </c>
      <c r="H59" s="15" t="n">
        <v>1</v>
      </c>
      <c r="I59" s="15" t="n">
        <v>0</v>
      </c>
      <c r="J59" s="16" t="n">
        <v>24</v>
      </c>
      <c r="K59" s="16" t="n">
        <v>0</v>
      </c>
      <c r="L59" s="16" t="n">
        <v>21.82</v>
      </c>
      <c r="M59" s="16" t="n">
        <v>2.18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20261030_2015</t>
        </is>
      </c>
      <c r="B60" s="9" t="n">
        <v>46325</v>
      </c>
      <c r="C60" s="10" t="n">
        <v>0.84375</v>
      </c>
      <c r="D60" s="22" t="inlineStr">
        <is>
          <t>UN Unico</t>
        </is>
      </c>
      <c r="E60" s="22" t="inlineStr">
        <is>
          <t>I1</t>
        </is>
      </c>
      <c r="F60" s="22">
        <f>IFERROR(INDEX(Tariffe!$B$2:$B$200,MATCH(E60,Tariffe!$A$2:$A$200,0)),"DA DEFINIRE")</f>
        <v/>
      </c>
      <c r="G60" s="12" t="n">
        <v>48</v>
      </c>
      <c r="H60" s="11" t="n">
        <v>1</v>
      </c>
      <c r="I60" s="11" t="n">
        <v>0</v>
      </c>
      <c r="J60" s="12" t="n">
        <v>48</v>
      </c>
      <c r="K60" s="12" t="n">
        <v>0</v>
      </c>
      <c r="L60" s="12" t="n">
        <v>43.64</v>
      </c>
      <c r="M60" s="12" t="n">
        <v>4.36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20261030_2015</t>
        </is>
      </c>
      <c r="B61" s="13" t="n">
        <v>46325</v>
      </c>
      <c r="C61" s="14" t="n">
        <v>0.84375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20261030_2115</t>
        </is>
      </c>
      <c r="B62" s="9" t="n">
        <v>46325</v>
      </c>
      <c r="C62" s="10" t="n">
        <v>0.8854166666666666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1</v>
      </c>
      <c r="I62" s="11" t="n">
        <v>0</v>
      </c>
      <c r="J62" s="12" t="n">
        <v>48</v>
      </c>
      <c r="K62" s="12" t="n">
        <v>0</v>
      </c>
      <c r="L62" s="12" t="n">
        <v>43.64</v>
      </c>
      <c r="M62" s="12" t="n">
        <v>4.36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20261030_2115</t>
        </is>
      </c>
      <c r="B63" s="13" t="n">
        <v>46325</v>
      </c>
      <c r="C63" s="14" t="n">
        <v>0.8854166666666666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20261030_2215</t>
        </is>
      </c>
      <c r="B64" s="9" t="n">
        <v>46325</v>
      </c>
      <c r="C64" s="10" t="n">
        <v>0.9270833333333334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4</v>
      </c>
      <c r="I64" s="11" t="n">
        <v>0</v>
      </c>
      <c r="J64" s="12" t="n">
        <v>192</v>
      </c>
      <c r="K64" s="12" t="n">
        <v>0</v>
      </c>
      <c r="L64" s="12" t="n">
        <v>174.56</v>
      </c>
      <c r="M64" s="12" t="n">
        <v>17.44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20261030_2215</t>
        </is>
      </c>
      <c r="B65" s="13" t="n">
        <v>46325</v>
      </c>
      <c r="C65" s="14" t="n">
        <v>0.9270833333333334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3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20261030_2315</t>
        </is>
      </c>
      <c r="B66" s="9" t="n">
        <v>46325</v>
      </c>
      <c r="C66" s="10" t="n">
        <v>0.96875</v>
      </c>
      <c r="D66" s="22" t="inlineStr">
        <is>
          <t>UN Unico</t>
        </is>
      </c>
      <c r="E66" s="22" t="inlineStr">
        <is>
          <t>I1</t>
        </is>
      </c>
      <c r="F66" s="22">
        <f>IFERROR(INDEX(Tariffe!$B$2:$B$200,MATCH(E66,Tariffe!$A$2:$A$200,0)),"DA DEFINIRE")</f>
        <v/>
      </c>
      <c r="G66" s="12" t="n">
        <v>48</v>
      </c>
      <c r="H66" s="11" t="n">
        <v>3</v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20261030_2315</t>
        </is>
      </c>
      <c r="B67" s="13" t="n">
        <v>46325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1</v>
      </c>
      <c r="I67" s="15" t="n">
        <v>0</v>
      </c>
      <c r="J67" s="16" t="n">
        <v>60</v>
      </c>
      <c r="K67" s="16" t="n">
        <v>0</v>
      </c>
      <c r="L67" s="16" t="n">
        <v>54.55</v>
      </c>
      <c r="M67" s="16" t="n">
        <v>5.45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20261030_2315</t>
        </is>
      </c>
      <c r="B68" s="9" t="n">
        <v>46325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2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20261030_2359</t>
        </is>
      </c>
      <c r="B69" s="13" t="n">
        <v>46325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20261030_2359</t>
        </is>
      </c>
      <c r="B70" s="9" t="n">
        <v>46325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5</v>
      </c>
      <c r="I70" s="11" t="n">
        <v>0</v>
      </c>
      <c r="J70" s="12" t="n">
        <v>120</v>
      </c>
      <c r="K70" s="12" t="n">
        <v>0</v>
      </c>
      <c r="L70" s="12" t="n">
        <v>109.1</v>
      </c>
      <c r="M70" s="12" t="n">
        <v>10.9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20261031_2015</t>
        </is>
      </c>
      <c r="B71" s="13" t="n">
        <v>46326</v>
      </c>
      <c r="C71" s="14" t="n">
        <v>0.84375</v>
      </c>
      <c r="D71" s="23" t="inlineStr">
        <is>
          <t>UN Unico</t>
        </is>
      </c>
      <c r="E71" s="23" t="inlineStr">
        <is>
          <t>I5</t>
        </is>
      </c>
      <c r="F71" s="23">
        <f>IFERROR(INDEX(Tariffe!$B$2:$B$200,MATCH(E71,Tariffe!$A$2:$A$200,0)),"DA DEFINIRE")</f>
        <v/>
      </c>
      <c r="G71" s="16" t="n">
        <v>60</v>
      </c>
      <c r="H71" s="15" t="n">
        <v>1</v>
      </c>
      <c r="I71" s="15" t="n">
        <v>0</v>
      </c>
      <c r="J71" s="16" t="n">
        <v>60</v>
      </c>
      <c r="K71" s="16" t="n">
        <v>0</v>
      </c>
      <c r="L71" s="16" t="n">
        <v>54.55</v>
      </c>
      <c r="M71" s="16" t="n">
        <v>5.45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20261031_2015</t>
        </is>
      </c>
      <c r="B72" s="9" t="n">
        <v>46326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20261031_2115</t>
        </is>
      </c>
      <c r="B73" s="13" t="n">
        <v>46326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2</v>
      </c>
      <c r="I73" s="15" t="n">
        <v>0</v>
      </c>
      <c r="J73" s="16" t="n">
        <v>96</v>
      </c>
      <c r="K73" s="16" t="n">
        <v>0</v>
      </c>
      <c r="L73" s="16" t="n">
        <v>87.28</v>
      </c>
      <c r="M73" s="16" t="n">
        <v>8.720000000000001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20261031_2115</t>
        </is>
      </c>
      <c r="B74" s="9" t="n">
        <v>46326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5</v>
      </c>
      <c r="I74" s="11" t="n">
        <v>0</v>
      </c>
      <c r="J74" s="12" t="n">
        <v>120</v>
      </c>
      <c r="K74" s="12" t="n">
        <v>0</v>
      </c>
      <c r="L74" s="12" t="n">
        <v>109.1</v>
      </c>
      <c r="M74" s="12" t="n">
        <v>10.9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20261031_2215</t>
        </is>
      </c>
      <c r="B75" s="13" t="n">
        <v>46326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3</v>
      </c>
      <c r="I75" s="15" t="n">
        <v>0</v>
      </c>
      <c r="J75" s="16" t="n">
        <v>144</v>
      </c>
      <c r="K75" s="16" t="n">
        <v>0</v>
      </c>
      <c r="L75" s="16" t="n">
        <v>130.92</v>
      </c>
      <c r="M75" s="16" t="n">
        <v>13.08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20261031_2215</t>
        </is>
      </c>
      <c r="B76" s="9" t="n">
        <v>46326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20261031_2215</t>
        </is>
      </c>
      <c r="B77" s="13" t="n">
        <v>46326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7</v>
      </c>
      <c r="I77" s="15" t="n">
        <v>0</v>
      </c>
      <c r="J77" s="16" t="n">
        <v>168</v>
      </c>
      <c r="K77" s="16" t="n">
        <v>0</v>
      </c>
      <c r="L77" s="16" t="n">
        <v>152.74</v>
      </c>
      <c r="M77" s="16" t="n">
        <v>15.26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20261031_2315</t>
        </is>
      </c>
      <c r="B78" s="9" t="n">
        <v>46326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8</v>
      </c>
      <c r="I78" s="11" t="n">
        <v>0</v>
      </c>
      <c r="J78" s="12" t="n">
        <v>384</v>
      </c>
      <c r="K78" s="12" t="n">
        <v>0</v>
      </c>
      <c r="L78" s="12" t="n">
        <v>349.12</v>
      </c>
      <c r="M78" s="12" t="n">
        <v>34.88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20261031_2315</t>
        </is>
      </c>
      <c r="B79" s="13" t="n">
        <v>46326</v>
      </c>
      <c r="C79" s="14" t="n">
        <v>0.96875</v>
      </c>
      <c r="D79" s="23" t="inlineStr">
        <is>
          <t>UN Unico</t>
        </is>
      </c>
      <c r="E79" s="23" t="inlineStr">
        <is>
          <t>I8</t>
        </is>
      </c>
      <c r="F79" s="23">
        <f>IFERROR(INDEX(Tariffe!$B$2:$B$200,MATCH(E79,Tariffe!$A$2:$A$200,0)),"DA DEFINIRE")</f>
        <v/>
      </c>
      <c r="G79" s="16" t="n">
        <v>24</v>
      </c>
      <c r="H79" s="15" t="n">
        <v>7</v>
      </c>
      <c r="I79" s="15" t="n">
        <v>0</v>
      </c>
      <c r="J79" s="16" t="n">
        <v>168</v>
      </c>
      <c r="K79" s="16" t="n">
        <v>0</v>
      </c>
      <c r="L79" s="16" t="n">
        <v>152.74</v>
      </c>
      <c r="M79" s="16" t="n">
        <v>15.26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20261031_2359</t>
        </is>
      </c>
      <c r="B80" s="9" t="n">
        <v>46326</v>
      </c>
      <c r="C80" s="10" t="n">
        <v>0.9993055555555556</v>
      </c>
      <c r="D80" s="22" t="inlineStr">
        <is>
          <t>UN Unico</t>
        </is>
      </c>
      <c r="E80" s="22" t="inlineStr">
        <is>
          <t>I1</t>
        </is>
      </c>
      <c r="F80" s="22">
        <f>IFERROR(INDEX(Tariffe!$B$2:$B$200,MATCH(E80,Tariffe!$A$2:$A$200,0)),"DA DEFINIRE")</f>
        <v/>
      </c>
      <c r="G80" s="12" t="n">
        <v>48</v>
      </c>
      <c r="H80" s="11" t="n">
        <v>5</v>
      </c>
      <c r="I80" s="11" t="n">
        <v>0</v>
      </c>
      <c r="J80" s="12" t="n">
        <v>240</v>
      </c>
      <c r="K80" s="12" t="n">
        <v>0</v>
      </c>
      <c r="L80" s="12" t="n">
        <v>218.2</v>
      </c>
      <c r="M80" s="12" t="n">
        <v>21.8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20261031_2359</t>
        </is>
      </c>
      <c r="B81" s="13" t="n">
        <v>46326</v>
      </c>
      <c r="C81" s="14" t="n">
        <v>0.9993055555555556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20261101_2015</t>
        </is>
      </c>
      <c r="B82" s="9" t="n">
        <v>46327</v>
      </c>
      <c r="C82" s="10" t="n">
        <v>0.84375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11/2026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20261101_2115</t>
        </is>
      </c>
      <c r="B83" s="13" t="n">
        <v>46327</v>
      </c>
      <c r="C83" s="14" t="n">
        <v>0.8854166666666666</v>
      </c>
      <c r="D83" s="23" t="inlineStr">
        <is>
          <t>UN Unico</t>
        </is>
      </c>
      <c r="E83" s="23" t="inlineStr">
        <is>
          <t>I8</t>
        </is>
      </c>
      <c r="F83" s="23">
        <f>IFERROR(INDEX(Tariffe!$B$2:$B$200,MATCH(E83,Tariffe!$A$2:$A$200,0)),"DA DEFINIRE")</f>
        <v/>
      </c>
      <c r="G83" s="16" t="n">
        <v>24</v>
      </c>
      <c r="H83" s="15" t="n">
        <v>3</v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11/2026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20261101_2215</t>
        </is>
      </c>
      <c r="B84" s="9" t="n">
        <v>46327</v>
      </c>
      <c r="C84" s="10" t="n">
        <v>0.9270833333333334</v>
      </c>
      <c r="D84" s="22" t="inlineStr">
        <is>
          <t>UN Unico</t>
        </is>
      </c>
      <c r="E84" s="22" t="inlineStr">
        <is>
          <t>I5</t>
        </is>
      </c>
      <c r="F84" s="22">
        <f>IFERROR(INDEX(Tariffe!$B$2:$B$200,MATCH(E84,Tariffe!$A$2:$A$200,0)),"DA DEFINIRE")</f>
        <v/>
      </c>
      <c r="G84" s="12" t="n">
        <v>60</v>
      </c>
      <c r="H84" s="11" t="n">
        <v>1</v>
      </c>
      <c r="I84" s="11" t="n">
        <v>0</v>
      </c>
      <c r="J84" s="12" t="n">
        <v>60</v>
      </c>
      <c r="K84" s="12" t="n">
        <v>0</v>
      </c>
      <c r="L84" s="12" t="n">
        <v>54.55</v>
      </c>
      <c r="M84" s="12" t="n">
        <v>5.45</v>
      </c>
      <c r="N84" s="22" t="inlineStr">
        <is>
          <t>11/2026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20261101_2215</t>
        </is>
      </c>
      <c r="B85" s="13" t="n">
        <v>46327</v>
      </c>
      <c r="C85" s="14" t="n">
        <v>0.9270833333333334</v>
      </c>
      <c r="D85" s="23" t="inlineStr">
        <is>
          <t>UN Unico</t>
        </is>
      </c>
      <c r="E85" s="23" t="inlineStr">
        <is>
          <t>I8</t>
        </is>
      </c>
      <c r="F85" s="23">
        <f>IFERROR(INDEX(Tariffe!$B$2:$B$200,MATCH(E85,Tariffe!$A$2:$A$200,0)),"DA DEFINIRE")</f>
        <v/>
      </c>
      <c r="G85" s="16" t="n">
        <v>24</v>
      </c>
      <c r="H85" s="15" t="n">
        <v>2</v>
      </c>
      <c r="I85" s="15" t="n">
        <v>0</v>
      </c>
      <c r="J85" s="16" t="n">
        <v>48</v>
      </c>
      <c r="K85" s="16" t="n">
        <v>0</v>
      </c>
      <c r="L85" s="16" t="n">
        <v>43.64</v>
      </c>
      <c r="M85" s="16" t="n">
        <v>4.36</v>
      </c>
      <c r="N85" s="23" t="inlineStr">
        <is>
          <t>11/2026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20261101_2359</t>
        </is>
      </c>
      <c r="B86" s="9" t="n">
        <v>46327</v>
      </c>
      <c r="C86" s="10" t="n">
        <v>0.9993055555555556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1</v>
      </c>
      <c r="I86" s="11" t="n">
        <v>0</v>
      </c>
      <c r="J86" s="12" t="n">
        <v>60</v>
      </c>
      <c r="K86" s="12" t="n">
        <v>0</v>
      </c>
      <c r="L86" s="12" t="n">
        <v>54.55</v>
      </c>
      <c r="M86" s="12" t="n">
        <v>5.45</v>
      </c>
      <c r="N86" s="22" t="inlineStr">
        <is>
          <t>11/2026</t>
        </is>
      </c>
      <c r="O86" s="11">
        <f>IFERROR(INDEX(Tariffe!$D$2:$D$200,MATCH(E86,Tariffe!$A$2:$A$200,0))*1,0)</f>
        <v/>
      </c>
      <c r="P86" s="11">
        <f>H86*O86</f>
        <v/>
      </c>
    </row>
  </sheetData>
  <autoFilter ref="A1:P8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</sheetData>
  <autoFilter ref="A1:G33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</sheetData>
  <autoFilter ref="A1:K25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43</v>
      </c>
      <c r="M7" s="11" t="n">
        <v>141</v>
      </c>
      <c r="N7" s="12" t="n">
        <v>1692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3</v>
      </c>
      <c r="H11" s="11" t="n">
        <v>11</v>
      </c>
      <c r="I11" s="12" t="n">
        <v>132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A14" s="9" t="n">
        <v>46310</v>
      </c>
      <c r="B14" s="11" t="n">
        <v>8</v>
      </c>
      <c r="C14" s="11" t="n">
        <v>28</v>
      </c>
      <c r="D14" s="12" t="n">
        <v>336</v>
      </c>
      <c r="F14" s="38" t="inlineStr">
        <is>
          <t>10:00-11:00</t>
        </is>
      </c>
      <c r="G14" s="11" t="n">
        <v>11</v>
      </c>
      <c r="H14" s="11" t="n">
        <v>38</v>
      </c>
      <c r="I14" s="12" t="n">
        <v>456</v>
      </c>
    </row>
    <row r="15">
      <c r="F15" s="38" t="inlineStr">
        <is>
          <t>11:00-12:00</t>
        </is>
      </c>
      <c r="G15" s="11" t="n">
        <v>12</v>
      </c>
      <c r="H15" s="11" t="n">
        <v>36</v>
      </c>
      <c r="I15" s="12" t="n">
        <v>432</v>
      </c>
    </row>
    <row r="16">
      <c r="F16" s="38" t="inlineStr">
        <is>
          <t>12:00-13:00</t>
        </is>
      </c>
      <c r="G16" s="11" t="n">
        <v>16</v>
      </c>
      <c r="H16" s="11" t="n">
        <v>43</v>
      </c>
      <c r="I16" s="12" t="n">
        <v>516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10</v>
      </c>
      <c r="H18" s="11" t="n">
        <v>29</v>
      </c>
      <c r="I18" s="12" t="n">
        <v>348</v>
      </c>
    </row>
    <row r="19">
      <c r="F19" s="38" t="inlineStr">
        <is>
          <t>15:00-16:00</t>
        </is>
      </c>
      <c r="G19" s="11" t="n">
        <v>10</v>
      </c>
      <c r="H19" s="11" t="n">
        <v>28</v>
      </c>
      <c r="I19" s="12" t="n">
        <v>336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12</v>
      </c>
      <c r="H21" s="11" t="n">
        <v>37</v>
      </c>
      <c r="I21" s="12" t="n">
        <v>444</v>
      </c>
    </row>
    <row r="22">
      <c r="F22" s="38" t="inlineStr">
        <is>
          <t>18:00-19:00</t>
        </is>
      </c>
      <c r="G22" s="11" t="n">
        <v>11</v>
      </c>
      <c r="H22" s="11" t="n">
        <v>33</v>
      </c>
      <c r="I22" s="12" t="n">
        <v>396</v>
      </c>
    </row>
    <row r="23">
      <c r="F23" s="38" t="inlineStr">
        <is>
          <t>19:00-20:00</t>
        </is>
      </c>
      <c r="G23" s="11" t="n">
        <v>19</v>
      </c>
      <c r="H23" s="11" t="n">
        <v>65</v>
      </c>
      <c r="I23" s="12" t="n">
        <v>780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25</v>
      </c>
      <c r="H25" s="11" t="n">
        <v>75</v>
      </c>
      <c r="I25" s="12" t="n">
        <v>900</v>
      </c>
    </row>
    <row r="26">
      <c r="F26" s="38" t="inlineStr">
        <is>
          <t>22:00-23:00</t>
        </is>
      </c>
      <c r="G26" s="11" t="n">
        <v>47</v>
      </c>
      <c r="H26" s="11" t="n">
        <v>127</v>
      </c>
      <c r="I26" s="12" t="n">
        <v>1524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2026-10-15T11:27:35Z</dcterms:created>
  <dcterms:modified xsi:type="dcterms:W3CDTF">2026-10-15T11:27:35Z</dcterms:modified>
</cp:coreProperties>
</file>