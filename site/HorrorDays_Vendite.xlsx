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'Storico'!$A$1:$G$815</definedName>
    <definedName name="_xlnm._FilterDatabase" localSheetId="8" hidden="1">'Registro vendite'!$A$1:$K$1435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'Storico'!$H$2:$H$815</f>
            </numRef>
          </cat>
          <val>
            <numRef>
              <f>'Storico'!$C$2:$C$815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480</v>
      </c>
      <c r="K78" s="12" t="n">
        <v>0</v>
      </c>
      <c r="L78" s="12" t="n">
        <v>436.4</v>
      </c>
      <c r="M78" s="12" t="n">
        <v>43.6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10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420</v>
      </c>
      <c r="K80" s="12" t="n">
        <v>0</v>
      </c>
      <c r="L80" s="12" t="n">
        <v>381.85</v>
      </c>
      <c r="M80" s="12" t="n">
        <v>38.15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7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408</v>
      </c>
      <c r="K81" s="16" t="n">
        <v>0</v>
      </c>
      <c r="L81" s="16" t="n">
        <v>370.94</v>
      </c>
      <c r="M81" s="16" t="n">
        <v>37.06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17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504</v>
      </c>
      <c r="K87" s="16" t="n">
        <v>0</v>
      </c>
      <c r="L87" s="16" t="n">
        <v>458.22</v>
      </c>
      <c r="M87" s="16" t="n">
        <v>45.78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576</v>
      </c>
      <c r="K96" s="12" t="n">
        <v>0</v>
      </c>
      <c r="L96" s="12" t="n">
        <v>523.6799999999999</v>
      </c>
      <c r="M96" s="12" t="n">
        <v>52.32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12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144</v>
      </c>
      <c r="K97" s="16" t="n">
        <v>0</v>
      </c>
      <c r="L97" s="16" t="n">
        <v>130.92</v>
      </c>
      <c r="M97" s="16" t="n">
        <v>13.08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4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420</v>
      </c>
      <c r="K98" s="12" t="n">
        <v>0</v>
      </c>
      <c r="L98" s="12" t="n">
        <v>381.85</v>
      </c>
      <c r="M98" s="12" t="n">
        <v>38.15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18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144</v>
      </c>
      <c r="K100" s="12" t="n">
        <v>0</v>
      </c>
      <c r="L100" s="12" t="n">
        <v>130.92</v>
      </c>
      <c r="M100" s="12" t="n">
        <v>13.08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9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36</v>
      </c>
      <c r="K125" s="16" t="n">
        <v>0</v>
      </c>
      <c r="L125" s="16" t="n">
        <v>32.73</v>
      </c>
      <c r="M125" s="16" t="n">
        <v>3.27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480</v>
      </c>
      <c r="K131" s="16" t="n">
        <v>0</v>
      </c>
      <c r="L131" s="16" t="n">
        <v>436.4</v>
      </c>
      <c r="M131" s="16" t="n">
        <v>43.6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240</v>
      </c>
      <c r="K133" s="16" t="n">
        <v>0</v>
      </c>
      <c r="L133" s="16" t="n">
        <v>218.2</v>
      </c>
      <c r="M133" s="16" t="n">
        <v>21.8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336</v>
      </c>
      <c r="K134" s="12" t="n">
        <v>0</v>
      </c>
      <c r="L134" s="12" t="n">
        <v>305.48</v>
      </c>
      <c r="M134" s="12" t="n">
        <v>30.52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960</v>
      </c>
      <c r="K135" s="16" t="n">
        <v>0</v>
      </c>
      <c r="L135" s="16" t="n">
        <v>872.8</v>
      </c>
      <c r="M135" s="16" t="n">
        <v>87.2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20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108</v>
      </c>
      <c r="K136" s="12" t="n">
        <v>0</v>
      </c>
      <c r="L136" s="12" t="n">
        <v>98.19</v>
      </c>
      <c r="M136" s="12" t="n">
        <v>9.81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528</v>
      </c>
      <c r="K138" s="12" t="n">
        <v>0</v>
      </c>
      <c r="L138" s="12" t="n">
        <v>480.04</v>
      </c>
      <c r="M138" s="12" t="n">
        <v>47.96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I2 36€</t>
        </is>
      </c>
      <c r="F140" s="22">
        <f>IFERROR(INDEX(Tariffe!$B$2:$B$200,MATCH(E140,Tariffe!$A$2:$A$200,0)),"DA DEFINIRE")</f>
        <v/>
      </c>
      <c r="G140" s="12" t="n">
        <v>36</v>
      </c>
      <c r="H140" s="11">
        <f>Q140*R140</f>
        <v/>
      </c>
      <c r="I140" s="11" t="n">
        <v>0</v>
      </c>
      <c r="J140" s="12" t="n">
        <v>72</v>
      </c>
      <c r="K140" s="12" t="n">
        <v>0</v>
      </c>
      <c r="L140" s="12" t="n">
        <v>65.45999999999999</v>
      </c>
      <c r="M140" s="12" t="n">
        <v>6.54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96</v>
      </c>
      <c r="K142" s="12" t="n">
        <v>0</v>
      </c>
      <c r="L142" s="12" t="n">
        <v>87.28</v>
      </c>
      <c r="M142" s="12" t="n">
        <v>8.720000000000001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I1 48€</t>
        </is>
      </c>
      <c r="F143" s="23">
        <f>IFERROR(INDEX(Tariffe!$B$2:$B$200,MATCH(E143,Tariffe!$A$2:$A$200,0)),"DA DEFINIRE")</f>
        <v/>
      </c>
      <c r="G143" s="16" t="n">
        <v>48</v>
      </c>
      <c r="H143" s="15">
        <f>Q143*R143</f>
        <v/>
      </c>
      <c r="I143" s="15" t="n">
        <v>0</v>
      </c>
      <c r="J143" s="16" t="n">
        <v>192</v>
      </c>
      <c r="K143" s="16" t="n">
        <v>0</v>
      </c>
      <c r="L143" s="16" t="n">
        <v>174.56</v>
      </c>
      <c r="M143" s="16" t="n">
        <v>17.44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4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60</v>
      </c>
      <c r="K144" s="12" t="n">
        <v>0</v>
      </c>
      <c r="L144" s="12" t="n">
        <v>54.55</v>
      </c>
      <c r="M144" s="12" t="n">
        <v>5.45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1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</v>
      </c>
      <c r="K145" s="16" t="n">
        <v>0</v>
      </c>
      <c r="L145" s="16" t="n">
        <v>43.64</v>
      </c>
      <c r="M145" s="16" t="n">
        <v>4.36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20261102_2015</t>
        </is>
      </c>
      <c r="B146" s="9" t="n">
        <v>46328</v>
      </c>
      <c r="C146" s="10" t="n">
        <v>0.84375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30</v>
      </c>
      <c r="K146" s="12" t="n">
        <v>0</v>
      </c>
      <c r="L146" s="12" t="n">
        <v>27.28</v>
      </c>
      <c r="M146" s="12" t="n">
        <v>2.72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20261102_2215</t>
        </is>
      </c>
      <c r="B147" s="13" t="n">
        <v>46328</v>
      </c>
      <c r="C147" s="14" t="n">
        <v>0.9270833333333334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90</v>
      </c>
      <c r="K147" s="16" t="n">
        <v>0</v>
      </c>
      <c r="L147" s="16" t="n">
        <v>81.84</v>
      </c>
      <c r="M147" s="16" t="n">
        <v>8.16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20261102_2315</t>
        </is>
      </c>
      <c r="B148" s="9" t="n">
        <v>46328</v>
      </c>
      <c r="C148" s="10" t="n">
        <v>0.96875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45</v>
      </c>
      <c r="K148" s="12" t="n">
        <v>0</v>
      </c>
      <c r="L148" s="12" t="n">
        <v>40.92</v>
      </c>
      <c r="M148" s="12" t="n">
        <v>4.08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20261102_2359</t>
        </is>
      </c>
      <c r="B149" s="13" t="n">
        <v>46328</v>
      </c>
      <c r="C149" s="14" t="n">
        <v>0.9993055555555556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15</v>
      </c>
      <c r="K149" s="16" t="n">
        <v>0</v>
      </c>
      <c r="L149" s="16" t="n">
        <v>13.64</v>
      </c>
      <c r="M149" s="16" t="n">
        <v>1.36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</v>
      </c>
      <c r="R149" s="15">
        <f>IFERROR(INDEX(Tariffe!$E$2:$E$200,MATCH(E149,Tariffe!$A$2:$A$200,0))*1,1)</f>
        <v/>
      </c>
    </row>
  </sheetData>
  <autoFilter ref="A1:R1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</sheetData>
  <autoFilter ref="A1:G8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</sheetData>
  <autoFilter ref="A1:K14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251</v>
      </c>
      <c r="M6" s="11" t="n">
        <v>796</v>
      </c>
      <c r="N6" s="12" t="n">
        <v>9552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159</v>
      </c>
      <c r="C27" s="11" t="n">
        <v>531</v>
      </c>
      <c r="D27" s="12" t="n">
        <v>6372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2026-10-28T17:40:40Z</dcterms:created>
  <dcterms:modified xsi:type="dcterms:W3CDTF">2026-10-28T17:40:41Z</dcterms:modified>
</cp:coreProperties>
</file>