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'Vendite'!$A$1:$P$77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'Storico'!$A$1:$G$279</definedName>
    <definedName name="_xlnm._FilterDatabase" localSheetId="8" hidden="1">'Registro vendite'!$A$1:$K$195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'Storico'!$H$2:$H$279</f>
            </numRef>
          </cat>
          <val>
            <numRef>
              <f>'Storico'!$C$2:$C$279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vendite'!$A$4:$A$12</f>
            </numRef>
          </cat>
          <val>
            <numRef>
              <f>'Picchi vendite'!$B$4:$B$12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MAX(Storico!A2:A279)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10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4</v>
      </c>
      <c r="I23" s="15" t="n">
        <v>0</v>
      </c>
      <c r="J23" s="16" t="n">
        <v>96</v>
      </c>
      <c r="K23" s="16" t="n">
        <v>0</v>
      </c>
      <c r="L23" s="16" t="n">
        <v>87.28</v>
      </c>
      <c r="M23" s="16" t="n">
        <v>8.720000000000001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10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4</v>
      </c>
      <c r="I29" s="15" t="n">
        <v>0</v>
      </c>
      <c r="J29" s="16" t="n">
        <v>240</v>
      </c>
      <c r="K29" s="16" t="n">
        <v>0</v>
      </c>
      <c r="L29" s="16" t="n">
        <v>218.2</v>
      </c>
      <c r="M29" s="16" t="n">
        <v>21.8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4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2</v>
      </c>
      <c r="I67" s="15" t="n">
        <v>0</v>
      </c>
      <c r="J67" s="16" t="n">
        <v>96</v>
      </c>
      <c r="K67" s="16" t="n">
        <v>0</v>
      </c>
      <c r="L67" s="16" t="n">
        <v>87.28</v>
      </c>
      <c r="M67" s="16" t="n">
        <v>8.720000000000001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4</v>
      </c>
      <c r="I69" s="15" t="n">
        <v>0</v>
      </c>
      <c r="J69" s="16" t="n">
        <v>96</v>
      </c>
      <c r="K69" s="16" t="n">
        <v>0</v>
      </c>
      <c r="L69" s="16" t="n">
        <v>87.28</v>
      </c>
      <c r="M69" s="16" t="n">
        <v>8.720000000000001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20261101_2015</t>
        </is>
      </c>
      <c r="B74" s="9" t="n">
        <v>46327</v>
      </c>
      <c r="C74" s="10" t="n">
        <v>0.84375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20261101_2115</t>
        </is>
      </c>
      <c r="B75" s="13" t="n">
        <v>46327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2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20261101_2215</t>
        </is>
      </c>
      <c r="B76" s="9" t="n">
        <v>46327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1</v>
      </c>
      <c r="I76" s="11" t="n">
        <v>0</v>
      </c>
      <c r="J76" s="12" t="n">
        <v>24</v>
      </c>
      <c r="K76" s="12" t="n">
        <v>0</v>
      </c>
      <c r="L76" s="12" t="n">
        <v>21.82</v>
      </c>
      <c r="M76" s="12" t="n">
        <v>2.18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20261101_2359</t>
        </is>
      </c>
      <c r="B77" s="13" t="n">
        <v>46327</v>
      </c>
      <c r="C77" s="14" t="n">
        <v>0.9993055555555556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11/2026</t>
        </is>
      </c>
      <c r="O77" s="15">
        <f>IFERROR(INDEX(Tariffe!$D$2:$D$200,MATCH(E77,Tariffe!$A$2:$A$200,0))*1,0)</f>
        <v/>
      </c>
      <c r="P77" s="15">
        <f>H77*O77</f>
        <v/>
      </c>
    </row>
  </sheetData>
  <autoFilter ref="A1:P7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</sheetData>
  <autoFilter ref="A1:G27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</sheetData>
  <autoFilter ref="A1:K19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30</v>
      </c>
      <c r="M5" s="11" t="n">
        <v>89</v>
      </c>
      <c r="N5" s="12" t="n">
        <v>1068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4</v>
      </c>
      <c r="C12" s="11" t="n">
        <v>14</v>
      </c>
      <c r="D12" s="12" t="n">
        <v>168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5</v>
      </c>
      <c r="H14" s="11" t="n">
        <v>20</v>
      </c>
      <c r="I14" s="12" t="n">
        <v>240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7</v>
      </c>
      <c r="H18" s="11" t="n">
        <v>21</v>
      </c>
      <c r="I18" s="12" t="n">
        <v>252</v>
      </c>
    </row>
    <row r="19">
      <c r="F19" s="38" t="inlineStr">
        <is>
          <t>15:00-16:00</t>
        </is>
      </c>
      <c r="G19" s="11" t="n">
        <v>7</v>
      </c>
      <c r="H19" s="11" t="n">
        <v>18</v>
      </c>
      <c r="I19" s="12" t="n">
        <v>216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8</v>
      </c>
      <c r="H22" s="11" t="n">
        <v>25</v>
      </c>
      <c r="I22" s="12" t="n">
        <v>300</v>
      </c>
    </row>
    <row r="23">
      <c r="F23" s="38" t="inlineStr">
        <is>
          <t>19:00-20:00</t>
        </is>
      </c>
      <c r="G23" s="11" t="n">
        <v>14</v>
      </c>
      <c r="H23" s="11" t="n">
        <v>47</v>
      </c>
      <c r="I23" s="12" t="n">
        <v>564</v>
      </c>
    </row>
    <row r="24">
      <c r="F24" s="38" t="inlineStr">
        <is>
          <t>20:00-21:00</t>
        </is>
      </c>
      <c r="G24" s="11" t="n">
        <v>25</v>
      </c>
      <c r="H24" s="11" t="n">
        <v>77</v>
      </c>
      <c r="I24" s="12" t="n">
        <v>924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2026-10-13T13:24:29Z</dcterms:created>
  <dcterms:modified xsi:type="dcterms:W3CDTF">2026-10-13T13:24:29Z</dcterms:modified>
</cp:coreProperties>
</file>