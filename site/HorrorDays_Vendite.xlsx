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'Spettacoli'!$A$1:$R$48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'Storico'!$A$1:$G$888</definedName>
    <definedName name="_xlnm._FilterDatabase" localSheetId="8" hidden="1">'Registro vendite'!$A$1:$K$1687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'Storico'!$H$2:$H$888</f>
            </numRef>
          </cat>
          <val>
            <numRef>
              <f>'Storico'!$C$2:$C$888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INDEX(Spettacoli!$B$2:$B$48,MATCH(LARGE(Spettacoli!$R$2:$R$48,1),Spettacoli!$R$2:$R$48,0))</f>
        <v/>
      </c>
      <c r="L6" s="10">
        <f>INDEX(Spettacoli!$D$2:$D$48,MATCH(LARGE(Spettacoli!$R$2:$R$48,1),Spettacoli!$R$2:$R$48,0))</f>
        <v/>
      </c>
      <c r="M6" s="11">
        <f>INDEX(Spettacoli!$F$2:$F$48,MATCH(LARGE(Spettacoli!$R$2:$R$48,1),Spettacoli!$R$2:$R$48,0))</f>
        <v/>
      </c>
      <c r="N6" s="11">
        <f>INDEX(Spettacoli!$G$2:$G$48,MATCH(LARGE(Spettacoli!$R$2:$R$48,1),Spettacoli!$R$2:$R$48,0))</f>
        <v/>
      </c>
      <c r="O6" s="12">
        <f>INDEX(Spettacoli!$M$2:$M$48,MATCH(LARGE(Spettacoli!$R$2:$R$48,1),Spettacoli!$R$2:$R$48,0))</f>
        <v/>
      </c>
    </row>
    <row r="7">
      <c r="K7" s="13">
        <f>INDEX(Spettacoli!$B$2:$B$48,MATCH(LARGE(Spettacoli!$R$2:$R$48,2),Spettacoli!$R$2:$R$48,0))</f>
        <v/>
      </c>
      <c r="L7" s="14">
        <f>INDEX(Spettacoli!$D$2:$D$48,MATCH(LARGE(Spettacoli!$R$2:$R$48,2),Spettacoli!$R$2:$R$48,0))</f>
        <v/>
      </c>
      <c r="M7" s="15">
        <f>INDEX(Spettacoli!$F$2:$F$48,MATCH(LARGE(Spettacoli!$R$2:$R$48,2),Spettacoli!$R$2:$R$48,0))</f>
        <v/>
      </c>
      <c r="N7" s="15">
        <f>INDEX(Spettacoli!$G$2:$G$48,MATCH(LARGE(Spettacoli!$R$2:$R$48,2),Spettacoli!$R$2:$R$48,0))</f>
        <v/>
      </c>
      <c r="O7" s="16">
        <f>INDEX(Spettacoli!$M$2:$M$48,MATCH(LARGE(Spettacoli!$R$2:$R$48,2),Spettacoli!$R$2:$R$48,0))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INDEX(Spettacoli!$B$2:$B$48,MATCH(LARGE(Spettacoli!$R$2:$R$48,3),Spettacoli!$R$2:$R$48,0))</f>
        <v/>
      </c>
      <c r="L8" s="10">
        <f>INDEX(Spettacoli!$D$2:$D$48,MATCH(LARGE(Spettacoli!$R$2:$R$48,3),Spettacoli!$R$2:$R$48,0))</f>
        <v/>
      </c>
      <c r="M8" s="11">
        <f>INDEX(Spettacoli!$F$2:$F$48,MATCH(LARGE(Spettacoli!$R$2:$R$48,3),Spettacoli!$R$2:$R$48,0))</f>
        <v/>
      </c>
      <c r="N8" s="11">
        <f>INDEX(Spettacoli!$G$2:$G$48,MATCH(LARGE(Spettacoli!$R$2:$R$48,3),Spettacoli!$R$2:$R$48,0))</f>
        <v/>
      </c>
      <c r="O8" s="12">
        <f>INDEX(Spettacoli!$M$2:$M$48,MATCH(LARGE(Spettacoli!$R$2:$R$48,3),Spettacoli!$R$2:$R$48,0))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IF(SUM(Spettacoli!E2:E48)&gt;0,SUM(Spettacoli!F2:F48)/SUM(Spettacoli!E2:E48),0)</f>
        <v/>
      </c>
      <c r="F9" s="5" t="n"/>
      <c r="H9" s="19">
        <f>COUNTIF(Spettacoli!$Q$2:$Q$48,"Venduto")&amp;" / "&amp;COUNTA(Spettacoli!A2:A48)</f>
        <v/>
      </c>
      <c r="I9" s="5" t="n"/>
      <c r="K9" s="13">
        <f>INDEX(Spettacoli!$B$2:$B$48,MATCH(LARGE(Spettacoli!$R$2:$R$48,4),Spettacoli!$R$2:$R$48,0))</f>
        <v/>
      </c>
      <c r="L9" s="14">
        <f>INDEX(Spettacoli!$D$2:$D$48,MATCH(LARGE(Spettacoli!$R$2:$R$48,4),Spettacoli!$R$2:$R$48,0))</f>
        <v/>
      </c>
      <c r="M9" s="15">
        <f>INDEX(Spettacoli!$F$2:$F$48,MATCH(LARGE(Spettacoli!$R$2:$R$48,4),Spettacoli!$R$2:$R$48,0))</f>
        <v/>
      </c>
      <c r="N9" s="15">
        <f>INDEX(Spettacoli!$G$2:$G$48,MATCH(LARGE(Spettacoli!$R$2:$R$48,4),Spettacoli!$R$2:$R$48,0))</f>
        <v/>
      </c>
      <c r="O9" s="16">
        <f>INDEX(Spettacoli!$M$2:$M$48,MATCH(LARGE(Spettacoli!$R$2:$R$48,4),Spettacoli!$R$2:$R$48,0))</f>
        <v/>
      </c>
    </row>
    <row r="10">
      <c r="K10" s="9">
        <f>INDEX(Spettacoli!$B$2:$B$48,MATCH(LARGE(Spettacoli!$R$2:$R$48,5),Spettacoli!$R$2:$R$48,0))</f>
        <v/>
      </c>
      <c r="L10" s="10">
        <f>INDEX(Spettacoli!$D$2:$D$48,MATCH(LARGE(Spettacoli!$R$2:$R$48,5),Spettacoli!$R$2:$R$48,0))</f>
        <v/>
      </c>
      <c r="M10" s="11">
        <f>INDEX(Spettacoli!$F$2:$F$48,MATCH(LARGE(Spettacoli!$R$2:$R$48,5),Spettacoli!$R$2:$R$48,0))</f>
        <v/>
      </c>
      <c r="N10" s="11">
        <f>INDEX(Spettacoli!$G$2:$G$48,MATCH(LARGE(Spettacoli!$R$2:$R$48,5),Spettacoli!$R$2:$R$48,0))</f>
        <v/>
      </c>
      <c r="O10" s="12">
        <f>INDEX(Spettacoli!$M$2:$M$48,MATCH(LARGE(Spettacoli!$R$2:$R$48,5),Spettacoli!$R$2:$R$48,0))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20261102_2016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0.8444444444444444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20261102_2115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0.8854166666666666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20261102_2116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0.8861111111111111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20261102_2215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0.9270833333333334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  <row r="44">
      <c r="A44" s="22" t="inlineStr">
        <is>
          <t>20261102_2216</t>
        </is>
      </c>
      <c r="B44" s="9" t="n">
        <v>46328</v>
      </c>
      <c r="C44" s="22">
        <f>CHOOSE(WEEKDAY(B44,2),"Lunedì","Martedì","Mercoledì","Giovedì","Venerdì","Sabato","Domenica")</f>
        <v/>
      </c>
      <c r="D44" s="10" t="n">
        <v>0.9277777777777778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IF(F44&gt;0,"Venduto","Zero vendite")</f>
        <v/>
      </c>
      <c r="R44" s="22">
        <f>F44+M44/100000+(1000-ROW())/100000000</f>
        <v/>
      </c>
    </row>
    <row r="45">
      <c r="A45" s="23" t="inlineStr">
        <is>
          <t>20261102_2315</t>
        </is>
      </c>
      <c r="B45" s="13" t="n">
        <v>46328</v>
      </c>
      <c r="C45" s="23">
        <f>CHOOSE(WEEKDAY(B45,2),"Lunedì","Martedì","Mercoledì","Giovedì","Venerdì","Sabato","Domenica")</f>
        <v/>
      </c>
      <c r="D45" s="14" t="n">
        <v>0.96875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IF(F45&gt;0,"Venduto","Zero vendite")</f>
        <v/>
      </c>
      <c r="R45" s="23">
        <f>F45+M45/100000+(1000-ROW())/100000000</f>
        <v/>
      </c>
    </row>
    <row r="46">
      <c r="A46" s="22" t="inlineStr">
        <is>
          <t>20261102_2316</t>
        </is>
      </c>
      <c r="B46" s="9" t="n">
        <v>46328</v>
      </c>
      <c r="C46" s="22">
        <f>CHOOSE(WEEKDAY(B46,2),"Lunedì","Martedì","Mercoledì","Giovedì","Venerdì","Sabato","Domenica")</f>
        <v/>
      </c>
      <c r="D46" s="10" t="n">
        <v>0.9694444444444444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IF(F46&gt;0,"Venduto","Zero vendite")</f>
        <v/>
      </c>
      <c r="R46" s="22">
        <f>F46+M46/100000+(1000-ROW())/100000000</f>
        <v/>
      </c>
    </row>
    <row r="47">
      <c r="A47" s="23" t="inlineStr">
        <is>
          <t>20261102_2358</t>
        </is>
      </c>
      <c r="B47" s="13" t="n">
        <v>46328</v>
      </c>
      <c r="C47" s="23">
        <f>CHOOSE(WEEKDAY(B47,2),"Lunedì","Martedì","Mercoledì","Giovedì","Venerdì","Sabato","Domenica")</f>
        <v/>
      </c>
      <c r="D47" s="14" t="n">
        <v>0.9986111111111111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IF(F47&gt;0,"Venduto","Zero vendite")</f>
        <v/>
      </c>
      <c r="R47" s="23">
        <f>F47+M47/100000+(1000-ROW())/100000000</f>
        <v/>
      </c>
    </row>
    <row r="48">
      <c r="A48" s="22" t="inlineStr">
        <is>
          <t>20261102_2359</t>
        </is>
      </c>
      <c r="B48" s="9" t="n">
        <v>46328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IF(F48&gt;0,"Venduto","Zero vendite")</f>
        <v/>
      </c>
      <c r="R48" s="22">
        <f>F48+M48/100000+(1000-ROW())/100000000</f>
        <v/>
      </c>
    </row>
  </sheetData>
  <autoFilter ref="A1:R48"/>
  <conditionalFormatting sqref="Q2:Q48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480</v>
      </c>
      <c r="K126" s="12" t="n">
        <v>0</v>
      </c>
      <c r="L126" s="12" t="n">
        <v>436.4</v>
      </c>
      <c r="M126" s="12" t="n">
        <v>43.6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10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240</v>
      </c>
      <c r="K129" s="16" t="n">
        <v>0</v>
      </c>
      <c r="L129" s="16" t="n">
        <v>218.2</v>
      </c>
      <c r="M129" s="16" t="n">
        <v>21.8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10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456</v>
      </c>
      <c r="K133" s="16" t="n">
        <v>0</v>
      </c>
      <c r="L133" s="16" t="n">
        <v>414.58</v>
      </c>
      <c r="M133" s="16" t="n">
        <v>41.42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864</v>
      </c>
      <c r="K146" s="12" t="n">
        <v>0</v>
      </c>
      <c r="L146" s="12" t="n">
        <v>785.52</v>
      </c>
      <c r="M146" s="12" t="n">
        <v>78.48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18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120</v>
      </c>
      <c r="K148" s="12" t="n">
        <v>0</v>
      </c>
      <c r="L148" s="12" t="n">
        <v>109.1</v>
      </c>
      <c r="M148" s="12" t="n">
        <v>10.9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</sheetData>
  <autoFilter ref="A1:G8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</sheetData>
  <autoFilter ref="A1:K16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321</v>
      </c>
      <c r="M8" s="11" t="n">
        <v>970</v>
      </c>
      <c r="N8" s="12" t="n">
        <v>11655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231</v>
      </c>
      <c r="H22" s="11" t="n">
        <v>701</v>
      </c>
      <c r="I22" s="12" t="n">
        <v>8412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115</v>
      </c>
      <c r="C29" s="11" t="n">
        <v>344</v>
      </c>
      <c r="D29" s="12" t="n">
        <v>4128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2026-10-30T17:38:00Z</dcterms:created>
  <dcterms:modified xsi:type="dcterms:W3CDTF">2026-10-30T17:38:01Z</dcterms:modified>
</cp:coreProperties>
</file>