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'Vendite'!$A$1:$R$145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'Storico'!$A$1:$G$795</definedName>
    <definedName name="_xlnm._FilterDatabase" localSheetId="8" hidden="1">'Registro vendite'!$A$1:$K$1350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'Storico'!$H$2:$H$795</f>
            </numRef>
          </cat>
          <val>
            <numRef>
              <f>'Storico'!$C$2:$C$795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MAX(Storico!A2:A795)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192</v>
      </c>
      <c r="K62" s="12" t="n">
        <v>0</v>
      </c>
      <c r="L62" s="12" t="n">
        <v>174.56</v>
      </c>
      <c r="M62" s="12" t="n">
        <v>17.44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4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624</v>
      </c>
      <c r="K66" s="12" t="n">
        <v>0</v>
      </c>
      <c r="L66" s="12" t="n">
        <v>567.3200000000001</v>
      </c>
      <c r="M66" s="12" t="n">
        <v>56.68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13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300</v>
      </c>
      <c r="K68" s="12" t="n">
        <v>0</v>
      </c>
      <c r="L68" s="12" t="n">
        <v>272.75</v>
      </c>
      <c r="M68" s="12" t="n">
        <v>27.25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1392</v>
      </c>
      <c r="K74" s="12" t="n">
        <v>0</v>
      </c>
      <c r="L74" s="12" t="n">
        <v>1265.56</v>
      </c>
      <c r="M74" s="12" t="n">
        <v>126.44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29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288</v>
      </c>
      <c r="K75" s="16" t="n">
        <v>0</v>
      </c>
      <c r="L75" s="16" t="n">
        <v>261.84</v>
      </c>
      <c r="M75" s="16" t="n">
        <v>26.16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264</v>
      </c>
      <c r="K82" s="12" t="n">
        <v>0</v>
      </c>
      <c r="L82" s="12" t="n">
        <v>240.02</v>
      </c>
      <c r="M82" s="12" t="n">
        <v>23.98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408</v>
      </c>
      <c r="K86" s="12" t="n">
        <v>0</v>
      </c>
      <c r="L86" s="12" t="n">
        <v>370.94</v>
      </c>
      <c r="M86" s="12" t="n">
        <v>37.06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960</v>
      </c>
      <c r="K91" s="16" t="n">
        <v>0</v>
      </c>
      <c r="L91" s="16" t="n">
        <v>872.8</v>
      </c>
      <c r="M91" s="16" t="n">
        <v>87.2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20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660</v>
      </c>
      <c r="K93" s="16" t="n">
        <v>0</v>
      </c>
      <c r="L93" s="16" t="n">
        <v>600.05</v>
      </c>
      <c r="M93" s="16" t="n">
        <v>59.95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11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576</v>
      </c>
      <c r="K94" s="12" t="n">
        <v>0</v>
      </c>
      <c r="L94" s="12" t="n">
        <v>523.6799999999999</v>
      </c>
      <c r="M94" s="12" t="n">
        <v>52.32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240</v>
      </c>
      <c r="K95" s="16" t="n">
        <v>0</v>
      </c>
      <c r="L95" s="16" t="n">
        <v>218.2</v>
      </c>
      <c r="M95" s="16" t="n">
        <v>21.8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408</v>
      </c>
      <c r="K97" s="16" t="n">
        <v>0</v>
      </c>
      <c r="L97" s="16" t="n">
        <v>370.94</v>
      </c>
      <c r="M97" s="16" t="n">
        <v>37.06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17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1344</v>
      </c>
      <c r="K101" s="16" t="n">
        <v>0</v>
      </c>
      <c r="L101" s="16" t="n">
        <v>1221.92</v>
      </c>
      <c r="M101" s="16" t="n">
        <v>122.08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28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660</v>
      </c>
      <c r="K103" s="16" t="n">
        <v>0</v>
      </c>
      <c r="L103" s="16" t="n">
        <v>600.05</v>
      </c>
      <c r="M103" s="16" t="n">
        <v>59.95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576</v>
      </c>
      <c r="K104" s="12" t="n">
        <v>0</v>
      </c>
      <c r="L104" s="12" t="n">
        <v>523.6799999999999</v>
      </c>
      <c r="M104" s="12" t="n">
        <v>52.32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24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384</v>
      </c>
      <c r="K123" s="16" t="n">
        <v>0</v>
      </c>
      <c r="L123" s="16" t="n">
        <v>349.12</v>
      </c>
      <c r="M123" s="16" t="n">
        <v>34.88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8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120</v>
      </c>
      <c r="K125" s="16" t="n">
        <v>0</v>
      </c>
      <c r="L125" s="16" t="n">
        <v>109.1</v>
      </c>
      <c r="M125" s="16" t="n">
        <v>10.9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5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432</v>
      </c>
      <c r="K127" s="16" t="n">
        <v>0</v>
      </c>
      <c r="L127" s="16" t="n">
        <v>392.76</v>
      </c>
      <c r="M127" s="16" t="n">
        <v>39.24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144</v>
      </c>
      <c r="K128" s="12" t="n">
        <v>0</v>
      </c>
      <c r="L128" s="12" t="n">
        <v>130.92</v>
      </c>
      <c r="M128" s="12" t="n">
        <v>13.08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264</v>
      </c>
      <c r="K130" s="12" t="n">
        <v>0</v>
      </c>
      <c r="L130" s="12" t="n">
        <v>240.02</v>
      </c>
      <c r="M130" s="12" t="n">
        <v>23.98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11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816</v>
      </c>
      <c r="K131" s="16" t="n">
        <v>0</v>
      </c>
      <c r="L131" s="16" t="n">
        <v>741.88</v>
      </c>
      <c r="M131" s="16" t="n">
        <v>74.12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17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108</v>
      </c>
      <c r="K132" s="12" t="n">
        <v>0</v>
      </c>
      <c r="L132" s="12" t="n">
        <v>98.19</v>
      </c>
      <c r="M132" s="12" t="n">
        <v>9.81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456</v>
      </c>
      <c r="K134" s="12" t="n">
        <v>0</v>
      </c>
      <c r="L134" s="12" t="n">
        <v>414.58</v>
      </c>
      <c r="M134" s="12" t="n">
        <v>41.42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19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I2 36€</t>
        </is>
      </c>
      <c r="F136" s="22">
        <f>IFERROR(INDEX(Tariffe!$B$2:$B$200,MATCH(E136,Tariffe!$A$2:$A$200,0)),"DA DEFINIRE")</f>
        <v/>
      </c>
      <c r="G136" s="12" t="n">
        <v>36</v>
      </c>
      <c r="H136" s="11">
        <f>Q136*R136</f>
        <v/>
      </c>
      <c r="I136" s="11" t="n">
        <v>0</v>
      </c>
      <c r="J136" s="12" t="n">
        <v>72</v>
      </c>
      <c r="K136" s="12" t="n">
        <v>0</v>
      </c>
      <c r="L136" s="12" t="n">
        <v>65.45999999999999</v>
      </c>
      <c r="M136" s="12" t="n">
        <v>6.54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180</v>
      </c>
      <c r="K137" s="16" t="n">
        <v>0</v>
      </c>
      <c r="L137" s="16" t="n">
        <v>163.65</v>
      </c>
      <c r="M137" s="16" t="n">
        <v>16.35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96</v>
      </c>
      <c r="K138" s="12" t="n">
        <v>0</v>
      </c>
      <c r="L138" s="12" t="n">
        <v>87.28</v>
      </c>
      <c r="M138" s="12" t="n">
        <v>8.720000000000001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I1 48€</t>
        </is>
      </c>
      <c r="F139" s="23">
        <f>IFERROR(INDEX(Tariffe!$B$2:$B$200,MATCH(E139,Tariffe!$A$2:$A$200,0)),"DA DEFINIRE")</f>
        <v/>
      </c>
      <c r="G139" s="16" t="n">
        <v>48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60</v>
      </c>
      <c r="K140" s="12" t="n">
        <v>0</v>
      </c>
      <c r="L140" s="12" t="n">
        <v>54.55</v>
      </c>
      <c r="M140" s="12" t="n">
        <v>5.45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24</v>
      </c>
      <c r="K141" s="16" t="n">
        <v>0</v>
      </c>
      <c r="L141" s="16" t="n">
        <v>21.82</v>
      </c>
      <c r="M141" s="16" t="n">
        <v>2.18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20261102_2015</t>
        </is>
      </c>
      <c r="B142" s="9" t="n">
        <v>46328</v>
      </c>
      <c r="C142" s="10" t="n">
        <v>0.84375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30</v>
      </c>
      <c r="K142" s="12" t="n">
        <v>0</v>
      </c>
      <c r="L142" s="12" t="n">
        <v>27.28</v>
      </c>
      <c r="M142" s="12" t="n">
        <v>2.72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</v>
      </c>
      <c r="R142" s="11">
        <f>IFERROR(INDEX(Tariffe!$E$2:$E$200,MATCH(E142,Tariffe!$A$2:$A$200,0))*1,1)</f>
        <v/>
      </c>
    </row>
    <row r="143">
      <c r="A143" s="23" t="inlineStr">
        <is>
          <t>20261102_2215</t>
        </is>
      </c>
      <c r="B143" s="13" t="n">
        <v>46328</v>
      </c>
      <c r="C143" s="14" t="n">
        <v>0.9270833333333334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90</v>
      </c>
      <c r="K143" s="16" t="n">
        <v>0</v>
      </c>
      <c r="L143" s="16" t="n">
        <v>81.84</v>
      </c>
      <c r="M143" s="16" t="n">
        <v>8.16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20261102_2315</t>
        </is>
      </c>
      <c r="B144" s="9" t="n">
        <v>46328</v>
      </c>
      <c r="C144" s="10" t="n">
        <v>0.96875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45</v>
      </c>
      <c r="K144" s="12" t="n">
        <v>0</v>
      </c>
      <c r="L144" s="12" t="n">
        <v>40.92</v>
      </c>
      <c r="M144" s="12" t="n">
        <v>4.08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3</v>
      </c>
      <c r="R144" s="11">
        <f>IFERROR(INDEX(Tariffe!$E$2:$E$200,MATCH(E144,Tariffe!$A$2:$A$200,0))*1,1)</f>
        <v/>
      </c>
    </row>
    <row r="145">
      <c r="A145" s="23" t="inlineStr">
        <is>
          <t>20261102_2359</t>
        </is>
      </c>
      <c r="B145" s="13" t="n">
        <v>46328</v>
      </c>
      <c r="C145" s="14" t="n">
        <v>0.9993055555555556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15</v>
      </c>
      <c r="K145" s="16" t="n">
        <v>0</v>
      </c>
      <c r="L145" s="16" t="n">
        <v>13.64</v>
      </c>
      <c r="M145" s="16" t="n">
        <v>1.36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</sheetData>
  <autoFilter ref="A1:R1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</sheetData>
  <autoFilter ref="A1:G79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</sheetData>
  <autoFilter ref="A1:K13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105</v>
      </c>
      <c r="M6" s="11" t="n">
        <v>317</v>
      </c>
      <c r="N6" s="12" t="n">
        <v>3804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13</v>
      </c>
      <c r="C27" s="11" t="n">
        <v>52</v>
      </c>
      <c r="D27" s="12" t="n">
        <v>624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2026-10-28T04:39:23Z</dcterms:created>
  <dcterms:modified xsi:type="dcterms:W3CDTF">2026-10-28T04:39:24Z</dcterms:modified>
</cp:coreProperties>
</file>