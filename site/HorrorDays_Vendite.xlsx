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'Vendite'!$A$1:$R$146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'Storico'!$A$1:$G$802</definedName>
    <definedName name="_xlnm._FilterDatabase" localSheetId="8" hidden="1">'Registro vendite'!$A$1:$K$1371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'Storico'!$H$2:$H$802</f>
            </numRef>
          </cat>
          <val>
            <numRef>
              <f>'Storico'!$C$2:$C$802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720</v>
      </c>
      <c r="K66" s="12" t="n">
        <v>0</v>
      </c>
      <c r="L66" s="12" t="n">
        <v>654.6</v>
      </c>
      <c r="M66" s="12" t="n">
        <v>65.40000000000001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15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552</v>
      </c>
      <c r="K69" s="16" t="n">
        <v>0</v>
      </c>
      <c r="L69" s="16" t="n">
        <v>501.86</v>
      </c>
      <c r="M69" s="16" t="n">
        <v>50.14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23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5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1056</v>
      </c>
      <c r="K91" s="16" t="n">
        <v>0</v>
      </c>
      <c r="L91" s="16" t="n">
        <v>960.08</v>
      </c>
      <c r="M91" s="16" t="n">
        <v>95.92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252</v>
      </c>
      <c r="K92" s="12" t="n">
        <v>0</v>
      </c>
      <c r="L92" s="12" t="n">
        <v>229.11</v>
      </c>
      <c r="M92" s="12" t="n">
        <v>22.89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7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624</v>
      </c>
      <c r="K94" s="12" t="n">
        <v>0</v>
      </c>
      <c r="L94" s="12" t="n">
        <v>567.3200000000001</v>
      </c>
      <c r="M94" s="12" t="n">
        <v>56.68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26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432</v>
      </c>
      <c r="K97" s="16" t="n">
        <v>0</v>
      </c>
      <c r="L97" s="16" t="n">
        <v>392.76</v>
      </c>
      <c r="M97" s="16" t="n">
        <v>39.24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18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1392</v>
      </c>
      <c r="K101" s="16" t="n">
        <v>0</v>
      </c>
      <c r="L101" s="16" t="n">
        <v>1265.56</v>
      </c>
      <c r="M101" s="16" t="n">
        <v>126.44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29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648</v>
      </c>
      <c r="K104" s="12" t="n">
        <v>0</v>
      </c>
      <c r="L104" s="12" t="n">
        <v>589.14</v>
      </c>
      <c r="M104" s="12" t="n">
        <v>58.86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432</v>
      </c>
      <c r="K128" s="12" t="n">
        <v>0</v>
      </c>
      <c r="L128" s="12" t="n">
        <v>392.76</v>
      </c>
      <c r="M128" s="12" t="n">
        <v>39.24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9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4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264</v>
      </c>
      <c r="K131" s="16" t="n">
        <v>0</v>
      </c>
      <c r="L131" s="16" t="n">
        <v>240.02</v>
      </c>
      <c r="M131" s="16" t="n">
        <v>23.98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11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912</v>
      </c>
      <c r="K132" s="12" t="n">
        <v>0</v>
      </c>
      <c r="L132" s="12" t="n">
        <v>829.16</v>
      </c>
      <c r="M132" s="12" t="n">
        <v>82.84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19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108</v>
      </c>
      <c r="K133" s="16" t="n">
        <v>0</v>
      </c>
      <c r="L133" s="16" t="n">
        <v>98.19</v>
      </c>
      <c r="M133" s="16" t="n">
        <v>9.81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456</v>
      </c>
      <c r="K135" s="16" t="n">
        <v>0</v>
      </c>
      <c r="L135" s="16" t="n">
        <v>414.58</v>
      </c>
      <c r="M135" s="16" t="n">
        <v>41.42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19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144</v>
      </c>
      <c r="K136" s="12" t="n">
        <v>0</v>
      </c>
      <c r="L136" s="12" t="n">
        <v>130.92</v>
      </c>
      <c r="M136" s="12" t="n">
        <v>13.08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72</v>
      </c>
      <c r="K137" s="16" t="n">
        <v>0</v>
      </c>
      <c r="L137" s="16" t="n">
        <v>65.45999999999999</v>
      </c>
      <c r="M137" s="16" t="n">
        <v>6.54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144</v>
      </c>
      <c r="K140" s="12" t="n">
        <v>0</v>
      </c>
      <c r="L140" s="12" t="n">
        <v>130.92</v>
      </c>
      <c r="M140" s="12" t="n">
        <v>13.08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60</v>
      </c>
      <c r="K141" s="16" t="n">
        <v>0</v>
      </c>
      <c r="L141" s="16" t="n">
        <v>54.55</v>
      </c>
      <c r="M141" s="16" t="n">
        <v>5.45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24</v>
      </c>
      <c r="K142" s="12" t="n">
        <v>0</v>
      </c>
      <c r="L142" s="12" t="n">
        <v>21.82</v>
      </c>
      <c r="M142" s="12" t="n">
        <v>2.18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20261102_2015</t>
        </is>
      </c>
      <c r="B143" s="13" t="n">
        <v>46328</v>
      </c>
      <c r="C143" s="14" t="n">
        <v>0.84375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30</v>
      </c>
      <c r="K143" s="16" t="n">
        <v>0</v>
      </c>
      <c r="L143" s="16" t="n">
        <v>27.28</v>
      </c>
      <c r="M143" s="16" t="n">
        <v>2.72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20261102_2215</t>
        </is>
      </c>
      <c r="B144" s="9" t="n">
        <v>46328</v>
      </c>
      <c r="C144" s="10" t="n">
        <v>0.9270833333333334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90</v>
      </c>
      <c r="K144" s="12" t="n">
        <v>0</v>
      </c>
      <c r="L144" s="12" t="n">
        <v>81.84</v>
      </c>
      <c r="M144" s="12" t="n">
        <v>8.16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20261102_2315</t>
        </is>
      </c>
      <c r="B145" s="13" t="n">
        <v>46328</v>
      </c>
      <c r="C145" s="14" t="n">
        <v>0.96875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45</v>
      </c>
      <c r="K145" s="16" t="n">
        <v>0</v>
      </c>
      <c r="L145" s="16" t="n">
        <v>40.92</v>
      </c>
      <c r="M145" s="16" t="n">
        <v>4.08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3</v>
      </c>
      <c r="R145" s="15">
        <f>IFERROR(INDEX(Tariffe!$E$2:$E$200,MATCH(E145,Tariffe!$A$2:$A$200,0))*1,1)</f>
        <v/>
      </c>
    </row>
    <row r="146">
      <c r="A146" s="22" t="inlineStr">
        <is>
          <t>20261102_2359</t>
        </is>
      </c>
      <c r="B146" s="9" t="n">
        <v>46328</v>
      </c>
      <c r="C146" s="10" t="n">
        <v>0.9993055555555556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15</v>
      </c>
      <c r="K146" s="12" t="n">
        <v>0</v>
      </c>
      <c r="L146" s="12" t="n">
        <v>13.64</v>
      </c>
      <c r="M146" s="12" t="n">
        <v>1.36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</sheetData>
  <autoFilter ref="A1:R1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</sheetData>
  <autoFilter ref="A1:G8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</sheetData>
  <autoFilter ref="A1:K13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139</v>
      </c>
      <c r="M6" s="11" t="n">
        <v>424</v>
      </c>
      <c r="N6" s="12" t="n">
        <v>5088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84</v>
      </c>
      <c r="H15" s="11" t="n">
        <v>263</v>
      </c>
      <c r="I15" s="12" t="n">
        <v>3156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47</v>
      </c>
      <c r="C27" s="11" t="n">
        <v>159</v>
      </c>
      <c r="D27" s="12" t="n">
        <v>1908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2026-10-28T10:28:16Z</dcterms:created>
  <dcterms:modified xsi:type="dcterms:W3CDTF">2026-10-28T10:28:17Z</dcterms:modified>
</cp:coreProperties>
</file>