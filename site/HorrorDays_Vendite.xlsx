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'Storico'!$A$1:$G$221</definedName>
    <definedName name="_xlnm._FilterDatabase" localSheetId="8" hidden="1">'Registro vendite'!$A$1:$K$156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'Storico'!$H$2:$H$221</f>
            </numRef>
          </cat>
          <val>
            <numRef>
              <f>'Storico'!$C$2:$C$221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MAX(Storico!A2:A221)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4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20261025_2359</t>
        </is>
      </c>
      <c r="B40" s="9" t="n">
        <v>46320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20261029_2015</t>
        </is>
      </c>
      <c r="B41" s="13" t="n">
        <v>46324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20261029_2015</t>
        </is>
      </c>
      <c r="B42" s="9" t="n">
        <v>46324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3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20261029_2215</t>
        </is>
      </c>
      <c r="B44" s="9" t="n">
        <v>46324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20261029_2215</t>
        </is>
      </c>
      <c r="B45" s="13" t="n">
        <v>46324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4</v>
      </c>
      <c r="I45" s="15" t="n">
        <v>0</v>
      </c>
      <c r="J45" s="16" t="n">
        <v>96</v>
      </c>
      <c r="K45" s="16" t="n">
        <v>0</v>
      </c>
      <c r="L45" s="16" t="n">
        <v>87.28</v>
      </c>
      <c r="M45" s="16" t="n">
        <v>8.720000000000001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20261029_2315</t>
        </is>
      </c>
      <c r="B46" s="9" t="n">
        <v>46324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20261029_2315</t>
        </is>
      </c>
      <c r="B47" s="13" t="n">
        <v>46324</v>
      </c>
      <c r="C47" s="14" t="n">
        <v>0.96875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20261029_2359</t>
        </is>
      </c>
      <c r="B48" s="9" t="n">
        <v>46324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20261030_2015</t>
        </is>
      </c>
      <c r="B49" s="13" t="n">
        <v>46325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20261030_2015</t>
        </is>
      </c>
      <c r="B50" s="9" t="n">
        <v>46325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20261030_2115</t>
        </is>
      </c>
      <c r="B51" s="13" t="n">
        <v>46325</v>
      </c>
      <c r="C51" s="14" t="n">
        <v>0.8854166666666666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20261030_2215</t>
        </is>
      </c>
      <c r="B52" s="9" t="n">
        <v>46325</v>
      </c>
      <c r="C52" s="10" t="n">
        <v>0.9270833333333334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20261030_2215</t>
        </is>
      </c>
      <c r="B53" s="13" t="n">
        <v>46325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3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20261030_2315</t>
        </is>
      </c>
      <c r="B54" s="9" t="n">
        <v>46325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20261030_2315</t>
        </is>
      </c>
      <c r="B55" s="13" t="n">
        <v>46325</v>
      </c>
      <c r="C55" s="14" t="n">
        <v>0.96875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20261030_2315</t>
        </is>
      </c>
      <c r="B56" s="9" t="n">
        <v>46325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2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20261030_2359</t>
        </is>
      </c>
      <c r="B57" s="13" t="n">
        <v>46325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20261031_2015</t>
        </is>
      </c>
      <c r="B58" s="9" t="n">
        <v>46326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20261031_2015</t>
        </is>
      </c>
      <c r="B59" s="13" t="n">
        <v>46326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20261031_2115</t>
        </is>
      </c>
      <c r="B60" s="9" t="n">
        <v>46326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20261031_2115</t>
        </is>
      </c>
      <c r="B61" s="13" t="n">
        <v>46326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20261031_2215</t>
        </is>
      </c>
      <c r="B62" s="9" t="n">
        <v>46326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20261031_2215</t>
        </is>
      </c>
      <c r="B63" s="13" t="n">
        <v>46326</v>
      </c>
      <c r="C63" s="14" t="n">
        <v>0.9270833333333334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20261031_2315</t>
        </is>
      </c>
      <c r="B64" s="9" t="n">
        <v>46326</v>
      </c>
      <c r="C64" s="10" t="n">
        <v>0.96875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20261031_2315</t>
        </is>
      </c>
      <c r="B65" s="13" t="n">
        <v>46326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4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20261031_2359</t>
        </is>
      </c>
      <c r="B66" s="9" t="n">
        <v>46326</v>
      </c>
      <c r="C66" s="10" t="n">
        <v>0.9993055555555556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20261031_2359</t>
        </is>
      </c>
      <c r="B67" s="13" t="n">
        <v>46326</v>
      </c>
      <c r="C67" s="14" t="n">
        <v>0.9993055555555556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20261101_2015</t>
        </is>
      </c>
      <c r="B68" s="9" t="n">
        <v>46327</v>
      </c>
      <c r="C68" s="10" t="n">
        <v>0.84375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11/2026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20261101_2115</t>
        </is>
      </c>
      <c r="B69" s="13" t="n">
        <v>46327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</v>
      </c>
      <c r="I69" s="15" t="n">
        <v>0</v>
      </c>
      <c r="J69" s="16" t="n">
        <v>24</v>
      </c>
      <c r="K69" s="16" t="n">
        <v>0</v>
      </c>
      <c r="L69" s="16" t="n">
        <v>21.82</v>
      </c>
      <c r="M69" s="16" t="n">
        <v>2.18</v>
      </c>
      <c r="N69" s="23" t="inlineStr">
        <is>
          <t>11/2026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20261101_2215</t>
        </is>
      </c>
      <c r="B70" s="9" t="n">
        <v>46327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</v>
      </c>
      <c r="I70" s="11" t="n">
        <v>0</v>
      </c>
      <c r="J70" s="12" t="n">
        <v>24</v>
      </c>
      <c r="K70" s="12" t="n">
        <v>0</v>
      </c>
      <c r="L70" s="12" t="n">
        <v>21.82</v>
      </c>
      <c r="M70" s="12" t="n">
        <v>2.18</v>
      </c>
      <c r="N70" s="22" t="inlineStr">
        <is>
          <t>11/2026</t>
        </is>
      </c>
      <c r="O70" s="11">
        <f>IFERROR(INDEX(Tariffe!$D$2:$D$200,MATCH(E70,Tariffe!$A$2:$A$200,0))*1,0)</f>
        <v/>
      </c>
      <c r="P70" s="11">
        <f>H70*O70</f>
        <v/>
      </c>
    </row>
  </sheetData>
  <autoFilter ref="A1:P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</sheetData>
  <autoFilter ref="A1:G2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</sheetData>
  <autoFilter ref="A1:K1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11</v>
      </c>
      <c r="C10" s="11" t="n">
        <v>27</v>
      </c>
      <c r="D10" s="12" t="n">
        <v>324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11</v>
      </c>
      <c r="M10" s="11" t="n">
        <v>27</v>
      </c>
      <c r="N10" s="12" t="n">
        <v>324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2026-10-11T14:14:35Z</dcterms:created>
  <dcterms:modified xsi:type="dcterms:W3CDTF">2026-10-11T14:14:35Z</dcterms:modified>
</cp:coreProperties>
</file>