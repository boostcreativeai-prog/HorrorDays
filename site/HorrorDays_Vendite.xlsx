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'Vendite'!$A$1:$R$139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'Storico'!$A$1:$G$771</definedName>
    <definedName name="_xlnm._FilterDatabase" localSheetId="8" hidden="1">'Registro vendite'!$A$1:$K$1232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'Storico'!$H$2:$H$771</f>
            </numRef>
          </cat>
          <val>
            <numRef>
              <f>'Storico'!$C$2:$C$771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168</v>
      </c>
      <c r="K64" s="12" t="n">
        <v>0</v>
      </c>
      <c r="L64" s="12" t="n">
        <v>152.74</v>
      </c>
      <c r="M64" s="12" t="n">
        <v>15.26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1056</v>
      </c>
      <c r="K69" s="16" t="n">
        <v>0</v>
      </c>
      <c r="L69" s="16" t="n">
        <v>960.08</v>
      </c>
      <c r="M69" s="16" t="n">
        <v>95.92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324</v>
      </c>
      <c r="K70" s="12" t="n">
        <v>0</v>
      </c>
      <c r="L70" s="12" t="n">
        <v>294.57</v>
      </c>
      <c r="M70" s="12" t="n">
        <v>29.43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9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600</v>
      </c>
      <c r="K71" s="16" t="n">
        <v>0</v>
      </c>
      <c r="L71" s="16" t="n">
        <v>545.5</v>
      </c>
      <c r="M71" s="16" t="n">
        <v>54.5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10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744</v>
      </c>
      <c r="K72" s="12" t="n">
        <v>0</v>
      </c>
      <c r="L72" s="12" t="n">
        <v>676.42</v>
      </c>
      <c r="M72" s="12" t="n">
        <v>67.58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31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16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5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336</v>
      </c>
      <c r="K85" s="16" t="n">
        <v>0</v>
      </c>
      <c r="L85" s="16" t="n">
        <v>305.48</v>
      </c>
      <c r="M85" s="16" t="n">
        <v>30.52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14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696</v>
      </c>
      <c r="K89" s="16" t="n">
        <v>0</v>
      </c>
      <c r="L89" s="16" t="n">
        <v>632.78</v>
      </c>
      <c r="M89" s="16" t="n">
        <v>63.22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360</v>
      </c>
      <c r="K92" s="12" t="n">
        <v>0</v>
      </c>
      <c r="L92" s="12" t="n">
        <v>327.3</v>
      </c>
      <c r="M92" s="12" t="n">
        <v>32.7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6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360</v>
      </c>
      <c r="K93" s="16" t="n">
        <v>0</v>
      </c>
      <c r="L93" s="16" t="n">
        <v>327.3</v>
      </c>
      <c r="M93" s="16" t="n">
        <v>32.7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15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11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1248</v>
      </c>
      <c r="K101" s="16" t="n">
        <v>0</v>
      </c>
      <c r="L101" s="16" t="n">
        <v>1134.64</v>
      </c>
      <c r="M101" s="16" t="n">
        <v>113.36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624</v>
      </c>
      <c r="K104" s="12" t="n">
        <v>0</v>
      </c>
      <c r="L104" s="12" t="n">
        <v>567.3200000000001</v>
      </c>
      <c r="M104" s="12" t="n">
        <v>56.68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26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2256</v>
      </c>
      <c r="K113" s="16" t="n">
        <v>0</v>
      </c>
      <c r="L113" s="16" t="n">
        <v>2051.08</v>
      </c>
      <c r="M113" s="16" t="n">
        <v>204.92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47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648</v>
      </c>
      <c r="K116" s="12" t="n">
        <v>0</v>
      </c>
      <c r="L116" s="12" t="n">
        <v>589.14</v>
      </c>
      <c r="M116" s="12" t="n">
        <v>58.86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27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288</v>
      </c>
      <c r="K121" s="16" t="n">
        <v>0</v>
      </c>
      <c r="L121" s="16" t="n">
        <v>261.84</v>
      </c>
      <c r="M121" s="16" t="n">
        <v>26.16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6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48</v>
      </c>
      <c r="K132" s="12" t="n">
        <v>0</v>
      </c>
      <c r="L132" s="12" t="n">
        <v>43.64</v>
      </c>
      <c r="M132" s="12" t="n">
        <v>4.36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48</v>
      </c>
      <c r="K133" s="16" t="n">
        <v>0</v>
      </c>
      <c r="L133" s="16" t="n">
        <v>43.64</v>
      </c>
      <c r="M133" s="16" t="n">
        <v>4.36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24</v>
      </c>
      <c r="K135" s="16" t="n">
        <v>0</v>
      </c>
      <c r="L135" s="16" t="n">
        <v>21.82</v>
      </c>
      <c r="M135" s="16" t="n">
        <v>2.18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20261102_2015</t>
        </is>
      </c>
      <c r="B136" s="9" t="n">
        <v>46328</v>
      </c>
      <c r="C136" s="10" t="n">
        <v>0.84375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30</v>
      </c>
      <c r="K136" s="12" t="n">
        <v>0</v>
      </c>
      <c r="L136" s="12" t="n">
        <v>27.28</v>
      </c>
      <c r="M136" s="12" t="n">
        <v>2.72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20261102_2215</t>
        </is>
      </c>
      <c r="B137" s="13" t="n">
        <v>46328</v>
      </c>
      <c r="C137" s="14" t="n">
        <v>0.9270833333333334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90</v>
      </c>
      <c r="K137" s="16" t="n">
        <v>0</v>
      </c>
      <c r="L137" s="16" t="n">
        <v>81.84</v>
      </c>
      <c r="M137" s="16" t="n">
        <v>8.16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6</v>
      </c>
      <c r="R137" s="15">
        <f>IFERROR(INDEX(Tariffe!$E$2:$E$200,MATCH(E137,Tariffe!$A$2:$A$200,0))*1,1)</f>
        <v/>
      </c>
    </row>
    <row r="138">
      <c r="A138" s="22" t="inlineStr">
        <is>
          <t>20261102_2315</t>
        </is>
      </c>
      <c r="B138" s="9" t="n">
        <v>46328</v>
      </c>
      <c r="C138" s="10" t="n">
        <v>0.96875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45</v>
      </c>
      <c r="K138" s="12" t="n">
        <v>0</v>
      </c>
      <c r="L138" s="12" t="n">
        <v>40.92</v>
      </c>
      <c r="M138" s="12" t="n">
        <v>4.08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20261102_2359</t>
        </is>
      </c>
      <c r="B139" s="13" t="n">
        <v>46328</v>
      </c>
      <c r="C139" s="14" t="n">
        <v>0.9993055555555556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15</v>
      </c>
      <c r="K139" s="16" t="n">
        <v>0</v>
      </c>
      <c r="L139" s="16" t="n">
        <v>13.64</v>
      </c>
      <c r="M139" s="16" t="n">
        <v>1.36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</sheetData>
  <autoFilter ref="A1:R1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</sheetData>
  <autoFilter ref="A1:G7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</sheetData>
  <autoFilter ref="A1:K12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176</v>
      </c>
      <c r="M5" s="11" t="n">
        <v>551</v>
      </c>
      <c r="N5" s="12" t="n">
        <v>6612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125</v>
      </c>
      <c r="H18" s="11" t="n">
        <v>397</v>
      </c>
      <c r="I18" s="12" t="n">
        <v>4764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78</v>
      </c>
      <c r="C26" s="11" t="n">
        <v>262</v>
      </c>
      <c r="D26" s="12" t="n">
        <v>3144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2026-10-27T13:26:42Z</dcterms:created>
  <dcterms:modified xsi:type="dcterms:W3CDTF">2026-10-27T13:26:42Z</dcterms:modified>
</cp:coreProperties>
</file>