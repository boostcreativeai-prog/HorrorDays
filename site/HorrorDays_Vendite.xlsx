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'Vendite'!$A$1:$R$148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'Storico'!$A$1:$G$812</definedName>
    <definedName name="_xlnm._FilterDatabase" localSheetId="8" hidden="1">'Registro vendite'!$A$1:$K$1419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'Storico'!$H$2:$H$812</f>
            </numRef>
          </cat>
          <val>
            <numRef>
              <f>'Storico'!$C$2:$C$812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MAX(Storico!A2:A812)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336</v>
      </c>
      <c r="K62" s="12" t="n">
        <v>0</v>
      </c>
      <c r="L62" s="12" t="n">
        <v>305.48</v>
      </c>
      <c r="M62" s="12" t="n">
        <v>30.52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7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264</v>
      </c>
      <c r="K65" s="16" t="n">
        <v>0</v>
      </c>
      <c r="L65" s="16" t="n">
        <v>240.02</v>
      </c>
      <c r="M65" s="16" t="n">
        <v>23.98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11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912</v>
      </c>
      <c r="K66" s="12" t="n">
        <v>0</v>
      </c>
      <c r="L66" s="12" t="n">
        <v>829.16</v>
      </c>
      <c r="M66" s="12" t="n">
        <v>82.84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19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600</v>
      </c>
      <c r="K68" s="12" t="n">
        <v>0</v>
      </c>
      <c r="L68" s="12" t="n">
        <v>545.5</v>
      </c>
      <c r="M68" s="12" t="n">
        <v>54.5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10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744</v>
      </c>
      <c r="K69" s="16" t="n">
        <v>0</v>
      </c>
      <c r="L69" s="16" t="n">
        <v>676.42</v>
      </c>
      <c r="M69" s="16" t="n">
        <v>67.58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432</v>
      </c>
      <c r="K78" s="12" t="n">
        <v>0</v>
      </c>
      <c r="L78" s="12" t="n">
        <v>392.76</v>
      </c>
      <c r="M78" s="12" t="n">
        <v>39.24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9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384</v>
      </c>
      <c r="K80" s="12" t="n">
        <v>0</v>
      </c>
      <c r="L80" s="12" t="n">
        <v>349.12</v>
      </c>
      <c r="M80" s="12" t="n">
        <v>34.88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16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144</v>
      </c>
      <c r="K81" s="16" t="n">
        <v>0</v>
      </c>
      <c r="L81" s="16" t="n">
        <v>130.92</v>
      </c>
      <c r="M81" s="16" t="n">
        <v>13.08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312</v>
      </c>
      <c r="K82" s="12" t="n">
        <v>0</v>
      </c>
      <c r="L82" s="12" t="n">
        <v>283.66</v>
      </c>
      <c r="M82" s="12" t="n">
        <v>28.34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360</v>
      </c>
      <c r="K85" s="16" t="n">
        <v>0</v>
      </c>
      <c r="L85" s="16" t="n">
        <v>327.3</v>
      </c>
      <c r="M85" s="16" t="n">
        <v>32.7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504</v>
      </c>
      <c r="K86" s="12" t="n">
        <v>0</v>
      </c>
      <c r="L86" s="12" t="n">
        <v>458.22</v>
      </c>
      <c r="M86" s="12" t="n">
        <v>45.78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21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1632</v>
      </c>
      <c r="K87" s="16" t="n">
        <v>0</v>
      </c>
      <c r="L87" s="16" t="n">
        <v>1483.76</v>
      </c>
      <c r="M87" s="16" t="n">
        <v>148.24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34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4</v>
      </c>
      <c r="J90" s="12" t="n">
        <v>816</v>
      </c>
      <c r="K90" s="12" t="n">
        <v>0</v>
      </c>
      <c r="L90" s="12" t="n">
        <v>741.88</v>
      </c>
      <c r="M90" s="12" t="n">
        <v>74.12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1152</v>
      </c>
      <c r="K91" s="16" t="n">
        <v>0</v>
      </c>
      <c r="L91" s="16" t="n">
        <v>1047.36</v>
      </c>
      <c r="M91" s="16" t="n">
        <v>104.64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24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432</v>
      </c>
      <c r="K92" s="12" t="n">
        <v>0</v>
      </c>
      <c r="L92" s="12" t="n">
        <v>392.76</v>
      </c>
      <c r="M92" s="12" t="n">
        <v>39.24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780</v>
      </c>
      <c r="K93" s="16" t="n">
        <v>0</v>
      </c>
      <c r="L93" s="16" t="n">
        <v>709.15</v>
      </c>
      <c r="M93" s="16" t="n">
        <v>70.84999999999999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13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720</v>
      </c>
      <c r="K94" s="12" t="n">
        <v>0</v>
      </c>
      <c r="L94" s="12" t="n">
        <v>654.6</v>
      </c>
      <c r="M94" s="12" t="n">
        <v>65.40000000000001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30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384</v>
      </c>
      <c r="K95" s="16" t="n">
        <v>0</v>
      </c>
      <c r="L95" s="16" t="n">
        <v>349.12</v>
      </c>
      <c r="M95" s="16" t="n">
        <v>34.88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8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0</v>
      </c>
      <c r="J97" s="16" t="n">
        <v>420</v>
      </c>
      <c r="K97" s="16" t="n">
        <v>0</v>
      </c>
      <c r="L97" s="16" t="n">
        <v>381.85</v>
      </c>
      <c r="M97" s="16" t="n">
        <v>38.15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7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432</v>
      </c>
      <c r="K98" s="12" t="n">
        <v>0</v>
      </c>
      <c r="L98" s="12" t="n">
        <v>392.76</v>
      </c>
      <c r="M98" s="12" t="n">
        <v>39.24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18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48</v>
      </c>
      <c r="K99" s="16" t="n">
        <v>0</v>
      </c>
      <c r="L99" s="16" t="n">
        <v>43.64</v>
      </c>
      <c r="M99" s="16" t="n">
        <v>4.36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168</v>
      </c>
      <c r="K102" s="12" t="n">
        <v>0</v>
      </c>
      <c r="L102" s="12" t="n">
        <v>152.74</v>
      </c>
      <c r="M102" s="12" t="n">
        <v>15.26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7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0</v>
      </c>
      <c r="J103" s="16" t="n">
        <v>1584</v>
      </c>
      <c r="K103" s="16" t="n">
        <v>0</v>
      </c>
      <c r="L103" s="16" t="n">
        <v>1440.12</v>
      </c>
      <c r="M103" s="16" t="n">
        <v>143.88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33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288</v>
      </c>
      <c r="K104" s="12" t="n">
        <v>0</v>
      </c>
      <c r="L104" s="12" t="n">
        <v>261.84</v>
      </c>
      <c r="M104" s="12" t="n">
        <v>26.16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8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2</v>
      </c>
      <c r="J105" s="16" t="n">
        <v>660</v>
      </c>
      <c r="K105" s="16" t="n">
        <v>0</v>
      </c>
      <c r="L105" s="16" t="n">
        <v>600.05</v>
      </c>
      <c r="M105" s="16" t="n">
        <v>59.95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11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672</v>
      </c>
      <c r="K106" s="12" t="n">
        <v>0</v>
      </c>
      <c r="L106" s="12" t="n">
        <v>610.96</v>
      </c>
      <c r="M106" s="12" t="n">
        <v>61.04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28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1440</v>
      </c>
      <c r="K107" s="16" t="n">
        <v>0</v>
      </c>
      <c r="L107" s="16" t="n">
        <v>1309.2</v>
      </c>
      <c r="M107" s="16" t="n">
        <v>130.8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30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216</v>
      </c>
      <c r="K108" s="12" t="n">
        <v>0</v>
      </c>
      <c r="L108" s="12" t="n">
        <v>196.38</v>
      </c>
      <c r="M108" s="12" t="n">
        <v>19.62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6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360</v>
      </c>
      <c r="K109" s="16" t="n">
        <v>0</v>
      </c>
      <c r="L109" s="16" t="n">
        <v>327.3</v>
      </c>
      <c r="M109" s="16" t="n">
        <v>32.7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6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912</v>
      </c>
      <c r="K110" s="12" t="n">
        <v>0</v>
      </c>
      <c r="L110" s="12" t="n">
        <v>829.16</v>
      </c>
      <c r="M110" s="12" t="n">
        <v>82.84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38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3</v>
      </c>
      <c r="J111" s="16" t="n">
        <v>1296</v>
      </c>
      <c r="K111" s="16" t="n">
        <v>0</v>
      </c>
      <c r="L111" s="16" t="n">
        <v>1178.28</v>
      </c>
      <c r="M111" s="16" t="n">
        <v>117.72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27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180</v>
      </c>
      <c r="K112" s="12" t="n">
        <v>0</v>
      </c>
      <c r="L112" s="12" t="n">
        <v>163.65</v>
      </c>
      <c r="M112" s="12" t="n">
        <v>16.35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5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240</v>
      </c>
      <c r="K113" s="16" t="n">
        <v>0</v>
      </c>
      <c r="L113" s="16" t="n">
        <v>218.2</v>
      </c>
      <c r="M113" s="16" t="n">
        <v>21.8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1056</v>
      </c>
      <c r="K114" s="12" t="n">
        <v>0</v>
      </c>
      <c r="L114" s="12" t="n">
        <v>960.08</v>
      </c>
      <c r="M114" s="12" t="n">
        <v>95.92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44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1968</v>
      </c>
      <c r="K115" s="16" t="n">
        <v>0</v>
      </c>
      <c r="L115" s="16" t="n">
        <v>1789.24</v>
      </c>
      <c r="M115" s="16" t="n">
        <v>178.76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41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108</v>
      </c>
      <c r="K116" s="12" t="n">
        <v>0</v>
      </c>
      <c r="L116" s="12" t="n">
        <v>98.19</v>
      </c>
      <c r="M116" s="12" t="n">
        <v>9.81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I5 60€</t>
        </is>
      </c>
      <c r="F117" s="23">
        <f>IFERROR(INDEX(Tariffe!$B$2:$B$200,MATCH(E117,Tariffe!$A$2:$A$200,0)),"DA DEFINIRE")</f>
        <v/>
      </c>
      <c r="G117" s="16" t="n">
        <v>60</v>
      </c>
      <c r="H117" s="15">
        <f>Q117*R117</f>
        <v/>
      </c>
      <c r="I117" s="15" t="n">
        <v>0</v>
      </c>
      <c r="J117" s="16" t="n">
        <v>300</v>
      </c>
      <c r="K117" s="16" t="n">
        <v>0</v>
      </c>
      <c r="L117" s="16" t="n">
        <v>272.75</v>
      </c>
      <c r="M117" s="16" t="n">
        <v>27.25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5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744</v>
      </c>
      <c r="K118" s="12" t="n">
        <v>0</v>
      </c>
      <c r="L118" s="12" t="n">
        <v>676.42</v>
      </c>
      <c r="M118" s="12" t="n">
        <v>67.58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2256</v>
      </c>
      <c r="K119" s="16" t="n">
        <v>0</v>
      </c>
      <c r="L119" s="16" t="n">
        <v>2051.08</v>
      </c>
      <c r="M119" s="16" t="n">
        <v>204.92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47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36</v>
      </c>
      <c r="K120" s="12" t="n">
        <v>0</v>
      </c>
      <c r="L120" s="12" t="n">
        <v>32.73</v>
      </c>
      <c r="M120" s="12" t="n">
        <v>3.27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1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300</v>
      </c>
      <c r="K121" s="16" t="n">
        <v>0</v>
      </c>
      <c r="L121" s="16" t="n">
        <v>272.75</v>
      </c>
      <c r="M121" s="16" t="n">
        <v>27.25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5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648</v>
      </c>
      <c r="K122" s="12" t="n">
        <v>0</v>
      </c>
      <c r="L122" s="12" t="n">
        <v>589.14</v>
      </c>
      <c r="M122" s="12" t="n">
        <v>58.86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27</v>
      </c>
      <c r="R122" s="11">
        <f>IFERROR(INDEX(Tariffe!$E$2:$E$200,MATCH(E122,Tariffe!$A$2:$A$200,0))*1,1)</f>
        <v/>
      </c>
    </row>
    <row r="123">
      <c r="A123" s="23" t="inlineStr">
        <is>
          <t>20261101_1915</t>
        </is>
      </c>
      <c r="B123" s="13" t="n">
        <v>46327</v>
      </c>
      <c r="C123" s="14" t="n">
        <v>0.8020833333333334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48</v>
      </c>
      <c r="K123" s="16" t="n">
        <v>0</v>
      </c>
      <c r="L123" s="16" t="n">
        <v>43.64</v>
      </c>
      <c r="M123" s="16" t="n">
        <v>4.36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20261101_1915</t>
        </is>
      </c>
      <c r="B124" s="9" t="n">
        <v>46327</v>
      </c>
      <c r="C124" s="10" t="n">
        <v>0.8020833333333334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36</v>
      </c>
      <c r="K124" s="12" t="n">
        <v>0</v>
      </c>
      <c r="L124" s="12" t="n">
        <v>32.73</v>
      </c>
      <c r="M124" s="12" t="n">
        <v>3.27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432</v>
      </c>
      <c r="K126" s="12" t="n">
        <v>0</v>
      </c>
      <c r="L126" s="12" t="n">
        <v>392.76</v>
      </c>
      <c r="M126" s="12" t="n">
        <v>39.24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9</v>
      </c>
      <c r="R126" s="11">
        <f>IFERROR(INDEX(Tariffe!$E$2:$E$200,MATCH(E126,Tariffe!$A$2:$A$200,0))*1,1)</f>
        <v/>
      </c>
    </row>
    <row r="127">
      <c r="A127" s="23" t="inlineStr">
        <is>
          <t>20261101_2015</t>
        </is>
      </c>
      <c r="B127" s="13" t="n">
        <v>46327</v>
      </c>
      <c r="C127" s="14" t="n">
        <v>0.84375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20261101_2015</t>
        </is>
      </c>
      <c r="B128" s="9" t="n">
        <v>46327</v>
      </c>
      <c r="C128" s="10" t="n">
        <v>0.84375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120</v>
      </c>
      <c r="K128" s="12" t="n">
        <v>0</v>
      </c>
      <c r="L128" s="12" t="n">
        <v>109.1</v>
      </c>
      <c r="M128" s="12" t="n">
        <v>10.9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120</v>
      </c>
      <c r="K129" s="16" t="n">
        <v>0</v>
      </c>
      <c r="L129" s="16" t="n">
        <v>109.1</v>
      </c>
      <c r="M129" s="16" t="n">
        <v>10.9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5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480</v>
      </c>
      <c r="K130" s="12" t="n">
        <v>0</v>
      </c>
      <c r="L130" s="12" t="n">
        <v>436.4</v>
      </c>
      <c r="M130" s="12" t="n">
        <v>43.6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10</v>
      </c>
      <c r="R130" s="11">
        <f>IFERROR(INDEX(Tariffe!$E$2:$E$200,MATCH(E130,Tariffe!$A$2:$A$200,0))*1,1)</f>
        <v/>
      </c>
    </row>
    <row r="131">
      <c r="A131" s="23" t="inlineStr">
        <is>
          <t>20261101_2115</t>
        </is>
      </c>
      <c r="B131" s="13" t="n">
        <v>46327</v>
      </c>
      <c r="C131" s="14" t="n">
        <v>0.8854166666666666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144</v>
      </c>
      <c r="K131" s="16" t="n">
        <v>0</v>
      </c>
      <c r="L131" s="16" t="n">
        <v>130.92</v>
      </c>
      <c r="M131" s="16" t="n">
        <v>13.08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4</v>
      </c>
      <c r="R131" s="15">
        <f>IFERROR(INDEX(Tariffe!$E$2:$E$200,MATCH(E131,Tariffe!$A$2:$A$200,0))*1,1)</f>
        <v/>
      </c>
    </row>
    <row r="132">
      <c r="A132" s="22" t="inlineStr">
        <is>
          <t>20261101_2115</t>
        </is>
      </c>
      <c r="B132" s="9" t="n">
        <v>46327</v>
      </c>
      <c r="C132" s="10" t="n">
        <v>0.8854166666666666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240</v>
      </c>
      <c r="K132" s="12" t="n">
        <v>0</v>
      </c>
      <c r="L132" s="12" t="n">
        <v>218.2</v>
      </c>
      <c r="M132" s="12" t="n">
        <v>21.8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4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312</v>
      </c>
      <c r="K133" s="16" t="n">
        <v>0</v>
      </c>
      <c r="L133" s="16" t="n">
        <v>283.66</v>
      </c>
      <c r="M133" s="16" t="n">
        <v>28.34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13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960</v>
      </c>
      <c r="K134" s="12" t="n">
        <v>0</v>
      </c>
      <c r="L134" s="12" t="n">
        <v>872.8</v>
      </c>
      <c r="M134" s="12" t="n">
        <v>87.2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20</v>
      </c>
      <c r="R134" s="11">
        <f>IFERROR(INDEX(Tariffe!$E$2:$E$200,MATCH(E134,Tariffe!$A$2:$A$200,0))*1,1)</f>
        <v/>
      </c>
    </row>
    <row r="135">
      <c r="A135" s="23" t="inlineStr">
        <is>
          <t>20261101_2215</t>
        </is>
      </c>
      <c r="B135" s="13" t="n">
        <v>46327</v>
      </c>
      <c r="C135" s="14" t="n">
        <v>0.9270833333333334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108</v>
      </c>
      <c r="K135" s="16" t="n">
        <v>0</v>
      </c>
      <c r="L135" s="16" t="n">
        <v>98.19</v>
      </c>
      <c r="M135" s="16" t="n">
        <v>9.81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3</v>
      </c>
      <c r="R135" s="15">
        <f>IFERROR(INDEX(Tariffe!$E$2:$E$200,MATCH(E135,Tariffe!$A$2:$A$200,0))*1,1)</f>
        <v/>
      </c>
    </row>
    <row r="136">
      <c r="A136" s="22" t="inlineStr">
        <is>
          <t>20261101_2215</t>
        </is>
      </c>
      <c r="B136" s="9" t="n">
        <v>46327</v>
      </c>
      <c r="C136" s="10" t="n">
        <v>0.9270833333333334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180</v>
      </c>
      <c r="K136" s="12" t="n">
        <v>0</v>
      </c>
      <c r="L136" s="12" t="n">
        <v>163.65</v>
      </c>
      <c r="M136" s="12" t="n">
        <v>16.35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3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504</v>
      </c>
      <c r="K137" s="16" t="n">
        <v>0</v>
      </c>
      <c r="L137" s="16" t="n">
        <v>458.22</v>
      </c>
      <c r="M137" s="16" t="n">
        <v>45.78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21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144</v>
      </c>
      <c r="K138" s="12" t="n">
        <v>0</v>
      </c>
      <c r="L138" s="12" t="n">
        <v>130.92</v>
      </c>
      <c r="M138" s="12" t="n">
        <v>13.08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20261101_2315</t>
        </is>
      </c>
      <c r="B139" s="13" t="n">
        <v>46327</v>
      </c>
      <c r="C139" s="14" t="n">
        <v>0.96875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72</v>
      </c>
      <c r="K139" s="16" t="n">
        <v>0</v>
      </c>
      <c r="L139" s="16" t="n">
        <v>65.45999999999999</v>
      </c>
      <c r="M139" s="16" t="n">
        <v>6.54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2</v>
      </c>
      <c r="R139" s="15">
        <f>IFERROR(INDEX(Tariffe!$E$2:$E$200,MATCH(E139,Tariffe!$A$2:$A$200,0))*1,1)</f>
        <v/>
      </c>
    </row>
    <row r="140">
      <c r="A140" s="22" t="inlineStr">
        <is>
          <t>20261101_2315</t>
        </is>
      </c>
      <c r="B140" s="9" t="n">
        <v>46327</v>
      </c>
      <c r="C140" s="10" t="n">
        <v>0.96875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240</v>
      </c>
      <c r="K140" s="12" t="n">
        <v>0</v>
      </c>
      <c r="L140" s="12" t="n">
        <v>218.2</v>
      </c>
      <c r="M140" s="12" t="n">
        <v>21.8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4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96</v>
      </c>
      <c r="K141" s="16" t="n">
        <v>0</v>
      </c>
      <c r="L141" s="16" t="n">
        <v>87.28</v>
      </c>
      <c r="M141" s="16" t="n">
        <v>8.720000000000001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4</v>
      </c>
      <c r="R141" s="15">
        <f>IFERROR(INDEX(Tariffe!$E$2:$E$200,MATCH(E141,Tariffe!$A$2:$A$200,0))*1,1)</f>
        <v/>
      </c>
    </row>
    <row r="142">
      <c r="A142" s="22" t="inlineStr">
        <is>
          <t>20261101_2359</t>
        </is>
      </c>
      <c r="B142" s="9" t="n">
        <v>46327</v>
      </c>
      <c r="C142" s="10" t="n">
        <v>0.9993055555555556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192</v>
      </c>
      <c r="K142" s="12" t="n">
        <v>0</v>
      </c>
      <c r="L142" s="12" t="n">
        <v>174.56</v>
      </c>
      <c r="M142" s="12" t="n">
        <v>17.44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4</v>
      </c>
      <c r="R142" s="11">
        <f>IFERROR(INDEX(Tariffe!$E$2:$E$200,MATCH(E142,Tariffe!$A$2:$A$200,0))*1,1)</f>
        <v/>
      </c>
    </row>
    <row r="143">
      <c r="A143" s="23" t="inlineStr">
        <is>
          <t>20261101_2359</t>
        </is>
      </c>
      <c r="B143" s="13" t="n">
        <v>46327</v>
      </c>
      <c r="C143" s="14" t="n">
        <v>0.9993055555555556</v>
      </c>
      <c r="D143" s="23" t="inlineStr">
        <is>
          <t>UN Unico</t>
        </is>
      </c>
      <c r="E143" s="23" t="inlineStr">
        <is>
          <t>I5 60€</t>
        </is>
      </c>
      <c r="F143" s="23">
        <f>IFERROR(INDEX(Tariffe!$B$2:$B$200,MATCH(E143,Tariffe!$A$2:$A$200,0)),"DA DEFINIRE")</f>
        <v/>
      </c>
      <c r="G143" s="16" t="n">
        <v>60</v>
      </c>
      <c r="H143" s="15">
        <f>Q143*R143</f>
        <v/>
      </c>
      <c r="I143" s="15" t="n">
        <v>0</v>
      </c>
      <c r="J143" s="16" t="n">
        <v>60</v>
      </c>
      <c r="K143" s="16" t="n">
        <v>0</v>
      </c>
      <c r="L143" s="16" t="n">
        <v>54.55</v>
      </c>
      <c r="M143" s="16" t="n">
        <v>5.45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</v>
      </c>
      <c r="R143" s="15">
        <f>IFERROR(INDEX(Tariffe!$E$2:$E$200,MATCH(E143,Tariffe!$A$2:$A$200,0))*1,1)</f>
        <v/>
      </c>
    </row>
    <row r="144">
      <c r="A144" s="22" t="inlineStr">
        <is>
          <t>20261101_2359</t>
        </is>
      </c>
      <c r="B144" s="9" t="n">
        <v>46327</v>
      </c>
      <c r="C144" s="10" t="n">
        <v>0.9993055555555556</v>
      </c>
      <c r="D144" s="22" t="inlineStr">
        <is>
          <t>UN Unico</t>
        </is>
      </c>
      <c r="E144" s="22" t="inlineStr">
        <is>
          <t>I8 24€</t>
        </is>
      </c>
      <c r="F144" s="22">
        <f>IFERROR(INDEX(Tariffe!$B$2:$B$200,MATCH(E144,Tariffe!$A$2:$A$200,0)),"DA DEFINIRE")</f>
        <v/>
      </c>
      <c r="G144" s="12" t="n">
        <v>24</v>
      </c>
      <c r="H144" s="11">
        <f>Q144*R144</f>
        <v/>
      </c>
      <c r="I144" s="11" t="n">
        <v>0</v>
      </c>
      <c r="J144" s="12" t="n">
        <v>48</v>
      </c>
      <c r="K144" s="12" t="n">
        <v>0</v>
      </c>
      <c r="L144" s="12" t="n">
        <v>43.64</v>
      </c>
      <c r="M144" s="12" t="n">
        <v>4.36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2</v>
      </c>
      <c r="R144" s="11">
        <f>IFERROR(INDEX(Tariffe!$E$2:$E$200,MATCH(E144,Tariffe!$A$2:$A$200,0))*1,1)</f>
        <v/>
      </c>
    </row>
    <row r="145">
      <c r="A145" s="23" t="inlineStr">
        <is>
          <t>20261102_2015</t>
        </is>
      </c>
      <c r="B145" s="13" t="n">
        <v>46328</v>
      </c>
      <c r="C145" s="14" t="n">
        <v>0.84375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30</v>
      </c>
      <c r="K145" s="16" t="n">
        <v>0</v>
      </c>
      <c r="L145" s="16" t="n">
        <v>27.28</v>
      </c>
      <c r="M145" s="16" t="n">
        <v>2.72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</v>
      </c>
      <c r="R145" s="15">
        <f>IFERROR(INDEX(Tariffe!$E$2:$E$200,MATCH(E145,Tariffe!$A$2:$A$200,0))*1,1)</f>
        <v/>
      </c>
    </row>
    <row r="146">
      <c r="A146" s="22" t="inlineStr">
        <is>
          <t>20261102_2215</t>
        </is>
      </c>
      <c r="B146" s="9" t="n">
        <v>46328</v>
      </c>
      <c r="C146" s="10" t="n">
        <v>0.9270833333333334</v>
      </c>
      <c r="D146" s="22" t="inlineStr">
        <is>
          <t>UN Unico</t>
        </is>
      </c>
      <c r="E146" s="22" t="inlineStr">
        <is>
          <t>I1 15€</t>
        </is>
      </c>
      <c r="F146" s="22">
        <f>IFERROR(INDEX(Tariffe!$B$2:$B$200,MATCH(E146,Tariffe!$A$2:$A$200,0)),"DA DEFINIRE")</f>
        <v/>
      </c>
      <c r="G146" s="12" t="n">
        <v>15</v>
      </c>
      <c r="H146" s="11">
        <f>Q146*R146</f>
        <v/>
      </c>
      <c r="I146" s="11" t="n">
        <v>0</v>
      </c>
      <c r="J146" s="12" t="n">
        <v>90</v>
      </c>
      <c r="K146" s="12" t="n">
        <v>0</v>
      </c>
      <c r="L146" s="12" t="n">
        <v>81.84</v>
      </c>
      <c r="M146" s="12" t="n">
        <v>8.16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6</v>
      </c>
      <c r="R146" s="11">
        <f>IFERROR(INDEX(Tariffe!$E$2:$E$200,MATCH(E146,Tariffe!$A$2:$A$200,0))*1,1)</f>
        <v/>
      </c>
    </row>
    <row r="147">
      <c r="A147" s="23" t="inlineStr">
        <is>
          <t>20261102_2315</t>
        </is>
      </c>
      <c r="B147" s="13" t="n">
        <v>46328</v>
      </c>
      <c r="C147" s="14" t="n">
        <v>0.96875</v>
      </c>
      <c r="D147" s="23" t="inlineStr">
        <is>
          <t>UN Unico</t>
        </is>
      </c>
      <c r="E147" s="23" t="inlineStr">
        <is>
          <t>I1 15€</t>
        </is>
      </c>
      <c r="F147" s="23">
        <f>IFERROR(INDEX(Tariffe!$B$2:$B$200,MATCH(E147,Tariffe!$A$2:$A$200,0)),"DA DEFINIRE")</f>
        <v/>
      </c>
      <c r="G147" s="16" t="n">
        <v>15</v>
      </c>
      <c r="H147" s="15">
        <f>Q147*R147</f>
        <v/>
      </c>
      <c r="I147" s="15" t="n">
        <v>0</v>
      </c>
      <c r="J147" s="16" t="n">
        <v>45</v>
      </c>
      <c r="K147" s="16" t="n">
        <v>0</v>
      </c>
      <c r="L147" s="16" t="n">
        <v>40.92</v>
      </c>
      <c r="M147" s="16" t="n">
        <v>4.08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3</v>
      </c>
      <c r="R147" s="15">
        <f>IFERROR(INDEX(Tariffe!$E$2:$E$200,MATCH(E147,Tariffe!$A$2:$A$200,0))*1,1)</f>
        <v/>
      </c>
    </row>
    <row r="148">
      <c r="A148" s="22" t="inlineStr">
        <is>
          <t>20261102_2359</t>
        </is>
      </c>
      <c r="B148" s="9" t="n">
        <v>46328</v>
      </c>
      <c r="C148" s="10" t="n">
        <v>0.9993055555555556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15</v>
      </c>
      <c r="K148" s="12" t="n">
        <v>0</v>
      </c>
      <c r="L148" s="12" t="n">
        <v>13.64</v>
      </c>
      <c r="M148" s="12" t="n">
        <v>1.36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</sheetData>
  <autoFilter ref="A1:R14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</sheetData>
  <autoFilter ref="A1:G8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</sheetData>
  <autoFilter ref="A1:K141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217</v>
      </c>
      <c r="M6" s="11" t="n">
        <v>681</v>
      </c>
      <c r="N6" s="12" t="n">
        <v>8172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125</v>
      </c>
      <c r="C27" s="11" t="n">
        <v>416</v>
      </c>
      <c r="D27" s="12" t="n">
        <v>4992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2026-10-28T15:45:45Z</dcterms:created>
  <dcterms:modified xsi:type="dcterms:W3CDTF">2026-10-28T15:45:46Z</dcterms:modified>
</cp:coreProperties>
</file>