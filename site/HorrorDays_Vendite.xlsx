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'Vendite'!$A$1:$R$149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'Storico'!$A$1:$G$897</definedName>
    <definedName name="_xlnm._FilterDatabase" localSheetId="8" hidden="1">'Registro vendite'!$A$1:$K$1687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'Storico'!$H$2:$H$897</f>
            </numRef>
          </cat>
          <val>
            <numRef>
              <f>'Storico'!$C$2:$C$897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MAX(Storico!A2:A897)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312</v>
      </c>
      <c r="K129" s="16" t="n">
        <v>0</v>
      </c>
      <c r="L129" s="16" t="n">
        <v>283.66</v>
      </c>
      <c r="M129" s="16" t="n">
        <v>28.34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768</v>
      </c>
      <c r="K130" s="12" t="n">
        <v>0</v>
      </c>
      <c r="L130" s="12" t="n">
        <v>698.24</v>
      </c>
      <c r="M130" s="12" t="n">
        <v>69.76000000000001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16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576</v>
      </c>
      <c r="K133" s="16" t="n">
        <v>0</v>
      </c>
      <c r="L133" s="16" t="n">
        <v>523.6799999999999</v>
      </c>
      <c r="M133" s="16" t="n">
        <v>52.32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1104</v>
      </c>
      <c r="K146" s="12" t="n">
        <v>0</v>
      </c>
      <c r="L146" s="12" t="n">
        <v>1003.72</v>
      </c>
      <c r="M146" s="12" t="n">
        <v>100.28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23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180</v>
      </c>
      <c r="K147" s="16" t="n">
        <v>0</v>
      </c>
      <c r="L147" s="16" t="n">
        <v>163.65</v>
      </c>
      <c r="M147" s="16" t="n">
        <v>16.35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5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180</v>
      </c>
      <c r="K148" s="12" t="n">
        <v>0</v>
      </c>
      <c r="L148" s="12" t="n">
        <v>163.65</v>
      </c>
      <c r="M148" s="12" t="n">
        <v>16.35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3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576</v>
      </c>
      <c r="K149" s="16" t="n">
        <v>0</v>
      </c>
      <c r="L149" s="16" t="n">
        <v>523.6799999999999</v>
      </c>
      <c r="M149" s="16" t="n">
        <v>52.32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24</v>
      </c>
      <c r="R149" s="15">
        <f>IFERROR(INDEX(Tariffe!$E$2:$E$200,MATCH(E149,Tariffe!$A$2:$A$200,0))*1,1)</f>
        <v/>
      </c>
    </row>
  </sheetData>
  <autoFilter ref="A1:R1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</sheetData>
  <autoFilter ref="A1:G8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</sheetData>
  <autoFilter ref="A1:K16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342</v>
      </c>
      <c r="M8" s="11" t="n">
        <v>1036</v>
      </c>
      <c r="N8" s="12" t="n">
        <v>12432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955</v>
      </c>
      <c r="N9" s="12" t="n">
        <v>11460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837</v>
      </c>
      <c r="I25" s="12" t="n">
        <v>10044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673</v>
      </c>
      <c r="I26" s="12" t="n">
        <v>8076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450</v>
      </c>
      <c r="I27" s="12" t="n">
        <v>5400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136</v>
      </c>
      <c r="C29" s="11" t="n">
        <v>415</v>
      </c>
      <c r="D29" s="12" t="n">
        <v>4980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2026-10-30T20:07:20Z</dcterms:created>
  <dcterms:modified xsi:type="dcterms:W3CDTF">2026-10-30T20:07:21Z</dcterms:modified>
</cp:coreProperties>
</file>