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'Spettacoli'!$A$1:$R$53</definedName>
    <definedName name="_xlnm._FilterDatabase" localSheetId="4" hidden="1">'Vendite'!$A$1:$R$153</definedName>
    <definedName name="_xlnm._FilterDatabase" localSheetId="5" hidden="1">'Per tariffa'!$A$1:$G$6</definedName>
    <definedName name="_xlnm._FilterDatabase" localSheetId="6" hidden="1">'Per serata'!$A$1:$U$10</definedName>
    <definedName name="_xlnm._FilterDatabase" localSheetId="7" hidden="1">'Storico'!$A$1:$G$892</definedName>
    <definedName name="_xlnm._FilterDatabase" localSheetId="8" hidden="1">'Registro vendite'!$A$1:$K$1693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serata'!$V$2:$V$10</f>
            </numRef>
          </cat>
          <val>
            <numRef>
              <f>'Per serata'!$R$2:$R$10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serata'!$V$2:$V$10</f>
            </numRef>
          </cat>
          <val>
            <numRef>
              <f>'Per serata'!$S$2:$S$10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serata'!$V$2:$V$10</f>
            </numRef>
          </cat>
          <val>
            <numRef>
              <f>'Per serata'!$T$2:$T$10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serata'!$V$2:$V$10</f>
            </numRef>
          </cat>
          <val>
            <numRef>
              <f>'Per serata'!$U$2:$U$10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'Storico'!$H$2:$H$892</f>
            </numRef>
          </cat>
          <val>
            <numRef>
              <f>'Storico'!$C$2:$C$892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vendite'!$A$4:$A$29</f>
            </numRef>
          </cat>
          <val>
            <numRef>
              <f>'Picchi vendite'!$B$4:$B$29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INDEX(Spettacoli!$B$2:$B$53,MATCH(LARGE(Spettacoli!$R$2:$R$53,1),Spettacoli!$R$2:$R$53,0))</f>
        <v/>
      </c>
      <c r="L6" s="10">
        <f>INDEX(Spettacoli!$D$2:$D$53,MATCH(LARGE(Spettacoli!$R$2:$R$53,1),Spettacoli!$R$2:$R$53,0))</f>
        <v/>
      </c>
      <c r="M6" s="11">
        <f>INDEX(Spettacoli!$F$2:$F$53,MATCH(LARGE(Spettacoli!$R$2:$R$53,1),Spettacoli!$R$2:$R$53,0))</f>
        <v/>
      </c>
      <c r="N6" s="11">
        <f>INDEX(Spettacoli!$G$2:$G$53,MATCH(LARGE(Spettacoli!$R$2:$R$53,1),Spettacoli!$R$2:$R$53,0))</f>
        <v/>
      </c>
      <c r="O6" s="12">
        <f>INDEX(Spettacoli!$M$2:$M$53,MATCH(LARGE(Spettacoli!$R$2:$R$53,1),Spettacoli!$R$2:$R$53,0))</f>
        <v/>
      </c>
    </row>
    <row r="7">
      <c r="K7" s="13">
        <f>INDEX(Spettacoli!$B$2:$B$53,MATCH(LARGE(Spettacoli!$R$2:$R$53,2),Spettacoli!$R$2:$R$53,0))</f>
        <v/>
      </c>
      <c r="L7" s="14">
        <f>INDEX(Spettacoli!$D$2:$D$53,MATCH(LARGE(Spettacoli!$R$2:$R$53,2),Spettacoli!$R$2:$R$53,0))</f>
        <v/>
      </c>
      <c r="M7" s="15">
        <f>INDEX(Spettacoli!$F$2:$F$53,MATCH(LARGE(Spettacoli!$R$2:$R$53,2),Spettacoli!$R$2:$R$53,0))</f>
        <v/>
      </c>
      <c r="N7" s="15">
        <f>INDEX(Spettacoli!$G$2:$G$53,MATCH(LARGE(Spettacoli!$R$2:$R$53,2),Spettacoli!$R$2:$R$53,0))</f>
        <v/>
      </c>
      <c r="O7" s="16">
        <f>INDEX(Spettacoli!$M$2:$M$53,MATCH(LARGE(Spettacoli!$R$2:$R$53,2),Spettacoli!$R$2:$R$53,0))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INDEX(Spettacoli!$B$2:$B$53,MATCH(LARGE(Spettacoli!$R$2:$R$53,3),Spettacoli!$R$2:$R$53,0))</f>
        <v/>
      </c>
      <c r="L8" s="10">
        <f>INDEX(Spettacoli!$D$2:$D$53,MATCH(LARGE(Spettacoli!$R$2:$R$53,3),Spettacoli!$R$2:$R$53,0))</f>
        <v/>
      </c>
      <c r="M8" s="11">
        <f>INDEX(Spettacoli!$F$2:$F$53,MATCH(LARGE(Spettacoli!$R$2:$R$53,3),Spettacoli!$R$2:$R$53,0))</f>
        <v/>
      </c>
      <c r="N8" s="11">
        <f>INDEX(Spettacoli!$G$2:$G$53,MATCH(LARGE(Spettacoli!$R$2:$R$53,3),Spettacoli!$R$2:$R$53,0))</f>
        <v/>
      </c>
      <c r="O8" s="12">
        <f>INDEX(Spettacoli!$M$2:$M$53,MATCH(LARGE(Spettacoli!$R$2:$R$53,3),Spettacoli!$R$2:$R$53,0))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IF(SUM(Spettacoli!E2:E53)&gt;0,SUM(Spettacoli!F2:F53)/SUM(Spettacoli!E2:E53),0)</f>
        <v/>
      </c>
      <c r="F9" s="5" t="n"/>
      <c r="H9" s="19">
        <f>COUNTIF(Spettacoli!$Q$2:$Q$53,"Venduto")&amp;" / "&amp;COUNTA(Spettacoli!A2:A53)</f>
        <v/>
      </c>
      <c r="I9" s="5" t="n"/>
      <c r="K9" s="13">
        <f>INDEX(Spettacoli!$B$2:$B$53,MATCH(LARGE(Spettacoli!$R$2:$R$53,4),Spettacoli!$R$2:$R$53,0))</f>
        <v/>
      </c>
      <c r="L9" s="14">
        <f>INDEX(Spettacoli!$D$2:$D$53,MATCH(LARGE(Spettacoli!$R$2:$R$53,4),Spettacoli!$R$2:$R$53,0))</f>
        <v/>
      </c>
      <c r="M9" s="15">
        <f>INDEX(Spettacoli!$F$2:$F$53,MATCH(LARGE(Spettacoli!$R$2:$R$53,4),Spettacoli!$R$2:$R$53,0))</f>
        <v/>
      </c>
      <c r="N9" s="15">
        <f>INDEX(Spettacoli!$G$2:$G$53,MATCH(LARGE(Spettacoli!$R$2:$R$53,4),Spettacoli!$R$2:$R$53,0))</f>
        <v/>
      </c>
      <c r="O9" s="16">
        <f>INDEX(Spettacoli!$M$2:$M$53,MATCH(LARGE(Spettacoli!$R$2:$R$53,4),Spettacoli!$R$2:$R$53,0))</f>
        <v/>
      </c>
    </row>
    <row r="10">
      <c r="K10" s="9">
        <f>INDEX(Spettacoli!$B$2:$B$53,MATCH(LARGE(Spettacoli!$R$2:$R$53,5),Spettacoli!$R$2:$R$53,0))</f>
        <v/>
      </c>
      <c r="L10" s="10">
        <f>INDEX(Spettacoli!$D$2:$D$53,MATCH(LARGE(Spettacoli!$R$2:$R$53,5),Spettacoli!$R$2:$R$53,0))</f>
        <v/>
      </c>
      <c r="M10" s="11">
        <f>INDEX(Spettacoli!$F$2:$F$53,MATCH(LARGE(Spettacoli!$R$2:$R$53,5),Spettacoli!$R$2:$R$53,0))</f>
        <v/>
      </c>
      <c r="N10" s="11">
        <f>INDEX(Spettacoli!$G$2:$G$53,MATCH(LARGE(Spettacoli!$R$2:$R$53,5),Spettacoli!$R$2:$R$53,0))</f>
        <v/>
      </c>
      <c r="O10" s="12">
        <f>INDEX(Spettacoli!$M$2:$M$53,MATCH(LARGE(Spettacoli!$R$2:$R$53,5),Spettacoli!$R$2:$R$53,0))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MAX(Storico!A2:A892)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20261102_2016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0.8444444444444444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20261102_2115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0.8854166666666666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20261102_2116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0.8861111111111111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20261102_2215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0.9270833333333334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  <row r="44">
      <c r="A44" s="22" t="inlineStr">
        <is>
          <t>20261102_2216</t>
        </is>
      </c>
      <c r="B44" s="9" t="n">
        <v>46328</v>
      </c>
      <c r="C44" s="22">
        <f>CHOOSE(WEEKDAY(B44,2),"Lunedì","Martedì","Mercoledì","Giovedì","Venerdì","Sabato","Domenica")</f>
        <v/>
      </c>
      <c r="D44" s="10" t="n">
        <v>0.9277777777777778</v>
      </c>
      <c r="E44" s="11" t="n">
        <v>80</v>
      </c>
      <c r="F44" s="11">
        <f>SUMIF(Vendite!$A$2:$A$1000,A44,Vendite!$H$2:$H$1000)</f>
        <v/>
      </c>
      <c r="G44" s="11">
        <f>SUMIF(Vendite!$A$2:$A$1000,A44,Vendite!$P$2:$P$1000)</f>
        <v/>
      </c>
      <c r="H44" s="11">
        <f>SUMIFS(Vendite!$H$2:$H$1000,Vendite!$A$2:$A$1000,A44,Vendite!$O$2:$O$1000,2)</f>
        <v/>
      </c>
      <c r="I44" s="11">
        <f>SUMIFS(Vendite!$H$2:$H$1000,Vendite!$A$2:$A$1000,A44,Vendite!$O$2:$O$1000,3)</f>
        <v/>
      </c>
      <c r="J44" s="11">
        <f>SUMIFS(Vendite!$H$2:$H$1000,Vendite!$A$2:$A$1000,A44,Vendite!$O$2:$O$1000,4)</f>
        <v/>
      </c>
      <c r="K44" s="11">
        <f>SUMIFS(Vendite!$H$2:$H$1000,Vendite!$A$2:$A$1000,A44,Vendite!$O$2:$O$1000,5)</f>
        <v/>
      </c>
      <c r="L44" s="11">
        <f>SUMIF(Vendite!$A$2:$A$1000,A44,Vendite!$I$2:$I$1000)</f>
        <v/>
      </c>
      <c r="M44" s="12">
        <f>SUMIF(Vendite!$A$2:$A$1000,A44,Vendite!$J$2:$J$1000)</f>
        <v/>
      </c>
      <c r="N44" s="12">
        <f>SUMIF(Vendite!$A$2:$A$1000,A44,Vendite!$L$2:$L$1000)</f>
        <v/>
      </c>
      <c r="O44" s="12">
        <f>SUMIF(Vendite!$A$2:$A$1000,A44,Vendite!$M$2:$M$1000)</f>
        <v/>
      </c>
      <c r="P44" s="24">
        <f>IF(E44&gt;0,F44/E44,0)</f>
        <v/>
      </c>
      <c r="Q44" s="22">
        <f>IF(F44&gt;0,"Venduto","Zero vendite")</f>
        <v/>
      </c>
      <c r="R44" s="22">
        <f>F44+M44/100000+(1000-ROW())/100000000</f>
        <v/>
      </c>
    </row>
    <row r="45">
      <c r="A45" s="23" t="inlineStr">
        <is>
          <t>20261102_2315</t>
        </is>
      </c>
      <c r="B45" s="13" t="n">
        <v>46328</v>
      </c>
      <c r="C45" s="23">
        <f>CHOOSE(WEEKDAY(B45,2),"Lunedì","Martedì","Mercoledì","Giovedì","Venerdì","Sabato","Domenica")</f>
        <v/>
      </c>
      <c r="D45" s="14" t="n">
        <v>0.96875</v>
      </c>
      <c r="E45" s="15" t="n">
        <v>80</v>
      </c>
      <c r="F45" s="15">
        <f>SUMIF(Vendite!$A$2:$A$1000,A45,Vendite!$H$2:$H$1000)</f>
        <v/>
      </c>
      <c r="G45" s="15">
        <f>SUMIF(Vendite!$A$2:$A$1000,A45,Vendite!$P$2:$P$1000)</f>
        <v/>
      </c>
      <c r="H45" s="15">
        <f>SUMIFS(Vendite!$H$2:$H$1000,Vendite!$A$2:$A$1000,A45,Vendite!$O$2:$O$1000,2)</f>
        <v/>
      </c>
      <c r="I45" s="15">
        <f>SUMIFS(Vendite!$H$2:$H$1000,Vendite!$A$2:$A$1000,A45,Vendite!$O$2:$O$1000,3)</f>
        <v/>
      </c>
      <c r="J45" s="15">
        <f>SUMIFS(Vendite!$H$2:$H$1000,Vendite!$A$2:$A$1000,A45,Vendite!$O$2:$O$1000,4)</f>
        <v/>
      </c>
      <c r="K45" s="15">
        <f>SUMIFS(Vendite!$H$2:$H$1000,Vendite!$A$2:$A$1000,A45,Vendite!$O$2:$O$1000,5)</f>
        <v/>
      </c>
      <c r="L45" s="15">
        <f>SUMIF(Vendite!$A$2:$A$1000,A45,Vendite!$I$2:$I$1000)</f>
        <v/>
      </c>
      <c r="M45" s="16">
        <f>SUMIF(Vendite!$A$2:$A$1000,A45,Vendite!$J$2:$J$1000)</f>
        <v/>
      </c>
      <c r="N45" s="16">
        <f>SUMIF(Vendite!$A$2:$A$1000,A45,Vendite!$L$2:$L$1000)</f>
        <v/>
      </c>
      <c r="O45" s="16">
        <f>SUMIF(Vendite!$A$2:$A$1000,A45,Vendite!$M$2:$M$1000)</f>
        <v/>
      </c>
      <c r="P45" s="25">
        <f>IF(E45&gt;0,F45/E45,0)</f>
        <v/>
      </c>
      <c r="Q45" s="23">
        <f>IF(F45&gt;0,"Venduto","Zero vendite")</f>
        <v/>
      </c>
      <c r="R45" s="23">
        <f>F45+M45/100000+(1000-ROW())/100000000</f>
        <v/>
      </c>
    </row>
    <row r="46">
      <c r="A46" s="22" t="inlineStr">
        <is>
          <t>20261102_2316</t>
        </is>
      </c>
      <c r="B46" s="9" t="n">
        <v>46328</v>
      </c>
      <c r="C46" s="22">
        <f>CHOOSE(WEEKDAY(B46,2),"Lunedì","Martedì","Mercoledì","Giovedì","Venerdì","Sabato","Domenica")</f>
        <v/>
      </c>
      <c r="D46" s="10" t="n">
        <v>0.9694444444444444</v>
      </c>
      <c r="E46" s="11" t="n">
        <v>80</v>
      </c>
      <c r="F46" s="11">
        <f>SUMIF(Vendite!$A$2:$A$1000,A46,Vendite!$H$2:$H$1000)</f>
        <v/>
      </c>
      <c r="G46" s="11">
        <f>SUMIF(Vendite!$A$2:$A$1000,A46,Vendite!$P$2:$P$1000)</f>
        <v/>
      </c>
      <c r="H46" s="11">
        <f>SUMIFS(Vendite!$H$2:$H$1000,Vendite!$A$2:$A$1000,A46,Vendite!$O$2:$O$1000,2)</f>
        <v/>
      </c>
      <c r="I46" s="11">
        <f>SUMIFS(Vendite!$H$2:$H$1000,Vendite!$A$2:$A$1000,A46,Vendite!$O$2:$O$1000,3)</f>
        <v/>
      </c>
      <c r="J46" s="11">
        <f>SUMIFS(Vendite!$H$2:$H$1000,Vendite!$A$2:$A$1000,A46,Vendite!$O$2:$O$1000,4)</f>
        <v/>
      </c>
      <c r="K46" s="11">
        <f>SUMIFS(Vendite!$H$2:$H$1000,Vendite!$A$2:$A$1000,A46,Vendite!$O$2:$O$1000,5)</f>
        <v/>
      </c>
      <c r="L46" s="11">
        <f>SUMIF(Vendite!$A$2:$A$1000,A46,Vendite!$I$2:$I$1000)</f>
        <v/>
      </c>
      <c r="M46" s="12">
        <f>SUMIF(Vendite!$A$2:$A$1000,A46,Vendite!$J$2:$J$1000)</f>
        <v/>
      </c>
      <c r="N46" s="12">
        <f>SUMIF(Vendite!$A$2:$A$1000,A46,Vendite!$L$2:$L$1000)</f>
        <v/>
      </c>
      <c r="O46" s="12">
        <f>SUMIF(Vendite!$A$2:$A$1000,A46,Vendite!$M$2:$M$1000)</f>
        <v/>
      </c>
      <c r="P46" s="24">
        <f>IF(E46&gt;0,F46/E46,0)</f>
        <v/>
      </c>
      <c r="Q46" s="22">
        <f>IF(F46&gt;0,"Venduto","Zero vendite")</f>
        <v/>
      </c>
      <c r="R46" s="22">
        <f>F46+M46/100000+(1000-ROW())/100000000</f>
        <v/>
      </c>
    </row>
    <row r="47">
      <c r="A47" s="23" t="inlineStr">
        <is>
          <t>20261102_2358</t>
        </is>
      </c>
      <c r="B47" s="13" t="n">
        <v>46328</v>
      </c>
      <c r="C47" s="23">
        <f>CHOOSE(WEEKDAY(B47,2),"Lunedì","Martedì","Mercoledì","Giovedì","Venerdì","Sabato","Domenica")</f>
        <v/>
      </c>
      <c r="D47" s="14" t="n">
        <v>0.9986111111111111</v>
      </c>
      <c r="E47" s="15" t="n">
        <v>80</v>
      </c>
      <c r="F47" s="15">
        <f>SUMIF(Vendite!$A$2:$A$1000,A47,Vendite!$H$2:$H$1000)</f>
        <v/>
      </c>
      <c r="G47" s="15">
        <f>SUMIF(Vendite!$A$2:$A$1000,A47,Vendite!$P$2:$P$1000)</f>
        <v/>
      </c>
      <c r="H47" s="15">
        <f>SUMIFS(Vendite!$H$2:$H$1000,Vendite!$A$2:$A$1000,A47,Vendite!$O$2:$O$1000,2)</f>
        <v/>
      </c>
      <c r="I47" s="15">
        <f>SUMIFS(Vendite!$H$2:$H$1000,Vendite!$A$2:$A$1000,A47,Vendite!$O$2:$O$1000,3)</f>
        <v/>
      </c>
      <c r="J47" s="15">
        <f>SUMIFS(Vendite!$H$2:$H$1000,Vendite!$A$2:$A$1000,A47,Vendite!$O$2:$O$1000,4)</f>
        <v/>
      </c>
      <c r="K47" s="15">
        <f>SUMIFS(Vendite!$H$2:$H$1000,Vendite!$A$2:$A$1000,A47,Vendite!$O$2:$O$1000,5)</f>
        <v/>
      </c>
      <c r="L47" s="15">
        <f>SUMIF(Vendite!$A$2:$A$1000,A47,Vendite!$I$2:$I$1000)</f>
        <v/>
      </c>
      <c r="M47" s="16">
        <f>SUMIF(Vendite!$A$2:$A$1000,A47,Vendite!$J$2:$J$1000)</f>
        <v/>
      </c>
      <c r="N47" s="16">
        <f>SUMIF(Vendite!$A$2:$A$1000,A47,Vendite!$L$2:$L$1000)</f>
        <v/>
      </c>
      <c r="O47" s="16">
        <f>SUMIF(Vendite!$A$2:$A$1000,A47,Vendite!$M$2:$M$1000)</f>
        <v/>
      </c>
      <c r="P47" s="25">
        <f>IF(E47&gt;0,F47/E47,0)</f>
        <v/>
      </c>
      <c r="Q47" s="23">
        <f>IF(F47&gt;0,"Venduto","Zero vendite")</f>
        <v/>
      </c>
      <c r="R47" s="23">
        <f>F47+M47/100000+(1000-ROW())/100000000</f>
        <v/>
      </c>
    </row>
    <row r="48">
      <c r="A48" s="22" t="inlineStr">
        <is>
          <t>20261102_2359</t>
        </is>
      </c>
      <c r="B48" s="9" t="n">
        <v>46328</v>
      </c>
      <c r="C48" s="22">
        <f>CHOOSE(WEEKDAY(B48,2),"Lunedì","Martedì","Mercoledì","Giovedì","Venerdì","Sabato","Domenica")</f>
        <v/>
      </c>
      <c r="D48" s="10" t="n">
        <v>0.9993055555555556</v>
      </c>
      <c r="E48" s="11" t="n">
        <v>80</v>
      </c>
      <c r="F48" s="11">
        <f>SUMIF(Vendite!$A$2:$A$1000,A48,Vendite!$H$2:$H$1000)</f>
        <v/>
      </c>
      <c r="G48" s="11">
        <f>SUMIF(Vendite!$A$2:$A$1000,A48,Vendite!$P$2:$P$1000)</f>
        <v/>
      </c>
      <c r="H48" s="11">
        <f>SUMIFS(Vendite!$H$2:$H$1000,Vendite!$A$2:$A$1000,A48,Vendite!$O$2:$O$1000,2)</f>
        <v/>
      </c>
      <c r="I48" s="11">
        <f>SUMIFS(Vendite!$H$2:$H$1000,Vendite!$A$2:$A$1000,A48,Vendite!$O$2:$O$1000,3)</f>
        <v/>
      </c>
      <c r="J48" s="11">
        <f>SUMIFS(Vendite!$H$2:$H$1000,Vendite!$A$2:$A$1000,A48,Vendite!$O$2:$O$1000,4)</f>
        <v/>
      </c>
      <c r="K48" s="11">
        <f>SUMIFS(Vendite!$H$2:$H$1000,Vendite!$A$2:$A$1000,A48,Vendite!$O$2:$O$1000,5)</f>
        <v/>
      </c>
      <c r="L48" s="11">
        <f>SUMIF(Vendite!$A$2:$A$1000,A48,Vendite!$I$2:$I$1000)</f>
        <v/>
      </c>
      <c r="M48" s="12">
        <f>SUMIF(Vendite!$A$2:$A$1000,A48,Vendite!$J$2:$J$1000)</f>
        <v/>
      </c>
      <c r="N48" s="12">
        <f>SUMIF(Vendite!$A$2:$A$1000,A48,Vendite!$L$2:$L$1000)</f>
        <v/>
      </c>
      <c r="O48" s="12">
        <f>SUMIF(Vendite!$A$2:$A$1000,A48,Vendite!$M$2:$M$1000)</f>
        <v/>
      </c>
      <c r="P48" s="24">
        <f>IF(E48&gt;0,F48/E48,0)</f>
        <v/>
      </c>
      <c r="Q48" s="22">
        <f>IF(F48&gt;0,"Venduto","Zero vendite")</f>
        <v/>
      </c>
      <c r="R48" s="22">
        <f>F48+M48/100000+(1000-ROW())/100000000</f>
        <v/>
      </c>
    </row>
    <row r="49">
      <c r="A49" s="23" t="inlineStr">
        <is>
          <t>20261109_2015</t>
        </is>
      </c>
      <c r="B49" s="13" t="n">
        <v>46335</v>
      </c>
      <c r="C49" s="23">
        <f>CHOOSE(WEEKDAY(B49,2),"Lunedì","Martedì","Mercoledì","Giovedì","Venerdì","Sabato","Domenica")</f>
        <v/>
      </c>
      <c r="D49" s="14" t="n">
        <v>0.84375</v>
      </c>
      <c r="E49" s="15" t="n">
        <v>80</v>
      </c>
      <c r="F49" s="15">
        <f>SUMIF(Vendite!$A$2:$A$1000,A49,Vendite!$H$2:$H$1000)</f>
        <v/>
      </c>
      <c r="G49" s="15">
        <f>SUMIF(Vendite!$A$2:$A$1000,A49,Vendite!$P$2:$P$1000)</f>
        <v/>
      </c>
      <c r="H49" s="15">
        <f>SUMIFS(Vendite!$H$2:$H$1000,Vendite!$A$2:$A$1000,A49,Vendite!$O$2:$O$1000,2)</f>
        <v/>
      </c>
      <c r="I49" s="15">
        <f>SUMIFS(Vendite!$H$2:$H$1000,Vendite!$A$2:$A$1000,A49,Vendite!$O$2:$O$1000,3)</f>
        <v/>
      </c>
      <c r="J49" s="15">
        <f>SUMIFS(Vendite!$H$2:$H$1000,Vendite!$A$2:$A$1000,A49,Vendite!$O$2:$O$1000,4)</f>
        <v/>
      </c>
      <c r="K49" s="15">
        <f>SUMIFS(Vendite!$H$2:$H$1000,Vendite!$A$2:$A$1000,A49,Vendite!$O$2:$O$1000,5)</f>
        <v/>
      </c>
      <c r="L49" s="15">
        <f>SUMIF(Vendite!$A$2:$A$1000,A49,Vendite!$I$2:$I$1000)</f>
        <v/>
      </c>
      <c r="M49" s="16">
        <f>SUMIF(Vendite!$A$2:$A$1000,A49,Vendite!$J$2:$J$1000)</f>
        <v/>
      </c>
      <c r="N49" s="16">
        <f>SUMIF(Vendite!$A$2:$A$1000,A49,Vendite!$L$2:$L$1000)</f>
        <v/>
      </c>
      <c r="O49" s="16">
        <f>SUMIF(Vendite!$A$2:$A$1000,A49,Vendite!$M$2:$M$1000)</f>
        <v/>
      </c>
      <c r="P49" s="25">
        <f>IF(E49&gt;0,F49/E49,0)</f>
        <v/>
      </c>
      <c r="Q49" s="23">
        <f>IF(F49&gt;0,"Venduto","Zero vendite")</f>
        <v/>
      </c>
      <c r="R49" s="23">
        <f>F49+M49/100000+(1000-ROW())/100000000</f>
        <v/>
      </c>
    </row>
    <row r="50">
      <c r="A50" s="22" t="inlineStr">
        <is>
          <t>20261109_2115</t>
        </is>
      </c>
      <c r="B50" s="9" t="n">
        <v>46335</v>
      </c>
      <c r="C50" s="22">
        <f>CHOOSE(WEEKDAY(B50,2),"Lunedì","Martedì","Mercoledì","Giovedì","Venerdì","Sabato","Domenica")</f>
        <v/>
      </c>
      <c r="D50" s="10" t="n">
        <v>0.8854166666666666</v>
      </c>
      <c r="E50" s="11" t="n">
        <v>80</v>
      </c>
      <c r="F50" s="11">
        <f>SUMIF(Vendite!$A$2:$A$1000,A50,Vendite!$H$2:$H$1000)</f>
        <v/>
      </c>
      <c r="G50" s="11">
        <f>SUMIF(Vendite!$A$2:$A$1000,A50,Vendite!$P$2:$P$1000)</f>
        <v/>
      </c>
      <c r="H50" s="11">
        <f>SUMIFS(Vendite!$H$2:$H$1000,Vendite!$A$2:$A$1000,A50,Vendite!$O$2:$O$1000,2)</f>
        <v/>
      </c>
      <c r="I50" s="11">
        <f>SUMIFS(Vendite!$H$2:$H$1000,Vendite!$A$2:$A$1000,A50,Vendite!$O$2:$O$1000,3)</f>
        <v/>
      </c>
      <c r="J50" s="11">
        <f>SUMIFS(Vendite!$H$2:$H$1000,Vendite!$A$2:$A$1000,A50,Vendite!$O$2:$O$1000,4)</f>
        <v/>
      </c>
      <c r="K50" s="11">
        <f>SUMIFS(Vendite!$H$2:$H$1000,Vendite!$A$2:$A$1000,A50,Vendite!$O$2:$O$1000,5)</f>
        <v/>
      </c>
      <c r="L50" s="11">
        <f>SUMIF(Vendite!$A$2:$A$1000,A50,Vendite!$I$2:$I$1000)</f>
        <v/>
      </c>
      <c r="M50" s="12">
        <f>SUMIF(Vendite!$A$2:$A$1000,A50,Vendite!$J$2:$J$1000)</f>
        <v/>
      </c>
      <c r="N50" s="12">
        <f>SUMIF(Vendite!$A$2:$A$1000,A50,Vendite!$L$2:$L$1000)</f>
        <v/>
      </c>
      <c r="O50" s="12">
        <f>SUMIF(Vendite!$A$2:$A$1000,A50,Vendite!$M$2:$M$1000)</f>
        <v/>
      </c>
      <c r="P50" s="24">
        <f>IF(E50&gt;0,F50/E50,0)</f>
        <v/>
      </c>
      <c r="Q50" s="22">
        <f>IF(F50&gt;0,"Venduto","Zero vendite")</f>
        <v/>
      </c>
      <c r="R50" s="22">
        <f>F50+M50/100000+(1000-ROW())/100000000</f>
        <v/>
      </c>
    </row>
    <row r="51">
      <c r="A51" s="23" t="inlineStr">
        <is>
          <t>20261109_2215</t>
        </is>
      </c>
      <c r="B51" s="13" t="n">
        <v>46335</v>
      </c>
      <c r="C51" s="23">
        <f>CHOOSE(WEEKDAY(B51,2),"Lunedì","Martedì","Mercoledì","Giovedì","Venerdì","Sabato","Domenica")</f>
        <v/>
      </c>
      <c r="D51" s="14" t="n">
        <v>0.9270833333333334</v>
      </c>
      <c r="E51" s="15" t="n">
        <v>80</v>
      </c>
      <c r="F51" s="15">
        <f>SUMIF(Vendite!$A$2:$A$1000,A51,Vendite!$H$2:$H$1000)</f>
        <v/>
      </c>
      <c r="G51" s="15">
        <f>SUMIF(Vendite!$A$2:$A$1000,A51,Vendite!$P$2:$P$1000)</f>
        <v/>
      </c>
      <c r="H51" s="15">
        <f>SUMIFS(Vendite!$H$2:$H$1000,Vendite!$A$2:$A$1000,A51,Vendite!$O$2:$O$1000,2)</f>
        <v/>
      </c>
      <c r="I51" s="15">
        <f>SUMIFS(Vendite!$H$2:$H$1000,Vendite!$A$2:$A$1000,A51,Vendite!$O$2:$O$1000,3)</f>
        <v/>
      </c>
      <c r="J51" s="15">
        <f>SUMIFS(Vendite!$H$2:$H$1000,Vendite!$A$2:$A$1000,A51,Vendite!$O$2:$O$1000,4)</f>
        <v/>
      </c>
      <c r="K51" s="15">
        <f>SUMIFS(Vendite!$H$2:$H$1000,Vendite!$A$2:$A$1000,A51,Vendite!$O$2:$O$1000,5)</f>
        <v/>
      </c>
      <c r="L51" s="15">
        <f>SUMIF(Vendite!$A$2:$A$1000,A51,Vendite!$I$2:$I$1000)</f>
        <v/>
      </c>
      <c r="M51" s="16">
        <f>SUMIF(Vendite!$A$2:$A$1000,A51,Vendite!$J$2:$J$1000)</f>
        <v/>
      </c>
      <c r="N51" s="16">
        <f>SUMIF(Vendite!$A$2:$A$1000,A51,Vendite!$L$2:$L$1000)</f>
        <v/>
      </c>
      <c r="O51" s="16">
        <f>SUMIF(Vendite!$A$2:$A$1000,A51,Vendite!$M$2:$M$1000)</f>
        <v/>
      </c>
      <c r="P51" s="25">
        <f>IF(E51&gt;0,F51/E51,0)</f>
        <v/>
      </c>
      <c r="Q51" s="23">
        <f>IF(F51&gt;0,"Venduto","Zero vendite")</f>
        <v/>
      </c>
      <c r="R51" s="23">
        <f>F51+M51/100000+(1000-ROW())/100000000</f>
        <v/>
      </c>
    </row>
    <row r="52">
      <c r="A52" s="22" t="inlineStr">
        <is>
          <t>20261109_2315</t>
        </is>
      </c>
      <c r="B52" s="9" t="n">
        <v>46335</v>
      </c>
      <c r="C52" s="22">
        <f>CHOOSE(WEEKDAY(B52,2),"Lunedì","Martedì","Mercoledì","Giovedì","Venerdì","Sabato","Domenica")</f>
        <v/>
      </c>
      <c r="D52" s="10" t="n">
        <v>0.96875</v>
      </c>
      <c r="E52" s="11" t="n">
        <v>80</v>
      </c>
      <c r="F52" s="11">
        <f>SUMIF(Vendite!$A$2:$A$1000,A52,Vendite!$H$2:$H$1000)</f>
        <v/>
      </c>
      <c r="G52" s="11">
        <f>SUMIF(Vendite!$A$2:$A$1000,A52,Vendite!$P$2:$P$1000)</f>
        <v/>
      </c>
      <c r="H52" s="11">
        <f>SUMIFS(Vendite!$H$2:$H$1000,Vendite!$A$2:$A$1000,A52,Vendite!$O$2:$O$1000,2)</f>
        <v/>
      </c>
      <c r="I52" s="11">
        <f>SUMIFS(Vendite!$H$2:$H$1000,Vendite!$A$2:$A$1000,A52,Vendite!$O$2:$O$1000,3)</f>
        <v/>
      </c>
      <c r="J52" s="11">
        <f>SUMIFS(Vendite!$H$2:$H$1000,Vendite!$A$2:$A$1000,A52,Vendite!$O$2:$O$1000,4)</f>
        <v/>
      </c>
      <c r="K52" s="11">
        <f>SUMIFS(Vendite!$H$2:$H$1000,Vendite!$A$2:$A$1000,A52,Vendite!$O$2:$O$1000,5)</f>
        <v/>
      </c>
      <c r="L52" s="11">
        <f>SUMIF(Vendite!$A$2:$A$1000,A52,Vendite!$I$2:$I$1000)</f>
        <v/>
      </c>
      <c r="M52" s="12">
        <f>SUMIF(Vendite!$A$2:$A$1000,A52,Vendite!$J$2:$J$1000)</f>
        <v/>
      </c>
      <c r="N52" s="12">
        <f>SUMIF(Vendite!$A$2:$A$1000,A52,Vendite!$L$2:$L$1000)</f>
        <v/>
      </c>
      <c r="O52" s="12">
        <f>SUMIF(Vendite!$A$2:$A$1000,A52,Vendite!$M$2:$M$1000)</f>
        <v/>
      </c>
      <c r="P52" s="24">
        <f>IF(E52&gt;0,F52/E52,0)</f>
        <v/>
      </c>
      <c r="Q52" s="22">
        <f>IF(F52&gt;0,"Venduto","Zero vendite")</f>
        <v/>
      </c>
      <c r="R52" s="22">
        <f>F52+M52/100000+(1000-ROW())/100000000</f>
        <v/>
      </c>
    </row>
    <row r="53">
      <c r="A53" s="23" t="inlineStr">
        <is>
          <t>20261109_2359</t>
        </is>
      </c>
      <c r="B53" s="13" t="n">
        <v>46335</v>
      </c>
      <c r="C53" s="23">
        <f>CHOOSE(WEEKDAY(B53,2),"Lunedì","Martedì","Mercoledì","Giovedì","Venerdì","Sabato","Domenica")</f>
        <v/>
      </c>
      <c r="D53" s="14" t="n">
        <v>0.9993055555555556</v>
      </c>
      <c r="E53" s="15" t="n">
        <v>80</v>
      </c>
      <c r="F53" s="15">
        <f>SUMIF(Vendite!$A$2:$A$1000,A53,Vendite!$H$2:$H$1000)</f>
        <v/>
      </c>
      <c r="G53" s="15">
        <f>SUMIF(Vendite!$A$2:$A$1000,A53,Vendite!$P$2:$P$1000)</f>
        <v/>
      </c>
      <c r="H53" s="15">
        <f>SUMIFS(Vendite!$H$2:$H$1000,Vendite!$A$2:$A$1000,A53,Vendite!$O$2:$O$1000,2)</f>
        <v/>
      </c>
      <c r="I53" s="15">
        <f>SUMIFS(Vendite!$H$2:$H$1000,Vendite!$A$2:$A$1000,A53,Vendite!$O$2:$O$1000,3)</f>
        <v/>
      </c>
      <c r="J53" s="15">
        <f>SUMIFS(Vendite!$H$2:$H$1000,Vendite!$A$2:$A$1000,A53,Vendite!$O$2:$O$1000,4)</f>
        <v/>
      </c>
      <c r="K53" s="15">
        <f>SUMIFS(Vendite!$H$2:$H$1000,Vendite!$A$2:$A$1000,A53,Vendite!$O$2:$O$1000,5)</f>
        <v/>
      </c>
      <c r="L53" s="15">
        <f>SUMIF(Vendite!$A$2:$A$1000,A53,Vendite!$I$2:$I$1000)</f>
        <v/>
      </c>
      <c r="M53" s="16">
        <f>SUMIF(Vendite!$A$2:$A$1000,A53,Vendite!$J$2:$J$1000)</f>
        <v/>
      </c>
      <c r="N53" s="16">
        <f>SUMIF(Vendite!$A$2:$A$1000,A53,Vendite!$L$2:$L$1000)</f>
        <v/>
      </c>
      <c r="O53" s="16">
        <f>SUMIF(Vendite!$A$2:$A$1000,A53,Vendite!$M$2:$M$1000)</f>
        <v/>
      </c>
      <c r="P53" s="25">
        <f>IF(E53&gt;0,F53/E53,0)</f>
        <v/>
      </c>
      <c r="Q53" s="23">
        <f>IF(F53&gt;0,"Venduto","Zero vendite")</f>
        <v/>
      </c>
      <c r="R53" s="23">
        <f>F53+M53/100000+(1000-ROW())/100000000</f>
        <v/>
      </c>
    </row>
  </sheetData>
  <autoFilter ref="A1:R53"/>
  <conditionalFormatting sqref="Q2:Q5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912</v>
      </c>
      <c r="K62" s="12" t="n">
        <v>0</v>
      </c>
      <c r="L62" s="12" t="n">
        <v>829.16</v>
      </c>
      <c r="M62" s="12" t="n">
        <v>82.84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8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840</v>
      </c>
      <c r="K64" s="12" t="n">
        <v>0</v>
      </c>
      <c r="L64" s="12" t="n">
        <v>763.7</v>
      </c>
      <c r="M64" s="12" t="n">
        <v>76.3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14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888</v>
      </c>
      <c r="K65" s="16" t="n">
        <v>0</v>
      </c>
      <c r="L65" s="16" t="n">
        <v>807.34</v>
      </c>
      <c r="M65" s="16" t="n">
        <v>80.66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37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1152</v>
      </c>
      <c r="K78" s="12" t="n">
        <v>0</v>
      </c>
      <c r="L78" s="12" t="n">
        <v>1047.36</v>
      </c>
      <c r="M78" s="12" t="n">
        <v>104.64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504</v>
      </c>
      <c r="K79" s="16" t="n">
        <v>0</v>
      </c>
      <c r="L79" s="16" t="n">
        <v>458.22</v>
      </c>
      <c r="M79" s="16" t="n">
        <v>45.78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900</v>
      </c>
      <c r="K80" s="12" t="n">
        <v>0</v>
      </c>
      <c r="L80" s="12" t="n">
        <v>818.25</v>
      </c>
      <c r="M80" s="12" t="n">
        <v>81.75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600</v>
      </c>
      <c r="K81" s="16" t="n">
        <v>0</v>
      </c>
      <c r="L81" s="16" t="n">
        <v>545.5</v>
      </c>
      <c r="M81" s="16" t="n">
        <v>54.5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25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1200</v>
      </c>
      <c r="K82" s="12" t="n">
        <v>0</v>
      </c>
      <c r="L82" s="12" t="n">
        <v>1091</v>
      </c>
      <c r="M82" s="12" t="n">
        <v>109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25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468</v>
      </c>
      <c r="K83" s="16" t="n">
        <v>0</v>
      </c>
      <c r="L83" s="16" t="n">
        <v>425.49</v>
      </c>
      <c r="M83" s="16" t="n">
        <v>42.51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13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420</v>
      </c>
      <c r="K84" s="12" t="n">
        <v>0</v>
      </c>
      <c r="L84" s="12" t="n">
        <v>381.85</v>
      </c>
      <c r="M84" s="12" t="n">
        <v>38.15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7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816</v>
      </c>
      <c r="K85" s="16" t="n">
        <v>0</v>
      </c>
      <c r="L85" s="16" t="n">
        <v>741.88</v>
      </c>
      <c r="M85" s="16" t="n">
        <v>74.12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34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10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720</v>
      </c>
      <c r="K88" s="12" t="n">
        <v>0</v>
      </c>
      <c r="L88" s="12" t="n">
        <v>654.6</v>
      </c>
      <c r="M88" s="12" t="n">
        <v>65.40000000000001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12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744</v>
      </c>
      <c r="K89" s="16" t="n">
        <v>0</v>
      </c>
      <c r="L89" s="16" t="n">
        <v>676.42</v>
      </c>
      <c r="M89" s="16" t="n">
        <v>67.58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31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1344</v>
      </c>
      <c r="K102" s="12" t="n">
        <v>0</v>
      </c>
      <c r="L102" s="12" t="n">
        <v>1221.92</v>
      </c>
      <c r="M102" s="12" t="n">
        <v>122.08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28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252</v>
      </c>
      <c r="K103" s="16" t="n">
        <v>0</v>
      </c>
      <c r="L103" s="16" t="n">
        <v>229.11</v>
      </c>
      <c r="M103" s="16" t="n">
        <v>22.89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7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600</v>
      </c>
      <c r="K104" s="12" t="n">
        <v>0</v>
      </c>
      <c r="L104" s="12" t="n">
        <v>545.5</v>
      </c>
      <c r="M104" s="12" t="n">
        <v>54.5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10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840</v>
      </c>
      <c r="K105" s="16" t="n">
        <v>0</v>
      </c>
      <c r="L105" s="16" t="n">
        <v>763.7</v>
      </c>
      <c r="M105" s="16" t="n">
        <v>76.3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35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528</v>
      </c>
      <c r="K126" s="12" t="n">
        <v>0</v>
      </c>
      <c r="L126" s="12" t="n">
        <v>480.04</v>
      </c>
      <c r="M126" s="12" t="n">
        <v>47.96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11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72</v>
      </c>
      <c r="K127" s="16" t="n">
        <v>0</v>
      </c>
      <c r="L127" s="16" t="n">
        <v>65.45999999999999</v>
      </c>
      <c r="M127" s="16" t="n">
        <v>6.54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180</v>
      </c>
      <c r="K128" s="12" t="n">
        <v>0</v>
      </c>
      <c r="L128" s="12" t="n">
        <v>163.65</v>
      </c>
      <c r="M128" s="12" t="n">
        <v>16.35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288</v>
      </c>
      <c r="K129" s="16" t="n">
        <v>0</v>
      </c>
      <c r="L129" s="16" t="n">
        <v>261.84</v>
      </c>
      <c r="M129" s="16" t="n">
        <v>26.16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12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768</v>
      </c>
      <c r="K130" s="12" t="n">
        <v>0</v>
      </c>
      <c r="L130" s="12" t="n">
        <v>698.24</v>
      </c>
      <c r="M130" s="12" t="n">
        <v>69.76000000000001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16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252</v>
      </c>
      <c r="K131" s="16" t="n">
        <v>0</v>
      </c>
      <c r="L131" s="16" t="n">
        <v>229.11</v>
      </c>
      <c r="M131" s="16" t="n">
        <v>22.89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7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420</v>
      </c>
      <c r="K132" s="12" t="n">
        <v>0</v>
      </c>
      <c r="L132" s="12" t="n">
        <v>381.85</v>
      </c>
      <c r="M132" s="12" t="n">
        <v>38.15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7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528</v>
      </c>
      <c r="K133" s="16" t="n">
        <v>0</v>
      </c>
      <c r="L133" s="16" t="n">
        <v>480.04</v>
      </c>
      <c r="M133" s="16" t="n">
        <v>47.96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22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1296</v>
      </c>
      <c r="K134" s="12" t="n">
        <v>0</v>
      </c>
      <c r="L134" s="12" t="n">
        <v>1178.28</v>
      </c>
      <c r="M134" s="12" t="n">
        <v>117.72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27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324</v>
      </c>
      <c r="K135" s="16" t="n">
        <v>0</v>
      </c>
      <c r="L135" s="16" t="n">
        <v>294.57</v>
      </c>
      <c r="M135" s="16" t="n">
        <v>29.43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9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660</v>
      </c>
      <c r="K136" s="12" t="n">
        <v>0</v>
      </c>
      <c r="L136" s="12" t="n">
        <v>600.05</v>
      </c>
      <c r="M136" s="12" t="n">
        <v>59.95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11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792</v>
      </c>
      <c r="K137" s="16" t="n">
        <v>0</v>
      </c>
      <c r="L137" s="16" t="n">
        <v>720.0599999999999</v>
      </c>
      <c r="M137" s="16" t="n">
        <v>71.94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33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1728</v>
      </c>
      <c r="K138" s="12" t="n">
        <v>0</v>
      </c>
      <c r="L138" s="12" t="n">
        <v>1571.04</v>
      </c>
      <c r="M138" s="12" t="n">
        <v>156.96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36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252</v>
      </c>
      <c r="K139" s="16" t="n">
        <v>0</v>
      </c>
      <c r="L139" s="16" t="n">
        <v>229.11</v>
      </c>
      <c r="M139" s="16" t="n">
        <v>22.89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7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420</v>
      </c>
      <c r="K140" s="12" t="n">
        <v>0</v>
      </c>
      <c r="L140" s="12" t="n">
        <v>381.85</v>
      </c>
      <c r="M140" s="12" t="n">
        <v>38.15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7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720</v>
      </c>
      <c r="K141" s="16" t="n">
        <v>0</v>
      </c>
      <c r="L141" s="16" t="n">
        <v>654.6</v>
      </c>
      <c r="M141" s="16" t="n">
        <v>65.40000000000001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30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4</v>
      </c>
      <c r="J142" s="12" t="n">
        <v>1776</v>
      </c>
      <c r="K142" s="12" t="n">
        <v>0</v>
      </c>
      <c r="L142" s="12" t="n">
        <v>1614.68</v>
      </c>
      <c r="M142" s="12" t="n">
        <v>161.32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37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504</v>
      </c>
      <c r="K143" s="16" t="n">
        <v>0</v>
      </c>
      <c r="L143" s="16" t="n">
        <v>458.22</v>
      </c>
      <c r="M143" s="16" t="n">
        <v>45.78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14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540</v>
      </c>
      <c r="K144" s="12" t="n">
        <v>0</v>
      </c>
      <c r="L144" s="12" t="n">
        <v>490.95</v>
      </c>
      <c r="M144" s="12" t="n">
        <v>49.05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9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480</v>
      </c>
      <c r="K145" s="16" t="n">
        <v>0</v>
      </c>
      <c r="L145" s="16" t="n">
        <v>436.4</v>
      </c>
      <c r="M145" s="16" t="n">
        <v>43.6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20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1008</v>
      </c>
      <c r="K146" s="12" t="n">
        <v>0</v>
      </c>
      <c r="L146" s="12" t="n">
        <v>916.4400000000001</v>
      </c>
      <c r="M146" s="12" t="n">
        <v>91.56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21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I2 36€</t>
        </is>
      </c>
      <c r="F147" s="23">
        <f>IFERROR(INDEX(Tariffe!$B$2:$B$200,MATCH(E147,Tariffe!$A$2:$A$200,0)),"DA DEFINIRE")</f>
        <v/>
      </c>
      <c r="G147" s="16" t="n">
        <v>36</v>
      </c>
      <c r="H147" s="15">
        <f>Q147*R147</f>
        <v/>
      </c>
      <c r="I147" s="15" t="n">
        <v>0</v>
      </c>
      <c r="J147" s="16" t="n">
        <v>144</v>
      </c>
      <c r="K147" s="16" t="n">
        <v>0</v>
      </c>
      <c r="L147" s="16" t="n">
        <v>130.92</v>
      </c>
      <c r="M147" s="16" t="n">
        <v>13.08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4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I5 60€</t>
        </is>
      </c>
      <c r="F148" s="22">
        <f>IFERROR(INDEX(Tariffe!$B$2:$B$200,MATCH(E148,Tariffe!$A$2:$A$200,0)),"DA DEFINIRE")</f>
        <v/>
      </c>
      <c r="G148" s="12" t="n">
        <v>60</v>
      </c>
      <c r="H148" s="11">
        <f>Q148*R148</f>
        <v/>
      </c>
      <c r="I148" s="11" t="n">
        <v>0</v>
      </c>
      <c r="J148" s="12" t="n">
        <v>180</v>
      </c>
      <c r="K148" s="12" t="n">
        <v>0</v>
      </c>
      <c r="L148" s="12" t="n">
        <v>163.65</v>
      </c>
      <c r="M148" s="12" t="n">
        <v>16.35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3</v>
      </c>
      <c r="R148" s="11">
        <f>IFERROR(INDEX(Tariffe!$E$2:$E$200,MATCH(E148,Tariffe!$A$2:$A$200,0))*1,1)</f>
        <v/>
      </c>
    </row>
    <row r="149">
      <c r="A149" s="23" t="inlineStr">
        <is>
          <t>20261101_2359</t>
        </is>
      </c>
      <c r="B149" s="13" t="n">
        <v>46327</v>
      </c>
      <c r="C149" s="14" t="n">
        <v>0.9993055555555556</v>
      </c>
      <c r="D149" s="23" t="inlineStr">
        <is>
          <t>UN Unico</t>
        </is>
      </c>
      <c r="E149" s="23" t="inlineStr">
        <is>
          <t>I8 24€</t>
        </is>
      </c>
      <c r="F149" s="23">
        <f>IFERROR(INDEX(Tariffe!$B$2:$B$200,MATCH(E149,Tariffe!$A$2:$A$200,0)),"DA DEFINIRE")</f>
        <v/>
      </c>
      <c r="G149" s="16" t="n">
        <v>24</v>
      </c>
      <c r="H149" s="15">
        <f>Q149*R149</f>
        <v/>
      </c>
      <c r="I149" s="15" t="n">
        <v>0</v>
      </c>
      <c r="J149" s="16" t="n">
        <v>576</v>
      </c>
      <c r="K149" s="16" t="n">
        <v>0</v>
      </c>
      <c r="L149" s="16" t="n">
        <v>523.6799999999999</v>
      </c>
      <c r="M149" s="16" t="n">
        <v>52.32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24</v>
      </c>
      <c r="R149" s="15">
        <f>IFERROR(INDEX(Tariffe!$E$2:$E$200,MATCH(E149,Tariffe!$A$2:$A$200,0))*1,1)</f>
        <v/>
      </c>
    </row>
    <row r="150">
      <c r="A150" s="22" t="inlineStr">
        <is>
          <t>20261102_2015</t>
        </is>
      </c>
      <c r="B150" s="9" t="n">
        <v>46328</v>
      </c>
      <c r="C150" s="10" t="n">
        <v>0.84375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30</v>
      </c>
      <c r="K150" s="12" t="n">
        <v>0</v>
      </c>
      <c r="L150" s="12" t="n">
        <v>27.28</v>
      </c>
      <c r="M150" s="12" t="n">
        <v>2.72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2</v>
      </c>
      <c r="R150" s="11">
        <f>IFERROR(INDEX(Tariffe!$E$2:$E$200,MATCH(E150,Tariffe!$A$2:$A$200,0))*1,1)</f>
        <v/>
      </c>
    </row>
    <row r="151">
      <c r="A151" s="23" t="inlineStr">
        <is>
          <t>20261102_2215</t>
        </is>
      </c>
      <c r="B151" s="13" t="n">
        <v>46328</v>
      </c>
      <c r="C151" s="14" t="n">
        <v>0.9270833333333334</v>
      </c>
      <c r="D151" s="23" t="inlineStr">
        <is>
          <t>UN Unico</t>
        </is>
      </c>
      <c r="E151" s="23" t="inlineStr">
        <is>
          <t>I1 15€</t>
        </is>
      </c>
      <c r="F151" s="23">
        <f>IFERROR(INDEX(Tariffe!$B$2:$B$200,MATCH(E151,Tariffe!$A$2:$A$200,0)),"DA DEFINIRE")</f>
        <v/>
      </c>
      <c r="G151" s="16" t="n">
        <v>15</v>
      </c>
      <c r="H151" s="15">
        <f>Q151*R151</f>
        <v/>
      </c>
      <c r="I151" s="15" t="n">
        <v>0</v>
      </c>
      <c r="J151" s="16" t="n">
        <v>120</v>
      </c>
      <c r="K151" s="16" t="n">
        <v>0</v>
      </c>
      <c r="L151" s="16" t="n">
        <v>109.12</v>
      </c>
      <c r="M151" s="16" t="n">
        <v>10.88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8</v>
      </c>
      <c r="R151" s="15">
        <f>IFERROR(INDEX(Tariffe!$E$2:$E$200,MATCH(E151,Tariffe!$A$2:$A$200,0))*1,1)</f>
        <v/>
      </c>
    </row>
    <row r="152">
      <c r="A152" s="22" t="inlineStr">
        <is>
          <t>20261102_2315</t>
        </is>
      </c>
      <c r="B152" s="9" t="n">
        <v>46328</v>
      </c>
      <c r="C152" s="10" t="n">
        <v>0.96875</v>
      </c>
      <c r="D152" s="22" t="inlineStr">
        <is>
          <t>UN Unico</t>
        </is>
      </c>
      <c r="E152" s="22" t="inlineStr">
        <is>
          <t>I1 15€</t>
        </is>
      </c>
      <c r="F152" s="22">
        <f>IFERROR(INDEX(Tariffe!$B$2:$B$200,MATCH(E152,Tariffe!$A$2:$A$200,0)),"DA DEFINIRE")</f>
        <v/>
      </c>
      <c r="G152" s="12" t="n">
        <v>15</v>
      </c>
      <c r="H152" s="11">
        <f>Q152*R152</f>
        <v/>
      </c>
      <c r="I152" s="11" t="n">
        <v>0</v>
      </c>
      <c r="J152" s="12" t="n">
        <v>45</v>
      </c>
      <c r="K152" s="12" t="n">
        <v>0</v>
      </c>
      <c r="L152" s="12" t="n">
        <v>40.92</v>
      </c>
      <c r="M152" s="12" t="n">
        <v>4.08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3</v>
      </c>
      <c r="R152" s="11">
        <f>IFERROR(INDEX(Tariffe!$E$2:$E$200,MATCH(E152,Tariffe!$A$2:$A$200,0))*1,1)</f>
        <v/>
      </c>
    </row>
    <row r="153">
      <c r="A153" s="23" t="inlineStr">
        <is>
          <t>20261102_2359</t>
        </is>
      </c>
      <c r="B153" s="13" t="n">
        <v>46328</v>
      </c>
      <c r="C153" s="14" t="n">
        <v>0.9993055555555556</v>
      </c>
      <c r="D153" s="23" t="inlineStr">
        <is>
          <t>UN Unico</t>
        </is>
      </c>
      <c r="E153" s="23" t="inlineStr">
        <is>
          <t>I1 15€</t>
        </is>
      </c>
      <c r="F153" s="23">
        <f>IFERROR(INDEX(Tariffe!$B$2:$B$200,MATCH(E153,Tariffe!$A$2:$A$200,0)),"DA DEFINIRE")</f>
        <v/>
      </c>
      <c r="G153" s="16" t="n">
        <v>15</v>
      </c>
      <c r="H153" s="15">
        <f>Q153*R153</f>
        <v/>
      </c>
      <c r="I153" s="15" t="n">
        <v>0</v>
      </c>
      <c r="J153" s="16" t="n">
        <v>15</v>
      </c>
      <c r="K153" s="16" t="n">
        <v>0</v>
      </c>
      <c r="L153" s="16" t="n">
        <v>13.64</v>
      </c>
      <c r="M153" s="16" t="n">
        <v>1.36</v>
      </c>
      <c r="N153" s="23" t="inlineStr">
        <is>
          <t>11/2026</t>
        </is>
      </c>
      <c r="O153" s="15">
        <f>IFERROR(INDEX(Tariffe!$D$2:$D$200,MATCH(E153,Tariffe!$A$2:$A$200,0))*1,0)</f>
        <v/>
      </c>
      <c r="P153" s="15">
        <f>Q153*O153</f>
        <v/>
      </c>
      <c r="Q153" s="15" t="n">
        <v>1</v>
      </c>
      <c r="R153" s="15">
        <f>IFERROR(INDEX(Tariffe!$E$2:$E$200,MATCH(E153,Tariffe!$A$2:$A$200,0))*1,1)</f>
        <v/>
      </c>
    </row>
  </sheetData>
  <autoFilter ref="A1:R15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  <row r="10">
      <c r="A10" s="9" t="n">
        <v>46335</v>
      </c>
      <c r="B10" s="22">
        <f>CHOOSE(WEEKDAY(A10,2),"Lunedì","Martedì","Mercoledì","Giovedì","Venerdì","Sabato","Domenica")</f>
        <v/>
      </c>
      <c r="C10" s="11">
        <f>SUM(F10:K10)</f>
        <v/>
      </c>
      <c r="D10" s="11">
        <f>SUM(L10:Q10)</f>
        <v/>
      </c>
      <c r="E10" s="12">
        <f>SUMIF(Vendite!$B$2:$B$1000,A10,Vendite!$J$2:$J$1000)</f>
        <v/>
      </c>
      <c r="F10" s="11">
        <f>SUMIFS(Vendite!$H$2:$H$1000,Vendite!$B$2:$B$1000,A10,Vendite!$C$2:$C$1000,"&gt;="&amp;TIMEVALUE("19:00"),Vendite!$C$2:$C$1000,"&lt;"&amp;TIMEVALUE("20:00"))</f>
        <v/>
      </c>
      <c r="G10" s="11">
        <f>SUMIFS(Vendite!$H$2:$H$1000,Vendite!$B$2:$B$1000,A10,Vendite!$C$2:$C$1000,"&gt;="&amp;TIMEVALUE("20:00"),Vendite!$C$2:$C$1000,"&lt;"&amp;TIMEVALUE("21:00"))</f>
        <v/>
      </c>
      <c r="H10" s="11">
        <f>SUMIFS(Vendite!$H$2:$H$1000,Vendite!$B$2:$B$1000,A10,Vendite!$C$2:$C$1000,"&gt;="&amp;TIMEVALUE("21:00"),Vendite!$C$2:$C$1000,"&lt;"&amp;TIMEVALUE("22:00"))</f>
        <v/>
      </c>
      <c r="I10" s="11">
        <f>SUMIFS(Vendite!$H$2:$H$1000,Vendite!$B$2:$B$1000,A10,Vendite!$C$2:$C$1000,"&gt;="&amp;TIMEVALUE("22:00"),Vendite!$C$2:$C$1000,"&lt;"&amp;TIMEVALUE("23:00"))</f>
        <v/>
      </c>
      <c r="J10" s="11">
        <f>SUMIFS(Vendite!$H$2:$H$1000,Vendite!$B$2:$B$1000,A10,Vendite!$C$2:$C$1000,"&gt;="&amp;TIMEVALUE("23:00"),Vendite!$C$2:$C$1000,"&lt;"&amp;TIMEVALUE("23:30"))</f>
        <v/>
      </c>
      <c r="K10" s="11">
        <f>SUMIFS(Vendite!$H$2:$H$1000,Vendite!$B$2:$B$1000,A10,Vendite!$C$2:$C$1000,"&gt;="&amp;TIMEVALUE("23:30"))</f>
        <v/>
      </c>
      <c r="L10" s="11">
        <f>SUMIFS(Vendite!$P$2:$P$1000,Vendite!$B$2:$B$1000,A10,Vendite!$C$2:$C$1000,"&gt;="&amp;TIMEVALUE("19:00"),Vendite!$C$2:$C$1000,"&lt;"&amp;TIMEVALUE("20:00"))</f>
        <v/>
      </c>
      <c r="M10" s="11">
        <f>SUMIFS(Vendite!$P$2:$P$1000,Vendite!$B$2:$B$1000,A10,Vendite!$C$2:$C$1000,"&gt;="&amp;TIMEVALUE("20:00"),Vendite!$C$2:$C$1000,"&lt;"&amp;TIMEVALUE("21:00"))</f>
        <v/>
      </c>
      <c r="N10" s="11">
        <f>SUMIFS(Vendite!$P$2:$P$1000,Vendite!$B$2:$B$1000,A10,Vendite!$C$2:$C$1000,"&gt;="&amp;TIMEVALUE("21:00"),Vendite!$C$2:$C$1000,"&lt;"&amp;TIMEVALUE("22:00"))</f>
        <v/>
      </c>
      <c r="O10" s="11">
        <f>SUMIFS(Vendite!$P$2:$P$1000,Vendite!$B$2:$B$1000,A10,Vendite!$C$2:$C$1000,"&gt;="&amp;TIMEVALUE("22:00"),Vendite!$C$2:$C$1000,"&lt;"&amp;TIMEVALUE("23:00"))</f>
        <v/>
      </c>
      <c r="P10" s="11">
        <f>SUMIFS(Vendite!$P$2:$P$1000,Vendite!$B$2:$B$1000,A10,Vendite!$C$2:$C$1000,"&gt;="&amp;TIMEVALUE("23:00"),Vendite!$C$2:$C$1000,"&lt;"&amp;TIMEVALUE("23:30"))</f>
        <v/>
      </c>
      <c r="Q10" s="11">
        <f>SUMIFS(Vendite!$P$2:$P$1000,Vendite!$B$2:$B$1000,A10,Vendite!$C$2:$C$1000,"&gt;="&amp;TIMEVALUE("23:30"))</f>
        <v/>
      </c>
      <c r="R10" s="11">
        <f>SUMIFS(Vendite!$H$2:$H$1000,Vendite!$B$2:$B$1000,A10,Vendite!$O$2:$O$1000,2)</f>
        <v/>
      </c>
      <c r="S10" s="11">
        <f>SUMIFS(Vendite!$H$2:$H$1000,Vendite!$B$2:$B$1000,A10,Vendite!$O$2:$O$1000,3)</f>
        <v/>
      </c>
      <c r="T10" s="11">
        <f>SUMIFS(Vendite!$H$2:$H$1000,Vendite!$B$2:$B$1000,A10,Vendite!$O$2:$O$1000,4)</f>
        <v/>
      </c>
      <c r="U10" s="11">
        <f>SUMIFS(Vendite!$H$2:$H$1000,Vendite!$B$2:$B$1000,A10,Vendite!$O$2:$O$1000,5)</f>
        <v/>
      </c>
      <c r="V10">
        <f>TEXT(A10,"DD/MM")</f>
        <v/>
      </c>
    </row>
  </sheetData>
  <autoFilter ref="A1:U10"/>
  <conditionalFormatting sqref="F2:K10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10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6872</v>
      </c>
      <c r="D825" s="16" t="n">
        <v>82500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6899</v>
      </c>
      <c r="D826" s="12" t="n">
        <v>82824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6914</v>
      </c>
      <c r="D827" s="16" t="n">
        <v>83004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6934</v>
      </c>
      <c r="D828" s="12" t="n">
        <v>83244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6946</v>
      </c>
      <c r="D829" s="16" t="n">
        <v>83388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6950</v>
      </c>
      <c r="D830" s="12" t="n">
        <v>83436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6950</v>
      </c>
      <c r="D831" s="16" t="n">
        <v>83436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6950</v>
      </c>
      <c r="D832" s="12" t="n">
        <v>83436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6950</v>
      </c>
      <c r="D833" s="16" t="n">
        <v>83436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6952</v>
      </c>
      <c r="D834" s="12" t="n">
        <v>83460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6959</v>
      </c>
      <c r="D835" s="16" t="n">
        <v>83544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6981</v>
      </c>
      <c r="D836" s="12" t="n">
        <v>83808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6987</v>
      </c>
      <c r="D837" s="16" t="n">
        <v>83880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7002</v>
      </c>
      <c r="D838" s="12" t="n">
        <v>84060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7015</v>
      </c>
      <c r="D839" s="16" t="n">
        <v>84216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7027</v>
      </c>
      <c r="D840" s="12" t="n">
        <v>84360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7056</v>
      </c>
      <c r="D841" s="16" t="n">
        <v>84708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7079</v>
      </c>
      <c r="D842" s="12" t="n">
        <v>84984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7138</v>
      </c>
      <c r="D843" s="16" t="n">
        <v>85692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  <row r="844">
      <c r="A844" s="30" t="n">
        <v>46324.57222222222</v>
      </c>
      <c r="B844" s="11" t="n">
        <v>2286</v>
      </c>
      <c r="C844" s="11" t="n">
        <v>7221</v>
      </c>
      <c r="D844" s="12" t="n">
        <v>86688</v>
      </c>
      <c r="E844" s="31">
        <f>B844-B843</f>
        <v/>
      </c>
      <c r="F844" s="31">
        <f>C844-C843</f>
        <v/>
      </c>
      <c r="G844" s="32">
        <f>D844-D843</f>
        <v/>
      </c>
      <c r="H844">
        <f>TEXT(A844,"DD/MM HH:MM")</f>
        <v/>
      </c>
    </row>
    <row r="845">
      <c r="A845" s="33" t="n">
        <v>46324.62152777778</v>
      </c>
      <c r="B845" s="15" t="n">
        <v>2322</v>
      </c>
      <c r="C845" s="15" t="n">
        <v>7343</v>
      </c>
      <c r="D845" s="16" t="n">
        <v>88152</v>
      </c>
      <c r="E845" s="34">
        <f>B845-B844</f>
        <v/>
      </c>
      <c r="F845" s="34">
        <f>C845-C844</f>
        <v/>
      </c>
      <c r="G845" s="35">
        <f>D845-D844</f>
        <v/>
      </c>
      <c r="H845">
        <f>TEXT(A845,"DD/MM HH:MM")</f>
        <v/>
      </c>
    </row>
    <row r="846">
      <c r="A846" s="30" t="n">
        <v>46324.63194444445</v>
      </c>
      <c r="B846" s="11" t="n">
        <v>2330</v>
      </c>
      <c r="C846" s="11" t="n">
        <v>7366</v>
      </c>
      <c r="D846" s="12" t="n">
        <v>88428</v>
      </c>
      <c r="E846" s="31">
        <f>B846-B845</f>
        <v/>
      </c>
      <c r="F846" s="31">
        <f>C846-C845</f>
        <v/>
      </c>
      <c r="G846" s="32">
        <f>D846-D845</f>
        <v/>
      </c>
      <c r="H846">
        <f>TEXT(A846,"DD/MM HH:MM")</f>
        <v/>
      </c>
    </row>
    <row r="847">
      <c r="A847" s="33" t="n">
        <v>46324.64236111111</v>
      </c>
      <c r="B847" s="15" t="n">
        <v>2335</v>
      </c>
      <c r="C847" s="15" t="n">
        <v>7381</v>
      </c>
      <c r="D847" s="16" t="n">
        <v>88608</v>
      </c>
      <c r="E847" s="34">
        <f>B847-B846</f>
        <v/>
      </c>
      <c r="F847" s="34">
        <f>C847-C846</f>
        <v/>
      </c>
      <c r="G847" s="35">
        <f>D847-D846</f>
        <v/>
      </c>
      <c r="H847">
        <f>TEXT(A847,"DD/MM HH:MM")</f>
        <v/>
      </c>
    </row>
    <row r="848">
      <c r="A848" s="30" t="n">
        <v>46324.64444444444</v>
      </c>
      <c r="B848" s="11" t="n">
        <v>2337</v>
      </c>
      <c r="C848" s="11" t="n">
        <v>7385</v>
      </c>
      <c r="D848" s="12" t="n">
        <v>88656</v>
      </c>
      <c r="E848" s="31">
        <f>B848-B847</f>
        <v/>
      </c>
      <c r="F848" s="31">
        <f>C848-C847</f>
        <v/>
      </c>
      <c r="G848" s="32">
        <f>D848-D847</f>
        <v/>
      </c>
      <c r="H848">
        <f>TEXT(A848,"DD/MM HH:MM")</f>
        <v/>
      </c>
    </row>
    <row r="849">
      <c r="A849" s="33" t="n">
        <v>46324.68263888889</v>
      </c>
      <c r="B849" s="15" t="n">
        <v>2355</v>
      </c>
      <c r="C849" s="15" t="n">
        <v>7444</v>
      </c>
      <c r="D849" s="16" t="n">
        <v>89364</v>
      </c>
      <c r="E849" s="34">
        <f>B849-B848</f>
        <v/>
      </c>
      <c r="F849" s="34">
        <f>C849-C848</f>
        <v/>
      </c>
      <c r="G849" s="35">
        <f>D849-D848</f>
        <v/>
      </c>
      <c r="H849">
        <f>TEXT(A849,"DD/MM HH:MM")</f>
        <v/>
      </c>
    </row>
    <row r="850">
      <c r="A850" s="30" t="n">
        <v>46324.71180555555</v>
      </c>
      <c r="B850" s="11" t="n">
        <v>2368</v>
      </c>
      <c r="C850" s="11" t="n">
        <v>7487</v>
      </c>
      <c r="D850" s="12" t="n">
        <v>89880</v>
      </c>
      <c r="E850" s="31">
        <f>B850-B849</f>
        <v/>
      </c>
      <c r="F850" s="31">
        <f>C850-C849</f>
        <v/>
      </c>
      <c r="G850" s="32">
        <f>D850-D849</f>
        <v/>
      </c>
      <c r="H850">
        <f>TEXT(A850,"DD/MM HH:MM")</f>
        <v/>
      </c>
    </row>
    <row r="851">
      <c r="A851" s="33" t="n">
        <v>46324.73680555556</v>
      </c>
      <c r="B851" s="15" t="n">
        <v>2379</v>
      </c>
      <c r="C851" s="15" t="n">
        <v>7526</v>
      </c>
      <c r="D851" s="16" t="n">
        <v>90348</v>
      </c>
      <c r="E851" s="34">
        <f>B851-B850</f>
        <v/>
      </c>
      <c r="F851" s="34">
        <f>C851-C850</f>
        <v/>
      </c>
      <c r="G851" s="35">
        <f>D851-D850</f>
        <v/>
      </c>
      <c r="H851">
        <f>TEXT(A851,"DD/MM HH:MM")</f>
        <v/>
      </c>
    </row>
    <row r="852">
      <c r="A852" s="30" t="n">
        <v>46324.74027777778</v>
      </c>
      <c r="B852" s="11" t="n">
        <v>2379</v>
      </c>
      <c r="C852" s="11" t="n">
        <v>7526</v>
      </c>
      <c r="D852" s="12" t="n">
        <v>90348</v>
      </c>
      <c r="E852" s="31">
        <f>B852-B851</f>
        <v/>
      </c>
      <c r="F852" s="31">
        <f>C852-C851</f>
        <v/>
      </c>
      <c r="G852" s="32">
        <f>D852-D851</f>
        <v/>
      </c>
      <c r="H852">
        <f>TEXT(A852,"DD/MM HH:MM")</f>
        <v/>
      </c>
    </row>
    <row r="853">
      <c r="A853" s="33" t="n">
        <v>46324.74652777778</v>
      </c>
      <c r="B853" s="15" t="n">
        <v>2380</v>
      </c>
      <c r="C853" s="15" t="n">
        <v>7529</v>
      </c>
      <c r="D853" s="16" t="n">
        <v>90384</v>
      </c>
      <c r="E853" s="34">
        <f>B853-B852</f>
        <v/>
      </c>
      <c r="F853" s="34">
        <f>C853-C852</f>
        <v/>
      </c>
      <c r="G853" s="35">
        <f>D853-D852</f>
        <v/>
      </c>
      <c r="H853">
        <f>TEXT(A853,"DD/MM HH:MM")</f>
        <v/>
      </c>
    </row>
    <row r="854">
      <c r="A854" s="30" t="n">
        <v>46324.76041666666</v>
      </c>
      <c r="B854" s="11" t="n">
        <v>2391</v>
      </c>
      <c r="C854" s="11" t="n">
        <v>7564</v>
      </c>
      <c r="D854" s="12" t="n">
        <v>90804</v>
      </c>
      <c r="E854" s="31">
        <f>B854-B853</f>
        <v/>
      </c>
      <c r="F854" s="31">
        <f>C854-C853</f>
        <v/>
      </c>
      <c r="G854" s="32">
        <f>D854-D853</f>
        <v/>
      </c>
      <c r="H854">
        <f>TEXT(A854,"DD/MM HH:MM")</f>
        <v/>
      </c>
    </row>
    <row r="855">
      <c r="A855" s="33" t="n">
        <v>46324.77847222222</v>
      </c>
      <c r="B855" s="15" t="n">
        <v>2402</v>
      </c>
      <c r="C855" s="15" t="n">
        <v>7594</v>
      </c>
      <c r="D855" s="16" t="n">
        <v>91164</v>
      </c>
      <c r="E855" s="34">
        <f>B855-B854</f>
        <v/>
      </c>
      <c r="F855" s="34">
        <f>C855-C854</f>
        <v/>
      </c>
      <c r="G855" s="35">
        <f>D855-D854</f>
        <v/>
      </c>
      <c r="H855">
        <f>TEXT(A855,"DD/MM HH:MM")</f>
        <v/>
      </c>
    </row>
    <row r="856">
      <c r="A856" s="30" t="n">
        <v>46324.78194444445</v>
      </c>
      <c r="B856" s="11" t="n">
        <v>2405</v>
      </c>
      <c r="C856" s="11" t="n">
        <v>7604</v>
      </c>
      <c r="D856" s="12" t="n">
        <v>91284</v>
      </c>
      <c r="E856" s="31">
        <f>B856-B855</f>
        <v/>
      </c>
      <c r="F856" s="31">
        <f>C856-C855</f>
        <v/>
      </c>
      <c r="G856" s="32">
        <f>D856-D855</f>
        <v/>
      </c>
      <c r="H856">
        <f>TEXT(A856,"DD/MM HH:MM")</f>
        <v/>
      </c>
    </row>
    <row r="857">
      <c r="A857" s="33" t="n">
        <v>46324.81875</v>
      </c>
      <c r="B857" s="15" t="n">
        <v>2427</v>
      </c>
      <c r="C857" s="15" t="n">
        <v>7675</v>
      </c>
      <c r="D857" s="16" t="n">
        <v>92136</v>
      </c>
      <c r="E857" s="34">
        <f>B857-B856</f>
        <v/>
      </c>
      <c r="F857" s="34">
        <f>C857-C856</f>
        <v/>
      </c>
      <c r="G857" s="35">
        <f>D857-D856</f>
        <v/>
      </c>
      <c r="H857">
        <f>TEXT(A857,"DD/MM HH:MM")</f>
        <v/>
      </c>
    </row>
    <row r="858">
      <c r="A858" s="30" t="n">
        <v>46324.82083333333</v>
      </c>
      <c r="B858" s="11" t="n">
        <v>2427</v>
      </c>
      <c r="C858" s="11" t="n">
        <v>7675</v>
      </c>
      <c r="D858" s="12" t="n">
        <v>92136</v>
      </c>
      <c r="E858" s="31">
        <f>B858-B857</f>
        <v/>
      </c>
      <c r="F858" s="31">
        <f>C858-C857</f>
        <v/>
      </c>
      <c r="G858" s="32">
        <f>D858-D857</f>
        <v/>
      </c>
      <c r="H858">
        <f>TEXT(A858,"DD/MM HH:MM")</f>
        <v/>
      </c>
    </row>
    <row r="859">
      <c r="A859" s="33" t="n">
        <v>46324.85972222222</v>
      </c>
      <c r="B859" s="15" t="n">
        <v>2447</v>
      </c>
      <c r="C859" s="15" t="n">
        <v>7739</v>
      </c>
      <c r="D859" s="16" t="n">
        <v>92904</v>
      </c>
      <c r="E859" s="34">
        <f>B859-B858</f>
        <v/>
      </c>
      <c r="F859" s="34">
        <f>C859-C858</f>
        <v/>
      </c>
      <c r="G859" s="35">
        <f>D859-D858</f>
        <v/>
      </c>
      <c r="H859">
        <f>TEXT(A859,"DD/MM HH:MM")</f>
        <v/>
      </c>
    </row>
    <row r="860">
      <c r="A860" s="30" t="n">
        <v>46324.86388888889</v>
      </c>
      <c r="B860" s="11" t="n">
        <v>2448</v>
      </c>
      <c r="C860" s="11" t="n">
        <v>7743</v>
      </c>
      <c r="D860" s="12" t="n">
        <v>92952</v>
      </c>
      <c r="E860" s="31">
        <f>B860-B859</f>
        <v/>
      </c>
      <c r="F860" s="31">
        <f>C860-C859</f>
        <v/>
      </c>
      <c r="G860" s="32">
        <f>D860-D859</f>
        <v/>
      </c>
      <c r="H860">
        <f>TEXT(A860,"DD/MM HH:MM")</f>
        <v/>
      </c>
    </row>
    <row r="861">
      <c r="A861" s="33" t="n">
        <v>46324.89444444444</v>
      </c>
      <c r="B861" s="15" t="n">
        <v>2465</v>
      </c>
      <c r="C861" s="15" t="n">
        <v>7797</v>
      </c>
      <c r="D861" s="16" t="n">
        <v>93600</v>
      </c>
      <c r="E861" s="34">
        <f>B861-B860</f>
        <v/>
      </c>
      <c r="F861" s="34">
        <f>C861-C860</f>
        <v/>
      </c>
      <c r="G861" s="35">
        <f>D861-D860</f>
        <v/>
      </c>
      <c r="H861">
        <f>TEXT(A861,"DD/MM HH:MM")</f>
        <v/>
      </c>
    </row>
    <row r="862">
      <c r="A862" s="30" t="n">
        <v>46324.90138888889</v>
      </c>
      <c r="B862" s="11" t="n">
        <v>2467</v>
      </c>
      <c r="C862" s="11" t="n">
        <v>7806</v>
      </c>
      <c r="D862" s="12" t="n">
        <v>93708</v>
      </c>
      <c r="E862" s="31">
        <f>B862-B861</f>
        <v/>
      </c>
      <c r="F862" s="31">
        <f>C862-C861</f>
        <v/>
      </c>
      <c r="G862" s="32">
        <f>D862-D861</f>
        <v/>
      </c>
      <c r="H862">
        <f>TEXT(A862,"DD/MM HH:MM")</f>
        <v/>
      </c>
    </row>
    <row r="863">
      <c r="A863" s="33" t="n">
        <v>46324.90694444445</v>
      </c>
      <c r="B863" s="15" t="n">
        <v>2470</v>
      </c>
      <c r="C863" s="15" t="n">
        <v>7820</v>
      </c>
      <c r="D863" s="16" t="n">
        <v>93876</v>
      </c>
      <c r="E863" s="34">
        <f>B863-B862</f>
        <v/>
      </c>
      <c r="F863" s="34">
        <f>C863-C862</f>
        <v/>
      </c>
      <c r="G863" s="35">
        <f>D863-D862</f>
        <v/>
      </c>
      <c r="H863">
        <f>TEXT(A863,"DD/MM HH:MM")</f>
        <v/>
      </c>
    </row>
    <row r="864">
      <c r="A864" s="30" t="n">
        <v>46324.94097222222</v>
      </c>
      <c r="B864" s="11" t="n">
        <v>2485</v>
      </c>
      <c r="C864" s="11" t="n">
        <v>7872</v>
      </c>
      <c r="D864" s="12" t="n">
        <v>94506</v>
      </c>
      <c r="E864" s="31">
        <f>B864-B863</f>
        <v/>
      </c>
      <c r="F864" s="31">
        <f>C864-C863</f>
        <v/>
      </c>
      <c r="G864" s="32">
        <f>D864-D863</f>
        <v/>
      </c>
      <c r="H864">
        <f>TEXT(A864,"DD/MM HH:MM")</f>
        <v/>
      </c>
    </row>
    <row r="865">
      <c r="A865" s="33" t="n">
        <v>46324.94375</v>
      </c>
      <c r="B865" s="15" t="n">
        <v>2488</v>
      </c>
      <c r="C865" s="15" t="n">
        <v>7882</v>
      </c>
      <c r="D865" s="16" t="n">
        <v>94626</v>
      </c>
      <c r="E865" s="34">
        <f>B865-B864</f>
        <v/>
      </c>
      <c r="F865" s="34">
        <f>C865-C864</f>
        <v/>
      </c>
      <c r="G865" s="35">
        <f>D865-D864</f>
        <v/>
      </c>
      <c r="H865">
        <f>TEXT(A865,"DD/MM HH:MM")</f>
        <v/>
      </c>
    </row>
    <row r="866">
      <c r="A866" s="30" t="n">
        <v>46324.95486111111</v>
      </c>
      <c r="B866" s="11" t="n">
        <v>2491</v>
      </c>
      <c r="C866" s="11" t="n">
        <v>7890</v>
      </c>
      <c r="D866" s="12" t="n">
        <v>94722</v>
      </c>
      <c r="E866" s="31">
        <f>B866-B865</f>
        <v/>
      </c>
      <c r="F866" s="31">
        <f>C866-C865</f>
        <v/>
      </c>
      <c r="G866" s="32">
        <f>D866-D865</f>
        <v/>
      </c>
      <c r="H866">
        <f>TEXT(A866,"DD/MM HH:MM")</f>
        <v/>
      </c>
    </row>
    <row r="867">
      <c r="A867" s="33" t="n">
        <v>46324.99513888889</v>
      </c>
      <c r="B867" s="15" t="n">
        <v>2506</v>
      </c>
      <c r="C867" s="15" t="n">
        <v>7942</v>
      </c>
      <c r="D867" s="16" t="n">
        <v>95346</v>
      </c>
      <c r="E867" s="34">
        <f>B867-B866</f>
        <v/>
      </c>
      <c r="F867" s="34">
        <f>C867-C866</f>
        <v/>
      </c>
      <c r="G867" s="35">
        <f>D867-D866</f>
        <v/>
      </c>
      <c r="H867">
        <f>TEXT(A867,"DD/MM HH:MM")</f>
        <v/>
      </c>
    </row>
    <row r="868">
      <c r="A868" s="30" t="n">
        <v>46325.01944444444</v>
      </c>
      <c r="B868" s="11" t="n">
        <v>2510</v>
      </c>
      <c r="C868" s="11" t="n">
        <v>7959</v>
      </c>
      <c r="D868" s="12" t="n">
        <v>95550</v>
      </c>
      <c r="E868" s="31">
        <f>B868-B867</f>
        <v/>
      </c>
      <c r="F868" s="31">
        <f>C868-C867</f>
        <v/>
      </c>
      <c r="G868" s="32">
        <f>D868-D867</f>
        <v/>
      </c>
      <c r="H868">
        <f>TEXT(A868,"DD/MM HH:MM")</f>
        <v/>
      </c>
    </row>
    <row r="869">
      <c r="A869" s="33" t="n">
        <v>46325.03472222222</v>
      </c>
      <c r="B869" s="15" t="n">
        <v>2513</v>
      </c>
      <c r="C869" s="15" t="n">
        <v>7966</v>
      </c>
      <c r="D869" s="16" t="n">
        <v>95634</v>
      </c>
      <c r="E869" s="34">
        <f>B869-B868</f>
        <v/>
      </c>
      <c r="F869" s="34">
        <f>C869-C868</f>
        <v/>
      </c>
      <c r="G869" s="35">
        <f>D869-D868</f>
        <v/>
      </c>
      <c r="H869">
        <f>TEXT(A869,"DD/MM HH:MM")</f>
        <v/>
      </c>
    </row>
    <row r="870">
      <c r="A870" s="30" t="n">
        <v>46325.03541666667</v>
      </c>
      <c r="B870" s="11" t="n">
        <v>2513</v>
      </c>
      <c r="C870" s="11" t="n">
        <v>7966</v>
      </c>
      <c r="D870" s="12" t="n">
        <v>95634</v>
      </c>
      <c r="E870" s="31">
        <f>B870-B869</f>
        <v/>
      </c>
      <c r="F870" s="31">
        <f>C870-C869</f>
        <v/>
      </c>
      <c r="G870" s="32">
        <f>D870-D869</f>
        <v/>
      </c>
      <c r="H870">
        <f>TEXT(A870,"DD/MM HH:MM")</f>
        <v/>
      </c>
    </row>
    <row r="871">
      <c r="A871" s="33" t="n">
        <v>46325.11388888889</v>
      </c>
      <c r="B871" s="15" t="n">
        <v>2518</v>
      </c>
      <c r="C871" s="15" t="n">
        <v>7984</v>
      </c>
      <c r="D871" s="16" t="n">
        <v>95850</v>
      </c>
      <c r="E871" s="34">
        <f>B871-B870</f>
        <v/>
      </c>
      <c r="F871" s="34">
        <f>C871-C870</f>
        <v/>
      </c>
      <c r="G871" s="35">
        <f>D871-D870</f>
        <v/>
      </c>
      <c r="H871">
        <f>TEXT(A871,"DD/MM HH:MM")</f>
        <v/>
      </c>
    </row>
    <row r="872">
      <c r="A872" s="30" t="n">
        <v>46325.38958333333</v>
      </c>
      <c r="B872" s="11" t="n">
        <v>2525</v>
      </c>
      <c r="C872" s="11" t="n">
        <v>8004</v>
      </c>
      <c r="D872" s="12" t="n">
        <v>96090</v>
      </c>
      <c r="E872" s="31">
        <f>B872-B871</f>
        <v/>
      </c>
      <c r="F872" s="31">
        <f>C872-C871</f>
        <v/>
      </c>
      <c r="G872" s="32">
        <f>D872-D871</f>
        <v/>
      </c>
      <c r="H872">
        <f>TEXT(A872,"DD/MM HH:MM")</f>
        <v/>
      </c>
    </row>
    <row r="873">
      <c r="A873" s="33" t="n">
        <v>46325.53055555555</v>
      </c>
      <c r="B873" s="15" t="n">
        <v>2552</v>
      </c>
      <c r="C873" s="15" t="n">
        <v>8081</v>
      </c>
      <c r="D873" s="16" t="n">
        <v>97014</v>
      </c>
      <c r="E873" s="34">
        <f>B873-B872</f>
        <v/>
      </c>
      <c r="F873" s="34">
        <f>C873-C872</f>
        <v/>
      </c>
      <c r="G873" s="35">
        <f>D873-D872</f>
        <v/>
      </c>
      <c r="H873">
        <f>TEXT(A873,"DD/MM HH:MM")</f>
        <v/>
      </c>
    </row>
    <row r="874">
      <c r="A874" s="30" t="n">
        <v>46325.55208333334</v>
      </c>
      <c r="B874" s="11" t="n">
        <v>2558</v>
      </c>
      <c r="C874" s="11" t="n">
        <v>8099</v>
      </c>
      <c r="D874" s="12" t="n">
        <v>97230</v>
      </c>
      <c r="E874" s="31">
        <f>B874-B873</f>
        <v/>
      </c>
      <c r="F874" s="31">
        <f>C874-C873</f>
        <v/>
      </c>
      <c r="G874" s="32">
        <f>D874-D873</f>
        <v/>
      </c>
      <c r="H874">
        <f>TEXT(A874,"DD/MM HH:MM")</f>
        <v/>
      </c>
    </row>
    <row r="875">
      <c r="A875" s="33" t="n">
        <v>46325.56805555556</v>
      </c>
      <c r="B875" s="15" t="n">
        <v>2561</v>
      </c>
      <c r="C875" s="15" t="n">
        <v>8111</v>
      </c>
      <c r="D875" s="16" t="n">
        <v>97374</v>
      </c>
      <c r="E875" s="34">
        <f>B875-B874</f>
        <v/>
      </c>
      <c r="F875" s="34">
        <f>C875-C874</f>
        <v/>
      </c>
      <c r="G875" s="35">
        <f>D875-D874</f>
        <v/>
      </c>
      <c r="H875">
        <f>TEXT(A875,"DD/MM HH:MM")</f>
        <v/>
      </c>
    </row>
    <row r="876">
      <c r="A876" s="30" t="n">
        <v>46325.58402777778</v>
      </c>
      <c r="B876" s="11" t="n">
        <v>2565</v>
      </c>
      <c r="C876" s="11" t="n">
        <v>8123</v>
      </c>
      <c r="D876" s="12" t="n">
        <v>97518</v>
      </c>
      <c r="E876" s="31">
        <f>B876-B875</f>
        <v/>
      </c>
      <c r="F876" s="31">
        <f>C876-C875</f>
        <v/>
      </c>
      <c r="G876" s="32">
        <f>D876-D875</f>
        <v/>
      </c>
      <c r="H876">
        <f>TEXT(A876,"DD/MM HH:MM")</f>
        <v/>
      </c>
    </row>
    <row r="877">
      <c r="A877" s="33" t="n">
        <v>46325.59236111111</v>
      </c>
      <c r="B877" s="15" t="n">
        <v>2572</v>
      </c>
      <c r="C877" s="15" t="n">
        <v>8148</v>
      </c>
      <c r="D877" s="16" t="n">
        <v>97818</v>
      </c>
      <c r="E877" s="34">
        <f>B877-B876</f>
        <v/>
      </c>
      <c r="F877" s="34">
        <f>C877-C876</f>
        <v/>
      </c>
      <c r="G877" s="35">
        <f>D877-D876</f>
        <v/>
      </c>
      <c r="H877">
        <f>TEXT(A877,"DD/MM HH:MM")</f>
        <v/>
      </c>
    </row>
    <row r="878">
      <c r="A878" s="30" t="n">
        <v>46325.60277777778</v>
      </c>
      <c r="B878" s="11" t="n">
        <v>2575</v>
      </c>
      <c r="C878" s="11" t="n">
        <v>8154</v>
      </c>
      <c r="D878" s="12" t="n">
        <v>97890</v>
      </c>
      <c r="E878" s="31">
        <f>B878-B877</f>
        <v/>
      </c>
      <c r="F878" s="31">
        <f>C878-C877</f>
        <v/>
      </c>
      <c r="G878" s="32">
        <f>D878-D877</f>
        <v/>
      </c>
      <c r="H878">
        <f>TEXT(A878,"DD/MM HH:MM")</f>
        <v/>
      </c>
    </row>
    <row r="879">
      <c r="A879" s="33" t="n">
        <v>46325.61944444444</v>
      </c>
      <c r="B879" s="15" t="n">
        <v>2580</v>
      </c>
      <c r="C879" s="15" t="n">
        <v>8170</v>
      </c>
      <c r="D879" s="16" t="n">
        <v>98082</v>
      </c>
      <c r="E879" s="34">
        <f>B879-B878</f>
        <v/>
      </c>
      <c r="F879" s="34">
        <f>C879-C878</f>
        <v/>
      </c>
      <c r="G879" s="35">
        <f>D879-D878</f>
        <v/>
      </c>
      <c r="H879">
        <f>TEXT(A879,"DD/MM HH:MM")</f>
        <v/>
      </c>
    </row>
    <row r="880">
      <c r="A880" s="30" t="n">
        <v>46325.62152777778</v>
      </c>
      <c r="B880" s="11" t="n">
        <v>2580</v>
      </c>
      <c r="C880" s="11" t="n">
        <v>8170</v>
      </c>
      <c r="D880" s="12" t="n">
        <v>98082</v>
      </c>
      <c r="E880" s="31">
        <f>B880-B879</f>
        <v/>
      </c>
      <c r="F880" s="31">
        <f>C880-C879</f>
        <v/>
      </c>
      <c r="G880" s="32">
        <f>D880-D879</f>
        <v/>
      </c>
      <c r="H880">
        <f>TEXT(A880,"DD/MM HH:MM")</f>
        <v/>
      </c>
    </row>
    <row r="881">
      <c r="A881" s="33" t="n">
        <v>46325.65416666667</v>
      </c>
      <c r="B881" s="15" t="n">
        <v>2589</v>
      </c>
      <c r="C881" s="15" t="n">
        <v>8193</v>
      </c>
      <c r="D881" s="16" t="n">
        <v>98358</v>
      </c>
      <c r="E881" s="34">
        <f>B881-B880</f>
        <v/>
      </c>
      <c r="F881" s="34">
        <f>C881-C880</f>
        <v/>
      </c>
      <c r="G881" s="35">
        <f>D881-D880</f>
        <v/>
      </c>
      <c r="H881">
        <f>TEXT(A881,"DD/MM HH:MM")</f>
        <v/>
      </c>
    </row>
    <row r="882">
      <c r="A882" s="30" t="n">
        <v>46325.67638888889</v>
      </c>
      <c r="B882" s="11" t="n">
        <v>2592</v>
      </c>
      <c r="C882" s="11" t="n">
        <v>8201</v>
      </c>
      <c r="D882" s="12" t="n">
        <v>98454</v>
      </c>
      <c r="E882" s="31">
        <f>B882-B881</f>
        <v/>
      </c>
      <c r="F882" s="31">
        <f>C882-C881</f>
        <v/>
      </c>
      <c r="G882" s="32">
        <f>D882-D881</f>
        <v/>
      </c>
      <c r="H882">
        <f>TEXT(A882,"DD/MM HH:MM")</f>
        <v/>
      </c>
    </row>
    <row r="883">
      <c r="A883" s="33" t="n">
        <v>46325.68263888889</v>
      </c>
      <c r="B883" s="15" t="n">
        <v>2594</v>
      </c>
      <c r="C883" s="15" t="n">
        <v>8206</v>
      </c>
      <c r="D883" s="16" t="n">
        <v>98514</v>
      </c>
      <c r="E883" s="34">
        <f>B883-B882</f>
        <v/>
      </c>
      <c r="F883" s="34">
        <f>C883-C882</f>
        <v/>
      </c>
      <c r="G883" s="35">
        <f>D883-D882</f>
        <v/>
      </c>
      <c r="H883">
        <f>TEXT(A883,"DD/MM HH:MM")</f>
        <v/>
      </c>
    </row>
    <row r="884">
      <c r="A884" s="30" t="n">
        <v>46325.69722222222</v>
      </c>
      <c r="B884" s="11" t="n">
        <v>2602</v>
      </c>
      <c r="C884" s="11" t="n">
        <v>8228</v>
      </c>
      <c r="D884" s="12" t="n">
        <v>98778</v>
      </c>
      <c r="E884" s="31">
        <f>B884-B883</f>
        <v/>
      </c>
      <c r="F884" s="31">
        <f>C884-C883</f>
        <v/>
      </c>
      <c r="G884" s="32">
        <f>D884-D883</f>
        <v/>
      </c>
      <c r="H884">
        <f>TEXT(A884,"DD/MM HH:MM")</f>
        <v/>
      </c>
    </row>
    <row r="885">
      <c r="A885" s="33" t="n">
        <v>46325.71041666667</v>
      </c>
      <c r="B885" s="15" t="n">
        <v>2606</v>
      </c>
      <c r="C885" s="15" t="n">
        <v>8242</v>
      </c>
      <c r="D885" s="16" t="n">
        <v>98946</v>
      </c>
      <c r="E885" s="34">
        <f>B885-B884</f>
        <v/>
      </c>
      <c r="F885" s="34">
        <f>C885-C884</f>
        <v/>
      </c>
      <c r="G885" s="35">
        <f>D885-D884</f>
        <v/>
      </c>
      <c r="H885">
        <f>TEXT(A885,"DD/MM HH:MM")</f>
        <v/>
      </c>
    </row>
    <row r="886">
      <c r="A886" s="30" t="n">
        <v>46325.72430555556</v>
      </c>
      <c r="B886" s="11" t="n">
        <v>2606</v>
      </c>
      <c r="C886" s="11" t="n">
        <v>8242</v>
      </c>
      <c r="D886" s="12" t="n">
        <v>98946</v>
      </c>
      <c r="E886" s="31">
        <f>B886-B885</f>
        <v/>
      </c>
      <c r="F886" s="31">
        <f>C886-C885</f>
        <v/>
      </c>
      <c r="G886" s="32">
        <f>D886-D885</f>
        <v/>
      </c>
      <c r="H886">
        <f>TEXT(A886,"DD/MM HH:MM")</f>
        <v/>
      </c>
    </row>
    <row r="887">
      <c r="A887" s="33" t="n">
        <v>46325.75347222222</v>
      </c>
      <c r="B887" s="15" t="n">
        <v>2614</v>
      </c>
      <c r="C887" s="15" t="n">
        <v>8267</v>
      </c>
      <c r="D887" s="16" t="n">
        <v>99246</v>
      </c>
      <c r="E887" s="34">
        <f>B887-B886</f>
        <v/>
      </c>
      <c r="F887" s="34">
        <f>C887-C886</f>
        <v/>
      </c>
      <c r="G887" s="35">
        <f>D887-D886</f>
        <v/>
      </c>
      <c r="H887">
        <f>TEXT(A887,"DD/MM HH:MM")</f>
        <v/>
      </c>
    </row>
    <row r="888">
      <c r="A888" s="30" t="n">
        <v>46325.77569444444</v>
      </c>
      <c r="B888" s="11" t="n">
        <v>2621</v>
      </c>
      <c r="C888" s="11" t="n">
        <v>8286</v>
      </c>
      <c r="D888" s="12" t="n">
        <v>99474</v>
      </c>
      <c r="E888" s="31">
        <f>B888-B887</f>
        <v/>
      </c>
      <c r="F888" s="31">
        <f>C888-C887</f>
        <v/>
      </c>
      <c r="G888" s="32">
        <f>D888-D887</f>
        <v/>
      </c>
      <c r="H888">
        <f>TEXT(A888,"DD/MM HH:MM")</f>
        <v/>
      </c>
    </row>
    <row r="889">
      <c r="A889" s="33" t="n">
        <v>46325.7875</v>
      </c>
      <c r="B889" s="15" t="n">
        <v>2622</v>
      </c>
      <c r="C889" s="15" t="n">
        <v>8291</v>
      </c>
      <c r="D889" s="16" t="n">
        <v>99534</v>
      </c>
      <c r="E889" s="34">
        <f>B889-B888</f>
        <v/>
      </c>
      <c r="F889" s="34">
        <f>C889-C888</f>
        <v/>
      </c>
      <c r="G889" s="35">
        <f>D889-D888</f>
        <v/>
      </c>
      <c r="H889">
        <f>TEXT(A889,"DD/MM HH:MM")</f>
        <v/>
      </c>
    </row>
    <row r="890">
      <c r="A890" s="30" t="n">
        <v>46325.79791666667</v>
      </c>
      <c r="B890" s="11" t="n">
        <v>2623</v>
      </c>
      <c r="C890" s="11" t="n">
        <v>8296</v>
      </c>
      <c r="D890" s="12" t="n">
        <v>99594</v>
      </c>
      <c r="E890" s="31">
        <f>B890-B889</f>
        <v/>
      </c>
      <c r="F890" s="31">
        <f>C890-C889</f>
        <v/>
      </c>
      <c r="G890" s="32">
        <f>D890-D889</f>
        <v/>
      </c>
      <c r="H890">
        <f>TEXT(A890,"DD/MM HH:MM")</f>
        <v/>
      </c>
    </row>
    <row r="891">
      <c r="A891" s="33" t="n">
        <v>46325.84236111111</v>
      </c>
      <c r="B891" s="15" t="n">
        <v>2635</v>
      </c>
      <c r="C891" s="15" t="n">
        <v>8336</v>
      </c>
      <c r="D891" s="16" t="n">
        <v>100074</v>
      </c>
      <c r="E891" s="34">
        <f>B891-B890</f>
        <v/>
      </c>
      <c r="F891" s="34">
        <f>C891-C890</f>
        <v/>
      </c>
      <c r="G891" s="35">
        <f>D891-D890</f>
        <v/>
      </c>
      <c r="H891">
        <f>TEXT(A891,"DD/MM HH:MM")</f>
        <v/>
      </c>
    </row>
    <row r="892">
      <c r="A892" s="30" t="n">
        <v>46325.84722222222</v>
      </c>
      <c r="B892" s="11" t="n">
        <v>2636</v>
      </c>
      <c r="C892" s="11" t="n">
        <v>8340</v>
      </c>
      <c r="D892" s="12" t="n">
        <v>100122</v>
      </c>
      <c r="E892" s="31">
        <f>B892-B891</f>
        <v/>
      </c>
      <c r="F892" s="31">
        <f>C892-C891</f>
        <v/>
      </c>
      <c r="G892" s="32">
        <f>D892-D891</f>
        <v/>
      </c>
      <c r="H892">
        <f>TEXT(A892,"DD/MM HH:MM")</f>
        <v/>
      </c>
    </row>
  </sheetData>
  <autoFilter ref="A1:G89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6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  <row r="1478">
      <c r="A1478" s="30" t="n">
        <v>46323.95902777778</v>
      </c>
      <c r="B1478" s="30" t="n">
        <v>46323.98194444444</v>
      </c>
      <c r="C1478" s="9" t="n">
        <v>46324</v>
      </c>
      <c r="D1478" s="10" t="n">
        <v>0.84375</v>
      </c>
      <c r="E1478" s="36" t="n">
        <v>1</v>
      </c>
      <c r="F1478" s="36" t="n">
        <v>0</v>
      </c>
      <c r="G1478" s="36" t="n">
        <v>0</v>
      </c>
      <c r="H1478" s="36" t="n">
        <v>1</v>
      </c>
      <c r="I1478" s="36" t="n">
        <v>0</v>
      </c>
      <c r="J1478" s="36" t="n">
        <v>4</v>
      </c>
      <c r="K1478" s="12" t="n">
        <v>48</v>
      </c>
    </row>
    <row r="1479">
      <c r="A1479" s="33" t="n">
        <v>46323.95902777778</v>
      </c>
      <c r="B1479" s="33" t="n">
        <v>46323.98194444444</v>
      </c>
      <c r="C1479" s="13" t="n">
        <v>46325</v>
      </c>
      <c r="D1479" s="14" t="n">
        <v>0.84375</v>
      </c>
      <c r="E1479" s="37" t="n">
        <v>1</v>
      </c>
      <c r="F1479" s="37" t="n">
        <v>0</v>
      </c>
      <c r="G1479" s="37" t="n">
        <v>0</v>
      </c>
      <c r="H1479" s="37" t="n">
        <v>0</v>
      </c>
      <c r="I1479" s="37" t="n">
        <v>1</v>
      </c>
      <c r="J1479" s="37" t="n">
        <v>5</v>
      </c>
      <c r="K1479" s="16" t="n">
        <v>60</v>
      </c>
    </row>
    <row r="1480">
      <c r="A1480" s="30" t="n">
        <v>46323.95902777778</v>
      </c>
      <c r="B1480" s="30" t="n">
        <v>46323.98194444444</v>
      </c>
      <c r="C1480" s="9" t="n">
        <v>46325</v>
      </c>
      <c r="D1480" s="10" t="n">
        <v>0.8854166666666666</v>
      </c>
      <c r="E1480" s="36" t="n">
        <v>3</v>
      </c>
      <c r="F1480" s="36" t="n">
        <v>2</v>
      </c>
      <c r="G1480" s="36" t="n">
        <v>0</v>
      </c>
      <c r="H1480" s="36" t="n">
        <v>0</v>
      </c>
      <c r="I1480" s="36" t="n">
        <v>1</v>
      </c>
      <c r="J1480" s="36" t="n">
        <v>9</v>
      </c>
      <c r="K1480" s="12" t="n">
        <v>108</v>
      </c>
    </row>
    <row r="1481">
      <c r="A1481" s="33" t="n">
        <v>46323.95902777778</v>
      </c>
      <c r="B1481" s="33" t="n">
        <v>46323.98194444444</v>
      </c>
      <c r="C1481" s="13" t="n">
        <v>46325</v>
      </c>
      <c r="D1481" s="14" t="n">
        <v>0.9993055555555556</v>
      </c>
      <c r="E1481" s="37" t="n">
        <v>2</v>
      </c>
      <c r="F1481" s="37" t="n">
        <v>1</v>
      </c>
      <c r="G1481" s="37" t="n">
        <v>0</v>
      </c>
      <c r="H1481" s="37" t="n">
        <v>1</v>
      </c>
      <c r="I1481" s="37" t="n">
        <v>0</v>
      </c>
      <c r="J1481" s="37" t="n">
        <v>6</v>
      </c>
      <c r="K1481" s="16" t="n">
        <v>72</v>
      </c>
    </row>
    <row r="1482">
      <c r="A1482" s="30" t="n">
        <v>46323.95902777778</v>
      </c>
      <c r="B1482" s="30" t="n">
        <v>46323.98194444444</v>
      </c>
      <c r="C1482" s="9" t="n">
        <v>46326</v>
      </c>
      <c r="D1482" s="10" t="n">
        <v>0.8020833333333334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46323.95902777778</v>
      </c>
      <c r="B1483" s="33" t="n">
        <v>46323.98194444444</v>
      </c>
      <c r="C1483" s="13" t="n">
        <v>46326</v>
      </c>
      <c r="D1483" s="14" t="n">
        <v>0.84375</v>
      </c>
      <c r="E1483" s="37" t="n">
        <v>-1</v>
      </c>
      <c r="F1483" s="37" t="n">
        <v>0</v>
      </c>
      <c r="G1483" s="37" t="n">
        <v>0</v>
      </c>
      <c r="H1483" s="37" t="n">
        <v>-1</v>
      </c>
      <c r="I1483" s="37" t="n">
        <v>0</v>
      </c>
      <c r="J1483" s="37" t="n">
        <v>-4</v>
      </c>
      <c r="K1483" s="16" t="n">
        <v>-48</v>
      </c>
    </row>
    <row r="1484">
      <c r="A1484" s="30" t="n">
        <v>46323.95902777778</v>
      </c>
      <c r="B1484" s="30" t="n">
        <v>46323.98194444444</v>
      </c>
      <c r="C1484" s="9" t="n">
        <v>46327</v>
      </c>
      <c r="D1484" s="10" t="n">
        <v>0.9270833333333334</v>
      </c>
      <c r="E1484" s="36" t="n">
        <v>2</v>
      </c>
      <c r="F1484" s="36" t="n">
        <v>1</v>
      </c>
      <c r="G1484" s="36" t="n">
        <v>0</v>
      </c>
      <c r="H1484" s="36" t="n">
        <v>1</v>
      </c>
      <c r="I1484" s="36" t="n">
        <v>0</v>
      </c>
      <c r="J1484" s="36" t="n">
        <v>6</v>
      </c>
      <c r="K1484" s="12" t="n">
        <v>72</v>
      </c>
    </row>
    <row r="1485">
      <c r="A1485" s="33" t="n">
        <v>46323.98194444444</v>
      </c>
      <c r="B1485" s="33" t="n">
        <v>46324.00833333333</v>
      </c>
      <c r="C1485" s="13" t="n">
        <v>46324</v>
      </c>
      <c r="D1485" s="14" t="n">
        <v>0.9993055555555556</v>
      </c>
      <c r="E1485" s="37" t="n">
        <v>1</v>
      </c>
      <c r="F1485" s="37" t="n">
        <v>0</v>
      </c>
      <c r="G1485" s="37" t="n">
        <v>1</v>
      </c>
      <c r="H1485" s="37" t="n">
        <v>0</v>
      </c>
      <c r="I1485" s="37" t="n">
        <v>0</v>
      </c>
      <c r="J1485" s="37" t="n">
        <v>3</v>
      </c>
      <c r="K1485" s="16" t="n">
        <v>36</v>
      </c>
    </row>
    <row r="1486">
      <c r="A1486" s="30" t="n">
        <v>46323.98194444444</v>
      </c>
      <c r="B1486" s="30" t="n">
        <v>46324.00833333333</v>
      </c>
      <c r="C1486" s="9" t="n">
        <v>46325</v>
      </c>
      <c r="D1486" s="10" t="n">
        <v>0.84375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46323.98194444444</v>
      </c>
      <c r="B1487" s="33" t="n">
        <v>46324.00833333333</v>
      </c>
      <c r="C1487" s="13" t="n">
        <v>46325</v>
      </c>
      <c r="D1487" s="14" t="n">
        <v>0.9993055555555556</v>
      </c>
      <c r="E1487" s="37" t="n">
        <v>2</v>
      </c>
      <c r="F1487" s="37" t="n">
        <v>0</v>
      </c>
      <c r="G1487" s="37" t="n">
        <v>1</v>
      </c>
      <c r="H1487" s="37" t="n">
        <v>1</v>
      </c>
      <c r="I1487" s="37" t="n">
        <v>0</v>
      </c>
      <c r="J1487" s="37" t="n">
        <v>7</v>
      </c>
      <c r="K1487" s="16" t="n">
        <v>84</v>
      </c>
    </row>
    <row r="1488">
      <c r="A1488" s="30" t="n">
        <v>46323.98194444444</v>
      </c>
      <c r="B1488" s="30" t="n">
        <v>46324.00833333333</v>
      </c>
      <c r="C1488" s="9" t="n">
        <v>46326</v>
      </c>
      <c r="D1488" s="10" t="n">
        <v>0.8020833333333334</v>
      </c>
      <c r="E1488" s="36" t="n">
        <v>3</v>
      </c>
      <c r="F1488" s="36" t="n">
        <v>2</v>
      </c>
      <c r="G1488" s="36" t="n">
        <v>0</v>
      </c>
      <c r="H1488" s="36" t="n">
        <v>1</v>
      </c>
      <c r="I1488" s="36" t="n">
        <v>0</v>
      </c>
      <c r="J1488" s="36" t="n">
        <v>8</v>
      </c>
      <c r="K1488" s="12" t="n">
        <v>96</v>
      </c>
    </row>
    <row r="1489">
      <c r="A1489" s="33" t="n">
        <v>46323.98194444444</v>
      </c>
      <c r="B1489" s="33" t="n">
        <v>46324.00833333333</v>
      </c>
      <c r="C1489" s="13" t="n">
        <v>46326</v>
      </c>
      <c r="D1489" s="14" t="n">
        <v>0.84375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46323.98194444444</v>
      </c>
      <c r="B1490" s="30" t="n">
        <v>46324.00833333333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1</v>
      </c>
      <c r="H1490" s="36" t="n">
        <v>0</v>
      </c>
      <c r="I1490" s="36" t="n">
        <v>0</v>
      </c>
      <c r="J1490" s="36" t="n">
        <v>3</v>
      </c>
      <c r="K1490" s="12" t="n">
        <v>36</v>
      </c>
    </row>
    <row r="1491">
      <c r="A1491" s="33" t="n">
        <v>46324.00833333333</v>
      </c>
      <c r="B1491" s="33" t="n">
        <v>46324.02083333334</v>
      </c>
      <c r="C1491" s="13" t="n">
        <v>46324</v>
      </c>
      <c r="D1491" s="14" t="n">
        <v>0.9993055555555556</v>
      </c>
      <c r="E1491" s="37" t="n">
        <v>1</v>
      </c>
      <c r="F1491" s="37" t="n">
        <v>0</v>
      </c>
      <c r="G1491" s="37" t="n">
        <v>0</v>
      </c>
      <c r="H1491" s="37" t="n">
        <v>0</v>
      </c>
      <c r="I1491" s="37" t="n">
        <v>1</v>
      </c>
      <c r="J1491" s="37" t="n">
        <v>5</v>
      </c>
      <c r="K1491" s="16" t="n">
        <v>60</v>
      </c>
    </row>
    <row r="1492">
      <c r="A1492" s="30" t="n">
        <v>46324.00833333333</v>
      </c>
      <c r="B1492" s="30" t="n">
        <v>46324.02083333334</v>
      </c>
      <c r="C1492" s="9" t="n">
        <v>46325</v>
      </c>
      <c r="D1492" s="10" t="n">
        <v>0.9993055555555556</v>
      </c>
      <c r="E1492" s="36" t="n">
        <v>1</v>
      </c>
      <c r="F1492" s="36" t="n">
        <v>1</v>
      </c>
      <c r="G1492" s="36" t="n">
        <v>0</v>
      </c>
      <c r="H1492" s="36" t="n">
        <v>0</v>
      </c>
      <c r="I1492" s="36" t="n">
        <v>0</v>
      </c>
      <c r="J1492" s="36" t="n">
        <v>2</v>
      </c>
      <c r="K1492" s="12" t="n">
        <v>24</v>
      </c>
    </row>
    <row r="1493">
      <c r="A1493" s="33" t="n">
        <v>46324.00833333333</v>
      </c>
      <c r="B1493" s="33" t="n">
        <v>46324.02083333334</v>
      </c>
      <c r="C1493" s="13" t="n">
        <v>46327</v>
      </c>
      <c r="D1493" s="14" t="n">
        <v>0.9270833333333334</v>
      </c>
      <c r="E1493" s="37" t="n">
        <v>2</v>
      </c>
      <c r="F1493" s="37" t="n">
        <v>0</v>
      </c>
      <c r="G1493" s="37" t="n">
        <v>0</v>
      </c>
      <c r="H1493" s="37" t="n">
        <v>2</v>
      </c>
      <c r="I1493" s="37" t="n">
        <v>0</v>
      </c>
      <c r="J1493" s="37" t="n">
        <v>8</v>
      </c>
      <c r="K1493" s="16" t="n">
        <v>96</v>
      </c>
    </row>
    <row r="1494">
      <c r="A1494" s="30" t="n">
        <v>46324.02083333334</v>
      </c>
      <c r="B1494" s="30" t="n">
        <v>46324.0625</v>
      </c>
      <c r="C1494" s="9" t="n">
        <v>46324</v>
      </c>
      <c r="D1494" s="10" t="n">
        <v>0.9993055555555556</v>
      </c>
      <c r="E1494" s="36" t="n">
        <v>2</v>
      </c>
      <c r="F1494" s="36" t="n">
        <v>0</v>
      </c>
      <c r="G1494" s="36" t="n">
        <v>0</v>
      </c>
      <c r="H1494" s="36" t="n">
        <v>2</v>
      </c>
      <c r="I1494" s="36" t="n">
        <v>0</v>
      </c>
      <c r="J1494" s="36" t="n">
        <v>8</v>
      </c>
      <c r="K1494" s="12" t="n">
        <v>96</v>
      </c>
    </row>
    <row r="1495">
      <c r="A1495" s="33" t="n">
        <v>46324.02083333334</v>
      </c>
      <c r="B1495" s="33" t="n">
        <v>46324.0625</v>
      </c>
      <c r="C1495" s="13" t="n">
        <v>46325</v>
      </c>
      <c r="D1495" s="14" t="n">
        <v>0.9993055555555556</v>
      </c>
      <c r="E1495" s="37" t="n">
        <v>2</v>
      </c>
      <c r="F1495" s="37" t="n">
        <v>2</v>
      </c>
      <c r="G1495" s="37" t="n">
        <v>0</v>
      </c>
      <c r="H1495" s="37" t="n">
        <v>0</v>
      </c>
      <c r="I1495" s="37" t="n">
        <v>0</v>
      </c>
      <c r="J1495" s="37" t="n">
        <v>4</v>
      </c>
      <c r="K1495" s="16" t="n">
        <v>48</v>
      </c>
    </row>
    <row r="1496">
      <c r="A1496" s="30" t="n">
        <v>46324.02083333334</v>
      </c>
      <c r="B1496" s="30" t="n">
        <v>46324.0625</v>
      </c>
      <c r="C1496" s="9" t="n">
        <v>46327</v>
      </c>
      <c r="D1496" s="10" t="n">
        <v>0.8854166666666666</v>
      </c>
      <c r="E1496" s="36" t="n">
        <v>2</v>
      </c>
      <c r="F1496" s="36" t="n">
        <v>0</v>
      </c>
      <c r="G1496" s="36" t="n">
        <v>0</v>
      </c>
      <c r="H1496" s="36" t="n">
        <v>2</v>
      </c>
      <c r="I1496" s="36" t="n">
        <v>0</v>
      </c>
      <c r="J1496" s="36" t="n">
        <v>8</v>
      </c>
      <c r="K1496" s="12" t="n">
        <v>96</v>
      </c>
    </row>
    <row r="1497">
      <c r="A1497" s="33" t="n">
        <v>46324.0625</v>
      </c>
      <c r="B1497" s="33" t="n">
        <v>46324.07083333333</v>
      </c>
      <c r="C1497" s="13" t="n">
        <v>46325</v>
      </c>
      <c r="D1497" s="14" t="n">
        <v>0.9993055555555556</v>
      </c>
      <c r="E1497" s="37" t="n">
        <v>3</v>
      </c>
      <c r="F1497" s="37" t="n">
        <v>1</v>
      </c>
      <c r="G1497" s="37" t="n">
        <v>1</v>
      </c>
      <c r="H1497" s="37" t="n">
        <v>0</v>
      </c>
      <c r="I1497" s="37" t="n">
        <v>1</v>
      </c>
      <c r="J1497" s="37" t="n">
        <v>10</v>
      </c>
      <c r="K1497" s="16" t="n">
        <v>120</v>
      </c>
    </row>
    <row r="1498">
      <c r="A1498" s="30" t="n">
        <v>46324.0625</v>
      </c>
      <c r="B1498" s="30" t="n">
        <v>46324.07083333333</v>
      </c>
      <c r="C1498" s="9" t="n">
        <v>46327</v>
      </c>
      <c r="D1498" s="10" t="n">
        <v>0.9993055555555556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46324.07083333333</v>
      </c>
      <c r="B1499" s="33" t="n">
        <v>46324.11944444444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46324.23680555556</v>
      </c>
      <c r="B1500" s="30" t="n">
        <v>46324.27708333333</v>
      </c>
      <c r="C1500" s="9" t="n">
        <v>46325</v>
      </c>
      <c r="D1500" s="10" t="n">
        <v>0.9993055555555556</v>
      </c>
      <c r="E1500" s="36" t="n">
        <v>1</v>
      </c>
      <c r="F1500" s="36" t="n">
        <v>1</v>
      </c>
      <c r="G1500" s="36" t="n">
        <v>0</v>
      </c>
      <c r="H1500" s="36" t="n">
        <v>0</v>
      </c>
      <c r="I1500" s="36" t="n">
        <v>0</v>
      </c>
      <c r="J1500" s="36" t="n">
        <v>2</v>
      </c>
      <c r="K1500" s="12" t="n">
        <v>24</v>
      </c>
    </row>
    <row r="1501">
      <c r="A1501" s="33" t="n">
        <v>46324.27708333333</v>
      </c>
      <c r="B1501" s="33" t="n">
        <v>46324.32222222222</v>
      </c>
      <c r="C1501" s="13" t="n">
        <v>46327</v>
      </c>
      <c r="D1501" s="14" t="n">
        <v>0.8020833333333334</v>
      </c>
      <c r="E1501" s="37" t="n">
        <v>1</v>
      </c>
      <c r="F1501" s="37" t="n">
        <v>0</v>
      </c>
      <c r="G1501" s="37" t="n">
        <v>0</v>
      </c>
      <c r="H1501" s="37" t="n">
        <v>0</v>
      </c>
      <c r="I1501" s="37" t="n">
        <v>1</v>
      </c>
      <c r="J1501" s="37" t="n">
        <v>5</v>
      </c>
      <c r="K1501" s="16" t="n">
        <v>60</v>
      </c>
    </row>
    <row r="1502">
      <c r="A1502" s="30" t="n">
        <v>46324.27708333333</v>
      </c>
      <c r="B1502" s="30" t="n">
        <v>46324.32222222222</v>
      </c>
      <c r="C1502" s="9" t="n">
        <v>46327</v>
      </c>
      <c r="D1502" s="10" t="n">
        <v>0.8854166666666666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46324.32222222222</v>
      </c>
      <c r="B1503" s="33" t="n">
        <v>46324.37152777778</v>
      </c>
      <c r="C1503" s="13" t="n">
        <v>46324</v>
      </c>
      <c r="D1503" s="14" t="n">
        <v>0.84375</v>
      </c>
      <c r="E1503" s="37" t="n">
        <v>1</v>
      </c>
      <c r="F1503" s="37" t="n">
        <v>1</v>
      </c>
      <c r="G1503" s="37" t="n">
        <v>0</v>
      </c>
      <c r="H1503" s="37" t="n">
        <v>0</v>
      </c>
      <c r="I1503" s="37" t="n">
        <v>0</v>
      </c>
      <c r="J1503" s="37" t="n">
        <v>2</v>
      </c>
      <c r="K1503" s="16" t="n">
        <v>24</v>
      </c>
    </row>
    <row r="1504">
      <c r="A1504" s="30" t="n">
        <v>46324.32222222222</v>
      </c>
      <c r="B1504" s="30" t="n">
        <v>46324.37152777778</v>
      </c>
      <c r="C1504" s="9" t="n">
        <v>46325</v>
      </c>
      <c r="D1504" s="10" t="n">
        <v>0.8854166666666666</v>
      </c>
      <c r="E1504" s="36" t="n">
        <v>3</v>
      </c>
      <c r="F1504" s="36" t="n">
        <v>1</v>
      </c>
      <c r="G1504" s="36" t="n">
        <v>0</v>
      </c>
      <c r="H1504" s="36" t="n">
        <v>2</v>
      </c>
      <c r="I1504" s="36" t="n">
        <v>0</v>
      </c>
      <c r="J1504" s="36" t="n">
        <v>10</v>
      </c>
      <c r="K1504" s="12" t="n">
        <v>120</v>
      </c>
    </row>
    <row r="1505">
      <c r="A1505" s="33" t="n">
        <v>46324.32222222222</v>
      </c>
      <c r="B1505" s="33" t="n">
        <v>46324.37152777778</v>
      </c>
      <c r="C1505" s="13" t="n">
        <v>46325</v>
      </c>
      <c r="D1505" s="14" t="n">
        <v>0.9993055555555556</v>
      </c>
      <c r="E1505" s="37" t="n">
        <v>2</v>
      </c>
      <c r="F1505" s="37" t="n">
        <v>1</v>
      </c>
      <c r="G1505" s="37" t="n">
        <v>0</v>
      </c>
      <c r="H1505" s="37" t="n">
        <v>1</v>
      </c>
      <c r="I1505" s="37" t="n">
        <v>0</v>
      </c>
      <c r="J1505" s="37" t="n">
        <v>6</v>
      </c>
      <c r="K1505" s="16" t="n">
        <v>72</v>
      </c>
    </row>
    <row r="1506">
      <c r="A1506" s="30" t="n">
        <v>46324.32222222222</v>
      </c>
      <c r="B1506" s="30" t="n">
        <v>46324.37152777778</v>
      </c>
      <c r="C1506" s="9" t="n">
        <v>46326</v>
      </c>
      <c r="D1506" s="10" t="n">
        <v>0.8020833333333334</v>
      </c>
      <c r="E1506" s="36" t="n">
        <v>1</v>
      </c>
      <c r="F1506" s="36" t="n">
        <v>0</v>
      </c>
      <c r="G1506" s="36" t="n">
        <v>0</v>
      </c>
      <c r="H1506" s="36" t="n">
        <v>1</v>
      </c>
      <c r="I1506" s="36" t="n">
        <v>0</v>
      </c>
      <c r="J1506" s="36" t="n">
        <v>4</v>
      </c>
      <c r="K1506" s="12" t="n">
        <v>48</v>
      </c>
    </row>
    <row r="1507">
      <c r="A1507" s="33" t="n">
        <v>46324.37152777778</v>
      </c>
      <c r="B1507" s="33" t="n">
        <v>46324.39791666667</v>
      </c>
      <c r="C1507" s="13" t="n">
        <v>46324</v>
      </c>
      <c r="D1507" s="14" t="n">
        <v>0.84375</v>
      </c>
      <c r="E1507" s="37" t="n">
        <v>1</v>
      </c>
      <c r="F1507" s="37" t="n">
        <v>1</v>
      </c>
      <c r="G1507" s="37" t="n">
        <v>0</v>
      </c>
      <c r="H1507" s="37" t="n">
        <v>0</v>
      </c>
      <c r="I1507" s="37" t="n">
        <v>0</v>
      </c>
      <c r="J1507" s="37" t="n">
        <v>2</v>
      </c>
      <c r="K1507" s="16" t="n">
        <v>24</v>
      </c>
    </row>
    <row r="1508">
      <c r="A1508" s="30" t="n">
        <v>46324.37152777778</v>
      </c>
      <c r="B1508" s="30" t="n">
        <v>46324.39791666667</v>
      </c>
      <c r="C1508" s="9" t="n">
        <v>46327</v>
      </c>
      <c r="D1508" s="10" t="n">
        <v>0.96875</v>
      </c>
      <c r="E1508" s="36" t="n">
        <v>1</v>
      </c>
      <c r="F1508" s="36" t="n">
        <v>0</v>
      </c>
      <c r="G1508" s="36" t="n">
        <v>0</v>
      </c>
      <c r="H1508" s="36" t="n">
        <v>1</v>
      </c>
      <c r="I1508" s="36" t="n">
        <v>0</v>
      </c>
      <c r="J1508" s="36" t="n">
        <v>4</v>
      </c>
      <c r="K1508" s="12" t="n">
        <v>48</v>
      </c>
    </row>
    <row r="1509">
      <c r="A1509" s="33" t="n">
        <v>46324.39791666667</v>
      </c>
      <c r="B1509" s="33" t="n">
        <v>46324.40833333333</v>
      </c>
      <c r="C1509" s="13" t="n">
        <v>46324</v>
      </c>
      <c r="D1509" s="14" t="n">
        <v>0.9993055555555556</v>
      </c>
      <c r="E1509" s="37" t="n">
        <v>2</v>
      </c>
      <c r="F1509" s="37" t="n">
        <v>1</v>
      </c>
      <c r="G1509" s="37" t="n">
        <v>0</v>
      </c>
      <c r="H1509" s="37" t="n">
        <v>0</v>
      </c>
      <c r="I1509" s="37" t="n">
        <v>1</v>
      </c>
      <c r="J1509" s="37" t="n">
        <v>7</v>
      </c>
      <c r="K1509" s="16" t="n">
        <v>84</v>
      </c>
    </row>
    <row r="1510">
      <c r="A1510" s="30" t="n">
        <v>46324.39791666667</v>
      </c>
      <c r="B1510" s="30" t="n">
        <v>46324.40833333333</v>
      </c>
      <c r="C1510" s="9" t="n">
        <v>46325</v>
      </c>
      <c r="D1510" s="10" t="n">
        <v>0.9993055555555556</v>
      </c>
      <c r="E1510" s="36" t="n">
        <v>2</v>
      </c>
      <c r="F1510" s="36" t="n">
        <v>0</v>
      </c>
      <c r="G1510" s="36" t="n">
        <v>2</v>
      </c>
      <c r="H1510" s="36" t="n">
        <v>0</v>
      </c>
      <c r="I1510" s="36" t="n">
        <v>0</v>
      </c>
      <c r="J1510" s="36" t="n">
        <v>6</v>
      </c>
      <c r="K1510" s="12" t="n">
        <v>72</v>
      </c>
    </row>
    <row r="1511">
      <c r="A1511" s="33" t="n">
        <v>46324.39791666667</v>
      </c>
      <c r="B1511" s="33" t="n">
        <v>46324.40833333333</v>
      </c>
      <c r="C1511" s="13" t="n">
        <v>46326</v>
      </c>
      <c r="D1511" s="14" t="n">
        <v>0.8020833333333334</v>
      </c>
      <c r="E1511" s="37" t="n">
        <v>1</v>
      </c>
      <c r="F1511" s="37" t="n">
        <v>1</v>
      </c>
      <c r="G1511" s="37" t="n">
        <v>0</v>
      </c>
      <c r="H1511" s="37" t="n">
        <v>0</v>
      </c>
      <c r="I1511" s="37" t="n">
        <v>0</v>
      </c>
      <c r="J1511" s="37" t="n">
        <v>2</v>
      </c>
      <c r="K1511" s="16" t="n">
        <v>24</v>
      </c>
    </row>
    <row r="1512">
      <c r="A1512" s="30" t="n">
        <v>46324.40833333333</v>
      </c>
      <c r="B1512" s="30" t="n">
        <v>46324.43472222222</v>
      </c>
      <c r="C1512" s="9" t="n">
        <v>46324</v>
      </c>
      <c r="D1512" s="10" t="n">
        <v>0.84375</v>
      </c>
      <c r="E1512" s="36" t="n">
        <v>1</v>
      </c>
      <c r="F1512" s="36" t="n">
        <v>0</v>
      </c>
      <c r="G1512" s="36" t="n">
        <v>0</v>
      </c>
      <c r="H1512" s="36" t="n">
        <v>1</v>
      </c>
      <c r="I1512" s="36" t="n">
        <v>0</v>
      </c>
      <c r="J1512" s="36" t="n">
        <v>4</v>
      </c>
      <c r="K1512" s="12" t="n">
        <v>48</v>
      </c>
    </row>
    <row r="1513">
      <c r="A1513" s="33" t="n">
        <v>46324.40833333333</v>
      </c>
      <c r="B1513" s="33" t="n">
        <v>46324.43472222222</v>
      </c>
      <c r="C1513" s="13" t="n">
        <v>46325</v>
      </c>
      <c r="D1513" s="14" t="n">
        <v>0.8854166666666666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46324.40833333333</v>
      </c>
      <c r="B1514" s="30" t="n">
        <v>46324.43472222222</v>
      </c>
      <c r="C1514" s="9" t="n">
        <v>46327</v>
      </c>
      <c r="D1514" s="10" t="n">
        <v>0.9270833333333334</v>
      </c>
      <c r="E1514" s="36" t="n">
        <v>1</v>
      </c>
      <c r="F1514" s="36" t="n">
        <v>0</v>
      </c>
      <c r="G1514" s="36" t="n">
        <v>0</v>
      </c>
      <c r="H1514" s="36" t="n">
        <v>1</v>
      </c>
      <c r="I1514" s="36" t="n">
        <v>0</v>
      </c>
      <c r="J1514" s="36" t="n">
        <v>4</v>
      </c>
      <c r="K1514" s="12" t="n">
        <v>48</v>
      </c>
    </row>
    <row r="1515">
      <c r="A1515" s="33" t="n">
        <v>46324.43472222222</v>
      </c>
      <c r="B1515" s="33" t="n">
        <v>46324.44722222222</v>
      </c>
      <c r="C1515" s="13" t="n">
        <v>46325</v>
      </c>
      <c r="D1515" s="14" t="n">
        <v>0.84375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46324.43472222222</v>
      </c>
      <c r="B1516" s="30" t="n">
        <v>46324.44722222222</v>
      </c>
      <c r="C1516" s="9" t="n">
        <v>46325</v>
      </c>
      <c r="D1516" s="10" t="n">
        <v>0.9993055555555556</v>
      </c>
      <c r="E1516" s="36" t="n">
        <v>2</v>
      </c>
      <c r="F1516" s="36" t="n">
        <v>0</v>
      </c>
      <c r="G1516" s="36" t="n">
        <v>0</v>
      </c>
      <c r="H1516" s="36" t="n">
        <v>1</v>
      </c>
      <c r="I1516" s="36" t="n">
        <v>1</v>
      </c>
      <c r="J1516" s="36" t="n">
        <v>9</v>
      </c>
      <c r="K1516" s="12" t="n">
        <v>108</v>
      </c>
    </row>
    <row r="1517">
      <c r="A1517" s="33" t="n">
        <v>46324.44722222222</v>
      </c>
      <c r="B1517" s="33" t="n">
        <v>46324.47361111111</v>
      </c>
      <c r="C1517" s="13" t="n">
        <v>46324</v>
      </c>
      <c r="D1517" s="14" t="n">
        <v>0.84375</v>
      </c>
      <c r="E1517" s="37" t="n">
        <v>1</v>
      </c>
      <c r="F1517" s="37" t="n">
        <v>1</v>
      </c>
      <c r="G1517" s="37" t="n">
        <v>0</v>
      </c>
      <c r="H1517" s="37" t="n">
        <v>0</v>
      </c>
      <c r="I1517" s="37" t="n">
        <v>0</v>
      </c>
      <c r="J1517" s="37" t="n">
        <v>2</v>
      </c>
      <c r="K1517" s="16" t="n">
        <v>24</v>
      </c>
    </row>
    <row r="1518">
      <c r="A1518" s="30" t="n">
        <v>46324.44722222222</v>
      </c>
      <c r="B1518" s="30" t="n">
        <v>46324.47361111111</v>
      </c>
      <c r="C1518" s="9" t="n">
        <v>46324</v>
      </c>
      <c r="D1518" s="10" t="n">
        <v>0.9993055555555556</v>
      </c>
      <c r="E1518" s="36" t="n">
        <v>1</v>
      </c>
      <c r="F1518" s="36" t="n">
        <v>0</v>
      </c>
      <c r="G1518" s="36" t="n">
        <v>1</v>
      </c>
      <c r="H1518" s="36" t="n">
        <v>0</v>
      </c>
      <c r="I1518" s="36" t="n">
        <v>0</v>
      </c>
      <c r="J1518" s="36" t="n">
        <v>3</v>
      </c>
      <c r="K1518" s="12" t="n">
        <v>36</v>
      </c>
    </row>
    <row r="1519">
      <c r="A1519" s="33" t="n">
        <v>46324.44722222222</v>
      </c>
      <c r="B1519" s="33" t="n">
        <v>46324.47361111111</v>
      </c>
      <c r="C1519" s="13" t="n">
        <v>46325</v>
      </c>
      <c r="D1519" s="14" t="n">
        <v>0.8854166666666666</v>
      </c>
      <c r="E1519" s="37" t="n">
        <v>1</v>
      </c>
      <c r="F1519" s="37" t="n">
        <v>0</v>
      </c>
      <c r="G1519" s="37" t="n">
        <v>0</v>
      </c>
      <c r="H1519" s="37" t="n">
        <v>1</v>
      </c>
      <c r="I1519" s="37" t="n">
        <v>0</v>
      </c>
      <c r="J1519" s="37" t="n">
        <v>4</v>
      </c>
      <c r="K1519" s="16" t="n">
        <v>48</v>
      </c>
    </row>
    <row r="1520">
      <c r="A1520" s="30" t="n">
        <v>46324.44722222222</v>
      </c>
      <c r="B1520" s="30" t="n">
        <v>46324.47361111111</v>
      </c>
      <c r="C1520" s="9" t="n">
        <v>46325</v>
      </c>
      <c r="D1520" s="10" t="n">
        <v>0.9993055555555556</v>
      </c>
      <c r="E1520" s="36" t="n">
        <v>2</v>
      </c>
      <c r="F1520" s="36" t="n">
        <v>0</v>
      </c>
      <c r="G1520" s="36" t="n">
        <v>0</v>
      </c>
      <c r="H1520" s="36" t="n">
        <v>0</v>
      </c>
      <c r="I1520" s="36" t="n">
        <v>2</v>
      </c>
      <c r="J1520" s="36" t="n">
        <v>10</v>
      </c>
      <c r="K1520" s="12" t="n">
        <v>120</v>
      </c>
    </row>
    <row r="1521">
      <c r="A1521" s="33" t="n">
        <v>46324.44722222222</v>
      </c>
      <c r="B1521" s="33" t="n">
        <v>46324.47361111111</v>
      </c>
      <c r="C1521" s="13" t="n">
        <v>46327</v>
      </c>
      <c r="D1521" s="14" t="n">
        <v>0.8854166666666666</v>
      </c>
      <c r="E1521" s="37" t="n">
        <v>1</v>
      </c>
      <c r="F1521" s="37" t="n">
        <v>0</v>
      </c>
      <c r="G1521" s="37" t="n">
        <v>0</v>
      </c>
      <c r="H1521" s="37" t="n">
        <v>0</v>
      </c>
      <c r="I1521" s="37" t="n">
        <v>1</v>
      </c>
      <c r="J1521" s="37" t="n">
        <v>5</v>
      </c>
      <c r="K1521" s="16" t="n">
        <v>60</v>
      </c>
    </row>
    <row r="1522">
      <c r="A1522" s="30" t="n">
        <v>46324.44722222222</v>
      </c>
      <c r="B1522" s="30" t="n">
        <v>46324.47361111111</v>
      </c>
      <c r="C1522" s="9" t="n">
        <v>46327</v>
      </c>
      <c r="D1522" s="10" t="n">
        <v>0.9270833333333334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46324.47361111111</v>
      </c>
      <c r="B1523" s="33" t="n">
        <v>46324.4875</v>
      </c>
      <c r="C1523" s="13" t="n">
        <v>46324</v>
      </c>
      <c r="D1523" s="14" t="n">
        <v>0.84375</v>
      </c>
      <c r="E1523" s="37" t="n">
        <v>2</v>
      </c>
      <c r="F1523" s="37" t="n">
        <v>1</v>
      </c>
      <c r="G1523" s="37" t="n">
        <v>0</v>
      </c>
      <c r="H1523" s="37" t="n">
        <v>1</v>
      </c>
      <c r="I1523" s="37" t="n">
        <v>0</v>
      </c>
      <c r="J1523" s="37" t="n">
        <v>6</v>
      </c>
      <c r="K1523" s="16" t="n">
        <v>72</v>
      </c>
    </row>
    <row r="1524">
      <c r="A1524" s="30" t="n">
        <v>46324.47361111111</v>
      </c>
      <c r="B1524" s="30" t="n">
        <v>46324.4875</v>
      </c>
      <c r="C1524" s="9" t="n">
        <v>46324</v>
      </c>
      <c r="D1524" s="10" t="n">
        <v>0.9993055555555556</v>
      </c>
      <c r="E1524" s="36" t="n">
        <v>1</v>
      </c>
      <c r="F1524" s="36" t="n">
        <v>0</v>
      </c>
      <c r="G1524" s="36" t="n">
        <v>1</v>
      </c>
      <c r="H1524" s="36" t="n">
        <v>0</v>
      </c>
      <c r="I1524" s="36" t="n">
        <v>0</v>
      </c>
      <c r="J1524" s="36" t="n">
        <v>3</v>
      </c>
      <c r="K1524" s="12" t="n">
        <v>36</v>
      </c>
    </row>
    <row r="1525">
      <c r="A1525" s="33" t="n">
        <v>46324.47361111111</v>
      </c>
      <c r="B1525" s="33" t="n">
        <v>46324.4875</v>
      </c>
      <c r="C1525" s="13" t="n">
        <v>46325</v>
      </c>
      <c r="D1525" s="14" t="n">
        <v>0.8854166666666666</v>
      </c>
      <c r="E1525" s="37" t="n">
        <v>2</v>
      </c>
      <c r="F1525" s="37" t="n">
        <v>1</v>
      </c>
      <c r="G1525" s="37" t="n">
        <v>0</v>
      </c>
      <c r="H1525" s="37" t="n">
        <v>1</v>
      </c>
      <c r="I1525" s="37" t="n">
        <v>0</v>
      </c>
      <c r="J1525" s="37" t="n">
        <v>6</v>
      </c>
      <c r="K1525" s="16" t="n">
        <v>72</v>
      </c>
    </row>
    <row r="1526">
      <c r="A1526" s="30" t="n">
        <v>46324.47361111111</v>
      </c>
      <c r="B1526" s="30" t="n">
        <v>46324.4875</v>
      </c>
      <c r="C1526" s="9" t="n">
        <v>46325</v>
      </c>
      <c r="D1526" s="10" t="n">
        <v>0.9993055555555556</v>
      </c>
      <c r="E1526" s="36" t="n">
        <v>1</v>
      </c>
      <c r="F1526" s="36" t="n">
        <v>0</v>
      </c>
      <c r="G1526" s="36" t="n">
        <v>0</v>
      </c>
      <c r="H1526" s="36" t="n">
        <v>1</v>
      </c>
      <c r="I1526" s="36" t="n">
        <v>0</v>
      </c>
      <c r="J1526" s="36" t="n">
        <v>4</v>
      </c>
      <c r="K1526" s="12" t="n">
        <v>48</v>
      </c>
    </row>
    <row r="1527">
      <c r="A1527" s="33" t="n">
        <v>46324.47361111111</v>
      </c>
      <c r="B1527" s="33" t="n">
        <v>46324.4875</v>
      </c>
      <c r="C1527" s="13" t="n">
        <v>46326</v>
      </c>
      <c r="D1527" s="14" t="n">
        <v>0.8020833333333334</v>
      </c>
      <c r="E1527" s="37" t="n">
        <v>2</v>
      </c>
      <c r="F1527" s="37" t="n">
        <v>2</v>
      </c>
      <c r="G1527" s="37" t="n">
        <v>0</v>
      </c>
      <c r="H1527" s="37" t="n">
        <v>0</v>
      </c>
      <c r="I1527" s="37" t="n">
        <v>0</v>
      </c>
      <c r="J1527" s="37" t="n">
        <v>4</v>
      </c>
      <c r="K1527" s="16" t="n">
        <v>48</v>
      </c>
    </row>
    <row r="1528">
      <c r="A1528" s="30" t="n">
        <v>46324.4875</v>
      </c>
      <c r="B1528" s="30" t="n">
        <v>46324.52569444444</v>
      </c>
      <c r="C1528" s="9" t="n">
        <v>46324</v>
      </c>
      <c r="D1528" s="10" t="n">
        <v>0.84375</v>
      </c>
      <c r="E1528" s="36" t="n">
        <v>1</v>
      </c>
      <c r="F1528" s="36" t="n">
        <v>1</v>
      </c>
      <c r="G1528" s="36" t="n">
        <v>0</v>
      </c>
      <c r="H1528" s="36" t="n">
        <v>0</v>
      </c>
      <c r="I1528" s="36" t="n">
        <v>0</v>
      </c>
      <c r="J1528" s="36" t="n">
        <v>2</v>
      </c>
      <c r="K1528" s="12" t="n">
        <v>24</v>
      </c>
    </row>
    <row r="1529">
      <c r="A1529" s="33" t="n">
        <v>46324.4875</v>
      </c>
      <c r="B1529" s="33" t="n">
        <v>46324.52569444444</v>
      </c>
      <c r="C1529" s="13" t="n">
        <v>46324</v>
      </c>
      <c r="D1529" s="14" t="n">
        <v>0.9993055555555556</v>
      </c>
      <c r="E1529" s="37" t="n">
        <v>4</v>
      </c>
      <c r="F1529" s="37" t="n">
        <v>2</v>
      </c>
      <c r="G1529" s="37" t="n">
        <v>0</v>
      </c>
      <c r="H1529" s="37" t="n">
        <v>2</v>
      </c>
      <c r="I1529" s="37" t="n">
        <v>0</v>
      </c>
      <c r="J1529" s="37" t="n">
        <v>12</v>
      </c>
      <c r="K1529" s="16" t="n">
        <v>144</v>
      </c>
    </row>
    <row r="1530">
      <c r="A1530" s="30" t="n">
        <v>46324.4875</v>
      </c>
      <c r="B1530" s="30" t="n">
        <v>46324.52569444444</v>
      </c>
      <c r="C1530" s="9" t="n">
        <v>46325</v>
      </c>
      <c r="D1530" s="10" t="n">
        <v>0.8854166666666666</v>
      </c>
      <c r="E1530" s="36" t="n">
        <v>5</v>
      </c>
      <c r="F1530" s="36" t="n">
        <v>2</v>
      </c>
      <c r="G1530" s="36" t="n">
        <v>1</v>
      </c>
      <c r="H1530" s="36" t="n">
        <v>2</v>
      </c>
      <c r="I1530" s="36" t="n">
        <v>0</v>
      </c>
      <c r="J1530" s="36" t="n">
        <v>15</v>
      </c>
      <c r="K1530" s="12" t="n">
        <v>180</v>
      </c>
    </row>
    <row r="1531">
      <c r="A1531" s="33" t="n">
        <v>46324.4875</v>
      </c>
      <c r="B1531" s="33" t="n">
        <v>46324.52569444444</v>
      </c>
      <c r="C1531" s="13" t="n">
        <v>46325</v>
      </c>
      <c r="D1531" s="14" t="n">
        <v>0.9993055555555556</v>
      </c>
      <c r="E1531" s="37" t="n">
        <v>1</v>
      </c>
      <c r="F1531" s="37" t="n">
        <v>0</v>
      </c>
      <c r="G1531" s="37" t="n">
        <v>0</v>
      </c>
      <c r="H1531" s="37" t="n">
        <v>0</v>
      </c>
      <c r="I1531" s="37" t="n">
        <v>1</v>
      </c>
      <c r="J1531" s="37" t="n">
        <v>5</v>
      </c>
      <c r="K1531" s="16" t="n">
        <v>60</v>
      </c>
    </row>
    <row r="1532">
      <c r="A1532" s="30" t="n">
        <v>46324.4875</v>
      </c>
      <c r="B1532" s="30" t="n">
        <v>46324.52569444444</v>
      </c>
      <c r="C1532" s="9" t="n">
        <v>46326</v>
      </c>
      <c r="D1532" s="10" t="n">
        <v>0.8020833333333334</v>
      </c>
      <c r="E1532" s="36" t="n">
        <v>1</v>
      </c>
      <c r="F1532" s="36" t="n">
        <v>1</v>
      </c>
      <c r="G1532" s="36" t="n">
        <v>0</v>
      </c>
      <c r="H1532" s="36" t="n">
        <v>0</v>
      </c>
      <c r="I1532" s="36" t="n">
        <v>0</v>
      </c>
      <c r="J1532" s="36" t="n">
        <v>2</v>
      </c>
      <c r="K1532" s="12" t="n">
        <v>24</v>
      </c>
    </row>
    <row r="1533">
      <c r="A1533" s="33" t="n">
        <v>46324.4875</v>
      </c>
      <c r="B1533" s="33" t="n">
        <v>46324.52569444444</v>
      </c>
      <c r="C1533" s="13" t="n">
        <v>46327</v>
      </c>
      <c r="D1533" s="14" t="n">
        <v>0.84375</v>
      </c>
      <c r="E1533" s="37" t="n">
        <v>1</v>
      </c>
      <c r="F1533" s="37" t="n">
        <v>1</v>
      </c>
      <c r="G1533" s="37" t="n">
        <v>0</v>
      </c>
      <c r="H1533" s="37" t="n">
        <v>0</v>
      </c>
      <c r="I1533" s="37" t="n">
        <v>0</v>
      </c>
      <c r="J1533" s="37" t="n">
        <v>2</v>
      </c>
      <c r="K1533" s="16" t="n">
        <v>24</v>
      </c>
    </row>
    <row r="1534">
      <c r="A1534" s="30" t="n">
        <v>46324.4875</v>
      </c>
      <c r="B1534" s="30" t="n">
        <v>46324.52569444444</v>
      </c>
      <c r="C1534" s="9" t="n">
        <v>46327</v>
      </c>
      <c r="D1534" s="10" t="n">
        <v>0.8854166666666666</v>
      </c>
      <c r="E1534" s="36" t="n">
        <v>1</v>
      </c>
      <c r="F1534" s="36" t="n">
        <v>0</v>
      </c>
      <c r="G1534" s="36" t="n">
        <v>1</v>
      </c>
      <c r="H1534" s="36" t="n">
        <v>0</v>
      </c>
      <c r="I1534" s="36" t="n">
        <v>0</v>
      </c>
      <c r="J1534" s="36" t="n">
        <v>3</v>
      </c>
      <c r="K1534" s="12" t="n">
        <v>36</v>
      </c>
    </row>
    <row r="1535">
      <c r="A1535" s="33" t="n">
        <v>46324.4875</v>
      </c>
      <c r="B1535" s="33" t="n">
        <v>46324.52569444444</v>
      </c>
      <c r="C1535" s="13" t="n">
        <v>46327</v>
      </c>
      <c r="D1535" s="14" t="n">
        <v>0.9270833333333334</v>
      </c>
      <c r="E1535" s="37" t="n">
        <v>2</v>
      </c>
      <c r="F1535" s="37" t="n">
        <v>0</v>
      </c>
      <c r="G1535" s="37" t="n">
        <v>0</v>
      </c>
      <c r="H1535" s="37" t="n">
        <v>1</v>
      </c>
      <c r="I1535" s="37" t="n">
        <v>1</v>
      </c>
      <c r="J1535" s="37" t="n">
        <v>9</v>
      </c>
      <c r="K1535" s="16" t="n">
        <v>108</v>
      </c>
    </row>
    <row r="1536">
      <c r="A1536" s="30" t="n">
        <v>46324.4875</v>
      </c>
      <c r="B1536" s="30" t="n">
        <v>46324.52569444444</v>
      </c>
      <c r="C1536" s="9" t="n">
        <v>46327</v>
      </c>
      <c r="D1536" s="10" t="n">
        <v>0.96875</v>
      </c>
      <c r="E1536" s="36" t="n">
        <v>3</v>
      </c>
      <c r="F1536" s="36" t="n">
        <v>1</v>
      </c>
      <c r="G1536" s="36" t="n">
        <v>1</v>
      </c>
      <c r="H1536" s="36" t="n">
        <v>1</v>
      </c>
      <c r="I1536" s="36" t="n">
        <v>0</v>
      </c>
      <c r="J1536" s="36" t="n">
        <v>9</v>
      </c>
      <c r="K1536" s="12" t="n">
        <v>108</v>
      </c>
    </row>
    <row r="1537">
      <c r="A1537" s="33" t="n">
        <v>46324.52569444444</v>
      </c>
      <c r="B1537" s="33" t="n">
        <v>46324.57222222222</v>
      </c>
      <c r="C1537" s="13" t="n">
        <v>46324</v>
      </c>
      <c r="D1537" s="14" t="n">
        <v>0.84375</v>
      </c>
      <c r="E1537" s="37" t="n">
        <v>2</v>
      </c>
      <c r="F1537" s="37" t="n">
        <v>1</v>
      </c>
      <c r="G1537" s="37" t="n">
        <v>1</v>
      </c>
      <c r="H1537" s="37" t="n">
        <v>0</v>
      </c>
      <c r="I1537" s="37" t="n">
        <v>0</v>
      </c>
      <c r="J1537" s="37" t="n">
        <v>5</v>
      </c>
      <c r="K1537" s="16" t="n">
        <v>60</v>
      </c>
    </row>
    <row r="1538">
      <c r="A1538" s="30" t="n">
        <v>46324.52569444444</v>
      </c>
      <c r="B1538" s="30" t="n">
        <v>46324.57222222222</v>
      </c>
      <c r="C1538" s="9" t="n">
        <v>46324</v>
      </c>
      <c r="D1538" s="10" t="n">
        <v>0.9993055555555556</v>
      </c>
      <c r="E1538" s="36" t="n">
        <v>8</v>
      </c>
      <c r="F1538" s="36" t="n">
        <v>1</v>
      </c>
      <c r="G1538" s="36" t="n">
        <v>3</v>
      </c>
      <c r="H1538" s="36" t="n">
        <v>3</v>
      </c>
      <c r="I1538" s="36" t="n">
        <v>1</v>
      </c>
      <c r="J1538" s="36" t="n">
        <v>28</v>
      </c>
      <c r="K1538" s="12" t="n">
        <v>336</v>
      </c>
    </row>
    <row r="1539">
      <c r="A1539" s="33" t="n">
        <v>46324.52569444444</v>
      </c>
      <c r="B1539" s="33" t="n">
        <v>46324.57222222222</v>
      </c>
      <c r="C1539" s="13" t="n">
        <v>46325</v>
      </c>
      <c r="D1539" s="14" t="n">
        <v>0.8854166666666666</v>
      </c>
      <c r="E1539" s="37" t="n">
        <v>7</v>
      </c>
      <c r="F1539" s="37" t="n">
        <v>1</v>
      </c>
      <c r="G1539" s="37" t="n">
        <v>1</v>
      </c>
      <c r="H1539" s="37" t="n">
        <v>2</v>
      </c>
      <c r="I1539" s="37" t="n">
        <v>3</v>
      </c>
      <c r="J1539" s="37" t="n">
        <v>28</v>
      </c>
      <c r="K1539" s="16" t="n">
        <v>336</v>
      </c>
    </row>
    <row r="1540">
      <c r="A1540" s="30" t="n">
        <v>46324.52569444444</v>
      </c>
      <c r="B1540" s="30" t="n">
        <v>46324.57222222222</v>
      </c>
      <c r="C1540" s="9" t="n">
        <v>46326</v>
      </c>
      <c r="D1540" s="10" t="n">
        <v>0.8020833333333334</v>
      </c>
      <c r="E1540" s="36" t="n">
        <v>1</v>
      </c>
      <c r="F1540" s="36" t="n">
        <v>1</v>
      </c>
      <c r="G1540" s="36" t="n">
        <v>0</v>
      </c>
      <c r="H1540" s="36" t="n">
        <v>0</v>
      </c>
      <c r="I1540" s="36" t="n">
        <v>0</v>
      </c>
      <c r="J1540" s="36" t="n">
        <v>2</v>
      </c>
      <c r="K1540" s="12" t="n">
        <v>24</v>
      </c>
    </row>
    <row r="1541">
      <c r="A1541" s="33" t="n">
        <v>46324.52569444444</v>
      </c>
      <c r="B1541" s="33" t="n">
        <v>46324.57222222222</v>
      </c>
      <c r="C1541" s="13" t="n">
        <v>46327</v>
      </c>
      <c r="D1541" s="14" t="n">
        <v>0.8854166666666666</v>
      </c>
      <c r="E1541" s="37" t="n">
        <v>1</v>
      </c>
      <c r="F1541" s="37" t="n">
        <v>0</v>
      </c>
      <c r="G1541" s="37" t="n">
        <v>0</v>
      </c>
      <c r="H1541" s="37" t="n">
        <v>1</v>
      </c>
      <c r="I1541" s="37" t="n">
        <v>0</v>
      </c>
      <c r="J1541" s="37" t="n">
        <v>4</v>
      </c>
      <c r="K1541" s="16" t="n">
        <v>48</v>
      </c>
    </row>
    <row r="1542">
      <c r="A1542" s="30" t="n">
        <v>46324.52569444444</v>
      </c>
      <c r="B1542" s="30" t="n">
        <v>46324.57222222222</v>
      </c>
      <c r="C1542" s="9" t="n">
        <v>46327</v>
      </c>
      <c r="D1542" s="10" t="n">
        <v>0.9270833333333334</v>
      </c>
      <c r="E1542" s="36" t="n">
        <v>2</v>
      </c>
      <c r="F1542" s="36" t="n">
        <v>0</v>
      </c>
      <c r="G1542" s="36" t="n">
        <v>0</v>
      </c>
      <c r="H1542" s="36" t="n">
        <v>2</v>
      </c>
      <c r="I1542" s="36" t="n">
        <v>0</v>
      </c>
      <c r="J1542" s="36" t="n">
        <v>8</v>
      </c>
      <c r="K1542" s="12" t="n">
        <v>96</v>
      </c>
    </row>
    <row r="1543">
      <c r="A1543" s="33" t="n">
        <v>46324.52569444444</v>
      </c>
      <c r="B1543" s="33" t="n">
        <v>46324.57222222222</v>
      </c>
      <c r="C1543" s="13" t="n">
        <v>46327</v>
      </c>
      <c r="D1543" s="14" t="n">
        <v>0.96875</v>
      </c>
      <c r="E1543" s="37" t="n">
        <v>2</v>
      </c>
      <c r="F1543" s="37" t="n">
        <v>0</v>
      </c>
      <c r="G1543" s="37" t="n">
        <v>0</v>
      </c>
      <c r="H1543" s="37" t="n">
        <v>2</v>
      </c>
      <c r="I1543" s="37" t="n">
        <v>0</v>
      </c>
      <c r="J1543" s="37" t="n">
        <v>8</v>
      </c>
      <c r="K1543" s="16" t="n">
        <v>96</v>
      </c>
    </row>
    <row r="1544">
      <c r="A1544" s="30" t="n">
        <v>46324.57222222222</v>
      </c>
      <c r="B1544" s="30" t="n">
        <v>46324.62152777778</v>
      </c>
      <c r="C1544" s="9" t="n">
        <v>46324</v>
      </c>
      <c r="D1544" s="10" t="n">
        <v>0.84375</v>
      </c>
      <c r="E1544" s="36" t="n">
        <v>10</v>
      </c>
      <c r="F1544" s="36" t="n">
        <v>2</v>
      </c>
      <c r="G1544" s="36" t="n">
        <v>2</v>
      </c>
      <c r="H1544" s="36" t="n">
        <v>4</v>
      </c>
      <c r="I1544" s="36" t="n">
        <v>2</v>
      </c>
      <c r="J1544" s="36" t="n">
        <v>36</v>
      </c>
      <c r="K1544" s="12" t="n">
        <v>432</v>
      </c>
    </row>
    <row r="1545">
      <c r="A1545" s="33" t="n">
        <v>46324.57222222222</v>
      </c>
      <c r="B1545" s="33" t="n">
        <v>46324.62152777778</v>
      </c>
      <c r="C1545" s="13" t="n">
        <v>46324</v>
      </c>
      <c r="D1545" s="14" t="n">
        <v>0.9993055555555556</v>
      </c>
      <c r="E1545" s="37" t="n">
        <v>9</v>
      </c>
      <c r="F1545" s="37" t="n">
        <v>3</v>
      </c>
      <c r="G1545" s="37" t="n">
        <v>1</v>
      </c>
      <c r="H1545" s="37" t="n">
        <v>5</v>
      </c>
      <c r="I1545" s="37" t="n">
        <v>0</v>
      </c>
      <c r="J1545" s="37" t="n">
        <v>29</v>
      </c>
      <c r="K1545" s="16" t="n">
        <v>348</v>
      </c>
    </row>
    <row r="1546">
      <c r="A1546" s="30" t="n">
        <v>46324.57222222222</v>
      </c>
      <c r="B1546" s="30" t="n">
        <v>46324.62152777778</v>
      </c>
      <c r="C1546" s="9" t="n">
        <v>46325</v>
      </c>
      <c r="D1546" s="10" t="n">
        <v>0.84375</v>
      </c>
      <c r="E1546" s="36" t="n">
        <v>7</v>
      </c>
      <c r="F1546" s="36" t="n">
        <v>1</v>
      </c>
      <c r="G1546" s="36" t="n">
        <v>2</v>
      </c>
      <c r="H1546" s="36" t="n">
        <v>3</v>
      </c>
      <c r="I1546" s="36" t="n">
        <v>1</v>
      </c>
      <c r="J1546" s="36" t="n">
        <v>25</v>
      </c>
      <c r="K1546" s="12" t="n">
        <v>300</v>
      </c>
    </row>
    <row r="1547">
      <c r="A1547" s="33" t="n">
        <v>46324.57222222222</v>
      </c>
      <c r="B1547" s="33" t="n">
        <v>46324.62152777778</v>
      </c>
      <c r="C1547" s="13" t="n">
        <v>46325</v>
      </c>
      <c r="D1547" s="14" t="n">
        <v>0.8854166666666666</v>
      </c>
      <c r="E1547" s="37" t="n">
        <v>4</v>
      </c>
      <c r="F1547" s="37" t="n">
        <v>2</v>
      </c>
      <c r="G1547" s="37" t="n">
        <v>0</v>
      </c>
      <c r="H1547" s="37" t="n">
        <v>2</v>
      </c>
      <c r="I1547" s="37" t="n">
        <v>0</v>
      </c>
      <c r="J1547" s="37" t="n">
        <v>12</v>
      </c>
      <c r="K1547" s="16" t="n">
        <v>144</v>
      </c>
    </row>
    <row r="1548">
      <c r="A1548" s="30" t="n">
        <v>46324.57222222222</v>
      </c>
      <c r="B1548" s="30" t="n">
        <v>46324.62152777778</v>
      </c>
      <c r="C1548" s="9" t="n">
        <v>46326</v>
      </c>
      <c r="D1548" s="10" t="n">
        <v>0.8020833333333334</v>
      </c>
      <c r="E1548" s="36" t="n">
        <v>3</v>
      </c>
      <c r="F1548" s="36" t="n">
        <v>1</v>
      </c>
      <c r="G1548" s="36" t="n">
        <v>0</v>
      </c>
      <c r="H1548" s="36" t="n">
        <v>2</v>
      </c>
      <c r="I1548" s="36" t="n">
        <v>0</v>
      </c>
      <c r="J1548" s="36" t="n">
        <v>10</v>
      </c>
      <c r="K1548" s="12" t="n">
        <v>120</v>
      </c>
    </row>
    <row r="1549">
      <c r="A1549" s="33" t="n">
        <v>46324.57222222222</v>
      </c>
      <c r="B1549" s="33" t="n">
        <v>46324.62152777778</v>
      </c>
      <c r="C1549" s="13" t="n">
        <v>46327</v>
      </c>
      <c r="D1549" s="14" t="n">
        <v>0.8854166666666666</v>
      </c>
      <c r="E1549" s="37" t="n">
        <v>1</v>
      </c>
      <c r="F1549" s="37" t="n">
        <v>0</v>
      </c>
      <c r="G1549" s="37" t="n">
        <v>0</v>
      </c>
      <c r="H1549" s="37" t="n">
        <v>1</v>
      </c>
      <c r="I1549" s="37" t="n">
        <v>0</v>
      </c>
      <c r="J1549" s="37" t="n">
        <v>4</v>
      </c>
      <c r="K1549" s="16" t="n">
        <v>48</v>
      </c>
    </row>
    <row r="1550">
      <c r="A1550" s="30" t="n">
        <v>46324.57222222222</v>
      </c>
      <c r="B1550" s="30" t="n">
        <v>46324.62152777778</v>
      </c>
      <c r="C1550" s="9" t="n">
        <v>46327</v>
      </c>
      <c r="D1550" s="10" t="n">
        <v>0.96875</v>
      </c>
      <c r="E1550" s="36" t="n">
        <v>1</v>
      </c>
      <c r="F1550" s="36" t="n">
        <v>0</v>
      </c>
      <c r="G1550" s="36" t="n">
        <v>0</v>
      </c>
      <c r="H1550" s="36" t="n">
        <v>1</v>
      </c>
      <c r="I1550" s="36" t="n">
        <v>0</v>
      </c>
      <c r="J1550" s="36" t="n">
        <v>4</v>
      </c>
      <c r="K1550" s="12" t="n">
        <v>48</v>
      </c>
    </row>
    <row r="1551">
      <c r="A1551" s="33" t="n">
        <v>46324.57222222222</v>
      </c>
      <c r="B1551" s="33" t="n">
        <v>46324.62152777778</v>
      </c>
      <c r="C1551" s="13" t="n">
        <v>46327</v>
      </c>
      <c r="D1551" s="14" t="n">
        <v>0.9993055555555556</v>
      </c>
      <c r="E1551" s="37" t="n">
        <v>1</v>
      </c>
      <c r="F1551" s="37" t="n">
        <v>1</v>
      </c>
      <c r="G1551" s="37" t="n">
        <v>0</v>
      </c>
      <c r="H1551" s="37" t="n">
        <v>0</v>
      </c>
      <c r="I1551" s="37" t="n">
        <v>0</v>
      </c>
      <c r="J1551" s="37" t="n">
        <v>2</v>
      </c>
      <c r="K1551" s="16" t="n">
        <v>24</v>
      </c>
    </row>
    <row r="1552">
      <c r="A1552" s="30" t="n">
        <v>46324.62152777778</v>
      </c>
      <c r="B1552" s="30" t="n">
        <v>46324.63194444445</v>
      </c>
      <c r="C1552" s="9" t="n">
        <v>46324</v>
      </c>
      <c r="D1552" s="10" t="n">
        <v>0.84375</v>
      </c>
      <c r="E1552" s="36" t="n">
        <v>2</v>
      </c>
      <c r="F1552" s="36" t="n">
        <v>2</v>
      </c>
      <c r="G1552" s="36" t="n">
        <v>0</v>
      </c>
      <c r="H1552" s="36" t="n">
        <v>0</v>
      </c>
      <c r="I1552" s="36" t="n">
        <v>0</v>
      </c>
      <c r="J1552" s="36" t="n">
        <v>4</v>
      </c>
      <c r="K1552" s="12" t="n">
        <v>48</v>
      </c>
    </row>
    <row r="1553">
      <c r="A1553" s="33" t="n">
        <v>46324.62152777778</v>
      </c>
      <c r="B1553" s="33" t="n">
        <v>46324.63194444445</v>
      </c>
      <c r="C1553" s="13" t="n">
        <v>46324</v>
      </c>
      <c r="D1553" s="14" t="n">
        <v>0.9993055555555556</v>
      </c>
      <c r="E1553" s="37" t="n">
        <v>2</v>
      </c>
      <c r="F1553" s="37" t="n">
        <v>0</v>
      </c>
      <c r="G1553" s="37" t="n">
        <v>1</v>
      </c>
      <c r="H1553" s="37" t="n">
        <v>0</v>
      </c>
      <c r="I1553" s="37" t="n">
        <v>1</v>
      </c>
      <c r="J1553" s="37" t="n">
        <v>8</v>
      </c>
      <c r="K1553" s="16" t="n">
        <v>96</v>
      </c>
    </row>
    <row r="1554">
      <c r="A1554" s="30" t="n">
        <v>46324.62152777778</v>
      </c>
      <c r="B1554" s="30" t="n">
        <v>46324.63194444445</v>
      </c>
      <c r="C1554" s="9" t="n">
        <v>46325</v>
      </c>
      <c r="D1554" s="10" t="n">
        <v>0.84375</v>
      </c>
      <c r="E1554" s="36" t="n">
        <v>2</v>
      </c>
      <c r="F1554" s="36" t="n">
        <v>1</v>
      </c>
      <c r="G1554" s="36" t="n">
        <v>0</v>
      </c>
      <c r="H1554" s="36" t="n">
        <v>1</v>
      </c>
      <c r="I1554" s="36" t="n">
        <v>0</v>
      </c>
      <c r="J1554" s="36" t="n">
        <v>6</v>
      </c>
      <c r="K1554" s="12" t="n">
        <v>72</v>
      </c>
    </row>
    <row r="1555">
      <c r="A1555" s="33" t="n">
        <v>46324.62152777778</v>
      </c>
      <c r="B1555" s="33" t="n">
        <v>46324.63194444445</v>
      </c>
      <c r="C1555" s="13" t="n">
        <v>46326</v>
      </c>
      <c r="D1555" s="14" t="n">
        <v>0.8020833333333334</v>
      </c>
      <c r="E1555" s="37" t="n">
        <v>1</v>
      </c>
      <c r="F1555" s="37" t="n">
        <v>1</v>
      </c>
      <c r="G1555" s="37" t="n">
        <v>0</v>
      </c>
      <c r="H1555" s="37" t="n">
        <v>0</v>
      </c>
      <c r="I1555" s="37" t="n">
        <v>0</v>
      </c>
      <c r="J1555" s="37" t="n">
        <v>2</v>
      </c>
      <c r="K1555" s="16" t="n">
        <v>24</v>
      </c>
    </row>
    <row r="1556">
      <c r="A1556" s="30" t="n">
        <v>46324.62152777778</v>
      </c>
      <c r="B1556" s="30" t="n">
        <v>46324.63194444445</v>
      </c>
      <c r="C1556" s="9" t="n">
        <v>46327</v>
      </c>
      <c r="D1556" s="10" t="n">
        <v>0.84375</v>
      </c>
      <c r="E1556" s="36" t="n">
        <v>1</v>
      </c>
      <c r="F1556" s="36" t="n">
        <v>0</v>
      </c>
      <c r="G1556" s="36" t="n">
        <v>1</v>
      </c>
      <c r="H1556" s="36" t="n">
        <v>0</v>
      </c>
      <c r="I1556" s="36" t="n">
        <v>0</v>
      </c>
      <c r="J1556" s="36" t="n">
        <v>3</v>
      </c>
      <c r="K1556" s="12" t="n">
        <v>36</v>
      </c>
    </row>
    <row r="1557">
      <c r="A1557" s="33" t="n">
        <v>46324.63194444445</v>
      </c>
      <c r="B1557" s="33" t="n">
        <v>46324.64236111111</v>
      </c>
      <c r="C1557" s="13" t="n">
        <v>46324</v>
      </c>
      <c r="D1557" s="14" t="n">
        <v>0.84375</v>
      </c>
      <c r="E1557" s="37" t="n">
        <v>2</v>
      </c>
      <c r="F1557" s="37" t="n">
        <v>2</v>
      </c>
      <c r="G1557" s="37" t="n">
        <v>0</v>
      </c>
      <c r="H1557" s="37" t="n">
        <v>0</v>
      </c>
      <c r="I1557" s="37" t="n">
        <v>0</v>
      </c>
      <c r="J1557" s="37" t="n">
        <v>4</v>
      </c>
      <c r="K1557" s="16" t="n">
        <v>48</v>
      </c>
    </row>
    <row r="1558">
      <c r="A1558" s="30" t="n">
        <v>46324.63194444445</v>
      </c>
      <c r="B1558" s="30" t="n">
        <v>46324.64236111111</v>
      </c>
      <c r="C1558" s="9" t="n">
        <v>46325</v>
      </c>
      <c r="D1558" s="10" t="n">
        <v>0.84375</v>
      </c>
      <c r="E1558" s="36" t="n">
        <v>1</v>
      </c>
      <c r="F1558" s="36" t="n">
        <v>0</v>
      </c>
      <c r="G1558" s="36" t="n">
        <v>0</v>
      </c>
      <c r="H1558" s="36" t="n">
        <v>1</v>
      </c>
      <c r="I1558" s="36" t="n">
        <v>0</v>
      </c>
      <c r="J1558" s="36" t="n">
        <v>4</v>
      </c>
      <c r="K1558" s="12" t="n">
        <v>48</v>
      </c>
    </row>
    <row r="1559">
      <c r="A1559" s="33" t="n">
        <v>46324.63194444445</v>
      </c>
      <c r="B1559" s="33" t="n">
        <v>46324.64236111111</v>
      </c>
      <c r="C1559" s="13" t="n">
        <v>46327</v>
      </c>
      <c r="D1559" s="14" t="n">
        <v>0.96875</v>
      </c>
      <c r="E1559" s="37" t="n">
        <v>2</v>
      </c>
      <c r="F1559" s="37" t="n">
        <v>0</v>
      </c>
      <c r="G1559" s="37" t="n">
        <v>1</v>
      </c>
      <c r="H1559" s="37" t="n">
        <v>1</v>
      </c>
      <c r="I1559" s="37" t="n">
        <v>0</v>
      </c>
      <c r="J1559" s="37" t="n">
        <v>7</v>
      </c>
      <c r="K1559" s="16" t="n">
        <v>84</v>
      </c>
    </row>
    <row r="1560">
      <c r="A1560" s="30" t="n">
        <v>46324.64236111111</v>
      </c>
      <c r="B1560" s="30" t="n">
        <v>46324.64444444444</v>
      </c>
      <c r="C1560" s="9" t="n">
        <v>46327</v>
      </c>
      <c r="D1560" s="10" t="n">
        <v>0.9270833333333334</v>
      </c>
      <c r="E1560" s="36" t="n">
        <v>2</v>
      </c>
      <c r="F1560" s="36" t="n">
        <v>2</v>
      </c>
      <c r="G1560" s="36" t="n">
        <v>0</v>
      </c>
      <c r="H1560" s="36" t="n">
        <v>0</v>
      </c>
      <c r="I1560" s="36" t="n">
        <v>0</v>
      </c>
      <c r="J1560" s="36" t="n">
        <v>4</v>
      </c>
      <c r="K1560" s="12" t="n">
        <v>48</v>
      </c>
    </row>
    <row r="1561">
      <c r="A1561" s="33" t="n">
        <v>46324.64444444444</v>
      </c>
      <c r="B1561" s="33" t="n">
        <v>46324.68263888889</v>
      </c>
      <c r="C1561" s="13" t="n">
        <v>46324</v>
      </c>
      <c r="D1561" s="14" t="n">
        <v>0.84375</v>
      </c>
      <c r="E1561" s="37" t="n">
        <v>6</v>
      </c>
      <c r="F1561" s="37" t="n">
        <v>1</v>
      </c>
      <c r="G1561" s="37" t="n">
        <v>1</v>
      </c>
      <c r="H1561" s="37" t="n">
        <v>3</v>
      </c>
      <c r="I1561" s="37" t="n">
        <v>1</v>
      </c>
      <c r="J1561" s="37" t="n">
        <v>22</v>
      </c>
      <c r="K1561" s="16" t="n">
        <v>264</v>
      </c>
    </row>
    <row r="1562">
      <c r="A1562" s="30" t="n">
        <v>46324.64444444444</v>
      </c>
      <c r="B1562" s="30" t="n">
        <v>46324.68263888889</v>
      </c>
      <c r="C1562" s="9" t="n">
        <v>46325</v>
      </c>
      <c r="D1562" s="10" t="n">
        <v>0.84375</v>
      </c>
      <c r="E1562" s="36" t="n">
        <v>2</v>
      </c>
      <c r="F1562" s="36" t="n">
        <v>0</v>
      </c>
      <c r="G1562" s="36" t="n">
        <v>1</v>
      </c>
      <c r="H1562" s="36" t="n">
        <v>1</v>
      </c>
      <c r="I1562" s="36" t="n">
        <v>0</v>
      </c>
      <c r="J1562" s="36" t="n">
        <v>7</v>
      </c>
      <c r="K1562" s="12" t="n">
        <v>84</v>
      </c>
    </row>
    <row r="1563">
      <c r="A1563" s="33" t="n">
        <v>46324.64444444444</v>
      </c>
      <c r="B1563" s="33" t="n">
        <v>46324.68263888889</v>
      </c>
      <c r="C1563" s="13" t="n">
        <v>46326</v>
      </c>
      <c r="D1563" s="14" t="n">
        <v>0.8020833333333334</v>
      </c>
      <c r="E1563" s="37" t="n">
        <v>1</v>
      </c>
      <c r="F1563" s="37" t="n">
        <v>0</v>
      </c>
      <c r="G1563" s="37" t="n">
        <v>0</v>
      </c>
      <c r="H1563" s="37" t="n">
        <v>1</v>
      </c>
      <c r="I1563" s="37" t="n">
        <v>0</v>
      </c>
      <c r="J1563" s="37" t="n">
        <v>4</v>
      </c>
      <c r="K1563" s="16" t="n">
        <v>48</v>
      </c>
    </row>
    <row r="1564">
      <c r="A1564" s="30" t="n">
        <v>46324.64444444444</v>
      </c>
      <c r="B1564" s="30" t="n">
        <v>46324.68263888889</v>
      </c>
      <c r="C1564" s="9" t="n">
        <v>46327</v>
      </c>
      <c r="D1564" s="10" t="n">
        <v>0.8854166666666666</v>
      </c>
      <c r="E1564" s="36" t="n">
        <v>2</v>
      </c>
      <c r="F1564" s="36" t="n">
        <v>1</v>
      </c>
      <c r="G1564" s="36" t="n">
        <v>0</v>
      </c>
      <c r="H1564" s="36" t="n">
        <v>1</v>
      </c>
      <c r="I1564" s="36" t="n">
        <v>0</v>
      </c>
      <c r="J1564" s="36" t="n">
        <v>6</v>
      </c>
      <c r="K1564" s="12" t="n">
        <v>72</v>
      </c>
    </row>
    <row r="1565">
      <c r="A1565" s="33" t="n">
        <v>46324.64444444444</v>
      </c>
      <c r="B1565" s="33" t="n">
        <v>46324.68263888889</v>
      </c>
      <c r="C1565" s="13" t="n">
        <v>46327</v>
      </c>
      <c r="D1565" s="14" t="n">
        <v>0.9270833333333334</v>
      </c>
      <c r="E1565" s="37" t="n">
        <v>2</v>
      </c>
      <c r="F1565" s="37" t="n">
        <v>0</v>
      </c>
      <c r="G1565" s="37" t="n">
        <v>2</v>
      </c>
      <c r="H1565" s="37" t="n">
        <v>0</v>
      </c>
      <c r="I1565" s="37" t="n">
        <v>0</v>
      </c>
      <c r="J1565" s="37" t="n">
        <v>6</v>
      </c>
      <c r="K1565" s="16" t="n">
        <v>72</v>
      </c>
    </row>
    <row r="1566">
      <c r="A1566" s="30" t="n">
        <v>46324.64444444444</v>
      </c>
      <c r="B1566" s="30" t="n">
        <v>46324.68263888889</v>
      </c>
      <c r="C1566" s="9" t="n">
        <v>46327</v>
      </c>
      <c r="D1566" s="10" t="n">
        <v>0.96875</v>
      </c>
      <c r="E1566" s="36" t="n">
        <v>1</v>
      </c>
      <c r="F1566" s="36" t="n">
        <v>0</v>
      </c>
      <c r="G1566" s="36" t="n">
        <v>0</v>
      </c>
      <c r="H1566" s="36" t="n">
        <v>1</v>
      </c>
      <c r="I1566" s="36" t="n">
        <v>0</v>
      </c>
      <c r="J1566" s="36" t="n">
        <v>4</v>
      </c>
      <c r="K1566" s="12" t="n">
        <v>48</v>
      </c>
    </row>
    <row r="1567">
      <c r="A1567" s="33" t="n">
        <v>46324.64444444444</v>
      </c>
      <c r="B1567" s="33" t="n">
        <v>46324.68263888889</v>
      </c>
      <c r="C1567" s="13" t="n">
        <v>46327</v>
      </c>
      <c r="D1567" s="14" t="n">
        <v>0.9993055555555556</v>
      </c>
      <c r="E1567" s="37" t="n">
        <v>4</v>
      </c>
      <c r="F1567" s="37" t="n">
        <v>3</v>
      </c>
      <c r="G1567" s="37" t="n">
        <v>0</v>
      </c>
      <c r="H1567" s="37" t="n">
        <v>1</v>
      </c>
      <c r="I1567" s="37" t="n">
        <v>0</v>
      </c>
      <c r="J1567" s="37" t="n">
        <v>10</v>
      </c>
      <c r="K1567" s="16" t="n">
        <v>120</v>
      </c>
    </row>
    <row r="1568">
      <c r="A1568" s="30" t="n">
        <v>46324.68263888889</v>
      </c>
      <c r="B1568" s="30" t="n">
        <v>46324.71180555555</v>
      </c>
      <c r="C1568" s="9" t="n">
        <v>46324</v>
      </c>
      <c r="D1568" s="10" t="n">
        <v>0.84375</v>
      </c>
      <c r="E1568" s="36" t="n">
        <v>4</v>
      </c>
      <c r="F1568" s="36" t="n">
        <v>3</v>
      </c>
      <c r="G1568" s="36" t="n">
        <v>0</v>
      </c>
      <c r="H1568" s="36" t="n">
        <v>0</v>
      </c>
      <c r="I1568" s="36" t="n">
        <v>1</v>
      </c>
      <c r="J1568" s="36" t="n">
        <v>11</v>
      </c>
      <c r="K1568" s="12" t="n">
        <v>132</v>
      </c>
    </row>
    <row r="1569">
      <c r="A1569" s="33" t="n">
        <v>46324.68263888889</v>
      </c>
      <c r="B1569" s="33" t="n">
        <v>46324.71180555555</v>
      </c>
      <c r="C1569" s="13" t="n">
        <v>46325</v>
      </c>
      <c r="D1569" s="14" t="n">
        <v>0.84375</v>
      </c>
      <c r="E1569" s="37" t="n">
        <v>1</v>
      </c>
      <c r="F1569" s="37" t="n">
        <v>1</v>
      </c>
      <c r="G1569" s="37" t="n">
        <v>0</v>
      </c>
      <c r="H1569" s="37" t="n">
        <v>0</v>
      </c>
      <c r="I1569" s="37" t="n">
        <v>0</v>
      </c>
      <c r="J1569" s="37" t="n">
        <v>2</v>
      </c>
      <c r="K1569" s="16" t="n">
        <v>24</v>
      </c>
    </row>
    <row r="1570">
      <c r="A1570" s="30" t="n">
        <v>46324.68263888889</v>
      </c>
      <c r="B1570" s="30" t="n">
        <v>46324.71180555555</v>
      </c>
      <c r="C1570" s="9" t="n">
        <v>46326</v>
      </c>
      <c r="D1570" s="10" t="n">
        <v>0.8020833333333334</v>
      </c>
      <c r="E1570" s="36" t="n">
        <v>1</v>
      </c>
      <c r="F1570" s="36" t="n">
        <v>0</v>
      </c>
      <c r="G1570" s="36" t="n">
        <v>0</v>
      </c>
      <c r="H1570" s="36" t="n">
        <v>1</v>
      </c>
      <c r="I1570" s="36" t="n">
        <v>0</v>
      </c>
      <c r="J1570" s="36" t="n">
        <v>4</v>
      </c>
      <c r="K1570" s="12" t="n">
        <v>48</v>
      </c>
    </row>
    <row r="1571">
      <c r="A1571" s="33" t="n">
        <v>46324.68263888889</v>
      </c>
      <c r="B1571" s="33" t="n">
        <v>46324.71180555555</v>
      </c>
      <c r="C1571" s="13" t="n">
        <v>46327</v>
      </c>
      <c r="D1571" s="14" t="n">
        <v>0.96875</v>
      </c>
      <c r="E1571" s="37" t="n">
        <v>3</v>
      </c>
      <c r="F1571" s="37" t="n">
        <v>0</v>
      </c>
      <c r="G1571" s="37" t="n">
        <v>0</v>
      </c>
      <c r="H1571" s="37" t="n">
        <v>3</v>
      </c>
      <c r="I1571" s="37" t="n">
        <v>0</v>
      </c>
      <c r="J1571" s="37" t="n">
        <v>12</v>
      </c>
      <c r="K1571" s="16" t="n">
        <v>144</v>
      </c>
    </row>
    <row r="1572">
      <c r="A1572" s="30" t="n">
        <v>46324.68263888889</v>
      </c>
      <c r="B1572" s="30" t="n">
        <v>46324.71180555555</v>
      </c>
      <c r="C1572" s="9" t="n">
        <v>46327</v>
      </c>
      <c r="D1572" s="10" t="n">
        <v>0.9993055555555556</v>
      </c>
      <c r="E1572" s="36" t="n">
        <v>4</v>
      </c>
      <c r="F1572" s="36" t="n">
        <v>1</v>
      </c>
      <c r="G1572" s="36" t="n">
        <v>0</v>
      </c>
      <c r="H1572" s="36" t="n">
        <v>3</v>
      </c>
      <c r="I1572" s="36" t="n">
        <v>0</v>
      </c>
      <c r="J1572" s="36" t="n">
        <v>14</v>
      </c>
      <c r="K1572" s="12" t="n">
        <v>168</v>
      </c>
    </row>
    <row r="1573">
      <c r="A1573" s="33" t="n">
        <v>46324.71180555555</v>
      </c>
      <c r="B1573" s="33" t="n">
        <v>46324.73680555556</v>
      </c>
      <c r="C1573" s="13" t="n">
        <v>46324</v>
      </c>
      <c r="D1573" s="14" t="n">
        <v>0.84375</v>
      </c>
      <c r="E1573" s="37" t="n">
        <v>4</v>
      </c>
      <c r="F1573" s="37" t="n">
        <v>1</v>
      </c>
      <c r="G1573" s="37" t="n">
        <v>1</v>
      </c>
      <c r="H1573" s="37" t="n">
        <v>1</v>
      </c>
      <c r="I1573" s="37" t="n">
        <v>1</v>
      </c>
      <c r="J1573" s="37" t="n">
        <v>14</v>
      </c>
      <c r="K1573" s="16" t="n">
        <v>168</v>
      </c>
    </row>
    <row r="1574">
      <c r="A1574" s="30" t="n">
        <v>46324.71180555555</v>
      </c>
      <c r="B1574" s="30" t="n">
        <v>46324.73680555556</v>
      </c>
      <c r="C1574" s="9" t="n">
        <v>46325</v>
      </c>
      <c r="D1574" s="10" t="n">
        <v>0.84375</v>
      </c>
      <c r="E1574" s="36" t="n">
        <v>4</v>
      </c>
      <c r="F1574" s="36" t="n">
        <v>1</v>
      </c>
      <c r="G1574" s="36" t="n">
        <v>0</v>
      </c>
      <c r="H1574" s="36" t="n">
        <v>3</v>
      </c>
      <c r="I1574" s="36" t="n">
        <v>0</v>
      </c>
      <c r="J1574" s="36" t="n">
        <v>14</v>
      </c>
      <c r="K1574" s="12" t="n">
        <v>168</v>
      </c>
    </row>
    <row r="1575">
      <c r="A1575" s="33" t="n">
        <v>46324.71180555555</v>
      </c>
      <c r="B1575" s="33" t="n">
        <v>46324.73680555556</v>
      </c>
      <c r="C1575" s="13" t="n">
        <v>46326</v>
      </c>
      <c r="D1575" s="14" t="n">
        <v>0.8020833333333334</v>
      </c>
      <c r="E1575" s="37" t="n">
        <v>2</v>
      </c>
      <c r="F1575" s="37" t="n">
        <v>0</v>
      </c>
      <c r="G1575" s="37" t="n">
        <v>0</v>
      </c>
      <c r="H1575" s="37" t="n">
        <v>1</v>
      </c>
      <c r="I1575" s="37" t="n">
        <v>1</v>
      </c>
      <c r="J1575" s="37" t="n">
        <v>9</v>
      </c>
      <c r="K1575" s="16" t="n">
        <v>108</v>
      </c>
    </row>
    <row r="1576">
      <c r="A1576" s="30" t="n">
        <v>46324.71180555555</v>
      </c>
      <c r="B1576" s="30" t="n">
        <v>46324.73680555556</v>
      </c>
      <c r="C1576" s="9" t="n">
        <v>46327</v>
      </c>
      <c r="D1576" s="10" t="n">
        <v>0.96875</v>
      </c>
      <c r="E1576" s="36" t="n">
        <v>1</v>
      </c>
      <c r="F1576" s="36" t="n">
        <v>1</v>
      </c>
      <c r="G1576" s="36" t="n">
        <v>0</v>
      </c>
      <c r="H1576" s="36" t="n">
        <v>0</v>
      </c>
      <c r="I1576" s="36" t="n">
        <v>0</v>
      </c>
      <c r="J1576" s="36" t="n">
        <v>2</v>
      </c>
      <c r="K1576" s="12" t="n">
        <v>24</v>
      </c>
    </row>
    <row r="1577">
      <c r="A1577" s="33" t="n">
        <v>46324.74027777778</v>
      </c>
      <c r="B1577" s="33" t="n">
        <v>46324.74652777778</v>
      </c>
      <c r="C1577" s="13" t="n">
        <v>46324</v>
      </c>
      <c r="D1577" s="14" t="n">
        <v>0.84375</v>
      </c>
      <c r="E1577" s="37" t="n">
        <v>1</v>
      </c>
      <c r="F1577" s="37" t="n">
        <v>0</v>
      </c>
      <c r="G1577" s="37" t="n">
        <v>1</v>
      </c>
      <c r="H1577" s="37" t="n">
        <v>0</v>
      </c>
      <c r="I1577" s="37" t="n">
        <v>0</v>
      </c>
      <c r="J1577" s="37" t="n">
        <v>3</v>
      </c>
      <c r="K1577" s="16" t="n">
        <v>36</v>
      </c>
    </row>
    <row r="1578">
      <c r="A1578" s="30" t="n">
        <v>46324.74652777778</v>
      </c>
      <c r="B1578" s="30" t="n">
        <v>46324.76041666666</v>
      </c>
      <c r="C1578" s="9" t="n">
        <v>46324</v>
      </c>
      <c r="D1578" s="10" t="n">
        <v>0.84375</v>
      </c>
      <c r="E1578" s="36" t="n">
        <v>2</v>
      </c>
      <c r="F1578" s="36" t="n">
        <v>1</v>
      </c>
      <c r="G1578" s="36" t="n">
        <v>0</v>
      </c>
      <c r="H1578" s="36" t="n">
        <v>0</v>
      </c>
      <c r="I1578" s="36" t="n">
        <v>1</v>
      </c>
      <c r="J1578" s="36" t="n">
        <v>7</v>
      </c>
      <c r="K1578" s="12" t="n">
        <v>84</v>
      </c>
    </row>
    <row r="1579">
      <c r="A1579" s="33" t="n">
        <v>46324.74652777778</v>
      </c>
      <c r="B1579" s="33" t="n">
        <v>46324.76041666666</v>
      </c>
      <c r="C1579" s="13" t="n">
        <v>46325</v>
      </c>
      <c r="D1579" s="14" t="n">
        <v>0.84375</v>
      </c>
      <c r="E1579" s="37" t="n">
        <v>2</v>
      </c>
      <c r="F1579" s="37" t="n">
        <v>1</v>
      </c>
      <c r="G1579" s="37" t="n">
        <v>0</v>
      </c>
      <c r="H1579" s="37" t="n">
        <v>1</v>
      </c>
      <c r="I1579" s="37" t="n">
        <v>0</v>
      </c>
      <c r="J1579" s="37" t="n">
        <v>6</v>
      </c>
      <c r="K1579" s="16" t="n">
        <v>72</v>
      </c>
    </row>
    <row r="1580">
      <c r="A1580" s="30" t="n">
        <v>46324.74652777778</v>
      </c>
      <c r="B1580" s="30" t="n">
        <v>46324.76041666666</v>
      </c>
      <c r="C1580" s="9" t="n">
        <v>46326</v>
      </c>
      <c r="D1580" s="10" t="n">
        <v>0.8020833333333334</v>
      </c>
      <c r="E1580" s="36" t="n">
        <v>2</v>
      </c>
      <c r="F1580" s="36" t="n">
        <v>2</v>
      </c>
      <c r="G1580" s="36" t="n">
        <v>0</v>
      </c>
      <c r="H1580" s="36" t="n">
        <v>0</v>
      </c>
      <c r="I1580" s="36" t="n">
        <v>0</v>
      </c>
      <c r="J1580" s="36" t="n">
        <v>4</v>
      </c>
      <c r="K1580" s="12" t="n">
        <v>48</v>
      </c>
    </row>
    <row r="1581">
      <c r="A1581" s="33" t="n">
        <v>46324.74652777778</v>
      </c>
      <c r="B1581" s="33" t="n">
        <v>46324.76041666666</v>
      </c>
      <c r="C1581" s="13" t="n">
        <v>46327</v>
      </c>
      <c r="D1581" s="14" t="n">
        <v>0.9270833333333334</v>
      </c>
      <c r="E1581" s="37" t="n">
        <v>2</v>
      </c>
      <c r="F1581" s="37" t="n">
        <v>1</v>
      </c>
      <c r="G1581" s="37" t="n">
        <v>0</v>
      </c>
      <c r="H1581" s="37" t="n">
        <v>1</v>
      </c>
      <c r="I1581" s="37" t="n">
        <v>0</v>
      </c>
      <c r="J1581" s="37" t="n">
        <v>6</v>
      </c>
      <c r="K1581" s="16" t="n">
        <v>72</v>
      </c>
    </row>
    <row r="1582">
      <c r="A1582" s="30" t="n">
        <v>46324.74652777778</v>
      </c>
      <c r="B1582" s="30" t="n">
        <v>46324.76041666666</v>
      </c>
      <c r="C1582" s="9" t="n">
        <v>46327</v>
      </c>
      <c r="D1582" s="10" t="n">
        <v>0.96875</v>
      </c>
      <c r="E1582" s="36" t="n">
        <v>3</v>
      </c>
      <c r="F1582" s="36" t="n">
        <v>0</v>
      </c>
      <c r="G1582" s="36" t="n">
        <v>1</v>
      </c>
      <c r="H1582" s="36" t="n">
        <v>1</v>
      </c>
      <c r="I1582" s="36" t="n">
        <v>1</v>
      </c>
      <c r="J1582" s="36" t="n">
        <v>12</v>
      </c>
      <c r="K1582" s="12" t="n">
        <v>144</v>
      </c>
    </row>
    <row r="1583">
      <c r="A1583" s="33" t="n">
        <v>46324.76041666666</v>
      </c>
      <c r="B1583" s="33" t="n">
        <v>46324.77847222222</v>
      </c>
      <c r="C1583" s="13" t="n">
        <v>46324</v>
      </c>
      <c r="D1583" s="14" t="n">
        <v>0.84375</v>
      </c>
      <c r="E1583" s="37" t="n">
        <v>3</v>
      </c>
      <c r="F1583" s="37" t="n">
        <v>2</v>
      </c>
      <c r="G1583" s="37" t="n">
        <v>0</v>
      </c>
      <c r="H1583" s="37" t="n">
        <v>0</v>
      </c>
      <c r="I1583" s="37" t="n">
        <v>1</v>
      </c>
      <c r="J1583" s="37" t="n">
        <v>9</v>
      </c>
      <c r="K1583" s="16" t="n">
        <v>108</v>
      </c>
    </row>
    <row r="1584">
      <c r="A1584" s="30" t="n">
        <v>46324.76041666666</v>
      </c>
      <c r="B1584" s="30" t="n">
        <v>46324.77847222222</v>
      </c>
      <c r="C1584" s="9" t="n">
        <v>46325</v>
      </c>
      <c r="D1584" s="10" t="n">
        <v>0.84375</v>
      </c>
      <c r="E1584" s="36" t="n">
        <v>2</v>
      </c>
      <c r="F1584" s="36" t="n">
        <v>2</v>
      </c>
      <c r="G1584" s="36" t="n">
        <v>0</v>
      </c>
      <c r="H1584" s="36" t="n">
        <v>0</v>
      </c>
      <c r="I1584" s="36" t="n">
        <v>0</v>
      </c>
      <c r="J1584" s="36" t="n">
        <v>4</v>
      </c>
      <c r="K1584" s="12" t="n">
        <v>48</v>
      </c>
    </row>
    <row r="1585">
      <c r="A1585" s="33" t="n">
        <v>46324.76041666666</v>
      </c>
      <c r="B1585" s="33" t="n">
        <v>46324.77847222222</v>
      </c>
      <c r="C1585" s="13" t="n">
        <v>46327</v>
      </c>
      <c r="D1585" s="14" t="n">
        <v>0.96875</v>
      </c>
      <c r="E1585" s="37" t="n">
        <v>1</v>
      </c>
      <c r="F1585" s="37" t="n">
        <v>1</v>
      </c>
      <c r="G1585" s="37" t="n">
        <v>0</v>
      </c>
      <c r="H1585" s="37" t="n">
        <v>0</v>
      </c>
      <c r="I1585" s="37" t="n">
        <v>0</v>
      </c>
      <c r="J1585" s="37" t="n">
        <v>2</v>
      </c>
      <c r="K1585" s="16" t="n">
        <v>24</v>
      </c>
    </row>
    <row r="1586">
      <c r="A1586" s="30" t="n">
        <v>46324.76041666666</v>
      </c>
      <c r="B1586" s="30" t="n">
        <v>46324.77847222222</v>
      </c>
      <c r="C1586" s="9" t="n">
        <v>46327</v>
      </c>
      <c r="D1586" s="10" t="n">
        <v>0.9993055555555556</v>
      </c>
      <c r="E1586" s="36" t="n">
        <v>5</v>
      </c>
      <c r="F1586" s="36" t="n">
        <v>2</v>
      </c>
      <c r="G1586" s="36" t="n">
        <v>1</v>
      </c>
      <c r="H1586" s="36" t="n">
        <v>2</v>
      </c>
      <c r="I1586" s="36" t="n">
        <v>0</v>
      </c>
      <c r="J1586" s="36" t="n">
        <v>15</v>
      </c>
      <c r="K1586" s="12" t="n">
        <v>180</v>
      </c>
    </row>
    <row r="1587">
      <c r="A1587" s="33" t="n">
        <v>46324.77847222222</v>
      </c>
      <c r="B1587" s="33" t="n">
        <v>46324.78194444445</v>
      </c>
      <c r="C1587" s="13" t="n">
        <v>46325</v>
      </c>
      <c r="D1587" s="14" t="n">
        <v>0.84375</v>
      </c>
      <c r="E1587" s="37" t="n">
        <v>1</v>
      </c>
      <c r="F1587" s="37" t="n">
        <v>1</v>
      </c>
      <c r="G1587" s="37" t="n">
        <v>0</v>
      </c>
      <c r="H1587" s="37" t="n">
        <v>0</v>
      </c>
      <c r="I1587" s="37" t="n">
        <v>0</v>
      </c>
      <c r="J1587" s="37" t="n">
        <v>2</v>
      </c>
      <c r="K1587" s="16" t="n">
        <v>24</v>
      </c>
    </row>
    <row r="1588">
      <c r="A1588" s="30" t="n">
        <v>46324.77847222222</v>
      </c>
      <c r="B1588" s="30" t="n">
        <v>46324.78194444445</v>
      </c>
      <c r="C1588" s="9" t="n">
        <v>46326</v>
      </c>
      <c r="D1588" s="10" t="n">
        <v>0.8020833333333334</v>
      </c>
      <c r="E1588" s="36" t="n">
        <v>1</v>
      </c>
      <c r="F1588" s="36" t="n">
        <v>0</v>
      </c>
      <c r="G1588" s="36" t="n">
        <v>0</v>
      </c>
      <c r="H1588" s="36" t="n">
        <v>1</v>
      </c>
      <c r="I1588" s="36" t="n">
        <v>0</v>
      </c>
      <c r="J1588" s="36" t="n">
        <v>4</v>
      </c>
      <c r="K1588" s="12" t="n">
        <v>48</v>
      </c>
    </row>
    <row r="1589">
      <c r="A1589" s="33" t="n">
        <v>46324.77847222222</v>
      </c>
      <c r="B1589" s="33" t="n">
        <v>46324.78194444445</v>
      </c>
      <c r="C1589" s="13" t="n">
        <v>46327</v>
      </c>
      <c r="D1589" s="14" t="n">
        <v>0.8854166666666666</v>
      </c>
      <c r="E1589" s="37" t="n">
        <v>1</v>
      </c>
      <c r="F1589" s="37" t="n">
        <v>0</v>
      </c>
      <c r="G1589" s="37" t="n">
        <v>0</v>
      </c>
      <c r="H1589" s="37" t="n">
        <v>1</v>
      </c>
      <c r="I1589" s="37" t="n">
        <v>0</v>
      </c>
      <c r="J1589" s="37" t="n">
        <v>4</v>
      </c>
      <c r="K1589" s="16" t="n">
        <v>48</v>
      </c>
    </row>
    <row r="1590">
      <c r="A1590" s="30" t="n">
        <v>46324.78194444445</v>
      </c>
      <c r="B1590" s="30" t="n">
        <v>46324.81875</v>
      </c>
      <c r="C1590" s="9" t="n">
        <v>46325</v>
      </c>
      <c r="D1590" s="10" t="n">
        <v>0.84375</v>
      </c>
      <c r="E1590" s="36" t="n">
        <v>6</v>
      </c>
      <c r="F1590" s="36" t="n">
        <v>3</v>
      </c>
      <c r="G1590" s="36" t="n">
        <v>2</v>
      </c>
      <c r="H1590" s="36" t="n">
        <v>0</v>
      </c>
      <c r="I1590" s="36" t="n">
        <v>1</v>
      </c>
      <c r="J1590" s="36" t="n">
        <v>17</v>
      </c>
      <c r="K1590" s="12" t="n">
        <v>204</v>
      </c>
    </row>
    <row r="1591">
      <c r="A1591" s="33" t="n">
        <v>46324.78194444445</v>
      </c>
      <c r="B1591" s="33" t="n">
        <v>46324.81875</v>
      </c>
      <c r="C1591" s="13" t="n">
        <v>46326</v>
      </c>
      <c r="D1591" s="14" t="n">
        <v>0.8020833333333334</v>
      </c>
      <c r="E1591" s="37" t="n">
        <v>8</v>
      </c>
      <c r="F1591" s="37" t="n">
        <v>3</v>
      </c>
      <c r="G1591" s="37" t="n">
        <v>1</v>
      </c>
      <c r="H1591" s="37" t="n">
        <v>2</v>
      </c>
      <c r="I1591" s="37" t="n">
        <v>2</v>
      </c>
      <c r="J1591" s="37" t="n">
        <v>27</v>
      </c>
      <c r="K1591" s="16" t="n">
        <v>324</v>
      </c>
    </row>
    <row r="1592">
      <c r="A1592" s="30" t="n">
        <v>46324.78194444445</v>
      </c>
      <c r="B1592" s="30" t="n">
        <v>46324.81875</v>
      </c>
      <c r="C1592" s="9" t="n">
        <v>46327</v>
      </c>
      <c r="D1592" s="10" t="n">
        <v>0.8854166666666666</v>
      </c>
      <c r="E1592" s="36" t="n">
        <v>2</v>
      </c>
      <c r="F1592" s="36" t="n">
        <v>0</v>
      </c>
      <c r="G1592" s="36" t="n">
        <v>0</v>
      </c>
      <c r="H1592" s="36" t="n">
        <v>1</v>
      </c>
      <c r="I1592" s="36" t="n">
        <v>1</v>
      </c>
      <c r="J1592" s="36" t="n">
        <v>9</v>
      </c>
      <c r="K1592" s="12" t="n">
        <v>108</v>
      </c>
    </row>
    <row r="1593">
      <c r="A1593" s="33" t="n">
        <v>46324.78194444445</v>
      </c>
      <c r="B1593" s="33" t="n">
        <v>46324.81875</v>
      </c>
      <c r="C1593" s="13" t="n">
        <v>46327</v>
      </c>
      <c r="D1593" s="14" t="n">
        <v>0.9270833333333334</v>
      </c>
      <c r="E1593" s="37" t="n">
        <v>2</v>
      </c>
      <c r="F1593" s="37" t="n">
        <v>1</v>
      </c>
      <c r="G1593" s="37" t="n">
        <v>0</v>
      </c>
      <c r="H1593" s="37" t="n">
        <v>1</v>
      </c>
      <c r="I1593" s="37" t="n">
        <v>0</v>
      </c>
      <c r="J1593" s="37" t="n">
        <v>6</v>
      </c>
      <c r="K1593" s="16" t="n">
        <v>72</v>
      </c>
    </row>
    <row r="1594">
      <c r="A1594" s="30" t="n">
        <v>46324.78194444445</v>
      </c>
      <c r="B1594" s="30" t="n">
        <v>46324.81875</v>
      </c>
      <c r="C1594" s="9" t="n">
        <v>46327</v>
      </c>
      <c r="D1594" s="10" t="n">
        <v>0.9993055555555556</v>
      </c>
      <c r="E1594" s="36" t="n">
        <v>4</v>
      </c>
      <c r="F1594" s="36" t="n">
        <v>2</v>
      </c>
      <c r="G1594" s="36" t="n">
        <v>0</v>
      </c>
      <c r="H1594" s="36" t="n">
        <v>2</v>
      </c>
      <c r="I1594" s="36" t="n">
        <v>0</v>
      </c>
      <c r="J1594" s="36" t="n">
        <v>12</v>
      </c>
      <c r="K1594" s="12" t="n">
        <v>144</v>
      </c>
    </row>
    <row r="1595">
      <c r="A1595" s="33" t="n">
        <v>46324.82083333333</v>
      </c>
      <c r="B1595" s="33" t="n">
        <v>46324.85972222222</v>
      </c>
      <c r="C1595" s="13" t="n">
        <v>46325</v>
      </c>
      <c r="D1595" s="14" t="n">
        <v>0.84375</v>
      </c>
      <c r="E1595" s="37" t="n">
        <v>6</v>
      </c>
      <c r="F1595" s="37" t="n">
        <v>0</v>
      </c>
      <c r="G1595" s="37" t="n">
        <v>3</v>
      </c>
      <c r="H1595" s="37" t="n">
        <v>3</v>
      </c>
      <c r="I1595" s="37" t="n">
        <v>0</v>
      </c>
      <c r="J1595" s="37" t="n">
        <v>21</v>
      </c>
      <c r="K1595" s="16" t="n">
        <v>252</v>
      </c>
    </row>
    <row r="1596">
      <c r="A1596" s="30" t="n">
        <v>46324.82083333333</v>
      </c>
      <c r="B1596" s="30" t="n">
        <v>46324.85972222222</v>
      </c>
      <c r="C1596" s="9" t="n">
        <v>46326</v>
      </c>
      <c r="D1596" s="10" t="n">
        <v>0.8020833333333334</v>
      </c>
      <c r="E1596" s="36" t="n">
        <v>5</v>
      </c>
      <c r="F1596" s="36" t="n">
        <v>2</v>
      </c>
      <c r="G1596" s="36" t="n">
        <v>1</v>
      </c>
      <c r="H1596" s="36" t="n">
        <v>2</v>
      </c>
      <c r="I1596" s="36" t="n">
        <v>0</v>
      </c>
      <c r="J1596" s="36" t="n">
        <v>15</v>
      </c>
      <c r="K1596" s="12" t="n">
        <v>180</v>
      </c>
    </row>
    <row r="1597">
      <c r="A1597" s="33" t="n">
        <v>46324.82083333333</v>
      </c>
      <c r="B1597" s="33" t="n">
        <v>46324.85972222222</v>
      </c>
      <c r="C1597" s="13" t="n">
        <v>46327</v>
      </c>
      <c r="D1597" s="14" t="n">
        <v>0.84375</v>
      </c>
      <c r="E1597" s="37" t="n">
        <v>1</v>
      </c>
      <c r="F1597" s="37" t="n">
        <v>1</v>
      </c>
      <c r="G1597" s="37" t="n">
        <v>0</v>
      </c>
      <c r="H1597" s="37" t="n">
        <v>0</v>
      </c>
      <c r="I1597" s="37" t="n">
        <v>0</v>
      </c>
      <c r="J1597" s="37" t="n">
        <v>2</v>
      </c>
      <c r="K1597" s="16" t="n">
        <v>24</v>
      </c>
    </row>
    <row r="1598">
      <c r="A1598" s="30" t="n">
        <v>46324.82083333333</v>
      </c>
      <c r="B1598" s="30" t="n">
        <v>46324.85972222222</v>
      </c>
      <c r="C1598" s="9" t="n">
        <v>46327</v>
      </c>
      <c r="D1598" s="10" t="n">
        <v>0.8854166666666666</v>
      </c>
      <c r="E1598" s="36" t="n">
        <v>2</v>
      </c>
      <c r="F1598" s="36" t="n">
        <v>1</v>
      </c>
      <c r="G1598" s="36" t="n">
        <v>0</v>
      </c>
      <c r="H1598" s="36" t="n">
        <v>1</v>
      </c>
      <c r="I1598" s="36" t="n">
        <v>0</v>
      </c>
      <c r="J1598" s="36" t="n">
        <v>6</v>
      </c>
      <c r="K1598" s="12" t="n">
        <v>72</v>
      </c>
    </row>
    <row r="1599">
      <c r="A1599" s="33" t="n">
        <v>46324.82083333333</v>
      </c>
      <c r="B1599" s="33" t="n">
        <v>46324.85972222222</v>
      </c>
      <c r="C1599" s="13" t="n">
        <v>46327</v>
      </c>
      <c r="D1599" s="14" t="n">
        <v>0.9270833333333334</v>
      </c>
      <c r="E1599" s="37" t="n">
        <v>2</v>
      </c>
      <c r="F1599" s="37" t="n">
        <v>1</v>
      </c>
      <c r="G1599" s="37" t="n">
        <v>0</v>
      </c>
      <c r="H1599" s="37" t="n">
        <v>1</v>
      </c>
      <c r="I1599" s="37" t="n">
        <v>0</v>
      </c>
      <c r="J1599" s="37" t="n">
        <v>6</v>
      </c>
      <c r="K1599" s="16" t="n">
        <v>72</v>
      </c>
    </row>
    <row r="1600">
      <c r="A1600" s="30" t="n">
        <v>46324.82083333333</v>
      </c>
      <c r="B1600" s="30" t="n">
        <v>46324.85972222222</v>
      </c>
      <c r="C1600" s="9" t="n">
        <v>46327</v>
      </c>
      <c r="D1600" s="10" t="n">
        <v>0.96875</v>
      </c>
      <c r="E1600" s="36" t="n">
        <v>2</v>
      </c>
      <c r="F1600" s="36" t="n">
        <v>1</v>
      </c>
      <c r="G1600" s="36" t="n">
        <v>0</v>
      </c>
      <c r="H1600" s="36" t="n">
        <v>1</v>
      </c>
      <c r="I1600" s="36" t="n">
        <v>0</v>
      </c>
      <c r="J1600" s="36" t="n">
        <v>6</v>
      </c>
      <c r="K1600" s="12" t="n">
        <v>72</v>
      </c>
    </row>
    <row r="1601">
      <c r="A1601" s="33" t="n">
        <v>46324.82083333333</v>
      </c>
      <c r="B1601" s="33" t="n">
        <v>46324.85972222222</v>
      </c>
      <c r="C1601" s="13" t="n">
        <v>46327</v>
      </c>
      <c r="D1601" s="14" t="n">
        <v>0.9993055555555556</v>
      </c>
      <c r="E1601" s="37" t="n">
        <v>2</v>
      </c>
      <c r="F1601" s="37" t="n">
        <v>0</v>
      </c>
      <c r="G1601" s="37" t="n">
        <v>0</v>
      </c>
      <c r="H1601" s="37" t="n">
        <v>2</v>
      </c>
      <c r="I1601" s="37" t="n">
        <v>0</v>
      </c>
      <c r="J1601" s="37" t="n">
        <v>8</v>
      </c>
      <c r="K1601" s="16" t="n">
        <v>96</v>
      </c>
    </row>
    <row r="1602">
      <c r="A1602" s="30" t="n">
        <v>46324.85972222222</v>
      </c>
      <c r="B1602" s="30" t="n">
        <v>46324.86388888889</v>
      </c>
      <c r="C1602" s="9" t="n">
        <v>46325</v>
      </c>
      <c r="D1602" s="10" t="n">
        <v>0.84375</v>
      </c>
      <c r="E1602" s="36" t="n">
        <v>1</v>
      </c>
      <c r="F1602" s="36" t="n">
        <v>0</v>
      </c>
      <c r="G1602" s="36" t="n">
        <v>0</v>
      </c>
      <c r="H1602" s="36" t="n">
        <v>1</v>
      </c>
      <c r="I1602" s="36" t="n">
        <v>0</v>
      </c>
      <c r="J1602" s="36" t="n">
        <v>4</v>
      </c>
      <c r="K1602" s="12" t="n">
        <v>48</v>
      </c>
    </row>
    <row r="1603">
      <c r="A1603" s="33" t="n">
        <v>46324.86388888889</v>
      </c>
      <c r="B1603" s="33" t="n">
        <v>46324.89444444444</v>
      </c>
      <c r="C1603" s="13" t="n">
        <v>46325</v>
      </c>
      <c r="D1603" s="14" t="n">
        <v>0.84375</v>
      </c>
      <c r="E1603" s="37" t="n">
        <v>7</v>
      </c>
      <c r="F1603" s="37" t="n">
        <v>3</v>
      </c>
      <c r="G1603" s="37" t="n">
        <v>2</v>
      </c>
      <c r="H1603" s="37" t="n">
        <v>1</v>
      </c>
      <c r="I1603" s="37" t="n">
        <v>1</v>
      </c>
      <c r="J1603" s="37" t="n">
        <v>21</v>
      </c>
      <c r="K1603" s="16" t="n">
        <v>252</v>
      </c>
    </row>
    <row r="1604">
      <c r="A1604" s="30" t="n">
        <v>46324.86388888889</v>
      </c>
      <c r="B1604" s="30" t="n">
        <v>46324.89444444444</v>
      </c>
      <c r="C1604" s="9" t="n">
        <v>46326</v>
      </c>
      <c r="D1604" s="10" t="n">
        <v>0.8020833333333334</v>
      </c>
      <c r="E1604" s="36" t="n">
        <v>4</v>
      </c>
      <c r="F1604" s="36" t="n">
        <v>2</v>
      </c>
      <c r="G1604" s="36" t="n">
        <v>0</v>
      </c>
      <c r="H1604" s="36" t="n">
        <v>1</v>
      </c>
      <c r="I1604" s="36" t="n">
        <v>1</v>
      </c>
      <c r="J1604" s="36" t="n">
        <v>13</v>
      </c>
      <c r="K1604" s="12" t="n">
        <v>156</v>
      </c>
    </row>
    <row r="1605">
      <c r="A1605" s="33" t="n">
        <v>46324.86388888889</v>
      </c>
      <c r="B1605" s="33" t="n">
        <v>46324.89444444444</v>
      </c>
      <c r="C1605" s="13" t="n">
        <v>46327</v>
      </c>
      <c r="D1605" s="14" t="n">
        <v>0.8020833333333334</v>
      </c>
      <c r="E1605" s="37" t="n">
        <v>2</v>
      </c>
      <c r="F1605" s="37" t="n">
        <v>1</v>
      </c>
      <c r="G1605" s="37" t="n">
        <v>0</v>
      </c>
      <c r="H1605" s="37" t="n">
        <v>1</v>
      </c>
      <c r="I1605" s="37" t="n">
        <v>0</v>
      </c>
      <c r="J1605" s="37" t="n">
        <v>6</v>
      </c>
      <c r="K1605" s="16" t="n">
        <v>72</v>
      </c>
    </row>
    <row r="1606">
      <c r="A1606" s="30" t="n">
        <v>46324.86388888889</v>
      </c>
      <c r="B1606" s="30" t="n">
        <v>46324.89444444444</v>
      </c>
      <c r="C1606" s="9" t="n">
        <v>46327</v>
      </c>
      <c r="D1606" s="10" t="n">
        <v>0.9270833333333334</v>
      </c>
      <c r="E1606" s="36" t="n">
        <v>1</v>
      </c>
      <c r="F1606" s="36" t="n">
        <v>0</v>
      </c>
      <c r="G1606" s="36" t="n">
        <v>0</v>
      </c>
      <c r="H1606" s="36" t="n">
        <v>1</v>
      </c>
      <c r="I1606" s="36" t="n">
        <v>0</v>
      </c>
      <c r="J1606" s="36" t="n">
        <v>4</v>
      </c>
      <c r="K1606" s="12" t="n">
        <v>48</v>
      </c>
    </row>
    <row r="1607">
      <c r="A1607" s="33" t="n">
        <v>46324.86388888889</v>
      </c>
      <c r="B1607" s="33" t="n">
        <v>46324.89444444444</v>
      </c>
      <c r="C1607" s="13" t="n">
        <v>46327</v>
      </c>
      <c r="D1607" s="14" t="n">
        <v>0.96875</v>
      </c>
      <c r="E1607" s="37" t="n">
        <v>1</v>
      </c>
      <c r="F1607" s="37" t="n">
        <v>0</v>
      </c>
      <c r="G1607" s="37" t="n">
        <v>0</v>
      </c>
      <c r="H1607" s="37" t="n">
        <v>1</v>
      </c>
      <c r="I1607" s="37" t="n">
        <v>0</v>
      </c>
      <c r="J1607" s="37" t="n">
        <v>4</v>
      </c>
      <c r="K1607" s="16" t="n">
        <v>48</v>
      </c>
    </row>
    <row r="1608">
      <c r="A1608" s="30" t="n">
        <v>46324.86388888889</v>
      </c>
      <c r="B1608" s="30" t="n">
        <v>46324.89444444444</v>
      </c>
      <c r="C1608" s="9" t="n">
        <v>46327</v>
      </c>
      <c r="D1608" s="10" t="n">
        <v>0.9993055555555556</v>
      </c>
      <c r="E1608" s="36" t="n">
        <v>2</v>
      </c>
      <c r="F1608" s="36" t="n">
        <v>1</v>
      </c>
      <c r="G1608" s="36" t="n">
        <v>0</v>
      </c>
      <c r="H1608" s="36" t="n">
        <v>1</v>
      </c>
      <c r="I1608" s="36" t="n">
        <v>0</v>
      </c>
      <c r="J1608" s="36" t="n">
        <v>6</v>
      </c>
      <c r="K1608" s="12" t="n">
        <v>72</v>
      </c>
    </row>
    <row r="1609">
      <c r="A1609" s="33" t="n">
        <v>46324.89444444444</v>
      </c>
      <c r="B1609" s="33" t="n">
        <v>46324.90138888889</v>
      </c>
      <c r="C1609" s="13" t="n">
        <v>46325</v>
      </c>
      <c r="D1609" s="14" t="n">
        <v>0.84375</v>
      </c>
      <c r="E1609" s="37" t="n">
        <v>1</v>
      </c>
      <c r="F1609" s="37" t="n">
        <v>0</v>
      </c>
      <c r="G1609" s="37" t="n">
        <v>0</v>
      </c>
      <c r="H1609" s="37" t="n">
        <v>0</v>
      </c>
      <c r="I1609" s="37" t="n">
        <v>1</v>
      </c>
      <c r="J1609" s="37" t="n">
        <v>5</v>
      </c>
      <c r="K1609" s="16" t="n">
        <v>60</v>
      </c>
    </row>
    <row r="1610">
      <c r="A1610" s="30" t="n">
        <v>46324.89444444444</v>
      </c>
      <c r="B1610" s="30" t="n">
        <v>46324.90138888889</v>
      </c>
      <c r="C1610" s="9" t="n">
        <v>46327</v>
      </c>
      <c r="D1610" s="10" t="n">
        <v>0.8854166666666666</v>
      </c>
      <c r="E1610" s="36" t="n">
        <v>1</v>
      </c>
      <c r="F1610" s="36" t="n">
        <v>0</v>
      </c>
      <c r="G1610" s="36" t="n">
        <v>0</v>
      </c>
      <c r="H1610" s="36" t="n">
        <v>1</v>
      </c>
      <c r="I1610" s="36" t="n">
        <v>0</v>
      </c>
      <c r="J1610" s="36" t="n">
        <v>4</v>
      </c>
      <c r="K1610" s="12" t="n">
        <v>48</v>
      </c>
    </row>
    <row r="1611">
      <c r="A1611" s="33" t="n">
        <v>46324.90138888889</v>
      </c>
      <c r="B1611" s="33" t="n">
        <v>46324.90694444445</v>
      </c>
      <c r="C1611" s="13" t="n">
        <v>46326</v>
      </c>
      <c r="D1611" s="14" t="n">
        <v>0.8020833333333334</v>
      </c>
      <c r="E1611" s="37" t="n">
        <v>2</v>
      </c>
      <c r="F1611" s="37" t="n">
        <v>0</v>
      </c>
      <c r="G1611" s="37" t="n">
        <v>0</v>
      </c>
      <c r="H1611" s="37" t="n">
        <v>1</v>
      </c>
      <c r="I1611" s="37" t="n">
        <v>1</v>
      </c>
      <c r="J1611" s="37" t="n">
        <v>9</v>
      </c>
      <c r="K1611" s="16" t="n">
        <v>108</v>
      </c>
    </row>
    <row r="1612">
      <c r="A1612" s="30" t="n">
        <v>46324.90138888889</v>
      </c>
      <c r="B1612" s="30" t="n">
        <v>46324.90694444445</v>
      </c>
      <c r="C1612" s="9" t="n">
        <v>46327</v>
      </c>
      <c r="D1612" s="10" t="n">
        <v>0.9270833333333334</v>
      </c>
      <c r="E1612" s="36" t="n">
        <v>1</v>
      </c>
      <c r="F1612" s="36" t="n">
        <v>0</v>
      </c>
      <c r="G1612" s="36" t="n">
        <v>0</v>
      </c>
      <c r="H1612" s="36" t="n">
        <v>0</v>
      </c>
      <c r="I1612" s="36" t="n">
        <v>1</v>
      </c>
      <c r="J1612" s="36" t="n">
        <v>5</v>
      </c>
      <c r="K1612" s="12" t="n">
        <v>60</v>
      </c>
    </row>
    <row r="1613">
      <c r="A1613" s="33" t="n">
        <v>46324.90694444445</v>
      </c>
      <c r="B1613" s="33" t="n">
        <v>46324.94097222222</v>
      </c>
      <c r="C1613" s="13" t="n">
        <v>46325</v>
      </c>
      <c r="D1613" s="14" t="n">
        <v>0.84375</v>
      </c>
      <c r="E1613" s="37" t="n">
        <v>1</v>
      </c>
      <c r="F1613" s="37" t="n">
        <v>1</v>
      </c>
      <c r="G1613" s="37" t="n">
        <v>0</v>
      </c>
      <c r="H1613" s="37" t="n">
        <v>0</v>
      </c>
      <c r="I1613" s="37" t="n">
        <v>0</v>
      </c>
      <c r="J1613" s="37" t="n">
        <v>2</v>
      </c>
      <c r="K1613" s="16" t="n">
        <v>24</v>
      </c>
    </row>
    <row r="1614">
      <c r="A1614" s="30" t="n">
        <v>46324.90694444445</v>
      </c>
      <c r="B1614" s="30" t="n">
        <v>46324.94097222222</v>
      </c>
      <c r="C1614" s="9" t="n">
        <v>46326</v>
      </c>
      <c r="D1614" s="10" t="n">
        <v>0.8020833333333334</v>
      </c>
      <c r="E1614" s="36" t="n">
        <v>1</v>
      </c>
      <c r="F1614" s="36" t="n">
        <v>0</v>
      </c>
      <c r="G1614" s="36" t="n">
        <v>0</v>
      </c>
      <c r="H1614" s="36" t="n">
        <v>1</v>
      </c>
      <c r="I1614" s="36" t="n">
        <v>0</v>
      </c>
      <c r="J1614" s="36" t="n">
        <v>4</v>
      </c>
      <c r="K1614" s="12" t="n">
        <v>48</v>
      </c>
    </row>
    <row r="1615">
      <c r="A1615" s="33" t="n">
        <v>46324.90694444445</v>
      </c>
      <c r="B1615" s="33" t="n">
        <v>46324.94097222222</v>
      </c>
      <c r="C1615" s="13" t="n">
        <v>46327</v>
      </c>
      <c r="D1615" s="14" t="n">
        <v>0.8854166666666666</v>
      </c>
      <c r="E1615" s="37" t="n">
        <v>2</v>
      </c>
      <c r="F1615" s="37" t="n">
        <v>1</v>
      </c>
      <c r="G1615" s="37" t="n">
        <v>0</v>
      </c>
      <c r="H1615" s="37" t="n">
        <v>1</v>
      </c>
      <c r="I1615" s="37" t="n">
        <v>0</v>
      </c>
      <c r="J1615" s="37" t="n">
        <v>6</v>
      </c>
      <c r="K1615" s="16" t="n">
        <v>72</v>
      </c>
    </row>
    <row r="1616">
      <c r="A1616" s="30" t="n">
        <v>46324.90694444445</v>
      </c>
      <c r="B1616" s="30" t="n">
        <v>46324.94097222222</v>
      </c>
      <c r="C1616" s="9" t="n">
        <v>46327</v>
      </c>
      <c r="D1616" s="10" t="n">
        <v>0.9270833333333334</v>
      </c>
      <c r="E1616" s="36" t="n">
        <v>3</v>
      </c>
      <c r="F1616" s="36" t="n">
        <v>1</v>
      </c>
      <c r="G1616" s="36" t="n">
        <v>1</v>
      </c>
      <c r="H1616" s="36" t="n">
        <v>1</v>
      </c>
      <c r="I1616" s="36" t="n">
        <v>0</v>
      </c>
      <c r="J1616" s="36" t="n">
        <v>9</v>
      </c>
      <c r="K1616" s="12" t="n">
        <v>108</v>
      </c>
    </row>
    <row r="1617">
      <c r="A1617" s="33" t="n">
        <v>46324.90694444445</v>
      </c>
      <c r="B1617" s="33" t="n">
        <v>46324.94097222222</v>
      </c>
      <c r="C1617" s="13" t="n">
        <v>46327</v>
      </c>
      <c r="D1617" s="14" t="n">
        <v>0.96875</v>
      </c>
      <c r="E1617" s="37" t="n">
        <v>6</v>
      </c>
      <c r="F1617" s="37" t="n">
        <v>0</v>
      </c>
      <c r="G1617" s="37" t="n">
        <v>1</v>
      </c>
      <c r="H1617" s="37" t="n">
        <v>5</v>
      </c>
      <c r="I1617" s="37" t="n">
        <v>0</v>
      </c>
      <c r="J1617" s="37" t="n">
        <v>23</v>
      </c>
      <c r="K1617" s="16" t="n">
        <v>276</v>
      </c>
    </row>
    <row r="1618">
      <c r="A1618" s="30" t="n">
        <v>46324.90694444445</v>
      </c>
      <c r="B1618" s="30" t="n">
        <v>46324.94097222222</v>
      </c>
      <c r="C1618" s="9" t="n">
        <v>46327</v>
      </c>
      <c r="D1618" s="10" t="n">
        <v>0.9993055555555556</v>
      </c>
      <c r="E1618" s="36" t="n">
        <v>2</v>
      </c>
      <c r="F1618" s="36" t="n">
        <v>1</v>
      </c>
      <c r="G1618" s="36" t="n">
        <v>0</v>
      </c>
      <c r="H1618" s="36" t="n">
        <v>1</v>
      </c>
      <c r="I1618" s="36" t="n">
        <v>0</v>
      </c>
      <c r="J1618" s="36" t="n">
        <v>6</v>
      </c>
      <c r="K1618" s="12" t="n">
        <v>72</v>
      </c>
    </row>
    <row r="1619">
      <c r="A1619" s="33" t="n">
        <v>46324.90694444445</v>
      </c>
      <c r="B1619" s="33" t="n">
        <v>46324.94097222222</v>
      </c>
      <c r="C1619" s="13" t="n">
        <v>46328</v>
      </c>
      <c r="D1619" s="14" t="n">
        <v>0.9270833333333334</v>
      </c>
      <c r="E1619" s="37" t="n">
        <v>0</v>
      </c>
      <c r="F1619" s="37" t="n">
        <v>0</v>
      </c>
      <c r="G1619" s="37" t="n">
        <v>0</v>
      </c>
      <c r="H1619" s="37" t="n">
        <v>0</v>
      </c>
      <c r="I1619" s="37" t="n">
        <v>0</v>
      </c>
      <c r="J1619" s="37" t="n">
        <v>2</v>
      </c>
      <c r="K1619" s="16" t="n">
        <v>30</v>
      </c>
    </row>
    <row r="1620">
      <c r="A1620" s="30" t="n">
        <v>46324.94097222222</v>
      </c>
      <c r="B1620" s="30" t="n">
        <v>46324.94375</v>
      </c>
      <c r="C1620" s="9" t="n">
        <v>46325</v>
      </c>
      <c r="D1620" s="10" t="n">
        <v>0.84375</v>
      </c>
      <c r="E1620" s="36" t="n">
        <v>2</v>
      </c>
      <c r="F1620" s="36" t="n">
        <v>1</v>
      </c>
      <c r="G1620" s="36" t="n">
        <v>0</v>
      </c>
      <c r="H1620" s="36" t="n">
        <v>1</v>
      </c>
      <c r="I1620" s="36" t="n">
        <v>0</v>
      </c>
      <c r="J1620" s="36" t="n">
        <v>6</v>
      </c>
      <c r="K1620" s="12" t="n">
        <v>72</v>
      </c>
    </row>
    <row r="1621">
      <c r="A1621" s="33" t="n">
        <v>46324.94097222222</v>
      </c>
      <c r="B1621" s="33" t="n">
        <v>46324.94375</v>
      </c>
      <c r="C1621" s="13" t="n">
        <v>46326</v>
      </c>
      <c r="D1621" s="14" t="n">
        <v>0.8020833333333334</v>
      </c>
      <c r="E1621" s="37" t="n">
        <v>1</v>
      </c>
      <c r="F1621" s="37" t="n">
        <v>0</v>
      </c>
      <c r="G1621" s="37" t="n">
        <v>0</v>
      </c>
      <c r="H1621" s="37" t="n">
        <v>1</v>
      </c>
      <c r="I1621" s="37" t="n">
        <v>0</v>
      </c>
      <c r="J1621" s="37" t="n">
        <v>4</v>
      </c>
      <c r="K1621" s="16" t="n">
        <v>48</v>
      </c>
    </row>
    <row r="1622">
      <c r="A1622" s="30" t="n">
        <v>46324.94375</v>
      </c>
      <c r="B1622" s="30" t="n">
        <v>46324.95486111111</v>
      </c>
      <c r="C1622" s="9" t="n">
        <v>46326</v>
      </c>
      <c r="D1622" s="10" t="n">
        <v>0.8020833333333334</v>
      </c>
      <c r="E1622" s="36" t="n">
        <v>1</v>
      </c>
      <c r="F1622" s="36" t="n">
        <v>0</v>
      </c>
      <c r="G1622" s="36" t="n">
        <v>1</v>
      </c>
      <c r="H1622" s="36" t="n">
        <v>0</v>
      </c>
      <c r="I1622" s="36" t="n">
        <v>0</v>
      </c>
      <c r="J1622" s="36" t="n">
        <v>3</v>
      </c>
      <c r="K1622" s="12" t="n">
        <v>36</v>
      </c>
    </row>
    <row r="1623">
      <c r="A1623" s="33" t="n">
        <v>46324.94375</v>
      </c>
      <c r="B1623" s="33" t="n">
        <v>46324.95486111111</v>
      </c>
      <c r="C1623" s="13" t="n">
        <v>46327</v>
      </c>
      <c r="D1623" s="14" t="n">
        <v>0.96875</v>
      </c>
      <c r="E1623" s="37" t="n">
        <v>1</v>
      </c>
      <c r="F1623" s="37" t="n">
        <v>0</v>
      </c>
      <c r="G1623" s="37" t="n">
        <v>1</v>
      </c>
      <c r="H1623" s="37" t="n">
        <v>0</v>
      </c>
      <c r="I1623" s="37" t="n">
        <v>0</v>
      </c>
      <c r="J1623" s="37" t="n">
        <v>3</v>
      </c>
      <c r="K1623" s="16" t="n">
        <v>36</v>
      </c>
    </row>
    <row r="1624">
      <c r="A1624" s="30" t="n">
        <v>46324.94375</v>
      </c>
      <c r="B1624" s="30" t="n">
        <v>46324.95486111111</v>
      </c>
      <c r="C1624" s="9" t="n">
        <v>46327</v>
      </c>
      <c r="D1624" s="10" t="n">
        <v>0.9993055555555556</v>
      </c>
      <c r="E1624" s="36" t="n">
        <v>1</v>
      </c>
      <c r="F1624" s="36" t="n">
        <v>1</v>
      </c>
      <c r="G1624" s="36" t="n">
        <v>0</v>
      </c>
      <c r="H1624" s="36" t="n">
        <v>0</v>
      </c>
      <c r="I1624" s="36" t="n">
        <v>0</v>
      </c>
      <c r="J1624" s="36" t="n">
        <v>2</v>
      </c>
      <c r="K1624" s="12" t="n">
        <v>24</v>
      </c>
    </row>
    <row r="1625">
      <c r="A1625" s="33" t="n">
        <v>46324.95486111111</v>
      </c>
      <c r="B1625" s="33" t="n">
        <v>46324.99513888889</v>
      </c>
      <c r="C1625" s="13" t="n">
        <v>46325</v>
      </c>
      <c r="D1625" s="14" t="n">
        <v>0.84375</v>
      </c>
      <c r="E1625" s="37" t="n">
        <v>3</v>
      </c>
      <c r="F1625" s="37" t="n">
        <v>0</v>
      </c>
      <c r="G1625" s="37" t="n">
        <v>0</v>
      </c>
      <c r="H1625" s="37" t="n">
        <v>3</v>
      </c>
      <c r="I1625" s="37" t="n">
        <v>0</v>
      </c>
      <c r="J1625" s="37" t="n">
        <v>12</v>
      </c>
      <c r="K1625" s="16" t="n">
        <v>144</v>
      </c>
    </row>
    <row r="1626">
      <c r="A1626" s="30" t="n">
        <v>46324.95486111111</v>
      </c>
      <c r="B1626" s="30" t="n">
        <v>46324.99513888889</v>
      </c>
      <c r="C1626" s="9" t="n">
        <v>46326</v>
      </c>
      <c r="D1626" s="10" t="n">
        <v>0.8020833333333334</v>
      </c>
      <c r="E1626" s="36" t="n">
        <v>4</v>
      </c>
      <c r="F1626" s="36" t="n">
        <v>2</v>
      </c>
      <c r="G1626" s="36" t="n">
        <v>0</v>
      </c>
      <c r="H1626" s="36" t="n">
        <v>1</v>
      </c>
      <c r="I1626" s="36" t="n">
        <v>1</v>
      </c>
      <c r="J1626" s="36" t="n">
        <v>13</v>
      </c>
      <c r="K1626" s="12" t="n">
        <v>156</v>
      </c>
    </row>
    <row r="1627">
      <c r="A1627" s="33" t="n">
        <v>46324.95486111111</v>
      </c>
      <c r="B1627" s="33" t="n">
        <v>46324.99513888889</v>
      </c>
      <c r="C1627" s="13" t="n">
        <v>46327</v>
      </c>
      <c r="D1627" s="14" t="n">
        <v>0.8020833333333334</v>
      </c>
      <c r="E1627" s="37" t="n">
        <v>1</v>
      </c>
      <c r="F1627" s="37" t="n">
        <v>0</v>
      </c>
      <c r="G1627" s="37" t="n">
        <v>0</v>
      </c>
      <c r="H1627" s="37" t="n">
        <v>1</v>
      </c>
      <c r="I1627" s="37" t="n">
        <v>0</v>
      </c>
      <c r="J1627" s="37" t="n">
        <v>4</v>
      </c>
      <c r="K1627" s="16" t="n">
        <v>48</v>
      </c>
    </row>
    <row r="1628">
      <c r="A1628" s="30" t="n">
        <v>46324.95486111111</v>
      </c>
      <c r="B1628" s="30" t="n">
        <v>46324.99513888889</v>
      </c>
      <c r="C1628" s="9" t="n">
        <v>46327</v>
      </c>
      <c r="D1628" s="10" t="n">
        <v>0.84375</v>
      </c>
      <c r="E1628" s="36" t="n">
        <v>1</v>
      </c>
      <c r="F1628" s="36" t="n">
        <v>1</v>
      </c>
      <c r="G1628" s="36" t="n">
        <v>0</v>
      </c>
      <c r="H1628" s="36" t="n">
        <v>0</v>
      </c>
      <c r="I1628" s="36" t="n">
        <v>0</v>
      </c>
      <c r="J1628" s="36" t="n">
        <v>2</v>
      </c>
      <c r="K1628" s="12" t="n">
        <v>24</v>
      </c>
    </row>
    <row r="1629">
      <c r="A1629" s="33" t="n">
        <v>46324.95486111111</v>
      </c>
      <c r="B1629" s="33" t="n">
        <v>46324.99513888889</v>
      </c>
      <c r="C1629" s="13" t="n">
        <v>46327</v>
      </c>
      <c r="D1629" s="14" t="n">
        <v>0.8854166666666666</v>
      </c>
      <c r="E1629" s="37" t="n">
        <v>3</v>
      </c>
      <c r="F1629" s="37" t="n">
        <v>0</v>
      </c>
      <c r="G1629" s="37" t="n">
        <v>1</v>
      </c>
      <c r="H1629" s="37" t="n">
        <v>1</v>
      </c>
      <c r="I1629" s="37" t="n">
        <v>1</v>
      </c>
      <c r="J1629" s="37" t="n">
        <v>12</v>
      </c>
      <c r="K1629" s="16" t="n">
        <v>144</v>
      </c>
    </row>
    <row r="1630">
      <c r="A1630" s="30" t="n">
        <v>46324.95486111111</v>
      </c>
      <c r="B1630" s="30" t="n">
        <v>46324.99513888889</v>
      </c>
      <c r="C1630" s="9" t="n">
        <v>46327</v>
      </c>
      <c r="D1630" s="10" t="n">
        <v>0.9270833333333334</v>
      </c>
      <c r="E1630" s="36" t="n">
        <v>1</v>
      </c>
      <c r="F1630" s="36" t="n">
        <v>0</v>
      </c>
      <c r="G1630" s="36" t="n">
        <v>0</v>
      </c>
      <c r="H1630" s="36" t="n">
        <v>0</v>
      </c>
      <c r="I1630" s="36" t="n">
        <v>1</v>
      </c>
      <c r="J1630" s="36" t="n">
        <v>5</v>
      </c>
      <c r="K1630" s="12" t="n">
        <v>60</v>
      </c>
    </row>
    <row r="1631">
      <c r="A1631" s="33" t="n">
        <v>46324.95486111111</v>
      </c>
      <c r="B1631" s="33" t="n">
        <v>46324.99513888889</v>
      </c>
      <c r="C1631" s="13" t="n">
        <v>46327</v>
      </c>
      <c r="D1631" s="14" t="n">
        <v>0.96875</v>
      </c>
      <c r="E1631" s="37" t="n">
        <v>1</v>
      </c>
      <c r="F1631" s="37" t="n">
        <v>1</v>
      </c>
      <c r="G1631" s="37" t="n">
        <v>0</v>
      </c>
      <c r="H1631" s="37" t="n">
        <v>0</v>
      </c>
      <c r="I1631" s="37" t="n">
        <v>0</v>
      </c>
      <c r="J1631" s="37" t="n">
        <v>2</v>
      </c>
      <c r="K1631" s="16" t="n">
        <v>24</v>
      </c>
    </row>
    <row r="1632">
      <c r="A1632" s="30" t="n">
        <v>46324.95486111111</v>
      </c>
      <c r="B1632" s="30" t="n">
        <v>46324.99513888889</v>
      </c>
      <c r="C1632" s="9" t="n">
        <v>46327</v>
      </c>
      <c r="D1632" s="10" t="n">
        <v>0.9993055555555556</v>
      </c>
      <c r="E1632" s="36" t="n">
        <v>1</v>
      </c>
      <c r="F1632" s="36" t="n">
        <v>1</v>
      </c>
      <c r="G1632" s="36" t="n">
        <v>0</v>
      </c>
      <c r="H1632" s="36" t="n">
        <v>0</v>
      </c>
      <c r="I1632" s="36" t="n">
        <v>0</v>
      </c>
      <c r="J1632" s="36" t="n">
        <v>2</v>
      </c>
      <c r="K1632" s="12" t="n">
        <v>24</v>
      </c>
    </row>
    <row r="1633">
      <c r="A1633" s="33" t="n">
        <v>46324.99513888889</v>
      </c>
      <c r="B1633" s="33" t="n">
        <v>46325.01944444444</v>
      </c>
      <c r="C1633" s="13" t="n">
        <v>46325</v>
      </c>
      <c r="D1633" s="14" t="n">
        <v>0.84375</v>
      </c>
      <c r="E1633" s="37" t="n">
        <v>1</v>
      </c>
      <c r="F1633" s="37" t="n">
        <v>0</v>
      </c>
      <c r="G1633" s="37" t="n">
        <v>0</v>
      </c>
      <c r="H1633" s="37" t="n">
        <v>0</v>
      </c>
      <c r="I1633" s="37" t="n">
        <v>1</v>
      </c>
      <c r="J1633" s="37" t="n">
        <v>5</v>
      </c>
      <c r="K1633" s="16" t="n">
        <v>60</v>
      </c>
    </row>
    <row r="1634">
      <c r="A1634" s="30" t="n">
        <v>46324.99513888889</v>
      </c>
      <c r="B1634" s="30" t="n">
        <v>46325.01944444444</v>
      </c>
      <c r="C1634" s="9" t="n">
        <v>46327</v>
      </c>
      <c r="D1634" s="10" t="n">
        <v>0.96875</v>
      </c>
      <c r="E1634" s="36" t="n">
        <v>3</v>
      </c>
      <c r="F1634" s="36" t="n">
        <v>0</v>
      </c>
      <c r="G1634" s="36" t="n">
        <v>1</v>
      </c>
      <c r="H1634" s="36" t="n">
        <v>1</v>
      </c>
      <c r="I1634" s="36" t="n">
        <v>1</v>
      </c>
      <c r="J1634" s="36" t="n">
        <v>12</v>
      </c>
      <c r="K1634" s="12" t="n">
        <v>144</v>
      </c>
    </row>
    <row r="1635">
      <c r="A1635" s="33" t="n">
        <v>46325.01944444444</v>
      </c>
      <c r="B1635" s="33" t="n">
        <v>46325.03472222222</v>
      </c>
      <c r="C1635" s="13" t="n">
        <v>46325</v>
      </c>
      <c r="D1635" s="14" t="n">
        <v>0.84375</v>
      </c>
      <c r="E1635" s="37" t="n">
        <v>2</v>
      </c>
      <c r="F1635" s="37" t="n">
        <v>1</v>
      </c>
      <c r="G1635" s="37" t="n">
        <v>1</v>
      </c>
      <c r="H1635" s="37" t="n">
        <v>0</v>
      </c>
      <c r="I1635" s="37" t="n">
        <v>0</v>
      </c>
      <c r="J1635" s="37" t="n">
        <v>5</v>
      </c>
      <c r="K1635" s="16" t="n">
        <v>60</v>
      </c>
    </row>
    <row r="1636">
      <c r="A1636" s="30" t="n">
        <v>46325.01944444444</v>
      </c>
      <c r="B1636" s="30" t="n">
        <v>46325.03472222222</v>
      </c>
      <c r="C1636" s="9" t="n">
        <v>46327</v>
      </c>
      <c r="D1636" s="10" t="n">
        <v>0.9993055555555556</v>
      </c>
      <c r="E1636" s="36" t="n">
        <v>1</v>
      </c>
      <c r="F1636" s="36" t="n">
        <v>1</v>
      </c>
      <c r="G1636" s="36" t="n">
        <v>0</v>
      </c>
      <c r="H1636" s="36" t="n">
        <v>0</v>
      </c>
      <c r="I1636" s="36" t="n">
        <v>0</v>
      </c>
      <c r="J1636" s="36" t="n">
        <v>2</v>
      </c>
      <c r="K1636" s="12" t="n">
        <v>24</v>
      </c>
    </row>
    <row r="1637">
      <c r="A1637" s="33" t="n">
        <v>46325.03541666667</v>
      </c>
      <c r="B1637" s="33" t="n">
        <v>46325.11388888889</v>
      </c>
      <c r="C1637" s="13" t="n">
        <v>46325</v>
      </c>
      <c r="D1637" s="14" t="n">
        <v>0.84375</v>
      </c>
      <c r="E1637" s="37" t="n">
        <v>1</v>
      </c>
      <c r="F1637" s="37" t="n">
        <v>1</v>
      </c>
      <c r="G1637" s="37" t="n">
        <v>0</v>
      </c>
      <c r="H1637" s="37" t="n">
        <v>0</v>
      </c>
      <c r="I1637" s="37" t="n">
        <v>0</v>
      </c>
      <c r="J1637" s="37" t="n">
        <v>2</v>
      </c>
      <c r="K1637" s="16" t="n">
        <v>24</v>
      </c>
    </row>
    <row r="1638">
      <c r="A1638" s="30" t="n">
        <v>46325.03541666667</v>
      </c>
      <c r="B1638" s="30" t="n">
        <v>46325.11388888889</v>
      </c>
      <c r="C1638" s="9" t="n">
        <v>46326</v>
      </c>
      <c r="D1638" s="10" t="n">
        <v>0.8020833333333334</v>
      </c>
      <c r="E1638" s="36" t="n">
        <v>1</v>
      </c>
      <c r="F1638" s="36" t="n">
        <v>0</v>
      </c>
      <c r="G1638" s="36" t="n">
        <v>0</v>
      </c>
      <c r="H1638" s="36" t="n">
        <v>1</v>
      </c>
      <c r="I1638" s="36" t="n">
        <v>0</v>
      </c>
      <c r="J1638" s="36" t="n">
        <v>4</v>
      </c>
      <c r="K1638" s="12" t="n">
        <v>48</v>
      </c>
    </row>
    <row r="1639">
      <c r="A1639" s="33" t="n">
        <v>46325.03541666667</v>
      </c>
      <c r="B1639" s="33" t="n">
        <v>46325.11388888889</v>
      </c>
      <c r="C1639" s="13" t="n">
        <v>46327</v>
      </c>
      <c r="D1639" s="14" t="n">
        <v>0.96875</v>
      </c>
      <c r="E1639" s="37" t="n">
        <v>3</v>
      </c>
      <c r="F1639" s="37" t="n">
        <v>0</v>
      </c>
      <c r="G1639" s="37" t="n">
        <v>0</v>
      </c>
      <c r="H1639" s="37" t="n">
        <v>3</v>
      </c>
      <c r="I1639" s="37" t="n">
        <v>0</v>
      </c>
      <c r="J1639" s="37" t="n">
        <v>12</v>
      </c>
      <c r="K1639" s="16" t="n">
        <v>144</v>
      </c>
    </row>
    <row r="1640">
      <c r="A1640" s="30" t="n">
        <v>46325.11388888889</v>
      </c>
      <c r="B1640" s="30" t="n">
        <v>46325.38958333333</v>
      </c>
      <c r="C1640" s="9" t="n">
        <v>46325</v>
      </c>
      <c r="D1640" s="10" t="n">
        <v>0.84375</v>
      </c>
      <c r="E1640" s="36" t="n">
        <v>2</v>
      </c>
      <c r="F1640" s="36" t="n">
        <v>0</v>
      </c>
      <c r="G1640" s="36" t="n">
        <v>1</v>
      </c>
      <c r="H1640" s="36" t="n">
        <v>0</v>
      </c>
      <c r="I1640" s="36" t="n">
        <v>1</v>
      </c>
      <c r="J1640" s="36" t="n">
        <v>8</v>
      </c>
      <c r="K1640" s="12" t="n">
        <v>96</v>
      </c>
    </row>
    <row r="1641">
      <c r="A1641" s="33" t="n">
        <v>46325.11388888889</v>
      </c>
      <c r="B1641" s="33" t="n">
        <v>46325.38958333333</v>
      </c>
      <c r="C1641" s="13" t="n">
        <v>46326</v>
      </c>
      <c r="D1641" s="14" t="n">
        <v>0.8020833333333334</v>
      </c>
      <c r="E1641" s="37" t="n">
        <v>4</v>
      </c>
      <c r="F1641" s="37" t="n">
        <v>3</v>
      </c>
      <c r="G1641" s="37" t="n">
        <v>0</v>
      </c>
      <c r="H1641" s="37" t="n">
        <v>1</v>
      </c>
      <c r="I1641" s="37" t="n">
        <v>0</v>
      </c>
      <c r="J1641" s="37" t="n">
        <v>10</v>
      </c>
      <c r="K1641" s="16" t="n">
        <v>120</v>
      </c>
    </row>
    <row r="1642">
      <c r="A1642" s="30" t="n">
        <v>46325.11388888889</v>
      </c>
      <c r="B1642" s="30" t="n">
        <v>46325.38958333333</v>
      </c>
      <c r="C1642" s="9" t="n">
        <v>46327</v>
      </c>
      <c r="D1642" s="10" t="n">
        <v>0.96875</v>
      </c>
      <c r="E1642" s="36" t="n">
        <v>1</v>
      </c>
      <c r="F1642" s="36" t="n">
        <v>1</v>
      </c>
      <c r="G1642" s="36" t="n">
        <v>0</v>
      </c>
      <c r="H1642" s="36" t="n">
        <v>0</v>
      </c>
      <c r="I1642" s="36" t="n">
        <v>0</v>
      </c>
      <c r="J1642" s="36" t="n">
        <v>2</v>
      </c>
      <c r="K1642" s="12" t="n">
        <v>24</v>
      </c>
    </row>
    <row r="1643">
      <c r="A1643" s="33" t="n">
        <v>46325.38958333333</v>
      </c>
      <c r="B1643" s="33" t="n">
        <v>46325.53055555555</v>
      </c>
      <c r="C1643" s="13" t="n">
        <v>46325</v>
      </c>
      <c r="D1643" s="14" t="n">
        <v>0.84375</v>
      </c>
      <c r="E1643" s="37" t="n">
        <v>3</v>
      </c>
      <c r="F1643" s="37" t="n">
        <v>1</v>
      </c>
      <c r="G1643" s="37" t="n">
        <v>0</v>
      </c>
      <c r="H1643" s="37" t="n">
        <v>2</v>
      </c>
      <c r="I1643" s="37" t="n">
        <v>0</v>
      </c>
      <c r="J1643" s="37" t="n">
        <v>10</v>
      </c>
      <c r="K1643" s="16" t="n">
        <v>120</v>
      </c>
    </row>
    <row r="1644">
      <c r="A1644" s="30" t="n">
        <v>46325.38958333333</v>
      </c>
      <c r="B1644" s="30" t="n">
        <v>46325.53055555555</v>
      </c>
      <c r="C1644" s="9" t="n">
        <v>46326</v>
      </c>
      <c r="D1644" s="10" t="n">
        <v>0.8020833333333334</v>
      </c>
      <c r="E1644" s="36" t="n">
        <v>1</v>
      </c>
      <c r="F1644" s="36" t="n">
        <v>0</v>
      </c>
      <c r="G1644" s="36" t="n">
        <v>1</v>
      </c>
      <c r="H1644" s="36" t="n">
        <v>0</v>
      </c>
      <c r="I1644" s="36" t="n">
        <v>0</v>
      </c>
      <c r="J1644" s="36" t="n">
        <v>3</v>
      </c>
      <c r="K1644" s="12" t="n">
        <v>36</v>
      </c>
    </row>
    <row r="1645">
      <c r="A1645" s="33" t="n">
        <v>46325.38958333333</v>
      </c>
      <c r="B1645" s="33" t="n">
        <v>46325.53055555555</v>
      </c>
      <c r="C1645" s="13" t="n">
        <v>46327</v>
      </c>
      <c r="D1645" s="14" t="n">
        <v>0.8020833333333334</v>
      </c>
      <c r="E1645" s="37" t="n">
        <v>4</v>
      </c>
      <c r="F1645" s="37" t="n">
        <v>3</v>
      </c>
      <c r="G1645" s="37" t="n">
        <v>0</v>
      </c>
      <c r="H1645" s="37" t="n">
        <v>1</v>
      </c>
      <c r="I1645" s="37" t="n">
        <v>0</v>
      </c>
      <c r="J1645" s="37" t="n">
        <v>10</v>
      </c>
      <c r="K1645" s="16" t="n">
        <v>120</v>
      </c>
    </row>
    <row r="1646">
      <c r="A1646" s="30" t="n">
        <v>46325.38958333333</v>
      </c>
      <c r="B1646" s="30" t="n">
        <v>46325.53055555555</v>
      </c>
      <c r="C1646" s="9" t="n">
        <v>46327</v>
      </c>
      <c r="D1646" s="10" t="n">
        <v>0.84375</v>
      </c>
      <c r="E1646" s="36" t="n">
        <v>7</v>
      </c>
      <c r="F1646" s="36" t="n">
        <v>3</v>
      </c>
      <c r="G1646" s="36" t="n">
        <v>2</v>
      </c>
      <c r="H1646" s="36" t="n">
        <v>1</v>
      </c>
      <c r="I1646" s="36" t="n">
        <v>1</v>
      </c>
      <c r="J1646" s="36" t="n">
        <v>21</v>
      </c>
      <c r="K1646" s="12" t="n">
        <v>252</v>
      </c>
    </row>
    <row r="1647">
      <c r="A1647" s="33" t="n">
        <v>46325.38958333333</v>
      </c>
      <c r="B1647" s="33" t="n">
        <v>46325.53055555555</v>
      </c>
      <c r="C1647" s="13" t="n">
        <v>46327</v>
      </c>
      <c r="D1647" s="14" t="n">
        <v>0.8854166666666666</v>
      </c>
      <c r="E1647" s="37" t="n">
        <v>7</v>
      </c>
      <c r="F1647" s="37" t="n">
        <v>5</v>
      </c>
      <c r="G1647" s="37" t="n">
        <v>0</v>
      </c>
      <c r="H1647" s="37" t="n">
        <v>1</v>
      </c>
      <c r="I1647" s="37" t="n">
        <v>1</v>
      </c>
      <c r="J1647" s="37" t="n">
        <v>19</v>
      </c>
      <c r="K1647" s="16" t="n">
        <v>228</v>
      </c>
    </row>
    <row r="1648">
      <c r="A1648" s="30" t="n">
        <v>46325.38958333333</v>
      </c>
      <c r="B1648" s="30" t="n">
        <v>46325.53055555555</v>
      </c>
      <c r="C1648" s="9" t="n">
        <v>46327</v>
      </c>
      <c r="D1648" s="10" t="n">
        <v>0.96875</v>
      </c>
      <c r="E1648" s="36" t="n">
        <v>4</v>
      </c>
      <c r="F1648" s="36" t="n">
        <v>3</v>
      </c>
      <c r="G1648" s="36" t="n">
        <v>1</v>
      </c>
      <c r="H1648" s="36" t="n">
        <v>-1</v>
      </c>
      <c r="I1648" s="36" t="n">
        <v>1</v>
      </c>
      <c r="J1648" s="36" t="n">
        <v>10</v>
      </c>
      <c r="K1648" s="12" t="n">
        <v>120</v>
      </c>
    </row>
    <row r="1649">
      <c r="A1649" s="33" t="n">
        <v>46325.38958333333</v>
      </c>
      <c r="B1649" s="33" t="n">
        <v>46325.53055555555</v>
      </c>
      <c r="C1649" s="13" t="n">
        <v>46327</v>
      </c>
      <c r="D1649" s="14" t="n">
        <v>0.9993055555555556</v>
      </c>
      <c r="E1649" s="37" t="n">
        <v>1</v>
      </c>
      <c r="F1649" s="37" t="n">
        <v>0</v>
      </c>
      <c r="G1649" s="37" t="n">
        <v>0</v>
      </c>
      <c r="H1649" s="37" t="n">
        <v>1</v>
      </c>
      <c r="I1649" s="37" t="n">
        <v>0</v>
      </c>
      <c r="J1649" s="37" t="n">
        <v>4</v>
      </c>
      <c r="K1649" s="16" t="n">
        <v>48</v>
      </c>
    </row>
    <row r="1650">
      <c r="A1650" s="30" t="n">
        <v>46325.53055555555</v>
      </c>
      <c r="B1650" s="30" t="n">
        <v>46325.55208333334</v>
      </c>
      <c r="C1650" s="9" t="n">
        <v>46327</v>
      </c>
      <c r="D1650" s="10" t="n">
        <v>0.8020833333333334</v>
      </c>
      <c r="E1650" s="36" t="n">
        <v>1</v>
      </c>
      <c r="F1650" s="36" t="n">
        <v>1</v>
      </c>
      <c r="G1650" s="36" t="n">
        <v>0</v>
      </c>
      <c r="H1650" s="36" t="n">
        <v>0</v>
      </c>
      <c r="I1650" s="36" t="n">
        <v>0</v>
      </c>
      <c r="J1650" s="36" t="n">
        <v>2</v>
      </c>
      <c r="K1650" s="12" t="n">
        <v>24</v>
      </c>
    </row>
    <row r="1651">
      <c r="A1651" s="33" t="n">
        <v>46325.53055555555</v>
      </c>
      <c r="B1651" s="33" t="n">
        <v>46325.55208333334</v>
      </c>
      <c r="C1651" s="13" t="n">
        <v>46327</v>
      </c>
      <c r="D1651" s="14" t="n">
        <v>0.96875</v>
      </c>
      <c r="E1651" s="37" t="n">
        <v>4</v>
      </c>
      <c r="F1651" s="37" t="n">
        <v>1</v>
      </c>
      <c r="G1651" s="37" t="n">
        <v>0</v>
      </c>
      <c r="H1651" s="37" t="n">
        <v>3</v>
      </c>
      <c r="I1651" s="37" t="n">
        <v>0</v>
      </c>
      <c r="J1651" s="37" t="n">
        <v>14</v>
      </c>
      <c r="K1651" s="16" t="n">
        <v>168</v>
      </c>
    </row>
    <row r="1652">
      <c r="A1652" s="30" t="n">
        <v>46325.53055555555</v>
      </c>
      <c r="B1652" s="30" t="n">
        <v>46325.55208333334</v>
      </c>
      <c r="C1652" s="9" t="n">
        <v>46327</v>
      </c>
      <c r="D1652" s="10" t="n">
        <v>0.9993055555555556</v>
      </c>
      <c r="E1652" s="36" t="n">
        <v>1</v>
      </c>
      <c r="F1652" s="36" t="n">
        <v>1</v>
      </c>
      <c r="G1652" s="36" t="n">
        <v>0</v>
      </c>
      <c r="H1652" s="36" t="n">
        <v>0</v>
      </c>
      <c r="I1652" s="36" t="n">
        <v>0</v>
      </c>
      <c r="J1652" s="36" t="n">
        <v>2</v>
      </c>
      <c r="K1652" s="12" t="n">
        <v>24</v>
      </c>
    </row>
    <row r="1653">
      <c r="A1653" s="33" t="n">
        <v>46325.55208333334</v>
      </c>
      <c r="B1653" s="33" t="n">
        <v>46325.56805555556</v>
      </c>
      <c r="C1653" s="13" t="n">
        <v>46327</v>
      </c>
      <c r="D1653" s="14" t="n">
        <v>0.8020833333333334</v>
      </c>
      <c r="E1653" s="37" t="n">
        <v>2</v>
      </c>
      <c r="F1653" s="37" t="n">
        <v>0</v>
      </c>
      <c r="G1653" s="37" t="n">
        <v>0</v>
      </c>
      <c r="H1653" s="37" t="n">
        <v>2</v>
      </c>
      <c r="I1653" s="37" t="n">
        <v>0</v>
      </c>
      <c r="J1653" s="37" t="n">
        <v>8</v>
      </c>
      <c r="K1653" s="16" t="n">
        <v>96</v>
      </c>
    </row>
    <row r="1654">
      <c r="A1654" s="30" t="n">
        <v>46325.55208333334</v>
      </c>
      <c r="B1654" s="30" t="n">
        <v>46325.56805555556</v>
      </c>
      <c r="C1654" s="9" t="n">
        <v>46327</v>
      </c>
      <c r="D1654" s="10" t="n">
        <v>0.96875</v>
      </c>
      <c r="E1654" s="36" t="n">
        <v>1</v>
      </c>
      <c r="F1654" s="36" t="n">
        <v>0</v>
      </c>
      <c r="G1654" s="36" t="n">
        <v>0</v>
      </c>
      <c r="H1654" s="36" t="n">
        <v>1</v>
      </c>
      <c r="I1654" s="36" t="n">
        <v>0</v>
      </c>
      <c r="J1654" s="36" t="n">
        <v>4</v>
      </c>
      <c r="K1654" s="12" t="n">
        <v>48</v>
      </c>
    </row>
    <row r="1655">
      <c r="A1655" s="33" t="n">
        <v>46325.56805555556</v>
      </c>
      <c r="B1655" s="33" t="n">
        <v>46325.58402777778</v>
      </c>
      <c r="C1655" s="13" t="n">
        <v>46327</v>
      </c>
      <c r="D1655" s="14" t="n">
        <v>0.8854166666666666</v>
      </c>
      <c r="E1655" s="37" t="n">
        <v>3</v>
      </c>
      <c r="F1655" s="37" t="n">
        <v>2</v>
      </c>
      <c r="G1655" s="37" t="n">
        <v>0</v>
      </c>
      <c r="H1655" s="37" t="n">
        <v>1</v>
      </c>
      <c r="I1655" s="37" t="n">
        <v>0</v>
      </c>
      <c r="J1655" s="37" t="n">
        <v>8</v>
      </c>
      <c r="K1655" s="16" t="n">
        <v>96</v>
      </c>
    </row>
    <row r="1656">
      <c r="A1656" s="30" t="n">
        <v>46325.56805555556</v>
      </c>
      <c r="B1656" s="30" t="n">
        <v>46325.58402777778</v>
      </c>
      <c r="C1656" s="9" t="n">
        <v>46327</v>
      </c>
      <c r="D1656" s="10" t="n">
        <v>0.96875</v>
      </c>
      <c r="E1656" s="36" t="n">
        <v>1</v>
      </c>
      <c r="F1656" s="36" t="n">
        <v>0</v>
      </c>
      <c r="G1656" s="36" t="n">
        <v>0</v>
      </c>
      <c r="H1656" s="36" t="n">
        <v>1</v>
      </c>
      <c r="I1656" s="36" t="n">
        <v>0</v>
      </c>
      <c r="J1656" s="36" t="n">
        <v>4</v>
      </c>
      <c r="K1656" s="12" t="n">
        <v>48</v>
      </c>
    </row>
    <row r="1657">
      <c r="A1657" s="33" t="n">
        <v>46325.58402777778</v>
      </c>
      <c r="B1657" s="33" t="n">
        <v>46325.59236111111</v>
      </c>
      <c r="C1657" s="13" t="n">
        <v>46327</v>
      </c>
      <c r="D1657" s="14" t="n">
        <v>0.8020833333333334</v>
      </c>
      <c r="E1657" s="37" t="n">
        <v>2</v>
      </c>
      <c r="F1657" s="37" t="n">
        <v>0</v>
      </c>
      <c r="G1657" s="37" t="n">
        <v>0</v>
      </c>
      <c r="H1657" s="37" t="n">
        <v>2</v>
      </c>
      <c r="I1657" s="37" t="n">
        <v>0</v>
      </c>
      <c r="J1657" s="37" t="n">
        <v>8</v>
      </c>
      <c r="K1657" s="16" t="n">
        <v>96</v>
      </c>
    </row>
    <row r="1658">
      <c r="A1658" s="30" t="n">
        <v>46325.58402777778</v>
      </c>
      <c r="B1658" s="30" t="n">
        <v>46325.59236111111</v>
      </c>
      <c r="C1658" s="9" t="n">
        <v>46327</v>
      </c>
      <c r="D1658" s="10" t="n">
        <v>0.8854166666666666</v>
      </c>
      <c r="E1658" s="36" t="n">
        <v>2</v>
      </c>
      <c r="F1658" s="36" t="n">
        <v>0</v>
      </c>
      <c r="G1658" s="36" t="n">
        <v>1</v>
      </c>
      <c r="H1658" s="36" t="n">
        <v>0</v>
      </c>
      <c r="I1658" s="36" t="n">
        <v>1</v>
      </c>
      <c r="J1658" s="36" t="n">
        <v>8</v>
      </c>
      <c r="K1658" s="12" t="n">
        <v>96</v>
      </c>
    </row>
    <row r="1659">
      <c r="A1659" s="33" t="n">
        <v>46325.58402777778</v>
      </c>
      <c r="B1659" s="33" t="n">
        <v>46325.59236111111</v>
      </c>
      <c r="C1659" s="13" t="n">
        <v>46327</v>
      </c>
      <c r="D1659" s="14" t="n">
        <v>0.96875</v>
      </c>
      <c r="E1659" s="37" t="n">
        <v>2</v>
      </c>
      <c r="F1659" s="37" t="n">
        <v>1</v>
      </c>
      <c r="G1659" s="37" t="n">
        <v>0</v>
      </c>
      <c r="H1659" s="37" t="n">
        <v>1</v>
      </c>
      <c r="I1659" s="37" t="n">
        <v>0</v>
      </c>
      <c r="J1659" s="37" t="n">
        <v>6</v>
      </c>
      <c r="K1659" s="16" t="n">
        <v>72</v>
      </c>
    </row>
    <row r="1660">
      <c r="A1660" s="30" t="n">
        <v>46325.58402777778</v>
      </c>
      <c r="B1660" s="30" t="n">
        <v>46325.59236111111</v>
      </c>
      <c r="C1660" s="9" t="n">
        <v>46327</v>
      </c>
      <c r="D1660" s="10" t="n">
        <v>0.9993055555555556</v>
      </c>
      <c r="E1660" s="36" t="n">
        <v>1</v>
      </c>
      <c r="F1660" s="36" t="n">
        <v>0</v>
      </c>
      <c r="G1660" s="36" t="n">
        <v>1</v>
      </c>
      <c r="H1660" s="36" t="n">
        <v>0</v>
      </c>
      <c r="I1660" s="36" t="n">
        <v>0</v>
      </c>
      <c r="J1660" s="36" t="n">
        <v>3</v>
      </c>
      <c r="K1660" s="12" t="n">
        <v>36</v>
      </c>
    </row>
    <row r="1661">
      <c r="A1661" s="33" t="n">
        <v>46325.59236111111</v>
      </c>
      <c r="B1661" s="33" t="n">
        <v>46325.60277777778</v>
      </c>
      <c r="C1661" s="13" t="n">
        <v>46327</v>
      </c>
      <c r="D1661" s="14" t="n">
        <v>0.8020833333333334</v>
      </c>
      <c r="E1661" s="37" t="n">
        <v>1</v>
      </c>
      <c r="F1661" s="37" t="n">
        <v>1</v>
      </c>
      <c r="G1661" s="37" t="n">
        <v>0</v>
      </c>
      <c r="H1661" s="37" t="n">
        <v>0</v>
      </c>
      <c r="I1661" s="37" t="n">
        <v>0</v>
      </c>
      <c r="J1661" s="37" t="n">
        <v>2</v>
      </c>
      <c r="K1661" s="16" t="n">
        <v>24</v>
      </c>
    </row>
    <row r="1662">
      <c r="A1662" s="30" t="n">
        <v>46325.59236111111</v>
      </c>
      <c r="B1662" s="30" t="n">
        <v>46325.60277777778</v>
      </c>
      <c r="C1662" s="9" t="n">
        <v>46327</v>
      </c>
      <c r="D1662" s="10" t="n">
        <v>0.8854166666666666</v>
      </c>
      <c r="E1662" s="36" t="n">
        <v>1</v>
      </c>
      <c r="F1662" s="36" t="n">
        <v>1</v>
      </c>
      <c r="G1662" s="36" t="n">
        <v>0</v>
      </c>
      <c r="H1662" s="36" t="n">
        <v>0</v>
      </c>
      <c r="I1662" s="36" t="n">
        <v>0</v>
      </c>
      <c r="J1662" s="36" t="n">
        <v>2</v>
      </c>
      <c r="K1662" s="12" t="n">
        <v>24</v>
      </c>
    </row>
    <row r="1663">
      <c r="A1663" s="33" t="n">
        <v>46325.59236111111</v>
      </c>
      <c r="B1663" s="33" t="n">
        <v>46325.60277777778</v>
      </c>
      <c r="C1663" s="13" t="n">
        <v>46327</v>
      </c>
      <c r="D1663" s="14" t="n">
        <v>0.9993055555555556</v>
      </c>
      <c r="E1663" s="37" t="n">
        <v>1</v>
      </c>
      <c r="F1663" s="37" t="n">
        <v>1</v>
      </c>
      <c r="G1663" s="37" t="n">
        <v>0</v>
      </c>
      <c r="H1663" s="37" t="n">
        <v>0</v>
      </c>
      <c r="I1663" s="37" t="n">
        <v>0</v>
      </c>
      <c r="J1663" s="37" t="n">
        <v>2</v>
      </c>
      <c r="K1663" s="16" t="n">
        <v>24</v>
      </c>
    </row>
    <row r="1664">
      <c r="A1664" s="30" t="n">
        <v>46325.60277777778</v>
      </c>
      <c r="B1664" s="30" t="n">
        <v>46325.61944444444</v>
      </c>
      <c r="C1664" s="9" t="n">
        <v>46327</v>
      </c>
      <c r="D1664" s="10" t="n">
        <v>0.84375</v>
      </c>
      <c r="E1664" s="36" t="n">
        <v>2</v>
      </c>
      <c r="F1664" s="36" t="n">
        <v>0</v>
      </c>
      <c r="G1664" s="36" t="n">
        <v>1</v>
      </c>
      <c r="H1664" s="36" t="n">
        <v>0</v>
      </c>
      <c r="I1664" s="36" t="n">
        <v>1</v>
      </c>
      <c r="J1664" s="36" t="n">
        <v>8</v>
      </c>
      <c r="K1664" s="12" t="n">
        <v>96</v>
      </c>
    </row>
    <row r="1665">
      <c r="A1665" s="33" t="n">
        <v>46325.60277777778</v>
      </c>
      <c r="B1665" s="33" t="n">
        <v>46325.61944444444</v>
      </c>
      <c r="C1665" s="13" t="n">
        <v>46327</v>
      </c>
      <c r="D1665" s="14" t="n">
        <v>0.8854166666666666</v>
      </c>
      <c r="E1665" s="37" t="n">
        <v>2</v>
      </c>
      <c r="F1665" s="37" t="n">
        <v>1</v>
      </c>
      <c r="G1665" s="37" t="n">
        <v>0</v>
      </c>
      <c r="H1665" s="37" t="n">
        <v>1</v>
      </c>
      <c r="I1665" s="37" t="n">
        <v>0</v>
      </c>
      <c r="J1665" s="37" t="n">
        <v>6</v>
      </c>
      <c r="K1665" s="16" t="n">
        <v>72</v>
      </c>
    </row>
    <row r="1666">
      <c r="A1666" s="30" t="n">
        <v>46325.60277777778</v>
      </c>
      <c r="B1666" s="30" t="n">
        <v>46325.61944444444</v>
      </c>
      <c r="C1666" s="9" t="n">
        <v>46327</v>
      </c>
      <c r="D1666" s="10" t="n">
        <v>0.96875</v>
      </c>
      <c r="E1666" s="36" t="n">
        <v>1</v>
      </c>
      <c r="F1666" s="36" t="n">
        <v>1</v>
      </c>
      <c r="G1666" s="36" t="n">
        <v>0</v>
      </c>
      <c r="H1666" s="36" t="n">
        <v>0</v>
      </c>
      <c r="I1666" s="36" t="n">
        <v>0</v>
      </c>
      <c r="J1666" s="36" t="n">
        <v>2</v>
      </c>
      <c r="K1666" s="12" t="n">
        <v>24</v>
      </c>
    </row>
    <row r="1667">
      <c r="A1667" s="33" t="n">
        <v>46325.62152777778</v>
      </c>
      <c r="B1667" s="33" t="n">
        <v>46325.65416666667</v>
      </c>
      <c r="C1667" s="13" t="n">
        <v>46327</v>
      </c>
      <c r="D1667" s="14" t="n">
        <v>0.84375</v>
      </c>
      <c r="E1667" s="37" t="n">
        <v>1</v>
      </c>
      <c r="F1667" s="37" t="n">
        <v>1</v>
      </c>
      <c r="G1667" s="37" t="n">
        <v>0</v>
      </c>
      <c r="H1667" s="37" t="n">
        <v>0</v>
      </c>
      <c r="I1667" s="37" t="n">
        <v>0</v>
      </c>
      <c r="J1667" s="37" t="n">
        <v>2</v>
      </c>
      <c r="K1667" s="16" t="n">
        <v>24</v>
      </c>
    </row>
    <row r="1668">
      <c r="A1668" s="30" t="n">
        <v>46325.62152777778</v>
      </c>
      <c r="B1668" s="30" t="n">
        <v>46325.65416666667</v>
      </c>
      <c r="C1668" s="9" t="n">
        <v>46327</v>
      </c>
      <c r="D1668" s="10" t="n">
        <v>0.8854166666666666</v>
      </c>
      <c r="E1668" s="36" t="n">
        <v>6</v>
      </c>
      <c r="F1668" s="36" t="n">
        <v>3</v>
      </c>
      <c r="G1668" s="36" t="n">
        <v>2</v>
      </c>
      <c r="H1668" s="36" t="n">
        <v>0</v>
      </c>
      <c r="I1668" s="36" t="n">
        <v>1</v>
      </c>
      <c r="J1668" s="36" t="n">
        <v>17</v>
      </c>
      <c r="K1668" s="12" t="n">
        <v>204</v>
      </c>
    </row>
    <row r="1669">
      <c r="A1669" s="33" t="n">
        <v>46325.62152777778</v>
      </c>
      <c r="B1669" s="33" t="n">
        <v>46325.65416666667</v>
      </c>
      <c r="C1669" s="13" t="n">
        <v>46327</v>
      </c>
      <c r="D1669" s="14" t="n">
        <v>0.96875</v>
      </c>
      <c r="E1669" s="37" t="n">
        <v>2</v>
      </c>
      <c r="F1669" s="37" t="n">
        <v>2</v>
      </c>
      <c r="G1669" s="37" t="n">
        <v>0</v>
      </c>
      <c r="H1669" s="37" t="n">
        <v>0</v>
      </c>
      <c r="I1669" s="37" t="n">
        <v>0</v>
      </c>
      <c r="J1669" s="37" t="n">
        <v>4</v>
      </c>
      <c r="K1669" s="16" t="n">
        <v>48</v>
      </c>
    </row>
    <row r="1670">
      <c r="A1670" s="30" t="n">
        <v>46325.65416666667</v>
      </c>
      <c r="B1670" s="30" t="n">
        <v>46325.67638888889</v>
      </c>
      <c r="C1670" s="9" t="n">
        <v>46327</v>
      </c>
      <c r="D1670" s="10" t="n">
        <v>0.8854166666666666</v>
      </c>
      <c r="E1670" s="36" t="n">
        <v>1</v>
      </c>
      <c r="F1670" s="36" t="n">
        <v>1</v>
      </c>
      <c r="G1670" s="36" t="n">
        <v>0</v>
      </c>
      <c r="H1670" s="36" t="n">
        <v>0</v>
      </c>
      <c r="I1670" s="36" t="n">
        <v>0</v>
      </c>
      <c r="J1670" s="36" t="n">
        <v>2</v>
      </c>
      <c r="K1670" s="12" t="n">
        <v>24</v>
      </c>
    </row>
    <row r="1671">
      <c r="A1671" s="33" t="n">
        <v>46325.65416666667</v>
      </c>
      <c r="B1671" s="33" t="n">
        <v>46325.67638888889</v>
      </c>
      <c r="C1671" s="13" t="n">
        <v>46327</v>
      </c>
      <c r="D1671" s="14" t="n">
        <v>0.96875</v>
      </c>
      <c r="E1671" s="37" t="n">
        <v>2</v>
      </c>
      <c r="F1671" s="37" t="n">
        <v>1</v>
      </c>
      <c r="G1671" s="37" t="n">
        <v>0</v>
      </c>
      <c r="H1671" s="37" t="n">
        <v>1</v>
      </c>
      <c r="I1671" s="37" t="n">
        <v>0</v>
      </c>
      <c r="J1671" s="37" t="n">
        <v>6</v>
      </c>
      <c r="K1671" s="16" t="n">
        <v>72</v>
      </c>
    </row>
    <row r="1672">
      <c r="A1672" s="30" t="n">
        <v>46325.67638888889</v>
      </c>
      <c r="B1672" s="30" t="n">
        <v>46325.68263888889</v>
      </c>
      <c r="C1672" s="9" t="n">
        <v>46327</v>
      </c>
      <c r="D1672" s="10" t="n">
        <v>0.8020833333333334</v>
      </c>
      <c r="E1672" s="36" t="n">
        <v>1</v>
      </c>
      <c r="F1672" s="36" t="n">
        <v>1</v>
      </c>
      <c r="G1672" s="36" t="n">
        <v>0</v>
      </c>
      <c r="H1672" s="36" t="n">
        <v>0</v>
      </c>
      <c r="I1672" s="36" t="n">
        <v>0</v>
      </c>
      <c r="J1672" s="36" t="n">
        <v>2</v>
      </c>
      <c r="K1672" s="12" t="n">
        <v>24</v>
      </c>
    </row>
    <row r="1673">
      <c r="A1673" s="33" t="n">
        <v>46325.67638888889</v>
      </c>
      <c r="B1673" s="33" t="n">
        <v>46325.68263888889</v>
      </c>
      <c r="C1673" s="13" t="n">
        <v>46327</v>
      </c>
      <c r="D1673" s="14" t="n">
        <v>0.96875</v>
      </c>
      <c r="E1673" s="37" t="n">
        <v>1</v>
      </c>
      <c r="F1673" s="37" t="n">
        <v>0</v>
      </c>
      <c r="G1673" s="37" t="n">
        <v>1</v>
      </c>
      <c r="H1673" s="37" t="n">
        <v>0</v>
      </c>
      <c r="I1673" s="37" t="n">
        <v>0</v>
      </c>
      <c r="J1673" s="37" t="n">
        <v>3</v>
      </c>
      <c r="K1673" s="16" t="n">
        <v>36</v>
      </c>
    </row>
    <row r="1674">
      <c r="A1674" s="30" t="n">
        <v>46325.68263888889</v>
      </c>
      <c r="B1674" s="30" t="n">
        <v>46325.69722222222</v>
      </c>
      <c r="C1674" s="9" t="n">
        <v>46327</v>
      </c>
      <c r="D1674" s="10" t="n">
        <v>0.84375</v>
      </c>
      <c r="E1674" s="36" t="n">
        <v>1</v>
      </c>
      <c r="F1674" s="36" t="n">
        <v>0</v>
      </c>
      <c r="G1674" s="36" t="n">
        <v>1</v>
      </c>
      <c r="H1674" s="36" t="n">
        <v>0</v>
      </c>
      <c r="I1674" s="36" t="n">
        <v>0</v>
      </c>
      <c r="J1674" s="36" t="n">
        <v>3</v>
      </c>
      <c r="K1674" s="12" t="n">
        <v>36</v>
      </c>
    </row>
    <row r="1675">
      <c r="A1675" s="33" t="n">
        <v>46325.68263888889</v>
      </c>
      <c r="B1675" s="33" t="n">
        <v>46325.69722222222</v>
      </c>
      <c r="C1675" s="13" t="n">
        <v>46327</v>
      </c>
      <c r="D1675" s="14" t="n">
        <v>0.8854166666666666</v>
      </c>
      <c r="E1675" s="37" t="n">
        <v>1</v>
      </c>
      <c r="F1675" s="37" t="n">
        <v>1</v>
      </c>
      <c r="G1675" s="37" t="n">
        <v>0</v>
      </c>
      <c r="H1675" s="37" t="n">
        <v>0</v>
      </c>
      <c r="I1675" s="37" t="n">
        <v>0</v>
      </c>
      <c r="J1675" s="37" t="n">
        <v>2</v>
      </c>
      <c r="K1675" s="16" t="n">
        <v>24</v>
      </c>
    </row>
    <row r="1676">
      <c r="A1676" s="30" t="n">
        <v>46325.68263888889</v>
      </c>
      <c r="B1676" s="30" t="n">
        <v>46325.69722222222</v>
      </c>
      <c r="C1676" s="9" t="n">
        <v>46327</v>
      </c>
      <c r="D1676" s="10" t="n">
        <v>0.96875</v>
      </c>
      <c r="E1676" s="36" t="n">
        <v>2</v>
      </c>
      <c r="F1676" s="36" t="n">
        <v>0</v>
      </c>
      <c r="G1676" s="36" t="n">
        <v>1</v>
      </c>
      <c r="H1676" s="36" t="n">
        <v>1</v>
      </c>
      <c r="I1676" s="36" t="n">
        <v>0</v>
      </c>
      <c r="J1676" s="36" t="n">
        <v>7</v>
      </c>
      <c r="K1676" s="12" t="n">
        <v>84</v>
      </c>
    </row>
    <row r="1677">
      <c r="A1677" s="33" t="n">
        <v>46325.68263888889</v>
      </c>
      <c r="B1677" s="33" t="n">
        <v>46325.69722222222</v>
      </c>
      <c r="C1677" s="13" t="n">
        <v>46327</v>
      </c>
      <c r="D1677" s="14" t="n">
        <v>0.9993055555555556</v>
      </c>
      <c r="E1677" s="37" t="n">
        <v>4</v>
      </c>
      <c r="F1677" s="37" t="n">
        <v>2</v>
      </c>
      <c r="G1677" s="37" t="n">
        <v>2</v>
      </c>
      <c r="H1677" s="37" t="n">
        <v>0</v>
      </c>
      <c r="I1677" s="37" t="n">
        <v>0</v>
      </c>
      <c r="J1677" s="37" t="n">
        <v>10</v>
      </c>
      <c r="K1677" s="16" t="n">
        <v>120</v>
      </c>
    </row>
    <row r="1678">
      <c r="A1678" s="30" t="n">
        <v>46325.69722222222</v>
      </c>
      <c r="B1678" s="30" t="n">
        <v>46325.71041666667</v>
      </c>
      <c r="C1678" s="9" t="n">
        <v>46327</v>
      </c>
      <c r="D1678" s="10" t="n">
        <v>0.8020833333333334</v>
      </c>
      <c r="E1678" s="36" t="n">
        <v>1</v>
      </c>
      <c r="F1678" s="36" t="n">
        <v>0</v>
      </c>
      <c r="G1678" s="36" t="n">
        <v>0</v>
      </c>
      <c r="H1678" s="36" t="n">
        <v>1</v>
      </c>
      <c r="I1678" s="36" t="n">
        <v>0</v>
      </c>
      <c r="J1678" s="36" t="n">
        <v>4</v>
      </c>
      <c r="K1678" s="12" t="n">
        <v>48</v>
      </c>
    </row>
    <row r="1679">
      <c r="A1679" s="33" t="n">
        <v>46325.69722222222</v>
      </c>
      <c r="B1679" s="33" t="n">
        <v>46325.71041666667</v>
      </c>
      <c r="C1679" s="13" t="n">
        <v>46327</v>
      </c>
      <c r="D1679" s="14" t="n">
        <v>0.84375</v>
      </c>
      <c r="E1679" s="37" t="n">
        <v>2</v>
      </c>
      <c r="F1679" s="37" t="n">
        <v>1</v>
      </c>
      <c r="G1679" s="37" t="n">
        <v>0</v>
      </c>
      <c r="H1679" s="37" t="n">
        <v>1</v>
      </c>
      <c r="I1679" s="37" t="n">
        <v>0</v>
      </c>
      <c r="J1679" s="37" t="n">
        <v>6</v>
      </c>
      <c r="K1679" s="16" t="n">
        <v>72</v>
      </c>
    </row>
    <row r="1680">
      <c r="A1680" s="30" t="n">
        <v>46325.69722222222</v>
      </c>
      <c r="B1680" s="30" t="n">
        <v>46325.71041666667</v>
      </c>
      <c r="C1680" s="9" t="n">
        <v>46327</v>
      </c>
      <c r="D1680" s="10" t="n">
        <v>0.8854166666666666</v>
      </c>
      <c r="E1680" s="36" t="n">
        <v>1</v>
      </c>
      <c r="F1680" s="36" t="n">
        <v>0</v>
      </c>
      <c r="G1680" s="36" t="n">
        <v>0</v>
      </c>
      <c r="H1680" s="36" t="n">
        <v>1</v>
      </c>
      <c r="I1680" s="36" t="n">
        <v>0</v>
      </c>
      <c r="J1680" s="36" t="n">
        <v>4</v>
      </c>
      <c r="K1680" s="12" t="n">
        <v>48</v>
      </c>
    </row>
    <row r="1681">
      <c r="A1681" s="33" t="n">
        <v>46325.72430555556</v>
      </c>
      <c r="B1681" s="33" t="n">
        <v>46325.75347222222</v>
      </c>
      <c r="C1681" s="13" t="n">
        <v>46327</v>
      </c>
      <c r="D1681" s="14" t="n">
        <v>0.8020833333333334</v>
      </c>
      <c r="E1681" s="37" t="n">
        <v>3</v>
      </c>
      <c r="F1681" s="37" t="n">
        <v>2</v>
      </c>
      <c r="G1681" s="37" t="n">
        <v>0</v>
      </c>
      <c r="H1681" s="37" t="n">
        <v>1</v>
      </c>
      <c r="I1681" s="37" t="n">
        <v>0</v>
      </c>
      <c r="J1681" s="37" t="n">
        <v>8</v>
      </c>
      <c r="K1681" s="16" t="n">
        <v>96</v>
      </c>
    </row>
    <row r="1682">
      <c r="A1682" s="30" t="n">
        <v>46325.72430555556</v>
      </c>
      <c r="B1682" s="30" t="n">
        <v>46325.75347222222</v>
      </c>
      <c r="C1682" s="9" t="n">
        <v>46327</v>
      </c>
      <c r="D1682" s="10" t="n">
        <v>0.84375</v>
      </c>
      <c r="E1682" s="36" t="n">
        <v>2</v>
      </c>
      <c r="F1682" s="36" t="n">
        <v>2</v>
      </c>
      <c r="G1682" s="36" t="n">
        <v>0</v>
      </c>
      <c r="H1682" s="36" t="n">
        <v>0</v>
      </c>
      <c r="I1682" s="36" t="n">
        <v>0</v>
      </c>
      <c r="J1682" s="36" t="n">
        <v>4</v>
      </c>
      <c r="K1682" s="12" t="n">
        <v>48</v>
      </c>
    </row>
    <row r="1683">
      <c r="A1683" s="33" t="n">
        <v>46325.72430555556</v>
      </c>
      <c r="B1683" s="33" t="n">
        <v>46325.75347222222</v>
      </c>
      <c r="C1683" s="13" t="n">
        <v>46327</v>
      </c>
      <c r="D1683" s="14" t="n">
        <v>0.96875</v>
      </c>
      <c r="E1683" s="37" t="n">
        <v>2</v>
      </c>
      <c r="F1683" s="37" t="n">
        <v>0</v>
      </c>
      <c r="G1683" s="37" t="n">
        <v>0</v>
      </c>
      <c r="H1683" s="37" t="n">
        <v>1</v>
      </c>
      <c r="I1683" s="37" t="n">
        <v>1</v>
      </c>
      <c r="J1683" s="37" t="n">
        <v>9</v>
      </c>
      <c r="K1683" s="16" t="n">
        <v>108</v>
      </c>
    </row>
    <row r="1684">
      <c r="A1684" s="30" t="n">
        <v>46325.72430555556</v>
      </c>
      <c r="B1684" s="30" t="n">
        <v>46325.75347222222</v>
      </c>
      <c r="C1684" s="9" t="n">
        <v>46327</v>
      </c>
      <c r="D1684" s="10" t="n">
        <v>0.9993055555555556</v>
      </c>
      <c r="E1684" s="36" t="n">
        <v>1</v>
      </c>
      <c r="F1684" s="36" t="n">
        <v>0</v>
      </c>
      <c r="G1684" s="36" t="n">
        <v>0</v>
      </c>
      <c r="H1684" s="36" t="n">
        <v>1</v>
      </c>
      <c r="I1684" s="36" t="n">
        <v>0</v>
      </c>
      <c r="J1684" s="36" t="n">
        <v>4</v>
      </c>
      <c r="K1684" s="12" t="n">
        <v>48</v>
      </c>
    </row>
    <row r="1685">
      <c r="A1685" s="33" t="n">
        <v>46325.75347222222</v>
      </c>
      <c r="B1685" s="33" t="n">
        <v>46325.77569444444</v>
      </c>
      <c r="C1685" s="13" t="n">
        <v>46327</v>
      </c>
      <c r="D1685" s="14" t="n">
        <v>0.84375</v>
      </c>
      <c r="E1685" s="37" t="n">
        <v>3</v>
      </c>
      <c r="F1685" s="37" t="n">
        <v>3</v>
      </c>
      <c r="G1685" s="37" t="n">
        <v>0</v>
      </c>
      <c r="H1685" s="37" t="n">
        <v>0</v>
      </c>
      <c r="I1685" s="37" t="n">
        <v>0</v>
      </c>
      <c r="J1685" s="37" t="n">
        <v>6</v>
      </c>
      <c r="K1685" s="16" t="n">
        <v>72</v>
      </c>
    </row>
    <row r="1686">
      <c r="A1686" s="30" t="n">
        <v>46325.75347222222</v>
      </c>
      <c r="B1686" s="30" t="n">
        <v>46325.77569444444</v>
      </c>
      <c r="C1686" s="9" t="n">
        <v>46327</v>
      </c>
      <c r="D1686" s="10" t="n">
        <v>0.96875</v>
      </c>
      <c r="E1686" s="36" t="n">
        <v>1</v>
      </c>
      <c r="F1686" s="36" t="n">
        <v>0</v>
      </c>
      <c r="G1686" s="36" t="n">
        <v>0</v>
      </c>
      <c r="H1686" s="36" t="n">
        <v>1</v>
      </c>
      <c r="I1686" s="36" t="n">
        <v>0</v>
      </c>
      <c r="J1686" s="36" t="n">
        <v>4</v>
      </c>
      <c r="K1686" s="12" t="n">
        <v>48</v>
      </c>
    </row>
    <row r="1687">
      <c r="A1687" s="33" t="n">
        <v>46325.75347222222</v>
      </c>
      <c r="B1687" s="33" t="n">
        <v>46325.77569444444</v>
      </c>
      <c r="C1687" s="13" t="n">
        <v>46327</v>
      </c>
      <c r="D1687" s="14" t="n">
        <v>0.9993055555555556</v>
      </c>
      <c r="E1687" s="37" t="n">
        <v>3</v>
      </c>
      <c r="F1687" s="37" t="n">
        <v>2</v>
      </c>
      <c r="G1687" s="37" t="n">
        <v>0</v>
      </c>
      <c r="H1687" s="37" t="n">
        <v>0</v>
      </c>
      <c r="I1687" s="37" t="n">
        <v>1</v>
      </c>
      <c r="J1687" s="37" t="n">
        <v>9</v>
      </c>
      <c r="K1687" s="16" t="n">
        <v>108</v>
      </c>
    </row>
    <row r="1688">
      <c r="A1688" s="30" t="n">
        <v>46325.77569444444</v>
      </c>
      <c r="B1688" s="30" t="n">
        <v>46325.7875</v>
      </c>
      <c r="C1688" s="9" t="n">
        <v>46327</v>
      </c>
      <c r="D1688" s="10" t="n">
        <v>0.84375</v>
      </c>
      <c r="E1688" s="36" t="n">
        <v>1</v>
      </c>
      <c r="F1688" s="36" t="n">
        <v>0</v>
      </c>
      <c r="G1688" s="36" t="n">
        <v>0</v>
      </c>
      <c r="H1688" s="36" t="n">
        <v>0</v>
      </c>
      <c r="I1688" s="36" t="n">
        <v>1</v>
      </c>
      <c r="J1688" s="36" t="n">
        <v>5</v>
      </c>
      <c r="K1688" s="12" t="n">
        <v>60</v>
      </c>
    </row>
    <row r="1689">
      <c r="A1689" s="33" t="n">
        <v>46325.7875</v>
      </c>
      <c r="B1689" s="33" t="n">
        <v>46325.79791666667</v>
      </c>
      <c r="C1689" s="13" t="n">
        <v>46327</v>
      </c>
      <c r="D1689" s="14" t="n">
        <v>0.9993055555555556</v>
      </c>
      <c r="E1689" s="37" t="n">
        <v>1</v>
      </c>
      <c r="F1689" s="37" t="n">
        <v>0</v>
      </c>
      <c r="G1689" s="37" t="n">
        <v>0</v>
      </c>
      <c r="H1689" s="37" t="n">
        <v>0</v>
      </c>
      <c r="I1689" s="37" t="n">
        <v>1</v>
      </c>
      <c r="J1689" s="37" t="n">
        <v>5</v>
      </c>
      <c r="K1689" s="16" t="n">
        <v>60</v>
      </c>
    </row>
    <row r="1690">
      <c r="A1690" s="30" t="n">
        <v>46325.79791666667</v>
      </c>
      <c r="B1690" s="30" t="n">
        <v>46325.84236111111</v>
      </c>
      <c r="C1690" s="9" t="n">
        <v>46327</v>
      </c>
      <c r="D1690" s="10" t="n">
        <v>0.8020833333333334</v>
      </c>
      <c r="E1690" s="36" t="n">
        <v>2</v>
      </c>
      <c r="F1690" s="36" t="n">
        <v>2</v>
      </c>
      <c r="G1690" s="36" t="n">
        <v>0</v>
      </c>
      <c r="H1690" s="36" t="n">
        <v>0</v>
      </c>
      <c r="I1690" s="36" t="n">
        <v>0</v>
      </c>
      <c r="J1690" s="36" t="n">
        <v>4</v>
      </c>
      <c r="K1690" s="12" t="n">
        <v>48</v>
      </c>
    </row>
    <row r="1691">
      <c r="A1691" s="33" t="n">
        <v>46325.79791666667</v>
      </c>
      <c r="B1691" s="33" t="n">
        <v>46325.84236111111</v>
      </c>
      <c r="C1691" s="13" t="n">
        <v>46327</v>
      </c>
      <c r="D1691" s="14" t="n">
        <v>0.84375</v>
      </c>
      <c r="E1691" s="37" t="n">
        <v>7</v>
      </c>
      <c r="F1691" s="37" t="n">
        <v>3</v>
      </c>
      <c r="G1691" s="37" t="n">
        <v>0</v>
      </c>
      <c r="H1691" s="37" t="n">
        <v>2</v>
      </c>
      <c r="I1691" s="37" t="n">
        <v>2</v>
      </c>
      <c r="J1691" s="37" t="n">
        <v>24</v>
      </c>
      <c r="K1691" s="16" t="n">
        <v>288</v>
      </c>
    </row>
    <row r="1692">
      <c r="A1692" s="30" t="n">
        <v>46325.79791666667</v>
      </c>
      <c r="B1692" s="30" t="n">
        <v>46325.84236111111</v>
      </c>
      <c r="C1692" s="9" t="n">
        <v>46327</v>
      </c>
      <c r="D1692" s="10" t="n">
        <v>0.9993055555555556</v>
      </c>
      <c r="E1692" s="36" t="n">
        <v>3</v>
      </c>
      <c r="F1692" s="36" t="n">
        <v>0</v>
      </c>
      <c r="G1692" s="36" t="n">
        <v>0</v>
      </c>
      <c r="H1692" s="36" t="n">
        <v>3</v>
      </c>
      <c r="I1692" s="36" t="n">
        <v>0</v>
      </c>
      <c r="J1692" s="36" t="n">
        <v>12</v>
      </c>
      <c r="K1692" s="12" t="n">
        <v>144</v>
      </c>
    </row>
    <row r="1693">
      <c r="A1693" s="33" t="n">
        <v>46325.84236111111</v>
      </c>
      <c r="B1693" s="33" t="n">
        <v>46325.84722222222</v>
      </c>
      <c r="C1693" s="13" t="n">
        <v>46327</v>
      </c>
      <c r="D1693" s="14" t="n">
        <v>0.8020833333333334</v>
      </c>
      <c r="E1693" s="37" t="n">
        <v>1</v>
      </c>
      <c r="F1693" s="37" t="n">
        <v>0</v>
      </c>
      <c r="G1693" s="37" t="n">
        <v>0</v>
      </c>
      <c r="H1693" s="37" t="n">
        <v>1</v>
      </c>
      <c r="I1693" s="37" t="n">
        <v>0</v>
      </c>
      <c r="J1693" s="37" t="n">
        <v>4</v>
      </c>
      <c r="K1693" s="16" t="n">
        <v>48</v>
      </c>
    </row>
  </sheetData>
  <autoFilter ref="A1:K169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58</v>
      </c>
      <c r="H4" s="11" t="n">
        <v>202</v>
      </c>
      <c r="I4" s="12" t="n">
        <v>2424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47</v>
      </c>
      <c r="H5" s="11" t="n">
        <v>154</v>
      </c>
      <c r="I5" s="12" t="n">
        <v>1848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415</v>
      </c>
      <c r="M7" s="11" t="n">
        <v>1348</v>
      </c>
      <c r="N7" s="12" t="n">
        <v>16182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336</v>
      </c>
      <c r="M8" s="11" t="n">
        <v>1024</v>
      </c>
      <c r="N8" s="12" t="n">
        <v>12303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12</v>
      </c>
      <c r="H10" s="11" t="n">
        <v>36</v>
      </c>
      <c r="I10" s="12" t="n">
        <v>432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45</v>
      </c>
      <c r="H13" s="11" t="n">
        <v>135</v>
      </c>
      <c r="I13" s="12" t="n">
        <v>1620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130</v>
      </c>
      <c r="H15" s="11" t="n">
        <v>406</v>
      </c>
      <c r="I15" s="12" t="n">
        <v>4872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113</v>
      </c>
      <c r="H16" s="11" t="n">
        <v>348</v>
      </c>
      <c r="I16" s="12" t="n">
        <v>4176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151</v>
      </c>
      <c r="H17" s="11" t="n">
        <v>474</v>
      </c>
      <c r="I17" s="12" t="n">
        <v>5688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208</v>
      </c>
      <c r="H18" s="11" t="n">
        <v>669</v>
      </c>
      <c r="I18" s="12" t="n">
        <v>8028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173</v>
      </c>
      <c r="H19" s="11" t="n">
        <v>555</v>
      </c>
      <c r="I19" s="12" t="n">
        <v>6660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189</v>
      </c>
      <c r="H20" s="11" t="n">
        <v>598</v>
      </c>
      <c r="I20" s="12" t="n">
        <v>7176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148</v>
      </c>
      <c r="H21" s="11" t="n">
        <v>452</v>
      </c>
      <c r="I21" s="12" t="n">
        <v>5424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232</v>
      </c>
      <c r="H22" s="11" t="n">
        <v>706</v>
      </c>
      <c r="I22" s="12" t="n">
        <v>8472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244</v>
      </c>
      <c r="H23" s="11" t="n">
        <v>758</v>
      </c>
      <c r="I23" s="12" t="n">
        <v>9096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147</v>
      </c>
      <c r="H24" s="11" t="n">
        <v>462</v>
      </c>
      <c r="I24" s="12" t="n">
        <v>5550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261</v>
      </c>
      <c r="H25" s="11" t="n">
        <v>840</v>
      </c>
      <c r="I25" s="12" t="n">
        <v>10089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212</v>
      </c>
      <c r="H26" s="11" t="n">
        <v>679</v>
      </c>
      <c r="I26" s="12" t="n">
        <v>8166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134</v>
      </c>
      <c r="H27" s="11" t="n">
        <v>453</v>
      </c>
      <c r="I27" s="12" t="n">
        <v>5445</v>
      </c>
    </row>
    <row r="28">
      <c r="A28" s="9" t="n">
        <v>46324</v>
      </c>
      <c r="B28" s="11" t="n">
        <v>315</v>
      </c>
      <c r="C28" s="11" t="n">
        <v>1043</v>
      </c>
      <c r="D28" s="12" t="n">
        <v>12522</v>
      </c>
    </row>
    <row r="29">
      <c r="A29" s="9" t="n">
        <v>46325</v>
      </c>
      <c r="B29" s="11" t="n">
        <v>130</v>
      </c>
      <c r="C29" s="11" t="n">
        <v>398</v>
      </c>
      <c r="D29" s="12" t="n">
        <v>4776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2026-10-30T19:20:26Z</dcterms:created>
  <dcterms:modified xsi:type="dcterms:W3CDTF">2026-10-30T19:20:27Z</dcterms:modified>
</cp:coreProperties>
</file>