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'Vendite'!$A$1:$P$126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'Storico'!$A$1:$G$632</definedName>
    <definedName name="_xlnm._FilterDatabase" localSheetId="8" hidden="1">'Registro vendite'!$A$1:$K$767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'Storico'!$H$2:$H$632</f>
            </numRef>
          </cat>
          <val>
            <numRef>
              <f>'Storico'!$C$2:$C$632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MAX(Storico!A2:A632)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3</v>
      </c>
      <c r="I43" s="15" t="n">
        <v>0</v>
      </c>
      <c r="J43" s="16" t="n">
        <v>108</v>
      </c>
      <c r="K43" s="16" t="n">
        <v>0</v>
      </c>
      <c r="L43" s="16" t="n">
        <v>98.19</v>
      </c>
      <c r="M43" s="16" t="n">
        <v>9.81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9</v>
      </c>
      <c r="I45" s="15" t="n">
        <v>0</v>
      </c>
      <c r="J45" s="16" t="n">
        <v>216</v>
      </c>
      <c r="K45" s="16" t="n">
        <v>0</v>
      </c>
      <c r="L45" s="16" t="n">
        <v>196.38</v>
      </c>
      <c r="M45" s="16" t="n">
        <v>19.62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14</v>
      </c>
      <c r="I49" s="15" t="n">
        <v>0</v>
      </c>
      <c r="J49" s="16" t="n">
        <v>336</v>
      </c>
      <c r="K49" s="16" t="n">
        <v>0</v>
      </c>
      <c r="L49" s="16" t="n">
        <v>305.48</v>
      </c>
      <c r="M49" s="16" t="n">
        <v>30.52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8</v>
      </c>
      <c r="I50" s="11" t="n">
        <v>0</v>
      </c>
      <c r="J50" s="12" t="n">
        <v>384</v>
      </c>
      <c r="K50" s="12" t="n">
        <v>0</v>
      </c>
      <c r="L50" s="12" t="n">
        <v>349.12</v>
      </c>
      <c r="M50" s="12" t="n">
        <v>34.88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18</v>
      </c>
      <c r="I53" s="15" t="n">
        <v>0</v>
      </c>
      <c r="J53" s="16" t="n">
        <v>432</v>
      </c>
      <c r="K53" s="16" t="n">
        <v>0</v>
      </c>
      <c r="L53" s="16" t="n">
        <v>392.76</v>
      </c>
      <c r="M53" s="16" t="n">
        <v>39.24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2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9</v>
      </c>
      <c r="I80" s="11" t="n">
        <v>0</v>
      </c>
      <c r="J80" s="12" t="n">
        <v>432</v>
      </c>
      <c r="K80" s="12" t="n">
        <v>0</v>
      </c>
      <c r="L80" s="12" t="n">
        <v>392.76</v>
      </c>
      <c r="M80" s="12" t="n">
        <v>39.24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6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9</v>
      </c>
      <c r="I99" s="15" t="n">
        <v>3</v>
      </c>
      <c r="J99" s="16" t="n">
        <v>432</v>
      </c>
      <c r="K99" s="16" t="n">
        <v>0</v>
      </c>
      <c r="L99" s="16" t="n">
        <v>392.76</v>
      </c>
      <c r="M99" s="16" t="n">
        <v>39.24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23</v>
      </c>
      <c r="I102" s="11" t="n">
        <v>0</v>
      </c>
      <c r="J102" s="12" t="n">
        <v>552</v>
      </c>
      <c r="K102" s="12" t="n">
        <v>0</v>
      </c>
      <c r="L102" s="12" t="n">
        <v>501.86</v>
      </c>
      <c r="M102" s="12" t="n">
        <v>50.14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17</v>
      </c>
      <c r="I103" s="15" t="n">
        <v>0</v>
      </c>
      <c r="J103" s="16" t="n">
        <v>816</v>
      </c>
      <c r="K103" s="16" t="n">
        <v>0</v>
      </c>
      <c r="L103" s="16" t="n">
        <v>741.88</v>
      </c>
      <c r="M103" s="16" t="n">
        <v>74.12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17</v>
      </c>
      <c r="I106" s="11" t="n">
        <v>0</v>
      </c>
      <c r="J106" s="12" t="n">
        <v>408</v>
      </c>
      <c r="K106" s="12" t="n">
        <v>0</v>
      </c>
      <c r="L106" s="12" t="n">
        <v>370.94</v>
      </c>
      <c r="M106" s="12" t="n">
        <v>37.06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14</v>
      </c>
      <c r="I107" s="15" t="n">
        <v>0</v>
      </c>
      <c r="J107" s="16" t="n">
        <v>672</v>
      </c>
      <c r="K107" s="16" t="n">
        <v>0</v>
      </c>
      <c r="L107" s="16" t="n">
        <v>610.96</v>
      </c>
      <c r="M107" s="16" t="n">
        <v>61.04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10</v>
      </c>
      <c r="I110" s="11" t="n">
        <v>0</v>
      </c>
      <c r="J110" s="12" t="n">
        <v>240</v>
      </c>
      <c r="K110" s="12" t="n">
        <v>0</v>
      </c>
      <c r="L110" s="12" t="n">
        <v>218.2</v>
      </c>
      <c r="M110" s="12" t="n">
        <v>21.8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1</v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I5</t>
        </is>
      </c>
      <c r="F118" s="22">
        <f>IFERROR(INDEX(Tariffe!$B$2:$B$200,MATCH(E118,Tariffe!$A$2:$A$200,0)),"DA DEFINIRE")</f>
        <v/>
      </c>
      <c r="G118" s="12" t="n">
        <v>60</v>
      </c>
      <c r="H118" s="11" t="n">
        <v>1</v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I8</t>
        </is>
      </c>
      <c r="F119" s="23">
        <f>IFERROR(INDEX(Tariffe!$B$2:$B$200,MATCH(E119,Tariffe!$A$2:$A$200,0)),"DA DEFINIRE")</f>
        <v/>
      </c>
      <c r="G119" s="16" t="n">
        <v>24</v>
      </c>
      <c r="H119" s="15" t="n">
        <v>4</v>
      </c>
      <c r="I119" s="15" t="n">
        <v>0</v>
      </c>
      <c r="J119" s="16" t="n">
        <v>96</v>
      </c>
      <c r="K119" s="16" t="n">
        <v>0</v>
      </c>
      <c r="L119" s="16" t="n">
        <v>87.28</v>
      </c>
      <c r="M119" s="16" t="n">
        <v>8.720000000000001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1</v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2</v>
      </c>
      <c r="I121" s="15" t="n">
        <v>0</v>
      </c>
      <c r="J121" s="16" t="n">
        <v>48</v>
      </c>
      <c r="K121" s="16" t="n">
        <v>0</v>
      </c>
      <c r="L121" s="16" t="n">
        <v>43.64</v>
      </c>
      <c r="M121" s="16" t="n">
        <v>4.36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I5</t>
        </is>
      </c>
      <c r="F122" s="22">
        <f>IFERROR(INDEX(Tariffe!$B$2:$B$200,MATCH(E122,Tariffe!$A$2:$A$200,0)),"DA DEFINIRE")</f>
        <v/>
      </c>
      <c r="G122" s="12" t="n">
        <v>60</v>
      </c>
      <c r="H122" s="11" t="n">
        <v>1</v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1</v>
      </c>
      <c r="I123" s="15" t="n">
        <v>0</v>
      </c>
      <c r="J123" s="16" t="n">
        <v>24</v>
      </c>
      <c r="K123" s="16" t="n">
        <v>0</v>
      </c>
      <c r="L123" s="16" t="n">
        <v>21.82</v>
      </c>
      <c r="M123" s="16" t="n">
        <v>2.18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20261102_2015</t>
        </is>
      </c>
      <c r="B124" s="9" t="n">
        <v>46328</v>
      </c>
      <c r="C124" s="10" t="n">
        <v>0.84375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2</v>
      </c>
      <c r="I124" s="11" t="n">
        <v>0</v>
      </c>
      <c r="J124" s="12" t="n">
        <v>30</v>
      </c>
      <c r="K124" s="12" t="n">
        <v>0</v>
      </c>
      <c r="L124" s="12" t="n">
        <v>27.28</v>
      </c>
      <c r="M124" s="12" t="n">
        <v>2.72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20261102_2215</t>
        </is>
      </c>
      <c r="B125" s="13" t="n">
        <v>46328</v>
      </c>
      <c r="C125" s="14" t="n">
        <v>0.9270833333333334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3</v>
      </c>
      <c r="I125" s="15" t="n">
        <v>0</v>
      </c>
      <c r="J125" s="16" t="n">
        <v>45</v>
      </c>
      <c r="K125" s="16" t="n">
        <v>0</v>
      </c>
      <c r="L125" s="16" t="n">
        <v>40.92</v>
      </c>
      <c r="M125" s="16" t="n">
        <v>4.08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20261102_2315</t>
        </is>
      </c>
      <c r="B126" s="9" t="n">
        <v>46328</v>
      </c>
      <c r="C126" s="10" t="n">
        <v>0.96875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2</v>
      </c>
      <c r="I126" s="11" t="n">
        <v>0</v>
      </c>
      <c r="J126" s="12" t="n">
        <v>30</v>
      </c>
      <c r="K126" s="12" t="n">
        <v>0</v>
      </c>
      <c r="L126" s="12" t="n">
        <v>27.28</v>
      </c>
      <c r="M126" s="12" t="n">
        <v>2.72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</sheetData>
  <autoFilter ref="A1:P12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</sheetData>
  <autoFilter ref="A1:G63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</sheetData>
  <autoFilter ref="A1:K76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279</v>
      </c>
      <c r="M9" s="11" t="n">
        <v>859</v>
      </c>
      <c r="N9" s="12" t="n">
        <v>10242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222</v>
      </c>
      <c r="C23" s="11" t="n">
        <v>692</v>
      </c>
      <c r="D23" s="12" t="n">
        <v>8238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F24" s="38" t="inlineStr">
        <is>
          <t>20:00-21:00</t>
        </is>
      </c>
      <c r="G24" s="11" t="n">
        <v>69</v>
      </c>
      <c r="H24" s="11" t="n">
        <v>199</v>
      </c>
      <c r="I24" s="12" t="n">
        <v>2322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2026-10-24T18:49:27Z</dcterms:created>
  <dcterms:modified xsi:type="dcterms:W3CDTF">2026-10-24T18:49:28Z</dcterms:modified>
</cp:coreProperties>
</file>