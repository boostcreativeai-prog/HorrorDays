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'Tariffe'!$A$1:$E$6</definedName>
    <definedName name="_xlnm._FilterDatabase" localSheetId="2" hidden="1">'Tipologie'!$A$1:$G$6</definedName>
    <definedName name="_xlnm._FilterDatabase" localSheetId="3" hidden="1">'Spettacoli'!$A$1:$R$43</definedName>
    <definedName name="_xlnm._FilterDatabase" localSheetId="4" hidden="1">'Vendite'!$A$1:$R$136</definedName>
    <definedName name="_xlnm._FilterDatabase" localSheetId="5" hidden="1">'Per tariffa'!$A$1:$G$6</definedName>
    <definedName name="_xlnm._FilterDatabase" localSheetId="6" hidden="1">'Per serata'!$A$1:$S$9</definedName>
    <definedName name="_xlnm._FilterDatabase" localSheetId="7" hidden="1">'Storico'!$A$1:$G$764</definedName>
    <definedName name="_xlnm._FilterDatabase" localSheetId="8" hidden="1">'Registro vendite'!$A$1:$K$1202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'Tipologie'!$A$2:$A$6</f>
            </numRef>
          </cat>
          <val>
            <numRef>
              <f>'Tipologie'!$D$2:$D$6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'Storico'!$H$2:$H$764</f>
            </numRef>
          </cat>
          <val>
            <numRef>
              <f>'Storico'!$C$2:$C$764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vendite'!$A$4:$A$26</f>
            </numRef>
          </cat>
          <val>
            <numRef>
              <f>'Picchi vendite'!$B$4:$B$26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 (botteghino 15 €: 1 persona, nessuna auto)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INDEX(Spettacoli!$B$2:$B$43,MATCH(LARGE(Spettacoli!$R$2:$R$43,1),Spettacoli!$R$2:$R$43,0))</f>
        <v/>
      </c>
      <c r="L6" s="10">
        <f>INDEX(Spettacoli!$D$2:$D$43,MATCH(LARGE(Spettacoli!$R$2:$R$43,1),Spettacoli!$R$2:$R$43,0))</f>
        <v/>
      </c>
      <c r="M6" s="11">
        <f>INDEX(Spettacoli!$F$2:$F$43,MATCH(LARGE(Spettacoli!$R$2:$R$43,1),Spettacoli!$R$2:$R$43,0))</f>
        <v/>
      </c>
      <c r="N6" s="11">
        <f>INDEX(Spettacoli!$G$2:$G$43,MATCH(LARGE(Spettacoli!$R$2:$R$43,1),Spettacoli!$R$2:$R$43,0))</f>
        <v/>
      </c>
      <c r="O6" s="12">
        <f>INDEX(Spettacoli!$M$2:$M$43,MATCH(LARGE(Spettacoli!$R$2:$R$43,1),Spettacoli!$R$2:$R$43,0))</f>
        <v/>
      </c>
    </row>
    <row r="7">
      <c r="K7" s="13">
        <f>INDEX(Spettacoli!$B$2:$B$43,MATCH(LARGE(Spettacoli!$R$2:$R$43,2),Spettacoli!$R$2:$R$43,0))</f>
        <v/>
      </c>
      <c r="L7" s="14">
        <f>INDEX(Spettacoli!$D$2:$D$43,MATCH(LARGE(Spettacoli!$R$2:$R$43,2),Spettacoli!$R$2:$R$43,0))</f>
        <v/>
      </c>
      <c r="M7" s="15">
        <f>INDEX(Spettacoli!$F$2:$F$43,MATCH(LARGE(Spettacoli!$R$2:$R$43,2),Spettacoli!$R$2:$R$43,0))</f>
        <v/>
      </c>
      <c r="N7" s="15">
        <f>INDEX(Spettacoli!$G$2:$G$43,MATCH(LARGE(Spettacoli!$R$2:$R$43,2),Spettacoli!$R$2:$R$43,0))</f>
        <v/>
      </c>
      <c r="O7" s="16">
        <f>INDEX(Spettacoli!$M$2:$M$43,MATCH(LARGE(Spettacoli!$R$2:$R$43,2),Spettacoli!$R$2:$R$43,0))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INDEX(Spettacoli!$B$2:$B$43,MATCH(LARGE(Spettacoli!$R$2:$R$43,3),Spettacoli!$R$2:$R$43,0))</f>
        <v/>
      </c>
      <c r="L8" s="10">
        <f>INDEX(Spettacoli!$D$2:$D$43,MATCH(LARGE(Spettacoli!$R$2:$R$43,3),Spettacoli!$R$2:$R$43,0))</f>
        <v/>
      </c>
      <c r="M8" s="11">
        <f>INDEX(Spettacoli!$F$2:$F$43,MATCH(LARGE(Spettacoli!$R$2:$R$43,3),Spettacoli!$R$2:$R$43,0))</f>
        <v/>
      </c>
      <c r="N8" s="11">
        <f>INDEX(Spettacoli!$G$2:$G$43,MATCH(LARGE(Spettacoli!$R$2:$R$43,3),Spettacoli!$R$2:$R$43,0))</f>
        <v/>
      </c>
      <c r="O8" s="12">
        <f>INDEX(Spettacoli!$M$2:$M$43,MATCH(LARGE(Spettacoli!$R$2:$R$43,3),Spettacoli!$R$2:$R$43,0))</f>
        <v/>
      </c>
    </row>
    <row r="9" ht="26" customHeight="1">
      <c r="B9" s="17">
        <f>IF(SUM(Vendite!$H$2:$H$1000)&gt;0,SUMIF(Vendite!$R$2:$R$1000,"&gt;0",Vendite!$P$2:$P$1000)/SUM(Vendite!$H$2:$H$1000),0)</f>
        <v/>
      </c>
      <c r="C9" s="5" t="n"/>
      <c r="E9" s="18">
        <f>IF(SUM(Spettacoli!E2:E43)&gt;0,SUM(Spettacoli!F2:F43)/SUM(Spettacoli!E2:E43),0)</f>
        <v/>
      </c>
      <c r="F9" s="5" t="n"/>
      <c r="H9" s="19">
        <f>COUNTIF(Spettacoli!$Q$2:$Q$43,"Venduto")&amp;" / "&amp;COUNTA(Spettacoli!A2:A43)</f>
        <v/>
      </c>
      <c r="I9" s="5" t="n"/>
      <c r="K9" s="13">
        <f>INDEX(Spettacoli!$B$2:$B$43,MATCH(LARGE(Spettacoli!$R$2:$R$43,4),Spettacoli!$R$2:$R$43,0))</f>
        <v/>
      </c>
      <c r="L9" s="14">
        <f>INDEX(Spettacoli!$D$2:$D$43,MATCH(LARGE(Spettacoli!$R$2:$R$43,4),Spettacoli!$R$2:$R$43,0))</f>
        <v/>
      </c>
      <c r="M9" s="15">
        <f>INDEX(Spettacoli!$F$2:$F$43,MATCH(LARGE(Spettacoli!$R$2:$R$43,4),Spettacoli!$R$2:$R$43,0))</f>
        <v/>
      </c>
      <c r="N9" s="15">
        <f>INDEX(Spettacoli!$G$2:$G$43,MATCH(LARGE(Spettacoli!$R$2:$R$43,4),Spettacoli!$R$2:$R$43,0))</f>
        <v/>
      </c>
      <c r="O9" s="16">
        <f>INDEX(Spettacoli!$M$2:$M$43,MATCH(LARGE(Spettacoli!$R$2:$R$43,4),Spettacoli!$R$2:$R$43,0))</f>
        <v/>
      </c>
    </row>
    <row r="10">
      <c r="K10" s="9">
        <f>INDEX(Spettacoli!$B$2:$B$43,MATCH(LARGE(Spettacoli!$R$2:$R$43,5),Spettacoli!$R$2:$R$43,0))</f>
        <v/>
      </c>
      <c r="L10" s="10">
        <f>INDEX(Spettacoli!$D$2:$D$43,MATCH(LARGE(Spettacoli!$R$2:$R$43,5),Spettacoli!$R$2:$R$43,0))</f>
        <v/>
      </c>
      <c r="M10" s="11">
        <f>INDEX(Spettacoli!$F$2:$F$43,MATCH(LARGE(Spettacoli!$R$2:$R$43,5),Spettacoli!$R$2:$R$43,0))</f>
        <v/>
      </c>
      <c r="N10" s="11">
        <f>INDEX(Spettacoli!$G$2:$G$43,MATCH(LARGE(Spettacoli!$R$2:$R$43,5),Spettacoli!$R$2:$R$43,0))</f>
        <v/>
      </c>
      <c r="O10" s="12">
        <f>INDEX(Spettacoli!$M$2:$M$43,MATCH(LARGE(Spettacoli!$R$2:$R$43,5),Spettacoli!$R$2:$R$43,0))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IF(SUM(Vendite!$H$2:$H$1000)&gt;0,SUMIF(Vendite!$R$2:$R$1000,"&gt;0",Vendite!$J$2:$J$1000)/SUM(Vendite!$H$2:$H$1000),0)</f>
        <v/>
      </c>
      <c r="F12" s="5" t="n"/>
      <c r="H12" s="20">
        <f>MAX(Storico!A2:A764)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18" customWidth="1" min="4" max="4"/>
    <col width="16" customWidth="1" min="5" max="5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biglietto</t>
        </is>
      </c>
      <c r="E1" s="21" t="inlineStr">
        <is>
          <t>Auto per biglietto</t>
        </is>
      </c>
    </row>
    <row r="2">
      <c r="A2" s="22" t="inlineStr">
        <is>
          <t>I1 48€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  <c r="E2" s="22" t="n">
        <v>1</v>
      </c>
    </row>
    <row r="3">
      <c r="A3" s="23" t="inlineStr">
        <is>
          <t>I8 24€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  <c r="E3" s="23" t="n">
        <v>1</v>
      </c>
    </row>
    <row r="4">
      <c r="A4" s="22" t="inlineStr">
        <is>
          <t>I2 36€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  <c r="E4" s="22" t="n">
        <v>1</v>
      </c>
    </row>
    <row r="5">
      <c r="A5" s="23" t="inlineStr">
        <is>
          <t>I5 60€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  <c r="E5" s="23" t="n">
        <v>1</v>
      </c>
    </row>
    <row r="6">
      <c r="A6" s="22" t="inlineStr">
        <is>
          <t>I1 15€</t>
        </is>
      </c>
      <c r="B6" s="22" t="inlineStr">
        <is>
          <t>Botteghino · 15 € a persona</t>
        </is>
      </c>
      <c r="C6" s="22" t="inlineStr">
        <is>
          <t>Intero</t>
        </is>
      </c>
      <c r="D6" s="22" t="n">
        <v>1</v>
      </c>
      <c r="E6" s="22" t="n">
        <v>0</v>
      </c>
    </row>
  </sheetData>
  <autoFilter ref="A1:E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IF(SUM($D$2:$D$6)&gt;0,D2/SUM($D$2:$D$6),0)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IF(SUM($D$2:$D$6)&gt;0,D3/SUM($D$2:$D$6),0)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IF(SUM($D$2:$D$6)&gt;0,D4/SUM($D$2:$D$6),0)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IF(SUM($D$2:$D$6)&gt;0,D5/SUM($D$2:$D$6),0)</f>
        <v/>
      </c>
    </row>
    <row r="6">
      <c r="A6" s="22" t="inlineStr">
        <is>
          <t>Botteghino (15 € a persona, senza auto)</t>
        </is>
      </c>
      <c r="B6" s="12" t="n">
        <v>15</v>
      </c>
      <c r="C6" s="11" t="n">
        <v>1</v>
      </c>
      <c r="D6" s="11">
        <f>SUMIF(Vendite!$O$2:$O$1000,C6,Vendite!$H$2:$H$1000)</f>
        <v/>
      </c>
      <c r="E6" s="11">
        <f>SUMIF(Vendite!$O$2:$O$1000,C6,Vendite!$P$2:$P$1000)</f>
        <v/>
      </c>
      <c r="F6" s="12">
        <f>SUMIF(Vendite!$O$2:$O$1000,C6,Vendite!$J$2:$J$1000)</f>
        <v/>
      </c>
      <c r="G6" s="24">
        <f>IF(SUM($D$2:$D$6)&gt;0,D6/SUM($D$2:$D$6),0)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20261031_1915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0.8020833333333334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20261031_2015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0.84375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20261031_2115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0.8854166666666666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20261031_2215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0.9270833333333334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20261031_2315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0.96875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20261031_2359</t>
        </is>
      </c>
      <c r="B32" s="9" t="n">
        <v>46326</v>
      </c>
      <c r="C32" s="22">
        <f>CHOOSE(WEEKDAY(B32,2),"Lunedì","Martedì","Mercoledì","Giovedì","Venerdì","Sabato","Domenica")</f>
        <v/>
      </c>
      <c r="D32" s="10" t="n">
        <v>0.9993055555555556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20261101_1915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0.8020833333333334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20261101_2015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0.84375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20261101_2115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0.8854166666666666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20261101_2215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0.9270833333333334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20261101_2315</t>
        </is>
      </c>
      <c r="B37" s="13" t="n">
        <v>46327</v>
      </c>
      <c r="C37" s="23">
        <f>CHOOSE(WEEKDAY(B37,2),"Lunedì","Martedì","Mercoledì","Giovedì","Venerdì","Sabato","Domenica")</f>
        <v/>
      </c>
      <c r="D37" s="14" t="n">
        <v>0.96875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20261101_2359</t>
        </is>
      </c>
      <c r="B38" s="9" t="n">
        <v>46327</v>
      </c>
      <c r="C38" s="22">
        <f>CHOOSE(WEEKDAY(B38,2),"Lunedì","Martedì","Mercoledì","Giovedì","Venerdì","Sabato","Domenica")</f>
        <v/>
      </c>
      <c r="D38" s="10" t="n">
        <v>0.9993055555555556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20261102_2015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0.84375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20261102_2115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0.8854166666666666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20261102_2215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0.9270833333333334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  <row r="42">
      <c r="A42" s="22" t="inlineStr">
        <is>
          <t>20261102_2315</t>
        </is>
      </c>
      <c r="B42" s="9" t="n">
        <v>46328</v>
      </c>
      <c r="C42" s="22">
        <f>CHOOSE(WEEKDAY(B42,2),"Lunedì","Martedì","Mercoledì","Giovedì","Venerdì","Sabato","Domenica")</f>
        <v/>
      </c>
      <c r="D42" s="10" t="n">
        <v>0.96875</v>
      </c>
      <c r="E42" s="11" t="n">
        <v>80</v>
      </c>
      <c r="F42" s="11">
        <f>SUMIF(Vendite!$A$2:$A$1000,A42,Vendite!$H$2:$H$1000)</f>
        <v/>
      </c>
      <c r="G42" s="11">
        <f>SUMIF(Vendite!$A$2:$A$1000,A42,Vendite!$P$2:$P$1000)</f>
        <v/>
      </c>
      <c r="H42" s="11">
        <f>SUMIFS(Vendite!$H$2:$H$1000,Vendite!$A$2:$A$1000,A42,Vendite!$O$2:$O$1000,2)</f>
        <v/>
      </c>
      <c r="I42" s="11">
        <f>SUMIFS(Vendite!$H$2:$H$1000,Vendite!$A$2:$A$1000,A42,Vendite!$O$2:$O$1000,3)</f>
        <v/>
      </c>
      <c r="J42" s="11">
        <f>SUMIFS(Vendite!$H$2:$H$1000,Vendite!$A$2:$A$1000,A42,Vendite!$O$2:$O$1000,4)</f>
        <v/>
      </c>
      <c r="K42" s="11">
        <f>SUMIFS(Vendite!$H$2:$H$1000,Vendite!$A$2:$A$1000,A42,Vendite!$O$2:$O$1000,5)</f>
        <v/>
      </c>
      <c r="L42" s="11">
        <f>SUMIF(Vendite!$A$2:$A$1000,A42,Vendite!$I$2:$I$1000)</f>
        <v/>
      </c>
      <c r="M42" s="12">
        <f>SUMIF(Vendite!$A$2:$A$1000,A42,Vendite!$J$2:$J$1000)</f>
        <v/>
      </c>
      <c r="N42" s="12">
        <f>SUMIF(Vendite!$A$2:$A$1000,A42,Vendite!$L$2:$L$1000)</f>
        <v/>
      </c>
      <c r="O42" s="12">
        <f>SUMIF(Vendite!$A$2:$A$1000,A42,Vendite!$M$2:$M$1000)</f>
        <v/>
      </c>
      <c r="P42" s="24">
        <f>IF(E42&gt;0,F42/E42,0)</f>
        <v/>
      </c>
      <c r="Q42" s="22">
        <f>IF(F42&gt;0,"Venduto","Zero vendite")</f>
        <v/>
      </c>
      <c r="R42" s="22">
        <f>F42+M42/100000+(1000-ROW())/100000000</f>
        <v/>
      </c>
    </row>
    <row r="43">
      <c r="A43" s="23" t="inlineStr">
        <is>
          <t>20261102_2359</t>
        </is>
      </c>
      <c r="B43" s="13" t="n">
        <v>46328</v>
      </c>
      <c r="C43" s="23">
        <f>CHOOSE(WEEKDAY(B43,2),"Lunedì","Martedì","Mercoledì","Giovedì","Venerdì","Sabato","Domenica")</f>
        <v/>
      </c>
      <c r="D43" s="14" t="n">
        <v>0.9993055555555556</v>
      </c>
      <c r="E43" s="15" t="n">
        <v>80</v>
      </c>
      <c r="F43" s="15">
        <f>SUMIF(Vendite!$A$2:$A$1000,A43,Vendite!$H$2:$H$1000)</f>
        <v/>
      </c>
      <c r="G43" s="15">
        <f>SUMIF(Vendite!$A$2:$A$1000,A43,Vendite!$P$2:$P$1000)</f>
        <v/>
      </c>
      <c r="H43" s="15">
        <f>SUMIFS(Vendite!$H$2:$H$1000,Vendite!$A$2:$A$1000,A43,Vendite!$O$2:$O$1000,2)</f>
        <v/>
      </c>
      <c r="I43" s="15">
        <f>SUMIFS(Vendite!$H$2:$H$1000,Vendite!$A$2:$A$1000,A43,Vendite!$O$2:$O$1000,3)</f>
        <v/>
      </c>
      <c r="J43" s="15">
        <f>SUMIFS(Vendite!$H$2:$H$1000,Vendite!$A$2:$A$1000,A43,Vendite!$O$2:$O$1000,4)</f>
        <v/>
      </c>
      <c r="K43" s="15">
        <f>SUMIFS(Vendite!$H$2:$H$1000,Vendite!$A$2:$A$1000,A43,Vendite!$O$2:$O$1000,5)</f>
        <v/>
      </c>
      <c r="L43" s="15">
        <f>SUMIF(Vendite!$A$2:$A$1000,A43,Vendite!$I$2:$I$1000)</f>
        <v/>
      </c>
      <c r="M43" s="16">
        <f>SUMIF(Vendite!$A$2:$A$1000,A43,Vendite!$J$2:$J$1000)</f>
        <v/>
      </c>
      <c r="N43" s="16">
        <f>SUMIF(Vendite!$A$2:$A$1000,A43,Vendite!$L$2:$L$1000)</f>
        <v/>
      </c>
      <c r="O43" s="16">
        <f>SUMIF(Vendite!$A$2:$A$1000,A43,Vendite!$M$2:$M$1000)</f>
        <v/>
      </c>
      <c r="P43" s="25">
        <f>IF(E43&gt;0,F43/E43,0)</f>
        <v/>
      </c>
      <c r="Q43" s="23">
        <f>IF(F43&gt;0,"Venduto","Zero vendite")</f>
        <v/>
      </c>
      <c r="R43" s="23">
        <f>F43+M43/100000+(1000-ROW())/100000000</f>
        <v/>
      </c>
    </row>
  </sheetData>
  <autoFilter ref="A1:R43"/>
  <conditionalFormatting sqref="Q2:Q43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4" customWidth="1" min="5" max="5"/>
    <col width="26" customWidth="1" min="6" max="6"/>
    <col width="13" customWidth="1" min="7" max="7"/>
    <col width="10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  <col width="12" customWidth="1" min="17" max="17"/>
    <col width="12" customWidth="1" min="18" max="18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Tariffa (codice e prezzo)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biglietto</t>
        </is>
      </c>
      <c r="P1" s="21" t="inlineStr">
        <is>
          <t>Persone</t>
        </is>
      </c>
      <c r="Q1" s="21" t="inlineStr">
        <is>
          <t>N° titoli emessi</t>
        </is>
      </c>
      <c r="R1" s="21" t="inlineStr">
        <is>
          <t>Auto per biglietto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 48€</t>
        </is>
      </c>
      <c r="F2" s="22">
        <f>IFERROR(INDEX(Tariffe!$B$2:$B$200,MATCH(E2,Tariffe!$A$2:$A$200,0)),"DA DEFINIRE")</f>
        <v/>
      </c>
      <c r="G2" s="12" t="n">
        <v>48</v>
      </c>
      <c r="H2" s="11">
        <f>Q2*R2</f>
        <v/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Q2*O2</f>
        <v/>
      </c>
      <c r="Q2" s="11" t="n">
        <v>4</v>
      </c>
      <c r="R2" s="11">
        <f>IFERROR(INDEX(Tariffe!$E$2:$E$200,MATCH(E2,Tariffe!$A$2:$A$200,0))*1,1)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 36€</t>
        </is>
      </c>
      <c r="F3" s="23">
        <f>IFERROR(INDEX(Tariffe!$B$2:$B$200,MATCH(E3,Tariffe!$A$2:$A$200,0)),"DA DEFINIRE")</f>
        <v/>
      </c>
      <c r="G3" s="16" t="n">
        <v>36</v>
      </c>
      <c r="H3" s="15">
        <f>Q3*R3</f>
        <v/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Q3*O3</f>
        <v/>
      </c>
      <c r="Q3" s="15" t="n">
        <v>6</v>
      </c>
      <c r="R3" s="15">
        <f>IFERROR(INDEX(Tariffe!$E$2:$E$200,MATCH(E3,Tariffe!$A$2:$A$200,0))*1,1)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 60€</t>
        </is>
      </c>
      <c r="F4" s="22">
        <f>IFERROR(INDEX(Tariffe!$B$2:$B$200,MATCH(E4,Tariffe!$A$2:$A$200,0)),"DA DEFINIRE")</f>
        <v/>
      </c>
      <c r="G4" s="12" t="n">
        <v>60</v>
      </c>
      <c r="H4" s="11">
        <f>Q4*R4</f>
        <v/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Q4*O4</f>
        <v/>
      </c>
      <c r="Q4" s="11" t="n">
        <v>2</v>
      </c>
      <c r="R4" s="11">
        <f>IFERROR(INDEX(Tariffe!$E$2:$E$200,MATCH(E4,Tariffe!$A$2:$A$200,0))*1,1)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 24€</t>
        </is>
      </c>
      <c r="F5" s="23">
        <f>IFERROR(INDEX(Tariffe!$B$2:$B$200,MATCH(E5,Tariffe!$A$2:$A$200,0)),"DA DEFINIRE")</f>
        <v/>
      </c>
      <c r="G5" s="16" t="n">
        <v>24</v>
      </c>
      <c r="H5" s="15">
        <f>Q5*R5</f>
        <v/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Q5*O5</f>
        <v/>
      </c>
      <c r="Q5" s="15" t="n">
        <v>17</v>
      </c>
      <c r="R5" s="15">
        <f>IFERROR(INDEX(Tariffe!$E$2:$E$200,MATCH(E5,Tariffe!$A$2:$A$200,0))*1,1)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 48€</t>
        </is>
      </c>
      <c r="F6" s="22">
        <f>IFERROR(INDEX(Tariffe!$B$2:$B$200,MATCH(E6,Tariffe!$A$2:$A$200,0)),"DA DEFINIRE")</f>
        <v/>
      </c>
      <c r="G6" s="12" t="n">
        <v>48</v>
      </c>
      <c r="H6" s="11">
        <f>Q6*R6</f>
        <v/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Q6*O6</f>
        <v/>
      </c>
      <c r="Q6" s="11" t="n">
        <v>21</v>
      </c>
      <c r="R6" s="11">
        <f>IFERROR(INDEX(Tariffe!$E$2:$E$200,MATCH(E6,Tariffe!$A$2:$A$200,0))*1,1)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 36€</t>
        </is>
      </c>
      <c r="F7" s="23">
        <f>IFERROR(INDEX(Tariffe!$B$2:$B$200,MATCH(E7,Tariffe!$A$2:$A$200,0)),"DA DEFINIRE")</f>
        <v/>
      </c>
      <c r="G7" s="16" t="n">
        <v>36</v>
      </c>
      <c r="H7" s="15">
        <f>Q7*R7</f>
        <v/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Q7*O7</f>
        <v/>
      </c>
      <c r="Q7" s="15" t="n">
        <v>13</v>
      </c>
      <c r="R7" s="15">
        <f>IFERROR(INDEX(Tariffe!$E$2:$E$200,MATCH(E7,Tariffe!$A$2:$A$200,0))*1,1)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 60€</t>
        </is>
      </c>
      <c r="F8" s="22">
        <f>IFERROR(INDEX(Tariffe!$B$2:$B$200,MATCH(E8,Tariffe!$A$2:$A$200,0)),"DA DEFINIRE")</f>
        <v/>
      </c>
      <c r="G8" s="12" t="n">
        <v>60</v>
      </c>
      <c r="H8" s="11">
        <f>Q8*R8</f>
        <v/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Q8*O8</f>
        <v/>
      </c>
      <c r="Q8" s="11" t="n">
        <v>4</v>
      </c>
      <c r="R8" s="11">
        <f>IFERROR(INDEX(Tariffe!$E$2:$E$200,MATCH(E8,Tariffe!$A$2:$A$200,0))*1,1)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 24€</t>
        </is>
      </c>
      <c r="F9" s="23">
        <f>IFERROR(INDEX(Tariffe!$B$2:$B$200,MATCH(E9,Tariffe!$A$2:$A$200,0)),"DA DEFINIRE")</f>
        <v/>
      </c>
      <c r="G9" s="16" t="n">
        <v>24</v>
      </c>
      <c r="H9" s="15">
        <f>Q9*R9</f>
        <v/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Q9*O9</f>
        <v/>
      </c>
      <c r="Q9" s="15" t="n">
        <v>28</v>
      </c>
      <c r="R9" s="15">
        <f>IFERROR(INDEX(Tariffe!$E$2:$E$200,MATCH(E9,Tariffe!$A$2:$A$200,0))*1,1)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 48€</t>
        </is>
      </c>
      <c r="F10" s="22">
        <f>IFERROR(INDEX(Tariffe!$B$2:$B$200,MATCH(E10,Tariffe!$A$2:$A$200,0)),"DA DEFINIRE")</f>
        <v/>
      </c>
      <c r="G10" s="12" t="n">
        <v>48</v>
      </c>
      <c r="H10" s="11">
        <f>Q10*R10</f>
        <v/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Q10*O10</f>
        <v/>
      </c>
      <c r="Q10" s="11" t="n">
        <v>25</v>
      </c>
      <c r="R10" s="11">
        <f>IFERROR(INDEX(Tariffe!$E$2:$E$200,MATCH(E10,Tariffe!$A$2:$A$200,0))*1,1)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 36€</t>
        </is>
      </c>
      <c r="F11" s="23">
        <f>IFERROR(INDEX(Tariffe!$B$2:$B$200,MATCH(E11,Tariffe!$A$2:$A$200,0)),"DA DEFINIRE")</f>
        <v/>
      </c>
      <c r="G11" s="16" t="n">
        <v>36</v>
      </c>
      <c r="H11" s="15">
        <f>Q11*R11</f>
        <v/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Q11*O11</f>
        <v/>
      </c>
      <c r="Q11" s="15" t="n">
        <v>9</v>
      </c>
      <c r="R11" s="15">
        <f>IFERROR(INDEX(Tariffe!$E$2:$E$200,MATCH(E11,Tariffe!$A$2:$A$200,0))*1,1)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 60€</t>
        </is>
      </c>
      <c r="F12" s="22">
        <f>IFERROR(INDEX(Tariffe!$B$2:$B$200,MATCH(E12,Tariffe!$A$2:$A$200,0)),"DA DEFINIRE")</f>
        <v/>
      </c>
      <c r="G12" s="12" t="n">
        <v>60</v>
      </c>
      <c r="H12" s="11">
        <f>Q12*R12</f>
        <v/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Q12*O12</f>
        <v/>
      </c>
      <c r="Q12" s="11" t="n">
        <v>10</v>
      </c>
      <c r="R12" s="11">
        <f>IFERROR(INDEX(Tariffe!$E$2:$E$200,MATCH(E12,Tariffe!$A$2:$A$200,0))*1,1)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 24€</t>
        </is>
      </c>
      <c r="F13" s="23">
        <f>IFERROR(INDEX(Tariffe!$B$2:$B$200,MATCH(E13,Tariffe!$A$2:$A$200,0)),"DA DEFINIRE")</f>
        <v/>
      </c>
      <c r="G13" s="16" t="n">
        <v>24</v>
      </c>
      <c r="H13" s="15">
        <f>Q13*R13</f>
        <v/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Q13*O13</f>
        <v/>
      </c>
      <c r="Q13" s="15" t="n">
        <v>36</v>
      </c>
      <c r="R13" s="15">
        <f>IFERROR(INDEX(Tariffe!$E$2:$E$200,MATCH(E13,Tariffe!$A$2:$A$200,0))*1,1)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 48€</t>
        </is>
      </c>
      <c r="F14" s="22">
        <f>IFERROR(INDEX(Tariffe!$B$2:$B$200,MATCH(E14,Tariffe!$A$2:$A$200,0)),"DA DEFINIRE")</f>
        <v/>
      </c>
      <c r="G14" s="12" t="n">
        <v>48</v>
      </c>
      <c r="H14" s="11">
        <f>Q14*R14</f>
        <v/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Q14*O14</f>
        <v/>
      </c>
      <c r="Q14" s="11" t="n">
        <v>16</v>
      </c>
      <c r="R14" s="11">
        <f>IFERROR(INDEX(Tariffe!$E$2:$E$200,MATCH(E14,Tariffe!$A$2:$A$200,0))*1,1)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 36€</t>
        </is>
      </c>
      <c r="F15" s="23">
        <f>IFERROR(INDEX(Tariffe!$B$2:$B$200,MATCH(E15,Tariffe!$A$2:$A$200,0)),"DA DEFINIRE")</f>
        <v/>
      </c>
      <c r="G15" s="16" t="n">
        <v>36</v>
      </c>
      <c r="H15" s="15">
        <f>Q15*R15</f>
        <v/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Q15*O15</f>
        <v/>
      </c>
      <c r="Q15" s="15" t="n">
        <v>9</v>
      </c>
      <c r="R15" s="15">
        <f>IFERROR(INDEX(Tariffe!$E$2:$E$200,MATCH(E15,Tariffe!$A$2:$A$200,0))*1,1)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 60€</t>
        </is>
      </c>
      <c r="F16" s="22">
        <f>IFERROR(INDEX(Tariffe!$B$2:$B$200,MATCH(E16,Tariffe!$A$2:$A$200,0)),"DA DEFINIRE")</f>
        <v/>
      </c>
      <c r="G16" s="12" t="n">
        <v>60</v>
      </c>
      <c r="H16" s="11">
        <f>Q16*R16</f>
        <v/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Q16*O16</f>
        <v/>
      </c>
      <c r="Q16" s="11" t="n">
        <v>8</v>
      </c>
      <c r="R16" s="11">
        <f>IFERROR(INDEX(Tariffe!$E$2:$E$200,MATCH(E16,Tariffe!$A$2:$A$200,0))*1,1)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 24€</t>
        </is>
      </c>
      <c r="F17" s="23">
        <f>IFERROR(INDEX(Tariffe!$B$2:$B$200,MATCH(E17,Tariffe!$A$2:$A$200,0)),"DA DEFINIRE")</f>
        <v/>
      </c>
      <c r="G17" s="16" t="n">
        <v>24</v>
      </c>
      <c r="H17" s="15">
        <f>Q17*R17</f>
        <v/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Q17*O17</f>
        <v/>
      </c>
      <c r="Q17" s="15" t="n">
        <v>46</v>
      </c>
      <c r="R17" s="15">
        <f>IFERROR(INDEX(Tariffe!$E$2:$E$200,MATCH(E17,Tariffe!$A$2:$A$200,0))*1,1)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 48€</t>
        </is>
      </c>
      <c r="F18" s="22">
        <f>IFERROR(INDEX(Tariffe!$B$2:$B$200,MATCH(E18,Tariffe!$A$2:$A$200,0)),"DA DEFINIRE")</f>
        <v/>
      </c>
      <c r="G18" s="12" t="n">
        <v>48</v>
      </c>
      <c r="H18" s="11">
        <f>Q18*R18</f>
        <v/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Q18*O18</f>
        <v/>
      </c>
      <c r="Q18" s="11" t="n">
        <v>10</v>
      </c>
      <c r="R18" s="11">
        <f>IFERROR(INDEX(Tariffe!$E$2:$E$200,MATCH(E18,Tariffe!$A$2:$A$200,0))*1,1)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 36€</t>
        </is>
      </c>
      <c r="F19" s="23">
        <f>IFERROR(INDEX(Tariffe!$B$2:$B$200,MATCH(E19,Tariffe!$A$2:$A$200,0)),"DA DEFINIRE")</f>
        <v/>
      </c>
      <c r="G19" s="16" t="n">
        <v>36</v>
      </c>
      <c r="H19" s="15">
        <f>Q19*R19</f>
        <v/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Q19*O19</f>
        <v/>
      </c>
      <c r="Q19" s="15" t="n">
        <v>5</v>
      </c>
      <c r="R19" s="15">
        <f>IFERROR(INDEX(Tariffe!$E$2:$E$200,MATCH(E19,Tariffe!$A$2:$A$200,0))*1,1)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 60€</t>
        </is>
      </c>
      <c r="F20" s="22">
        <f>IFERROR(INDEX(Tariffe!$B$2:$B$200,MATCH(E20,Tariffe!$A$2:$A$200,0)),"DA DEFINIRE")</f>
        <v/>
      </c>
      <c r="G20" s="12" t="n">
        <v>60</v>
      </c>
      <c r="H20" s="11">
        <f>Q20*R20</f>
        <v/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Q20*O20</f>
        <v/>
      </c>
      <c r="Q20" s="11" t="n">
        <v>4</v>
      </c>
      <c r="R20" s="11">
        <f>IFERROR(INDEX(Tariffe!$E$2:$E$200,MATCH(E20,Tariffe!$A$2:$A$200,0))*1,1)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 24€</t>
        </is>
      </c>
      <c r="F21" s="23">
        <f>IFERROR(INDEX(Tariffe!$B$2:$B$200,MATCH(E21,Tariffe!$A$2:$A$200,0)),"DA DEFINIRE")</f>
        <v/>
      </c>
      <c r="G21" s="16" t="n">
        <v>24</v>
      </c>
      <c r="H21" s="15">
        <f>Q21*R21</f>
        <v/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Q21*O21</f>
        <v/>
      </c>
      <c r="Q21" s="15" t="n">
        <v>15</v>
      </c>
      <c r="R21" s="15">
        <f>IFERROR(INDEX(Tariffe!$E$2:$E$200,MATCH(E21,Tariffe!$A$2:$A$200,0))*1,1)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 48€</t>
        </is>
      </c>
      <c r="F22" s="22">
        <f>IFERROR(INDEX(Tariffe!$B$2:$B$200,MATCH(E22,Tariffe!$A$2:$A$200,0)),"DA DEFINIRE")</f>
        <v/>
      </c>
      <c r="G22" s="12" t="n">
        <v>48</v>
      </c>
      <c r="H22" s="11">
        <f>Q22*R22</f>
        <v/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Q22*O22</f>
        <v/>
      </c>
      <c r="Q22" s="11" t="n">
        <v>2</v>
      </c>
      <c r="R22" s="11">
        <f>IFERROR(INDEX(Tariffe!$E$2:$E$200,MATCH(E22,Tariffe!$A$2:$A$200,0))*1,1)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 36€</t>
        </is>
      </c>
      <c r="F23" s="23">
        <f>IFERROR(INDEX(Tariffe!$B$2:$B$200,MATCH(E23,Tariffe!$A$2:$A$200,0)),"DA DEFINIRE")</f>
        <v/>
      </c>
      <c r="G23" s="16" t="n">
        <v>36</v>
      </c>
      <c r="H23" s="15">
        <f>Q23*R23</f>
        <v/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Q23*O23</f>
        <v/>
      </c>
      <c r="Q23" s="15" t="n">
        <v>5</v>
      </c>
      <c r="R23" s="15">
        <f>IFERROR(INDEX(Tariffe!$E$2:$E$200,MATCH(E23,Tariffe!$A$2:$A$200,0))*1,1)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 60€</t>
        </is>
      </c>
      <c r="F24" s="22">
        <f>IFERROR(INDEX(Tariffe!$B$2:$B$200,MATCH(E24,Tariffe!$A$2:$A$200,0)),"DA DEFINIRE")</f>
        <v/>
      </c>
      <c r="G24" s="12" t="n">
        <v>60</v>
      </c>
      <c r="H24" s="11">
        <f>Q24*R24</f>
        <v/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Q24*O24</f>
        <v/>
      </c>
      <c r="Q24" s="11" t="n">
        <v>2</v>
      </c>
      <c r="R24" s="11">
        <f>IFERROR(INDEX(Tariffe!$E$2:$E$200,MATCH(E24,Tariffe!$A$2:$A$200,0))*1,1)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 24€</t>
        </is>
      </c>
      <c r="F25" s="23">
        <f>IFERROR(INDEX(Tariffe!$B$2:$B$200,MATCH(E25,Tariffe!$A$2:$A$200,0)),"DA DEFINIRE")</f>
        <v/>
      </c>
      <c r="G25" s="16" t="n">
        <v>24</v>
      </c>
      <c r="H25" s="15">
        <f>Q25*R25</f>
        <v/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Q25*O25</f>
        <v/>
      </c>
      <c r="Q25" s="15" t="n">
        <v>5</v>
      </c>
      <c r="R25" s="15">
        <f>IFERROR(INDEX(Tariffe!$E$2:$E$200,MATCH(E25,Tariffe!$A$2:$A$200,0))*1,1)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 48€</t>
        </is>
      </c>
      <c r="F26" s="22">
        <f>IFERROR(INDEX(Tariffe!$B$2:$B$200,MATCH(E26,Tariffe!$A$2:$A$200,0)),"DA DEFINIRE")</f>
        <v/>
      </c>
      <c r="G26" s="12" t="n">
        <v>48</v>
      </c>
      <c r="H26" s="11">
        <f>Q26*R26</f>
        <v/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Q26*O26</f>
        <v/>
      </c>
      <c r="Q26" s="11" t="n">
        <v>10</v>
      </c>
      <c r="R26" s="11">
        <f>IFERROR(INDEX(Tariffe!$E$2:$E$200,MATCH(E26,Tariffe!$A$2:$A$200,0))*1,1)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 36€</t>
        </is>
      </c>
      <c r="F27" s="23">
        <f>IFERROR(INDEX(Tariffe!$B$2:$B$200,MATCH(E27,Tariffe!$A$2:$A$200,0)),"DA DEFINIRE")</f>
        <v/>
      </c>
      <c r="G27" s="16" t="n">
        <v>36</v>
      </c>
      <c r="H27" s="15">
        <f>Q27*R27</f>
        <v/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Q27*O27</f>
        <v/>
      </c>
      <c r="Q27" s="15" t="n">
        <v>6</v>
      </c>
      <c r="R27" s="15">
        <f>IFERROR(INDEX(Tariffe!$E$2:$E$200,MATCH(E27,Tariffe!$A$2:$A$200,0))*1,1)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 60€</t>
        </is>
      </c>
      <c r="F28" s="22">
        <f>IFERROR(INDEX(Tariffe!$B$2:$B$200,MATCH(E28,Tariffe!$A$2:$A$200,0)),"DA DEFINIRE")</f>
        <v/>
      </c>
      <c r="G28" s="12" t="n">
        <v>60</v>
      </c>
      <c r="H28" s="11">
        <f>Q28*R28</f>
        <v/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Q28*O28</f>
        <v/>
      </c>
      <c r="Q28" s="11" t="n">
        <v>5</v>
      </c>
      <c r="R28" s="11">
        <f>IFERROR(INDEX(Tariffe!$E$2:$E$200,MATCH(E28,Tariffe!$A$2:$A$200,0))*1,1)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 24€</t>
        </is>
      </c>
      <c r="F29" s="23">
        <f>IFERROR(INDEX(Tariffe!$B$2:$B$200,MATCH(E29,Tariffe!$A$2:$A$200,0)),"DA DEFINIRE")</f>
        <v/>
      </c>
      <c r="G29" s="16" t="n">
        <v>24</v>
      </c>
      <c r="H29" s="15">
        <f>Q29*R29</f>
        <v/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Q29*O29</f>
        <v/>
      </c>
      <c r="Q29" s="15" t="n">
        <v>28</v>
      </c>
      <c r="R29" s="15">
        <f>IFERROR(INDEX(Tariffe!$E$2:$E$200,MATCH(E29,Tariffe!$A$2:$A$200,0))*1,1)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 48€</t>
        </is>
      </c>
      <c r="F30" s="22">
        <f>IFERROR(INDEX(Tariffe!$B$2:$B$200,MATCH(E30,Tariffe!$A$2:$A$200,0)),"DA DEFINIRE")</f>
        <v/>
      </c>
      <c r="G30" s="12" t="n">
        <v>48</v>
      </c>
      <c r="H30" s="11">
        <f>Q30*R30</f>
        <v/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Q30*O30</f>
        <v/>
      </c>
      <c r="Q30" s="11" t="n">
        <v>21</v>
      </c>
      <c r="R30" s="11">
        <f>IFERROR(INDEX(Tariffe!$E$2:$E$200,MATCH(E30,Tariffe!$A$2:$A$200,0))*1,1)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 36€</t>
        </is>
      </c>
      <c r="F31" s="23">
        <f>IFERROR(INDEX(Tariffe!$B$2:$B$200,MATCH(E31,Tariffe!$A$2:$A$200,0)),"DA DEFINIRE")</f>
        <v/>
      </c>
      <c r="G31" s="16" t="n">
        <v>36</v>
      </c>
      <c r="H31" s="15">
        <f>Q31*R31</f>
        <v/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Q31*O31</f>
        <v/>
      </c>
      <c r="Q31" s="15" t="n">
        <v>8</v>
      </c>
      <c r="R31" s="15">
        <f>IFERROR(INDEX(Tariffe!$E$2:$E$200,MATCH(E31,Tariffe!$A$2:$A$200,0))*1,1)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 60€</t>
        </is>
      </c>
      <c r="F32" s="22">
        <f>IFERROR(INDEX(Tariffe!$B$2:$B$200,MATCH(E32,Tariffe!$A$2:$A$200,0)),"DA DEFINIRE")</f>
        <v/>
      </c>
      <c r="G32" s="12" t="n">
        <v>60</v>
      </c>
      <c r="H32" s="11">
        <f>Q32*R32</f>
        <v/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Q32*O32</f>
        <v/>
      </c>
      <c r="Q32" s="11" t="n">
        <v>7</v>
      </c>
      <c r="R32" s="11">
        <f>IFERROR(INDEX(Tariffe!$E$2:$E$200,MATCH(E32,Tariffe!$A$2:$A$200,0))*1,1)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 24€</t>
        </is>
      </c>
      <c r="F33" s="23">
        <f>IFERROR(INDEX(Tariffe!$B$2:$B$200,MATCH(E33,Tariffe!$A$2:$A$200,0)),"DA DEFINIRE")</f>
        <v/>
      </c>
      <c r="G33" s="16" t="n">
        <v>24</v>
      </c>
      <c r="H33" s="15">
        <f>Q33*R33</f>
        <v/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Q33*O33</f>
        <v/>
      </c>
      <c r="Q33" s="15" t="n">
        <v>43</v>
      </c>
      <c r="R33" s="15">
        <f>IFERROR(INDEX(Tariffe!$E$2:$E$200,MATCH(E33,Tariffe!$A$2:$A$200,0))*1,1)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 48€</t>
        </is>
      </c>
      <c r="F34" s="22">
        <f>IFERROR(INDEX(Tariffe!$B$2:$B$200,MATCH(E34,Tariffe!$A$2:$A$200,0)),"DA DEFINIRE")</f>
        <v/>
      </c>
      <c r="G34" s="12" t="n">
        <v>48</v>
      </c>
      <c r="H34" s="11">
        <f>Q34*R34</f>
        <v/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Q34*O34</f>
        <v/>
      </c>
      <c r="Q34" s="11" t="n">
        <v>21</v>
      </c>
      <c r="R34" s="11">
        <f>IFERROR(INDEX(Tariffe!$E$2:$E$200,MATCH(E34,Tariffe!$A$2:$A$200,0))*1,1)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 36€</t>
        </is>
      </c>
      <c r="F35" s="23">
        <f>IFERROR(INDEX(Tariffe!$B$2:$B$200,MATCH(E35,Tariffe!$A$2:$A$200,0)),"DA DEFINIRE")</f>
        <v/>
      </c>
      <c r="G35" s="16" t="n">
        <v>36</v>
      </c>
      <c r="H35" s="15">
        <f>Q35*R35</f>
        <v/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Q35*O35</f>
        <v/>
      </c>
      <c r="Q35" s="15" t="n">
        <v>8</v>
      </c>
      <c r="R35" s="15">
        <f>IFERROR(INDEX(Tariffe!$E$2:$E$200,MATCH(E35,Tariffe!$A$2:$A$200,0))*1,1)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 60€</t>
        </is>
      </c>
      <c r="F36" s="22">
        <f>IFERROR(INDEX(Tariffe!$B$2:$B$200,MATCH(E36,Tariffe!$A$2:$A$200,0)),"DA DEFINIRE")</f>
        <v/>
      </c>
      <c r="G36" s="12" t="n">
        <v>60</v>
      </c>
      <c r="H36" s="11">
        <f>Q36*R36</f>
        <v/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Q36*O36</f>
        <v/>
      </c>
      <c r="Q36" s="11" t="n">
        <v>12</v>
      </c>
      <c r="R36" s="11">
        <f>IFERROR(INDEX(Tariffe!$E$2:$E$200,MATCH(E36,Tariffe!$A$2:$A$200,0))*1,1)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 24€</t>
        </is>
      </c>
      <c r="F37" s="23">
        <f>IFERROR(INDEX(Tariffe!$B$2:$B$200,MATCH(E37,Tariffe!$A$2:$A$200,0)),"DA DEFINIRE")</f>
        <v/>
      </c>
      <c r="G37" s="16" t="n">
        <v>24</v>
      </c>
      <c r="H37" s="15">
        <f>Q37*R37</f>
        <v/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Q37*O37</f>
        <v/>
      </c>
      <c r="Q37" s="15" t="n">
        <v>39</v>
      </c>
      <c r="R37" s="15">
        <f>IFERROR(INDEX(Tariffe!$E$2:$E$200,MATCH(E37,Tariffe!$A$2:$A$200,0))*1,1)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 48€</t>
        </is>
      </c>
      <c r="F38" s="22">
        <f>IFERROR(INDEX(Tariffe!$B$2:$B$200,MATCH(E38,Tariffe!$A$2:$A$200,0)),"DA DEFINIRE")</f>
        <v/>
      </c>
      <c r="G38" s="12" t="n">
        <v>48</v>
      </c>
      <c r="H38" s="11">
        <f>Q38*R38</f>
        <v/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Q38*O38</f>
        <v/>
      </c>
      <c r="Q38" s="11" t="n">
        <v>30</v>
      </c>
      <c r="R38" s="11">
        <f>IFERROR(INDEX(Tariffe!$E$2:$E$200,MATCH(E38,Tariffe!$A$2:$A$200,0))*1,1)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 36€</t>
        </is>
      </c>
      <c r="F39" s="23">
        <f>IFERROR(INDEX(Tariffe!$B$2:$B$200,MATCH(E39,Tariffe!$A$2:$A$200,0)),"DA DEFINIRE")</f>
        <v/>
      </c>
      <c r="G39" s="16" t="n">
        <v>36</v>
      </c>
      <c r="H39" s="15">
        <f>Q39*R39</f>
        <v/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Q39*O39</f>
        <v/>
      </c>
      <c r="Q39" s="15" t="n">
        <v>6</v>
      </c>
      <c r="R39" s="15">
        <f>IFERROR(INDEX(Tariffe!$E$2:$E$200,MATCH(E39,Tariffe!$A$2:$A$200,0))*1,1)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 60€</t>
        </is>
      </c>
      <c r="F40" s="22">
        <f>IFERROR(INDEX(Tariffe!$B$2:$B$200,MATCH(E40,Tariffe!$A$2:$A$200,0)),"DA DEFINIRE")</f>
        <v/>
      </c>
      <c r="G40" s="12" t="n">
        <v>60</v>
      </c>
      <c r="H40" s="11">
        <f>Q40*R40</f>
        <v/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Q40*O40</f>
        <v/>
      </c>
      <c r="Q40" s="11" t="n">
        <v>9</v>
      </c>
      <c r="R40" s="11">
        <f>IFERROR(INDEX(Tariffe!$E$2:$E$200,MATCH(E40,Tariffe!$A$2:$A$200,0))*1,1)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 24€</t>
        </is>
      </c>
      <c r="F41" s="23">
        <f>IFERROR(INDEX(Tariffe!$B$2:$B$200,MATCH(E41,Tariffe!$A$2:$A$200,0)),"DA DEFINIRE")</f>
        <v/>
      </c>
      <c r="G41" s="16" t="n">
        <v>24</v>
      </c>
      <c r="H41" s="15">
        <f>Q41*R41</f>
        <v/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Q41*O41</f>
        <v/>
      </c>
      <c r="Q41" s="15" t="n">
        <v>35</v>
      </c>
      <c r="R41" s="15">
        <f>IFERROR(INDEX(Tariffe!$E$2:$E$200,MATCH(E41,Tariffe!$A$2:$A$200,0))*1,1)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 48€</t>
        </is>
      </c>
      <c r="F42" s="22">
        <f>IFERROR(INDEX(Tariffe!$B$2:$B$200,MATCH(E42,Tariffe!$A$2:$A$200,0)),"DA DEFINIRE")</f>
        <v/>
      </c>
      <c r="G42" s="12" t="n">
        <v>48</v>
      </c>
      <c r="H42" s="11">
        <f>Q42*R42</f>
        <v/>
      </c>
      <c r="I42" s="11" t="n">
        <v>0</v>
      </c>
      <c r="J42" s="12" t="n">
        <v>1152</v>
      </c>
      <c r="K42" s="12" t="n">
        <v>0</v>
      </c>
      <c r="L42" s="12" t="n">
        <v>1047.36</v>
      </c>
      <c r="M42" s="12" t="n">
        <v>104.64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Q42*O42</f>
        <v/>
      </c>
      <c r="Q42" s="11" t="n">
        <v>24</v>
      </c>
      <c r="R42" s="11">
        <f>IFERROR(INDEX(Tariffe!$E$2:$E$200,MATCH(E42,Tariffe!$A$2:$A$200,0))*1,1)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 36€</t>
        </is>
      </c>
      <c r="F43" s="23">
        <f>IFERROR(INDEX(Tariffe!$B$2:$B$200,MATCH(E43,Tariffe!$A$2:$A$200,0)),"DA DEFINIRE")</f>
        <v/>
      </c>
      <c r="G43" s="16" t="n">
        <v>36</v>
      </c>
      <c r="H43" s="15">
        <f>Q43*R43</f>
        <v/>
      </c>
      <c r="I43" s="15" t="n">
        <v>0</v>
      </c>
      <c r="J43" s="16" t="n">
        <v>360</v>
      </c>
      <c r="K43" s="16" t="n">
        <v>0</v>
      </c>
      <c r="L43" s="16" t="n">
        <v>327.3</v>
      </c>
      <c r="M43" s="16" t="n">
        <v>32.7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Q43*O43</f>
        <v/>
      </c>
      <c r="Q43" s="15" t="n">
        <v>10</v>
      </c>
      <c r="R43" s="15">
        <f>IFERROR(INDEX(Tariffe!$E$2:$E$200,MATCH(E43,Tariffe!$A$2:$A$200,0))*1,1)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 60€</t>
        </is>
      </c>
      <c r="F44" s="22">
        <f>IFERROR(INDEX(Tariffe!$B$2:$B$200,MATCH(E44,Tariffe!$A$2:$A$200,0)),"DA DEFINIRE")</f>
        <v/>
      </c>
      <c r="G44" s="12" t="n">
        <v>60</v>
      </c>
      <c r="H44" s="11">
        <f>Q44*R44</f>
        <v/>
      </c>
      <c r="I44" s="11" t="n">
        <v>0</v>
      </c>
      <c r="J44" s="12" t="n">
        <v>480</v>
      </c>
      <c r="K44" s="12" t="n">
        <v>0</v>
      </c>
      <c r="L44" s="12" t="n">
        <v>436.4</v>
      </c>
      <c r="M44" s="12" t="n">
        <v>43.6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Q44*O44</f>
        <v/>
      </c>
      <c r="Q44" s="11" t="n">
        <v>8</v>
      </c>
      <c r="R44" s="11">
        <f>IFERROR(INDEX(Tariffe!$E$2:$E$200,MATCH(E44,Tariffe!$A$2:$A$200,0))*1,1)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 24€</t>
        </is>
      </c>
      <c r="F45" s="23">
        <f>IFERROR(INDEX(Tariffe!$B$2:$B$200,MATCH(E45,Tariffe!$A$2:$A$200,0)),"DA DEFINIRE")</f>
        <v/>
      </c>
      <c r="G45" s="16" t="n">
        <v>24</v>
      </c>
      <c r="H45" s="15">
        <f>Q45*R45</f>
        <v/>
      </c>
      <c r="I45" s="15" t="n">
        <v>0</v>
      </c>
      <c r="J45" s="16" t="n">
        <v>912</v>
      </c>
      <c r="K45" s="16" t="n">
        <v>0</v>
      </c>
      <c r="L45" s="16" t="n">
        <v>829.16</v>
      </c>
      <c r="M45" s="16" t="n">
        <v>82.84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Q45*O45</f>
        <v/>
      </c>
      <c r="Q45" s="15" t="n">
        <v>38</v>
      </c>
      <c r="R45" s="15">
        <f>IFERROR(INDEX(Tariffe!$E$2:$E$200,MATCH(E45,Tariffe!$A$2:$A$200,0))*1,1)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 48€</t>
        </is>
      </c>
      <c r="F46" s="22">
        <f>IFERROR(INDEX(Tariffe!$B$2:$B$200,MATCH(E46,Tariffe!$A$2:$A$200,0)),"DA DEFINIRE")</f>
        <v/>
      </c>
      <c r="G46" s="12" t="n">
        <v>48</v>
      </c>
      <c r="H46" s="11">
        <f>Q46*R46</f>
        <v/>
      </c>
      <c r="I46" s="11" t="n">
        <v>0</v>
      </c>
      <c r="J46" s="12" t="n">
        <v>1248</v>
      </c>
      <c r="K46" s="12" t="n">
        <v>0</v>
      </c>
      <c r="L46" s="12" t="n">
        <v>1134.64</v>
      </c>
      <c r="M46" s="12" t="n">
        <v>113.36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Q46*O46</f>
        <v/>
      </c>
      <c r="Q46" s="11" t="n">
        <v>26</v>
      </c>
      <c r="R46" s="11">
        <f>IFERROR(INDEX(Tariffe!$E$2:$E$200,MATCH(E46,Tariffe!$A$2:$A$200,0))*1,1)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 36€</t>
        </is>
      </c>
      <c r="F47" s="23">
        <f>IFERROR(INDEX(Tariffe!$B$2:$B$200,MATCH(E47,Tariffe!$A$2:$A$200,0)),"DA DEFINIRE")</f>
        <v/>
      </c>
      <c r="G47" s="16" t="n">
        <v>36</v>
      </c>
      <c r="H47" s="15">
        <f>Q47*R47</f>
        <v/>
      </c>
      <c r="I47" s="15" t="n">
        <v>0</v>
      </c>
      <c r="J47" s="16" t="n">
        <v>180</v>
      </c>
      <c r="K47" s="16" t="n">
        <v>0</v>
      </c>
      <c r="L47" s="16" t="n">
        <v>163.65</v>
      </c>
      <c r="M47" s="16" t="n">
        <v>16.35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Q47*O47</f>
        <v/>
      </c>
      <c r="Q47" s="15" t="n">
        <v>5</v>
      </c>
      <c r="R47" s="15">
        <f>IFERROR(INDEX(Tariffe!$E$2:$E$200,MATCH(E47,Tariffe!$A$2:$A$200,0))*1,1)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 60€</t>
        </is>
      </c>
      <c r="F48" s="22">
        <f>IFERROR(INDEX(Tariffe!$B$2:$B$200,MATCH(E48,Tariffe!$A$2:$A$200,0)),"DA DEFINIRE")</f>
        <v/>
      </c>
      <c r="G48" s="12" t="n">
        <v>60</v>
      </c>
      <c r="H48" s="11">
        <f>Q48*R48</f>
        <v/>
      </c>
      <c r="I48" s="11" t="n">
        <v>0</v>
      </c>
      <c r="J48" s="12" t="n">
        <v>600</v>
      </c>
      <c r="K48" s="12" t="n">
        <v>0</v>
      </c>
      <c r="L48" s="12" t="n">
        <v>545.5</v>
      </c>
      <c r="M48" s="12" t="n">
        <v>54.5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Q48*O48</f>
        <v/>
      </c>
      <c r="Q48" s="11" t="n">
        <v>10</v>
      </c>
      <c r="R48" s="11">
        <f>IFERROR(INDEX(Tariffe!$E$2:$E$200,MATCH(E48,Tariffe!$A$2:$A$200,0))*1,1)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 24€</t>
        </is>
      </c>
      <c r="F49" s="23">
        <f>IFERROR(INDEX(Tariffe!$B$2:$B$200,MATCH(E49,Tariffe!$A$2:$A$200,0)),"DA DEFINIRE")</f>
        <v/>
      </c>
      <c r="G49" s="16" t="n">
        <v>24</v>
      </c>
      <c r="H49" s="15">
        <f>Q49*R49</f>
        <v/>
      </c>
      <c r="I49" s="15" t="n">
        <v>0</v>
      </c>
      <c r="J49" s="16" t="n">
        <v>936</v>
      </c>
      <c r="K49" s="16" t="n">
        <v>0</v>
      </c>
      <c r="L49" s="16" t="n">
        <v>850.98</v>
      </c>
      <c r="M49" s="16" t="n">
        <v>85.02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Q49*O49</f>
        <v/>
      </c>
      <c r="Q49" s="15" t="n">
        <v>39</v>
      </c>
      <c r="R49" s="15">
        <f>IFERROR(INDEX(Tariffe!$E$2:$E$200,MATCH(E49,Tariffe!$A$2:$A$200,0))*1,1)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 48€</t>
        </is>
      </c>
      <c r="F50" s="22">
        <f>IFERROR(INDEX(Tariffe!$B$2:$B$200,MATCH(E50,Tariffe!$A$2:$A$200,0)),"DA DEFINIRE")</f>
        <v/>
      </c>
      <c r="G50" s="12" t="n">
        <v>48</v>
      </c>
      <c r="H50" s="11">
        <f>Q50*R50</f>
        <v/>
      </c>
      <c r="I50" s="11" t="n">
        <v>0</v>
      </c>
      <c r="J50" s="12" t="n">
        <v>1344</v>
      </c>
      <c r="K50" s="12" t="n">
        <v>0</v>
      </c>
      <c r="L50" s="12" t="n">
        <v>1221.92</v>
      </c>
      <c r="M50" s="12" t="n">
        <v>122.08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Q50*O50</f>
        <v/>
      </c>
      <c r="Q50" s="11" t="n">
        <v>28</v>
      </c>
      <c r="R50" s="11">
        <f>IFERROR(INDEX(Tariffe!$E$2:$E$200,MATCH(E50,Tariffe!$A$2:$A$200,0))*1,1)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 36€</t>
        </is>
      </c>
      <c r="F51" s="23">
        <f>IFERROR(INDEX(Tariffe!$B$2:$B$200,MATCH(E51,Tariffe!$A$2:$A$200,0)),"DA DEFINIRE")</f>
        <v/>
      </c>
      <c r="G51" s="16" t="n">
        <v>36</v>
      </c>
      <c r="H51" s="15">
        <f>Q51*R51</f>
        <v/>
      </c>
      <c r="I51" s="15" t="n">
        <v>0</v>
      </c>
      <c r="J51" s="16" t="n">
        <v>144</v>
      </c>
      <c r="K51" s="16" t="n">
        <v>0</v>
      </c>
      <c r="L51" s="16" t="n">
        <v>130.92</v>
      </c>
      <c r="M51" s="16" t="n">
        <v>13.08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Q51*O51</f>
        <v/>
      </c>
      <c r="Q51" s="15" t="n">
        <v>4</v>
      </c>
      <c r="R51" s="15">
        <f>IFERROR(INDEX(Tariffe!$E$2:$E$200,MATCH(E51,Tariffe!$A$2:$A$200,0))*1,1)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 60€</t>
        </is>
      </c>
      <c r="F52" s="22">
        <f>IFERROR(INDEX(Tariffe!$B$2:$B$200,MATCH(E52,Tariffe!$A$2:$A$200,0)),"DA DEFINIRE")</f>
        <v/>
      </c>
      <c r="G52" s="12" t="n">
        <v>60</v>
      </c>
      <c r="H52" s="11">
        <f>Q52*R52</f>
        <v/>
      </c>
      <c r="I52" s="11" t="n">
        <v>0</v>
      </c>
      <c r="J52" s="12" t="n">
        <v>360</v>
      </c>
      <c r="K52" s="12" t="n">
        <v>0</v>
      </c>
      <c r="L52" s="12" t="n">
        <v>327.3</v>
      </c>
      <c r="M52" s="12" t="n">
        <v>32.7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Q52*O52</f>
        <v/>
      </c>
      <c r="Q52" s="11" t="n">
        <v>6</v>
      </c>
      <c r="R52" s="11">
        <f>IFERROR(INDEX(Tariffe!$E$2:$E$200,MATCH(E52,Tariffe!$A$2:$A$200,0))*1,1)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 24€</t>
        </is>
      </c>
      <c r="F53" s="23">
        <f>IFERROR(INDEX(Tariffe!$B$2:$B$200,MATCH(E53,Tariffe!$A$2:$A$200,0)),"DA DEFINIRE")</f>
        <v/>
      </c>
      <c r="G53" s="16" t="n">
        <v>24</v>
      </c>
      <c r="H53" s="15">
        <f>Q53*R53</f>
        <v/>
      </c>
      <c r="I53" s="15" t="n">
        <v>0</v>
      </c>
      <c r="J53" s="16" t="n">
        <v>984</v>
      </c>
      <c r="K53" s="16" t="n">
        <v>0</v>
      </c>
      <c r="L53" s="16" t="n">
        <v>894.62</v>
      </c>
      <c r="M53" s="16" t="n">
        <v>89.38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Q53*O53</f>
        <v/>
      </c>
      <c r="Q53" s="15" t="n">
        <v>41</v>
      </c>
      <c r="R53" s="15">
        <f>IFERROR(INDEX(Tariffe!$E$2:$E$200,MATCH(E53,Tariffe!$A$2:$A$200,0))*1,1)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 48€</t>
        </is>
      </c>
      <c r="F54" s="22">
        <f>IFERROR(INDEX(Tariffe!$B$2:$B$200,MATCH(E54,Tariffe!$A$2:$A$200,0)),"DA DEFINIRE")</f>
        <v/>
      </c>
      <c r="G54" s="12" t="n">
        <v>48</v>
      </c>
      <c r="H54" s="11">
        <f>Q54*R54</f>
        <v/>
      </c>
      <c r="I54" s="11" t="n">
        <v>0</v>
      </c>
      <c r="J54" s="12" t="n">
        <v>1584</v>
      </c>
      <c r="K54" s="12" t="n">
        <v>0</v>
      </c>
      <c r="L54" s="12" t="n">
        <v>1440.12</v>
      </c>
      <c r="M54" s="12" t="n">
        <v>143.88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Q54*O54</f>
        <v/>
      </c>
      <c r="Q54" s="11" t="n">
        <v>33</v>
      </c>
      <c r="R54" s="11">
        <f>IFERROR(INDEX(Tariffe!$E$2:$E$200,MATCH(E54,Tariffe!$A$2:$A$200,0))*1,1)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 36€</t>
        </is>
      </c>
      <c r="F55" s="23">
        <f>IFERROR(INDEX(Tariffe!$B$2:$B$200,MATCH(E55,Tariffe!$A$2:$A$200,0)),"DA DEFINIRE")</f>
        <v/>
      </c>
      <c r="G55" s="16" t="n">
        <v>36</v>
      </c>
      <c r="H55" s="15">
        <f>Q55*R55</f>
        <v/>
      </c>
      <c r="I55" s="15" t="n">
        <v>0</v>
      </c>
      <c r="J55" s="16" t="n">
        <v>324</v>
      </c>
      <c r="K55" s="16" t="n">
        <v>0</v>
      </c>
      <c r="L55" s="16" t="n">
        <v>294.57</v>
      </c>
      <c r="M55" s="16" t="n">
        <v>29.43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Q55*O55</f>
        <v/>
      </c>
      <c r="Q55" s="15" t="n">
        <v>9</v>
      </c>
      <c r="R55" s="15">
        <f>IFERROR(INDEX(Tariffe!$E$2:$E$200,MATCH(E55,Tariffe!$A$2:$A$200,0))*1,1)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I5 60€</t>
        </is>
      </c>
      <c r="F56" s="22">
        <f>IFERROR(INDEX(Tariffe!$B$2:$B$200,MATCH(E56,Tariffe!$A$2:$A$200,0)),"DA DEFINIRE")</f>
        <v/>
      </c>
      <c r="G56" s="12" t="n">
        <v>60</v>
      </c>
      <c r="H56" s="11">
        <f>Q56*R56</f>
        <v/>
      </c>
      <c r="I56" s="11" t="n">
        <v>0</v>
      </c>
      <c r="J56" s="12" t="n">
        <v>600</v>
      </c>
      <c r="K56" s="12" t="n">
        <v>0</v>
      </c>
      <c r="L56" s="12" t="n">
        <v>545.5</v>
      </c>
      <c r="M56" s="12" t="n">
        <v>54.5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Q56*O56</f>
        <v/>
      </c>
      <c r="Q56" s="11" t="n">
        <v>10</v>
      </c>
      <c r="R56" s="11">
        <f>IFERROR(INDEX(Tariffe!$E$2:$E$200,MATCH(E56,Tariffe!$A$2:$A$200,0))*1,1)</f>
        <v/>
      </c>
    </row>
    <row r="57">
      <c r="A57" s="23" t="inlineStr">
        <is>
          <t>20261025_2315</t>
        </is>
      </c>
      <c r="B57" s="13" t="n">
        <v>46320</v>
      </c>
      <c r="C57" s="14" t="n">
        <v>0.96875</v>
      </c>
      <c r="D57" s="23" t="inlineStr">
        <is>
          <t>UN Unico</t>
        </is>
      </c>
      <c r="E57" s="23" t="inlineStr">
        <is>
          <t>I8 24€</t>
        </is>
      </c>
      <c r="F57" s="23">
        <f>IFERROR(INDEX(Tariffe!$B$2:$B$200,MATCH(E57,Tariffe!$A$2:$A$200,0)),"DA DEFINIRE")</f>
        <v/>
      </c>
      <c r="G57" s="16" t="n">
        <v>24</v>
      </c>
      <c r="H57" s="15">
        <f>Q57*R57</f>
        <v/>
      </c>
      <c r="I57" s="15" t="n">
        <v>0</v>
      </c>
      <c r="J57" s="16" t="n">
        <v>672</v>
      </c>
      <c r="K57" s="16" t="n">
        <v>0</v>
      </c>
      <c r="L57" s="16" t="n">
        <v>610.96</v>
      </c>
      <c r="M57" s="16" t="n">
        <v>61.04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Q57*O57</f>
        <v/>
      </c>
      <c r="Q57" s="15" t="n">
        <v>28</v>
      </c>
      <c r="R57" s="15">
        <f>IFERROR(INDEX(Tariffe!$E$2:$E$200,MATCH(E57,Tariffe!$A$2:$A$200,0))*1,1)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I1 48€</t>
        </is>
      </c>
      <c r="F58" s="22">
        <f>IFERROR(INDEX(Tariffe!$B$2:$B$200,MATCH(E58,Tariffe!$A$2:$A$200,0)),"DA DEFINIRE")</f>
        <v/>
      </c>
      <c r="G58" s="12" t="n">
        <v>48</v>
      </c>
      <c r="H58" s="11">
        <f>Q58*R58</f>
        <v/>
      </c>
      <c r="I58" s="11" t="n">
        <v>0</v>
      </c>
      <c r="J58" s="12" t="n">
        <v>1776</v>
      </c>
      <c r="K58" s="12" t="n">
        <v>0</v>
      </c>
      <c r="L58" s="12" t="n">
        <v>1614.68</v>
      </c>
      <c r="M58" s="12" t="n">
        <v>161.32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Q58*O58</f>
        <v/>
      </c>
      <c r="Q58" s="11" t="n">
        <v>37</v>
      </c>
      <c r="R58" s="11">
        <f>IFERROR(INDEX(Tariffe!$E$2:$E$200,MATCH(E58,Tariffe!$A$2:$A$200,0))*1,1)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I2 36€</t>
        </is>
      </c>
      <c r="F59" s="23">
        <f>IFERROR(INDEX(Tariffe!$B$2:$B$200,MATCH(E59,Tariffe!$A$2:$A$200,0)),"DA DEFINIRE")</f>
        <v/>
      </c>
      <c r="G59" s="16" t="n">
        <v>36</v>
      </c>
      <c r="H59" s="15">
        <f>Q59*R59</f>
        <v/>
      </c>
      <c r="I59" s="15" t="n">
        <v>2</v>
      </c>
      <c r="J59" s="16" t="n">
        <v>324</v>
      </c>
      <c r="K59" s="16" t="n">
        <v>0</v>
      </c>
      <c r="L59" s="16" t="n">
        <v>294.57</v>
      </c>
      <c r="M59" s="16" t="n">
        <v>29.43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Q59*O59</f>
        <v/>
      </c>
      <c r="Q59" s="15" t="n">
        <v>9</v>
      </c>
      <c r="R59" s="15">
        <f>IFERROR(INDEX(Tariffe!$E$2:$E$200,MATCH(E59,Tariffe!$A$2:$A$200,0))*1,1)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I5 60€</t>
        </is>
      </c>
      <c r="F60" s="22">
        <f>IFERROR(INDEX(Tariffe!$B$2:$B$200,MATCH(E60,Tariffe!$A$2:$A$200,0)),"DA DEFINIRE")</f>
        <v/>
      </c>
      <c r="G60" s="12" t="n">
        <v>60</v>
      </c>
      <c r="H60" s="11">
        <f>Q60*R60</f>
        <v/>
      </c>
      <c r="I60" s="11" t="n">
        <v>0</v>
      </c>
      <c r="J60" s="12" t="n">
        <v>420</v>
      </c>
      <c r="K60" s="12" t="n">
        <v>0</v>
      </c>
      <c r="L60" s="12" t="n">
        <v>381.85</v>
      </c>
      <c r="M60" s="12" t="n">
        <v>38.15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Q60*O60</f>
        <v/>
      </c>
      <c r="Q60" s="11" t="n">
        <v>7</v>
      </c>
      <c r="R60" s="11">
        <f>IFERROR(INDEX(Tariffe!$E$2:$E$200,MATCH(E60,Tariffe!$A$2:$A$200,0))*1,1)</f>
        <v/>
      </c>
    </row>
    <row r="61">
      <c r="A61" s="23" t="inlineStr">
        <is>
          <t>20261025_2359</t>
        </is>
      </c>
      <c r="B61" s="13" t="n">
        <v>46320</v>
      </c>
      <c r="C61" s="14" t="n">
        <v>0.9993055555555556</v>
      </c>
      <c r="D61" s="23" t="inlineStr">
        <is>
          <t>UN Unico</t>
        </is>
      </c>
      <c r="E61" s="23" t="inlineStr">
        <is>
          <t>I8 24€</t>
        </is>
      </c>
      <c r="F61" s="23">
        <f>IFERROR(INDEX(Tariffe!$B$2:$B$200,MATCH(E61,Tariffe!$A$2:$A$200,0)),"DA DEFINIRE")</f>
        <v/>
      </c>
      <c r="G61" s="16" t="n">
        <v>24</v>
      </c>
      <c r="H61" s="15">
        <f>Q61*R61</f>
        <v/>
      </c>
      <c r="I61" s="15" t="n">
        <v>0</v>
      </c>
      <c r="J61" s="16" t="n">
        <v>648</v>
      </c>
      <c r="K61" s="16" t="n">
        <v>0</v>
      </c>
      <c r="L61" s="16" t="n">
        <v>589.14</v>
      </c>
      <c r="M61" s="16" t="n">
        <v>58.86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Q61*O61</f>
        <v/>
      </c>
      <c r="Q61" s="15" t="n">
        <v>27</v>
      </c>
      <c r="R61" s="15">
        <f>IFERROR(INDEX(Tariffe!$E$2:$E$200,MATCH(E61,Tariffe!$A$2:$A$200,0))*1,1)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I1 48€</t>
        </is>
      </c>
      <c r="F62" s="22">
        <f>IFERROR(INDEX(Tariffe!$B$2:$B$200,MATCH(E62,Tariffe!$A$2:$A$200,0)),"DA DEFINIRE")</f>
        <v/>
      </c>
      <c r="G62" s="12" t="n">
        <v>48</v>
      </c>
      <c r="H62" s="11">
        <f>Q62*R62</f>
        <v/>
      </c>
      <c r="I62" s="11" t="n">
        <v>0</v>
      </c>
      <c r="J62" s="12" t="n">
        <v>96</v>
      </c>
      <c r="K62" s="12" t="n">
        <v>0</v>
      </c>
      <c r="L62" s="12" t="n">
        <v>87.28</v>
      </c>
      <c r="M62" s="12" t="n">
        <v>8.720000000000001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Q62*O62</f>
        <v/>
      </c>
      <c r="Q62" s="11" t="n">
        <v>2</v>
      </c>
      <c r="R62" s="11">
        <f>IFERROR(INDEX(Tariffe!$E$2:$E$200,MATCH(E62,Tariffe!$A$2:$A$200,0))*1,1)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I5 60€</t>
        </is>
      </c>
      <c r="F63" s="23">
        <f>IFERROR(INDEX(Tariffe!$B$2:$B$200,MATCH(E63,Tariffe!$A$2:$A$200,0)),"DA DEFINIRE")</f>
        <v/>
      </c>
      <c r="G63" s="16" t="n">
        <v>60</v>
      </c>
      <c r="H63" s="15">
        <f>Q63*R63</f>
        <v/>
      </c>
      <c r="I63" s="15" t="n">
        <v>0</v>
      </c>
      <c r="J63" s="16" t="n">
        <v>120</v>
      </c>
      <c r="K63" s="16" t="n">
        <v>0</v>
      </c>
      <c r="L63" s="16" t="n">
        <v>109.1</v>
      </c>
      <c r="M63" s="16" t="n">
        <v>10.9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Q63*O63</f>
        <v/>
      </c>
      <c r="Q63" s="15" t="n">
        <v>2</v>
      </c>
      <c r="R63" s="15">
        <f>IFERROR(INDEX(Tariffe!$E$2:$E$200,MATCH(E63,Tariffe!$A$2:$A$200,0))*1,1)</f>
        <v/>
      </c>
    </row>
    <row r="64">
      <c r="A64" s="22" t="inlineStr">
        <is>
          <t>20261029_2015</t>
        </is>
      </c>
      <c r="B64" s="9" t="n">
        <v>46324</v>
      </c>
      <c r="C64" s="10" t="n">
        <v>0.84375</v>
      </c>
      <c r="D64" s="22" t="inlineStr">
        <is>
          <t>UN Unico</t>
        </is>
      </c>
      <c r="E64" s="22" t="inlineStr">
        <is>
          <t>I8 24€</t>
        </is>
      </c>
      <c r="F64" s="22">
        <f>IFERROR(INDEX(Tariffe!$B$2:$B$200,MATCH(E64,Tariffe!$A$2:$A$200,0)),"DA DEFINIRE")</f>
        <v/>
      </c>
      <c r="G64" s="12" t="n">
        <v>24</v>
      </c>
      <c r="H64" s="11">
        <f>Q64*R64</f>
        <v/>
      </c>
      <c r="I64" s="11" t="n">
        <v>0</v>
      </c>
      <c r="J64" s="12" t="n">
        <v>144</v>
      </c>
      <c r="K64" s="12" t="n">
        <v>0</v>
      </c>
      <c r="L64" s="12" t="n">
        <v>130.92</v>
      </c>
      <c r="M64" s="12" t="n">
        <v>13.08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Q64*O64</f>
        <v/>
      </c>
      <c r="Q64" s="11" t="n">
        <v>6</v>
      </c>
      <c r="R64" s="11">
        <f>IFERROR(INDEX(Tariffe!$E$2:$E$200,MATCH(E64,Tariffe!$A$2:$A$200,0))*1,1)</f>
        <v/>
      </c>
    </row>
    <row r="65">
      <c r="A65" s="23" t="inlineStr">
        <is>
          <t>20261029_2115</t>
        </is>
      </c>
      <c r="B65" s="13" t="n">
        <v>46324</v>
      </c>
      <c r="C65" s="14" t="n">
        <v>0.8854166666666666</v>
      </c>
      <c r="D65" s="23" t="inlineStr">
        <is>
          <t>UN Unico</t>
        </is>
      </c>
      <c r="E65" s="23" t="inlineStr">
        <is>
          <t>I1 48€</t>
        </is>
      </c>
      <c r="F65" s="23">
        <f>IFERROR(INDEX(Tariffe!$B$2:$B$200,MATCH(E65,Tariffe!$A$2:$A$200,0)),"DA DEFINIRE")</f>
        <v/>
      </c>
      <c r="G65" s="16" t="n">
        <v>48</v>
      </c>
      <c r="H65" s="15">
        <f>Q65*R65</f>
        <v/>
      </c>
      <c r="I65" s="15" t="n">
        <v>0</v>
      </c>
      <c r="J65" s="16" t="n">
        <v>384</v>
      </c>
      <c r="K65" s="16" t="n">
        <v>0</v>
      </c>
      <c r="L65" s="16" t="n">
        <v>349.12</v>
      </c>
      <c r="M65" s="16" t="n">
        <v>34.88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Q65*O65</f>
        <v/>
      </c>
      <c r="Q65" s="15" t="n">
        <v>8</v>
      </c>
      <c r="R65" s="15">
        <f>IFERROR(INDEX(Tariffe!$E$2:$E$200,MATCH(E65,Tariffe!$A$2:$A$200,0))*1,1)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I2 36€</t>
        </is>
      </c>
      <c r="F66" s="22">
        <f>IFERROR(INDEX(Tariffe!$B$2:$B$200,MATCH(E66,Tariffe!$A$2:$A$200,0)),"DA DEFINIRE")</f>
        <v/>
      </c>
      <c r="G66" s="12" t="n">
        <v>36</v>
      </c>
      <c r="H66" s="11">
        <f>Q66*R66</f>
        <v/>
      </c>
      <c r="I66" s="11" t="n">
        <v>0</v>
      </c>
      <c r="J66" s="12" t="n">
        <v>360</v>
      </c>
      <c r="K66" s="12" t="n">
        <v>0</v>
      </c>
      <c r="L66" s="12" t="n">
        <v>327.3</v>
      </c>
      <c r="M66" s="12" t="n">
        <v>32.7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Q66*O66</f>
        <v/>
      </c>
      <c r="Q66" s="11" t="n">
        <v>10</v>
      </c>
      <c r="R66" s="11">
        <f>IFERROR(INDEX(Tariffe!$E$2:$E$200,MATCH(E66,Tariffe!$A$2:$A$200,0))*1,1)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I5 60€</t>
        </is>
      </c>
      <c r="F67" s="23">
        <f>IFERROR(INDEX(Tariffe!$B$2:$B$200,MATCH(E67,Tariffe!$A$2:$A$200,0)),"DA DEFINIRE")</f>
        <v/>
      </c>
      <c r="G67" s="16" t="n">
        <v>60</v>
      </c>
      <c r="H67" s="15">
        <f>Q67*R67</f>
        <v/>
      </c>
      <c r="I67" s="15" t="n">
        <v>0</v>
      </c>
      <c r="J67" s="16" t="n">
        <v>180</v>
      </c>
      <c r="K67" s="16" t="n">
        <v>0</v>
      </c>
      <c r="L67" s="16" t="n">
        <v>163.65</v>
      </c>
      <c r="M67" s="16" t="n">
        <v>16.35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Q67*O67</f>
        <v/>
      </c>
      <c r="Q67" s="15" t="n">
        <v>3</v>
      </c>
      <c r="R67" s="15">
        <f>IFERROR(INDEX(Tariffe!$E$2:$E$200,MATCH(E67,Tariffe!$A$2:$A$200,0))*1,1)</f>
        <v/>
      </c>
    </row>
    <row r="68">
      <c r="A68" s="22" t="inlineStr">
        <is>
          <t>20261029_2115</t>
        </is>
      </c>
      <c r="B68" s="9" t="n">
        <v>46324</v>
      </c>
      <c r="C68" s="10" t="n">
        <v>0.8854166666666666</v>
      </c>
      <c r="D68" s="22" t="inlineStr">
        <is>
          <t>UN Unico</t>
        </is>
      </c>
      <c r="E68" s="22" t="inlineStr">
        <is>
          <t>I8 24€</t>
        </is>
      </c>
      <c r="F68" s="22">
        <f>IFERROR(INDEX(Tariffe!$B$2:$B$200,MATCH(E68,Tariffe!$A$2:$A$200,0)),"DA DEFINIRE")</f>
        <v/>
      </c>
      <c r="G68" s="12" t="n">
        <v>24</v>
      </c>
      <c r="H68" s="11">
        <f>Q68*R68</f>
        <v/>
      </c>
      <c r="I68" s="11" t="n">
        <v>0</v>
      </c>
      <c r="J68" s="12" t="n">
        <v>408</v>
      </c>
      <c r="K68" s="12" t="n">
        <v>0</v>
      </c>
      <c r="L68" s="12" t="n">
        <v>370.94</v>
      </c>
      <c r="M68" s="12" t="n">
        <v>37.06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Q68*O68</f>
        <v/>
      </c>
      <c r="Q68" s="11" t="n">
        <v>17</v>
      </c>
      <c r="R68" s="11">
        <f>IFERROR(INDEX(Tariffe!$E$2:$E$200,MATCH(E68,Tariffe!$A$2:$A$200,0))*1,1)</f>
        <v/>
      </c>
    </row>
    <row r="69">
      <c r="A69" s="23" t="inlineStr">
        <is>
          <t>20261029_2215</t>
        </is>
      </c>
      <c r="B69" s="13" t="n">
        <v>46324</v>
      </c>
      <c r="C69" s="14" t="n">
        <v>0.9270833333333334</v>
      </c>
      <c r="D69" s="23" t="inlineStr">
        <is>
          <t>UN Unico</t>
        </is>
      </c>
      <c r="E69" s="23" t="inlineStr">
        <is>
          <t>I1 48€</t>
        </is>
      </c>
      <c r="F69" s="23">
        <f>IFERROR(INDEX(Tariffe!$B$2:$B$200,MATCH(E69,Tariffe!$A$2:$A$200,0)),"DA DEFINIRE")</f>
        <v/>
      </c>
      <c r="G69" s="16" t="n">
        <v>48</v>
      </c>
      <c r="H69" s="15">
        <f>Q69*R69</f>
        <v/>
      </c>
      <c r="I69" s="15" t="n">
        <v>0</v>
      </c>
      <c r="J69" s="16" t="n">
        <v>1008</v>
      </c>
      <c r="K69" s="16" t="n">
        <v>0</v>
      </c>
      <c r="L69" s="16" t="n">
        <v>916.4400000000001</v>
      </c>
      <c r="M69" s="16" t="n">
        <v>91.56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Q69*O69</f>
        <v/>
      </c>
      <c r="Q69" s="15" t="n">
        <v>21</v>
      </c>
      <c r="R69" s="15">
        <f>IFERROR(INDEX(Tariffe!$E$2:$E$200,MATCH(E69,Tariffe!$A$2:$A$200,0))*1,1)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I2 36€</t>
        </is>
      </c>
      <c r="F70" s="22">
        <f>IFERROR(INDEX(Tariffe!$B$2:$B$200,MATCH(E70,Tariffe!$A$2:$A$200,0)),"DA DEFINIRE")</f>
        <v/>
      </c>
      <c r="G70" s="12" t="n">
        <v>36</v>
      </c>
      <c r="H70" s="11">
        <f>Q70*R70</f>
        <v/>
      </c>
      <c r="I70" s="11" t="n">
        <v>0</v>
      </c>
      <c r="J70" s="12" t="n">
        <v>288</v>
      </c>
      <c r="K70" s="12" t="n">
        <v>0</v>
      </c>
      <c r="L70" s="12" t="n">
        <v>261.84</v>
      </c>
      <c r="M70" s="12" t="n">
        <v>26.16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Q70*O70</f>
        <v/>
      </c>
      <c r="Q70" s="11" t="n">
        <v>8</v>
      </c>
      <c r="R70" s="11">
        <f>IFERROR(INDEX(Tariffe!$E$2:$E$200,MATCH(E70,Tariffe!$A$2:$A$200,0))*1,1)</f>
        <v/>
      </c>
    </row>
    <row r="71">
      <c r="A71" s="23" t="inlineStr">
        <is>
          <t>20261029_2215</t>
        </is>
      </c>
      <c r="B71" s="13" t="n">
        <v>46324</v>
      </c>
      <c r="C71" s="14" t="n">
        <v>0.9270833333333334</v>
      </c>
      <c r="D71" s="23" t="inlineStr">
        <is>
          <t>UN Unico</t>
        </is>
      </c>
      <c r="E71" s="23" t="inlineStr">
        <is>
          <t>I5 60€</t>
        </is>
      </c>
      <c r="F71" s="23">
        <f>IFERROR(INDEX(Tariffe!$B$2:$B$200,MATCH(E71,Tariffe!$A$2:$A$200,0)),"DA DEFINIRE")</f>
        <v/>
      </c>
      <c r="G71" s="16" t="n">
        <v>60</v>
      </c>
      <c r="H71" s="15">
        <f>Q71*R71</f>
        <v/>
      </c>
      <c r="I71" s="15" t="n">
        <v>0</v>
      </c>
      <c r="J71" s="16" t="n">
        <v>480</v>
      </c>
      <c r="K71" s="16" t="n">
        <v>0</v>
      </c>
      <c r="L71" s="16" t="n">
        <v>436.4</v>
      </c>
      <c r="M71" s="16" t="n">
        <v>43.6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Q71*O71</f>
        <v/>
      </c>
      <c r="Q71" s="15" t="n">
        <v>8</v>
      </c>
      <c r="R71" s="15">
        <f>IFERROR(INDEX(Tariffe!$E$2:$E$200,MATCH(E71,Tariffe!$A$2:$A$200,0))*1,1)</f>
        <v/>
      </c>
    </row>
    <row r="72">
      <c r="A72" s="22" t="inlineStr">
        <is>
          <t>20261029_2215</t>
        </is>
      </c>
      <c r="B72" s="9" t="n">
        <v>46324</v>
      </c>
      <c r="C72" s="10" t="n">
        <v>0.9270833333333334</v>
      </c>
      <c r="D72" s="22" t="inlineStr">
        <is>
          <t>UN Unico</t>
        </is>
      </c>
      <c r="E72" s="22" t="inlineStr">
        <is>
          <t>I8 24€</t>
        </is>
      </c>
      <c r="F72" s="22">
        <f>IFERROR(INDEX(Tariffe!$B$2:$B$200,MATCH(E72,Tariffe!$A$2:$A$200,0)),"DA DEFINIRE")</f>
        <v/>
      </c>
      <c r="G72" s="12" t="n">
        <v>24</v>
      </c>
      <c r="H72" s="11">
        <f>Q72*R72</f>
        <v/>
      </c>
      <c r="I72" s="11" t="n">
        <v>0</v>
      </c>
      <c r="J72" s="12" t="n">
        <v>648</v>
      </c>
      <c r="K72" s="12" t="n">
        <v>0</v>
      </c>
      <c r="L72" s="12" t="n">
        <v>589.14</v>
      </c>
      <c r="M72" s="12" t="n">
        <v>58.86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Q72*O72</f>
        <v/>
      </c>
      <c r="Q72" s="11" t="n">
        <v>27</v>
      </c>
      <c r="R72" s="11">
        <f>IFERROR(INDEX(Tariffe!$E$2:$E$200,MATCH(E72,Tariffe!$A$2:$A$200,0))*1,1)</f>
        <v/>
      </c>
    </row>
    <row r="73">
      <c r="A73" s="23" t="inlineStr">
        <is>
          <t>20261029_2315</t>
        </is>
      </c>
      <c r="B73" s="13" t="n">
        <v>46324</v>
      </c>
      <c r="C73" s="14" t="n">
        <v>0.96875</v>
      </c>
      <c r="D73" s="23" t="inlineStr">
        <is>
          <t>UN Unico</t>
        </is>
      </c>
      <c r="E73" s="23" t="inlineStr">
        <is>
          <t>I1 48€</t>
        </is>
      </c>
      <c r="F73" s="23">
        <f>IFERROR(INDEX(Tariffe!$B$2:$B$200,MATCH(E73,Tariffe!$A$2:$A$200,0)),"DA DEFINIRE")</f>
        <v/>
      </c>
      <c r="G73" s="16" t="n">
        <v>48</v>
      </c>
      <c r="H73" s="15">
        <f>Q73*R73</f>
        <v/>
      </c>
      <c r="I73" s="15" t="n">
        <v>0</v>
      </c>
      <c r="J73" s="16" t="n">
        <v>720</v>
      </c>
      <c r="K73" s="16" t="n">
        <v>0</v>
      </c>
      <c r="L73" s="16" t="n">
        <v>654.6</v>
      </c>
      <c r="M73" s="16" t="n">
        <v>65.40000000000001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Q73*O73</f>
        <v/>
      </c>
      <c r="Q73" s="15" t="n">
        <v>15</v>
      </c>
      <c r="R73" s="15">
        <f>IFERROR(INDEX(Tariffe!$E$2:$E$200,MATCH(E73,Tariffe!$A$2:$A$200,0))*1,1)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I2 36€</t>
        </is>
      </c>
      <c r="F74" s="22">
        <f>IFERROR(INDEX(Tariffe!$B$2:$B$200,MATCH(E74,Tariffe!$A$2:$A$200,0)),"DA DEFINIRE")</f>
        <v/>
      </c>
      <c r="G74" s="12" t="n">
        <v>36</v>
      </c>
      <c r="H74" s="11">
        <f>Q74*R74</f>
        <v/>
      </c>
      <c r="I74" s="11" t="n">
        <v>0</v>
      </c>
      <c r="J74" s="12" t="n">
        <v>108</v>
      </c>
      <c r="K74" s="12" t="n">
        <v>0</v>
      </c>
      <c r="L74" s="12" t="n">
        <v>98.19</v>
      </c>
      <c r="M74" s="12" t="n">
        <v>9.81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Q74*O74</f>
        <v/>
      </c>
      <c r="Q74" s="11" t="n">
        <v>3</v>
      </c>
      <c r="R74" s="11">
        <f>IFERROR(INDEX(Tariffe!$E$2:$E$200,MATCH(E74,Tariffe!$A$2:$A$200,0))*1,1)</f>
        <v/>
      </c>
    </row>
    <row r="75">
      <c r="A75" s="23" t="inlineStr">
        <is>
          <t>20261029_2315</t>
        </is>
      </c>
      <c r="B75" s="13" t="n">
        <v>46324</v>
      </c>
      <c r="C75" s="14" t="n">
        <v>0.96875</v>
      </c>
      <c r="D75" s="23" t="inlineStr">
        <is>
          <t>UN Unico</t>
        </is>
      </c>
      <c r="E75" s="23" t="inlineStr">
        <is>
          <t>I5 60€</t>
        </is>
      </c>
      <c r="F75" s="23">
        <f>IFERROR(INDEX(Tariffe!$B$2:$B$200,MATCH(E75,Tariffe!$A$2:$A$200,0)),"DA DEFINIRE")</f>
        <v/>
      </c>
      <c r="G75" s="16" t="n">
        <v>60</v>
      </c>
      <c r="H75" s="15">
        <f>Q75*R75</f>
        <v/>
      </c>
      <c r="I75" s="15" t="n">
        <v>1</v>
      </c>
      <c r="J75" s="16" t="n">
        <v>600</v>
      </c>
      <c r="K75" s="16" t="n">
        <v>0</v>
      </c>
      <c r="L75" s="16" t="n">
        <v>545.5</v>
      </c>
      <c r="M75" s="16" t="n">
        <v>54.5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Q75*O75</f>
        <v/>
      </c>
      <c r="Q75" s="15" t="n">
        <v>10</v>
      </c>
      <c r="R75" s="15">
        <f>IFERROR(INDEX(Tariffe!$E$2:$E$200,MATCH(E75,Tariffe!$A$2:$A$200,0))*1,1)</f>
        <v/>
      </c>
    </row>
    <row r="76">
      <c r="A76" s="22" t="inlineStr">
        <is>
          <t>20261029_2315</t>
        </is>
      </c>
      <c r="B76" s="9" t="n">
        <v>46324</v>
      </c>
      <c r="C76" s="10" t="n">
        <v>0.96875</v>
      </c>
      <c r="D76" s="22" t="inlineStr">
        <is>
          <t>UN Unico</t>
        </is>
      </c>
      <c r="E76" s="22" t="inlineStr">
        <is>
          <t>I8 24€</t>
        </is>
      </c>
      <c r="F76" s="22">
        <f>IFERROR(INDEX(Tariffe!$B$2:$B$200,MATCH(E76,Tariffe!$A$2:$A$200,0)),"DA DEFINIRE")</f>
        <v/>
      </c>
      <c r="G76" s="12" t="n">
        <v>24</v>
      </c>
      <c r="H76" s="11">
        <f>Q76*R76</f>
        <v/>
      </c>
      <c r="I76" s="11" t="n">
        <v>0</v>
      </c>
      <c r="J76" s="12" t="n">
        <v>336</v>
      </c>
      <c r="K76" s="12" t="n">
        <v>0</v>
      </c>
      <c r="L76" s="12" t="n">
        <v>305.48</v>
      </c>
      <c r="M76" s="12" t="n">
        <v>30.52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Q76*O76</f>
        <v/>
      </c>
      <c r="Q76" s="11" t="n">
        <v>14</v>
      </c>
      <c r="R76" s="11">
        <f>IFERROR(INDEX(Tariffe!$E$2:$E$200,MATCH(E76,Tariffe!$A$2:$A$200,0))*1,1)</f>
        <v/>
      </c>
    </row>
    <row r="77">
      <c r="A77" s="23" t="inlineStr">
        <is>
          <t>20261029_2359</t>
        </is>
      </c>
      <c r="B77" s="13" t="n">
        <v>46324</v>
      </c>
      <c r="C77" s="14" t="n">
        <v>0.9993055555555556</v>
      </c>
      <c r="D77" s="23" t="inlineStr">
        <is>
          <t>UN Unico</t>
        </is>
      </c>
      <c r="E77" s="23" t="inlineStr">
        <is>
          <t>I1 48€</t>
        </is>
      </c>
      <c r="F77" s="23">
        <f>IFERROR(INDEX(Tariffe!$B$2:$B$200,MATCH(E77,Tariffe!$A$2:$A$200,0)),"DA DEFINIRE")</f>
        <v/>
      </c>
      <c r="G77" s="16" t="n">
        <v>48</v>
      </c>
      <c r="H77" s="15">
        <f>Q77*R77</f>
        <v/>
      </c>
      <c r="I77" s="15" t="n">
        <v>2</v>
      </c>
      <c r="J77" s="16" t="n">
        <v>192</v>
      </c>
      <c r="K77" s="16" t="n">
        <v>0</v>
      </c>
      <c r="L77" s="16" t="n">
        <v>174.56</v>
      </c>
      <c r="M77" s="16" t="n">
        <v>17.44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Q77*O77</f>
        <v/>
      </c>
      <c r="Q77" s="15" t="n">
        <v>4</v>
      </c>
      <c r="R77" s="15">
        <f>IFERROR(INDEX(Tariffe!$E$2:$E$200,MATCH(E77,Tariffe!$A$2:$A$200,0))*1,1)</f>
        <v/>
      </c>
    </row>
    <row r="78">
      <c r="A78" s="22" t="inlineStr">
        <is>
          <t>20261029_2359</t>
        </is>
      </c>
      <c r="B78" s="9" t="n">
        <v>46324</v>
      </c>
      <c r="C78" s="10" t="n">
        <v>0.9993055555555556</v>
      </c>
      <c r="D78" s="22" t="inlineStr">
        <is>
          <t>UN Unico</t>
        </is>
      </c>
      <c r="E78" s="22" t="inlineStr">
        <is>
          <t>I5 60€</t>
        </is>
      </c>
      <c r="F78" s="22">
        <f>IFERROR(INDEX(Tariffe!$B$2:$B$200,MATCH(E78,Tariffe!$A$2:$A$200,0)),"DA DEFINIRE")</f>
        <v/>
      </c>
      <c r="G78" s="12" t="n">
        <v>60</v>
      </c>
      <c r="H78" s="11">
        <f>Q78*R78</f>
        <v/>
      </c>
      <c r="I78" s="11" t="n">
        <v>0</v>
      </c>
      <c r="J78" s="12" t="n">
        <v>120</v>
      </c>
      <c r="K78" s="12" t="n">
        <v>0</v>
      </c>
      <c r="L78" s="12" t="n">
        <v>109.1</v>
      </c>
      <c r="M78" s="12" t="n">
        <v>10.9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Q78*O78</f>
        <v/>
      </c>
      <c r="Q78" s="11" t="n">
        <v>2</v>
      </c>
      <c r="R78" s="11">
        <f>IFERROR(INDEX(Tariffe!$E$2:$E$200,MATCH(E78,Tariffe!$A$2:$A$200,0))*1,1)</f>
        <v/>
      </c>
    </row>
    <row r="79">
      <c r="A79" s="23" t="inlineStr">
        <is>
          <t>20261029_2359</t>
        </is>
      </c>
      <c r="B79" s="13" t="n">
        <v>46324</v>
      </c>
      <c r="C79" s="14" t="n">
        <v>0.9993055555555556</v>
      </c>
      <c r="D79" s="23" t="inlineStr">
        <is>
          <t>UN Unico</t>
        </is>
      </c>
      <c r="E79" s="23" t="inlineStr">
        <is>
          <t>I8 24€</t>
        </is>
      </c>
      <c r="F79" s="23">
        <f>IFERROR(INDEX(Tariffe!$B$2:$B$200,MATCH(E79,Tariffe!$A$2:$A$200,0)),"DA DEFINIRE")</f>
        <v/>
      </c>
      <c r="G79" s="16" t="n">
        <v>24</v>
      </c>
      <c r="H79" s="15">
        <f>Q79*R79</f>
        <v/>
      </c>
      <c r="I79" s="15" t="n">
        <v>0</v>
      </c>
      <c r="J79" s="16" t="n">
        <v>240</v>
      </c>
      <c r="K79" s="16" t="n">
        <v>0</v>
      </c>
      <c r="L79" s="16" t="n">
        <v>218.2</v>
      </c>
      <c r="M79" s="16" t="n">
        <v>21.8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Q79*O79</f>
        <v/>
      </c>
      <c r="Q79" s="15" t="n">
        <v>10</v>
      </c>
      <c r="R79" s="15">
        <f>IFERROR(INDEX(Tariffe!$E$2:$E$200,MATCH(E79,Tariffe!$A$2:$A$200,0))*1,1)</f>
        <v/>
      </c>
    </row>
    <row r="80">
      <c r="A80" s="22" t="inlineStr">
        <is>
          <t>20261030_2015</t>
        </is>
      </c>
      <c r="B80" s="9" t="n">
        <v>46325</v>
      </c>
      <c r="C80" s="10" t="n">
        <v>0.84375</v>
      </c>
      <c r="D80" s="22" t="inlineStr">
        <is>
          <t>UN Unico</t>
        </is>
      </c>
      <c r="E80" s="22" t="inlineStr">
        <is>
          <t>I1 48€</t>
        </is>
      </c>
      <c r="F80" s="22">
        <f>IFERROR(INDEX(Tariffe!$B$2:$B$200,MATCH(E80,Tariffe!$A$2:$A$200,0)),"DA DEFINIRE")</f>
        <v/>
      </c>
      <c r="G80" s="12" t="n">
        <v>48</v>
      </c>
      <c r="H80" s="11">
        <f>Q80*R80</f>
        <v/>
      </c>
      <c r="I80" s="11" t="n">
        <v>0</v>
      </c>
      <c r="J80" s="12" t="n">
        <v>96</v>
      </c>
      <c r="K80" s="12" t="n">
        <v>0</v>
      </c>
      <c r="L80" s="12" t="n">
        <v>87.28</v>
      </c>
      <c r="M80" s="12" t="n">
        <v>8.720000000000001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Q80*O80</f>
        <v/>
      </c>
      <c r="Q80" s="11" t="n">
        <v>2</v>
      </c>
      <c r="R80" s="11">
        <f>IFERROR(INDEX(Tariffe!$E$2:$E$200,MATCH(E80,Tariffe!$A$2:$A$200,0))*1,1)</f>
        <v/>
      </c>
    </row>
    <row r="81">
      <c r="A81" s="23" t="inlineStr">
        <is>
          <t>20261030_2015</t>
        </is>
      </c>
      <c r="B81" s="13" t="n">
        <v>46325</v>
      </c>
      <c r="C81" s="14" t="n">
        <v>0.84375</v>
      </c>
      <c r="D81" s="23" t="inlineStr">
        <is>
          <t>UN Unico</t>
        </is>
      </c>
      <c r="E81" s="23" t="inlineStr">
        <is>
          <t>I8 24€</t>
        </is>
      </c>
      <c r="F81" s="23">
        <f>IFERROR(INDEX(Tariffe!$B$2:$B$200,MATCH(E81,Tariffe!$A$2:$A$200,0)),"DA DEFINIRE")</f>
        <v/>
      </c>
      <c r="G81" s="16" t="n">
        <v>24</v>
      </c>
      <c r="H81" s="15">
        <f>Q81*R81</f>
        <v/>
      </c>
      <c r="I81" s="15" t="n">
        <v>0</v>
      </c>
      <c r="J81" s="16" t="n">
        <v>120</v>
      </c>
      <c r="K81" s="16" t="n">
        <v>0</v>
      </c>
      <c r="L81" s="16" t="n">
        <v>109.1</v>
      </c>
      <c r="M81" s="16" t="n">
        <v>10.9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Q81*O81</f>
        <v/>
      </c>
      <c r="Q81" s="15" t="n">
        <v>5</v>
      </c>
      <c r="R81" s="15">
        <f>IFERROR(INDEX(Tariffe!$E$2:$E$200,MATCH(E81,Tariffe!$A$2:$A$200,0))*1,1)</f>
        <v/>
      </c>
    </row>
    <row r="82">
      <c r="A82" s="22" t="inlineStr">
        <is>
          <t>20261030_2115</t>
        </is>
      </c>
      <c r="B82" s="9" t="n">
        <v>46325</v>
      </c>
      <c r="C82" s="10" t="n">
        <v>0.8854166666666666</v>
      </c>
      <c r="D82" s="22" t="inlineStr">
        <is>
          <t>UN Unico</t>
        </is>
      </c>
      <c r="E82" s="22" t="inlineStr">
        <is>
          <t>I1 48€</t>
        </is>
      </c>
      <c r="F82" s="22">
        <f>IFERROR(INDEX(Tariffe!$B$2:$B$200,MATCH(E82,Tariffe!$A$2:$A$200,0)),"DA DEFINIRE")</f>
        <v/>
      </c>
      <c r="G82" s="12" t="n">
        <v>48</v>
      </c>
      <c r="H82" s="11">
        <f>Q82*R82</f>
        <v/>
      </c>
      <c r="I82" s="11" t="n">
        <v>0</v>
      </c>
      <c r="J82" s="12" t="n">
        <v>192</v>
      </c>
      <c r="K82" s="12" t="n">
        <v>0</v>
      </c>
      <c r="L82" s="12" t="n">
        <v>174.56</v>
      </c>
      <c r="M82" s="12" t="n">
        <v>17.44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Q82*O82</f>
        <v/>
      </c>
      <c r="Q82" s="11" t="n">
        <v>4</v>
      </c>
      <c r="R82" s="11">
        <f>IFERROR(INDEX(Tariffe!$E$2:$E$200,MATCH(E82,Tariffe!$A$2:$A$200,0))*1,1)</f>
        <v/>
      </c>
    </row>
    <row r="83">
      <c r="A83" s="23" t="inlineStr">
        <is>
          <t>20261030_2115</t>
        </is>
      </c>
      <c r="B83" s="13" t="n">
        <v>46325</v>
      </c>
      <c r="C83" s="14" t="n">
        <v>0.8854166666666666</v>
      </c>
      <c r="D83" s="23" t="inlineStr">
        <is>
          <t>UN Unico</t>
        </is>
      </c>
      <c r="E83" s="23" t="inlineStr">
        <is>
          <t>I2 36€</t>
        </is>
      </c>
      <c r="F83" s="23">
        <f>IFERROR(INDEX(Tariffe!$B$2:$B$200,MATCH(E83,Tariffe!$A$2:$A$200,0)),"DA DEFINIRE")</f>
        <v/>
      </c>
      <c r="G83" s="16" t="n">
        <v>36</v>
      </c>
      <c r="H83" s="15">
        <f>Q83*R83</f>
        <v/>
      </c>
      <c r="I83" s="15" t="n">
        <v>0</v>
      </c>
      <c r="J83" s="16" t="n">
        <v>36</v>
      </c>
      <c r="K83" s="16" t="n">
        <v>0</v>
      </c>
      <c r="L83" s="16" t="n">
        <v>32.73</v>
      </c>
      <c r="M83" s="16" t="n">
        <v>3.27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Q83*O83</f>
        <v/>
      </c>
      <c r="Q83" s="15" t="n">
        <v>1</v>
      </c>
      <c r="R83" s="15">
        <f>IFERROR(INDEX(Tariffe!$E$2:$E$200,MATCH(E83,Tariffe!$A$2:$A$200,0))*1,1)</f>
        <v/>
      </c>
    </row>
    <row r="84">
      <c r="A84" s="22" t="inlineStr">
        <is>
          <t>20261030_2115</t>
        </is>
      </c>
      <c r="B84" s="9" t="n">
        <v>46325</v>
      </c>
      <c r="C84" s="10" t="n">
        <v>0.8854166666666666</v>
      </c>
      <c r="D84" s="22" t="inlineStr">
        <is>
          <t>UN Unico</t>
        </is>
      </c>
      <c r="E84" s="22" t="inlineStr">
        <is>
          <t>I5 60€</t>
        </is>
      </c>
      <c r="F84" s="22">
        <f>IFERROR(INDEX(Tariffe!$B$2:$B$200,MATCH(E84,Tariffe!$A$2:$A$200,0)),"DA DEFINIRE")</f>
        <v/>
      </c>
      <c r="G84" s="12" t="n">
        <v>60</v>
      </c>
      <c r="H84" s="11">
        <f>Q84*R84</f>
        <v/>
      </c>
      <c r="I84" s="11" t="n">
        <v>0</v>
      </c>
      <c r="J84" s="12" t="n">
        <v>120</v>
      </c>
      <c r="K84" s="12" t="n">
        <v>0</v>
      </c>
      <c r="L84" s="12" t="n">
        <v>109.1</v>
      </c>
      <c r="M84" s="12" t="n">
        <v>10.9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Q84*O84</f>
        <v/>
      </c>
      <c r="Q84" s="11" t="n">
        <v>2</v>
      </c>
      <c r="R84" s="11">
        <f>IFERROR(INDEX(Tariffe!$E$2:$E$200,MATCH(E84,Tariffe!$A$2:$A$200,0))*1,1)</f>
        <v/>
      </c>
    </row>
    <row r="85">
      <c r="A85" s="23" t="inlineStr">
        <is>
          <t>20261030_2115</t>
        </is>
      </c>
      <c r="B85" s="13" t="n">
        <v>46325</v>
      </c>
      <c r="C85" s="14" t="n">
        <v>0.8854166666666666</v>
      </c>
      <c r="D85" s="23" t="inlineStr">
        <is>
          <t>UN Unico</t>
        </is>
      </c>
      <c r="E85" s="23" t="inlineStr">
        <is>
          <t>I8 24€</t>
        </is>
      </c>
      <c r="F85" s="23">
        <f>IFERROR(INDEX(Tariffe!$B$2:$B$200,MATCH(E85,Tariffe!$A$2:$A$200,0)),"DA DEFINIRE")</f>
        <v/>
      </c>
      <c r="G85" s="16" t="n">
        <v>24</v>
      </c>
      <c r="H85" s="15">
        <f>Q85*R85</f>
        <v/>
      </c>
      <c r="I85" s="15" t="n">
        <v>0</v>
      </c>
      <c r="J85" s="16" t="n">
        <v>312</v>
      </c>
      <c r="K85" s="16" t="n">
        <v>0</v>
      </c>
      <c r="L85" s="16" t="n">
        <v>283.66</v>
      </c>
      <c r="M85" s="16" t="n">
        <v>28.34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Q85*O85</f>
        <v/>
      </c>
      <c r="Q85" s="15" t="n">
        <v>13</v>
      </c>
      <c r="R85" s="15">
        <f>IFERROR(INDEX(Tariffe!$E$2:$E$200,MATCH(E85,Tariffe!$A$2:$A$200,0))*1,1)</f>
        <v/>
      </c>
    </row>
    <row r="86">
      <c r="A86" s="22" t="inlineStr">
        <is>
          <t>20261030_2215</t>
        </is>
      </c>
      <c r="B86" s="9" t="n">
        <v>46325</v>
      </c>
      <c r="C86" s="10" t="n">
        <v>0.9270833333333334</v>
      </c>
      <c r="D86" s="22" t="inlineStr">
        <is>
          <t>UN Unico</t>
        </is>
      </c>
      <c r="E86" s="22" t="inlineStr">
        <is>
          <t>I1 48€</t>
        </is>
      </c>
      <c r="F86" s="22">
        <f>IFERROR(INDEX(Tariffe!$B$2:$B$200,MATCH(E86,Tariffe!$A$2:$A$200,0)),"DA DEFINIRE")</f>
        <v/>
      </c>
      <c r="G86" s="12" t="n">
        <v>48</v>
      </c>
      <c r="H86" s="11">
        <f>Q86*R86</f>
        <v/>
      </c>
      <c r="I86" s="11" t="n">
        <v>0</v>
      </c>
      <c r="J86" s="12" t="n">
        <v>1200</v>
      </c>
      <c r="K86" s="12" t="n">
        <v>0</v>
      </c>
      <c r="L86" s="12" t="n">
        <v>1091</v>
      </c>
      <c r="M86" s="12" t="n">
        <v>109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Q86*O86</f>
        <v/>
      </c>
      <c r="Q86" s="11" t="n">
        <v>25</v>
      </c>
      <c r="R86" s="11">
        <f>IFERROR(INDEX(Tariffe!$E$2:$E$200,MATCH(E86,Tariffe!$A$2:$A$200,0))*1,1)</f>
        <v/>
      </c>
    </row>
    <row r="87">
      <c r="A87" s="23" t="inlineStr">
        <is>
          <t>20261030_2215</t>
        </is>
      </c>
      <c r="B87" s="13" t="n">
        <v>46325</v>
      </c>
      <c r="C87" s="14" t="n">
        <v>0.9270833333333334</v>
      </c>
      <c r="D87" s="23" t="inlineStr">
        <is>
          <t>UN Unico</t>
        </is>
      </c>
      <c r="E87" s="23" t="inlineStr">
        <is>
          <t>I2 36€</t>
        </is>
      </c>
      <c r="F87" s="23">
        <f>IFERROR(INDEX(Tariffe!$B$2:$B$200,MATCH(E87,Tariffe!$A$2:$A$200,0)),"DA DEFINIRE")</f>
        <v/>
      </c>
      <c r="G87" s="16" t="n">
        <v>36</v>
      </c>
      <c r="H87" s="15">
        <f>Q87*R87</f>
        <v/>
      </c>
      <c r="I87" s="15" t="n">
        <v>0</v>
      </c>
      <c r="J87" s="16" t="n">
        <v>108</v>
      </c>
      <c r="K87" s="16" t="n">
        <v>0</v>
      </c>
      <c r="L87" s="16" t="n">
        <v>98.19</v>
      </c>
      <c r="M87" s="16" t="n">
        <v>9.81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Q87*O87</f>
        <v/>
      </c>
      <c r="Q87" s="15" t="n">
        <v>3</v>
      </c>
      <c r="R87" s="15">
        <f>IFERROR(INDEX(Tariffe!$E$2:$E$200,MATCH(E87,Tariffe!$A$2:$A$200,0))*1,1)</f>
        <v/>
      </c>
    </row>
    <row r="88">
      <c r="A88" s="22" t="inlineStr">
        <is>
          <t>20261030_2215</t>
        </is>
      </c>
      <c r="B88" s="9" t="n">
        <v>46325</v>
      </c>
      <c r="C88" s="10" t="n">
        <v>0.9270833333333334</v>
      </c>
      <c r="D88" s="22" t="inlineStr">
        <is>
          <t>UN Unico</t>
        </is>
      </c>
      <c r="E88" s="22" t="inlineStr">
        <is>
          <t>I5 60€</t>
        </is>
      </c>
      <c r="F88" s="22">
        <f>IFERROR(INDEX(Tariffe!$B$2:$B$200,MATCH(E88,Tariffe!$A$2:$A$200,0)),"DA DEFINIRE")</f>
        <v/>
      </c>
      <c r="G88" s="12" t="n">
        <v>60</v>
      </c>
      <c r="H88" s="11">
        <f>Q88*R88</f>
        <v/>
      </c>
      <c r="I88" s="11" t="n">
        <v>0</v>
      </c>
      <c r="J88" s="12" t="n">
        <v>300</v>
      </c>
      <c r="K88" s="12" t="n">
        <v>0</v>
      </c>
      <c r="L88" s="12" t="n">
        <v>272.75</v>
      </c>
      <c r="M88" s="12" t="n">
        <v>27.25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Q88*O88</f>
        <v/>
      </c>
      <c r="Q88" s="11" t="n">
        <v>5</v>
      </c>
      <c r="R88" s="11">
        <f>IFERROR(INDEX(Tariffe!$E$2:$E$200,MATCH(E88,Tariffe!$A$2:$A$200,0))*1,1)</f>
        <v/>
      </c>
    </row>
    <row r="89">
      <c r="A89" s="23" t="inlineStr">
        <is>
          <t>20261030_2215</t>
        </is>
      </c>
      <c r="B89" s="13" t="n">
        <v>46325</v>
      </c>
      <c r="C89" s="14" t="n">
        <v>0.9270833333333334</v>
      </c>
      <c r="D89" s="23" t="inlineStr">
        <is>
          <t>UN Unico</t>
        </is>
      </c>
      <c r="E89" s="23" t="inlineStr">
        <is>
          <t>I8 24€</t>
        </is>
      </c>
      <c r="F89" s="23">
        <f>IFERROR(INDEX(Tariffe!$B$2:$B$200,MATCH(E89,Tariffe!$A$2:$A$200,0)),"DA DEFINIRE")</f>
        <v/>
      </c>
      <c r="G89" s="16" t="n">
        <v>24</v>
      </c>
      <c r="H89" s="15">
        <f>Q89*R89</f>
        <v/>
      </c>
      <c r="I89" s="15" t="n">
        <v>3</v>
      </c>
      <c r="J89" s="16" t="n">
        <v>648</v>
      </c>
      <c r="K89" s="16" t="n">
        <v>0</v>
      </c>
      <c r="L89" s="16" t="n">
        <v>589.14</v>
      </c>
      <c r="M89" s="16" t="n">
        <v>58.86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Q89*O89</f>
        <v/>
      </c>
      <c r="Q89" s="15" t="n">
        <v>27</v>
      </c>
      <c r="R89" s="15">
        <f>IFERROR(INDEX(Tariffe!$E$2:$E$200,MATCH(E89,Tariffe!$A$2:$A$200,0))*1,1)</f>
        <v/>
      </c>
    </row>
    <row r="90">
      <c r="A90" s="22" t="inlineStr">
        <is>
          <t>20261030_2315</t>
        </is>
      </c>
      <c r="B90" s="9" t="n">
        <v>46325</v>
      </c>
      <c r="C90" s="10" t="n">
        <v>0.96875</v>
      </c>
      <c r="D90" s="22" t="inlineStr">
        <is>
          <t>UN Unico</t>
        </is>
      </c>
      <c r="E90" s="22" t="inlineStr">
        <is>
          <t>I1 48€</t>
        </is>
      </c>
      <c r="F90" s="22">
        <f>IFERROR(INDEX(Tariffe!$B$2:$B$200,MATCH(E90,Tariffe!$A$2:$A$200,0)),"DA DEFINIRE")</f>
        <v/>
      </c>
      <c r="G90" s="12" t="n">
        <v>48</v>
      </c>
      <c r="H90" s="11">
        <f>Q90*R90</f>
        <v/>
      </c>
      <c r="I90" s="11" t="n">
        <v>0</v>
      </c>
      <c r="J90" s="12" t="n">
        <v>672</v>
      </c>
      <c r="K90" s="12" t="n">
        <v>0</v>
      </c>
      <c r="L90" s="12" t="n">
        <v>610.96</v>
      </c>
      <c r="M90" s="12" t="n">
        <v>61.04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Q90*O90</f>
        <v/>
      </c>
      <c r="Q90" s="11" t="n">
        <v>14</v>
      </c>
      <c r="R90" s="11">
        <f>IFERROR(INDEX(Tariffe!$E$2:$E$200,MATCH(E90,Tariffe!$A$2:$A$200,0))*1,1)</f>
        <v/>
      </c>
    </row>
    <row r="91">
      <c r="A91" s="23" t="inlineStr">
        <is>
          <t>20261030_2315</t>
        </is>
      </c>
      <c r="B91" s="13" t="n">
        <v>46325</v>
      </c>
      <c r="C91" s="14" t="n">
        <v>0.96875</v>
      </c>
      <c r="D91" s="23" t="inlineStr">
        <is>
          <t>UN Unico</t>
        </is>
      </c>
      <c r="E91" s="23" t="inlineStr">
        <is>
          <t>I2 36€</t>
        </is>
      </c>
      <c r="F91" s="23">
        <f>IFERROR(INDEX(Tariffe!$B$2:$B$200,MATCH(E91,Tariffe!$A$2:$A$200,0)),"DA DEFINIRE")</f>
        <v/>
      </c>
      <c r="G91" s="16" t="n">
        <v>36</v>
      </c>
      <c r="H91" s="15">
        <f>Q91*R91</f>
        <v/>
      </c>
      <c r="I91" s="15" t="n">
        <v>0</v>
      </c>
      <c r="J91" s="16" t="n">
        <v>72</v>
      </c>
      <c r="K91" s="16" t="n">
        <v>0</v>
      </c>
      <c r="L91" s="16" t="n">
        <v>65.45999999999999</v>
      </c>
      <c r="M91" s="16" t="n">
        <v>6.54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Q91*O91</f>
        <v/>
      </c>
      <c r="Q91" s="15" t="n">
        <v>2</v>
      </c>
      <c r="R91" s="15">
        <f>IFERROR(INDEX(Tariffe!$E$2:$E$200,MATCH(E91,Tariffe!$A$2:$A$200,0))*1,1)</f>
        <v/>
      </c>
    </row>
    <row r="92">
      <c r="A92" s="22" t="inlineStr">
        <is>
          <t>20261030_2315</t>
        </is>
      </c>
      <c r="B92" s="9" t="n">
        <v>46325</v>
      </c>
      <c r="C92" s="10" t="n">
        <v>0.96875</v>
      </c>
      <c r="D92" s="22" t="inlineStr">
        <is>
          <t>UN Unico</t>
        </is>
      </c>
      <c r="E92" s="22" t="inlineStr">
        <is>
          <t>I5 60€</t>
        </is>
      </c>
      <c r="F92" s="22">
        <f>IFERROR(INDEX(Tariffe!$B$2:$B$200,MATCH(E92,Tariffe!$A$2:$A$200,0)),"DA DEFINIRE")</f>
        <v/>
      </c>
      <c r="G92" s="12" t="n">
        <v>60</v>
      </c>
      <c r="H92" s="11">
        <f>Q92*R92</f>
        <v/>
      </c>
      <c r="I92" s="11" t="n">
        <v>0</v>
      </c>
      <c r="J92" s="12" t="n">
        <v>240</v>
      </c>
      <c r="K92" s="12" t="n">
        <v>0</v>
      </c>
      <c r="L92" s="12" t="n">
        <v>218.2</v>
      </c>
      <c r="M92" s="12" t="n">
        <v>21.8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Q92*O92</f>
        <v/>
      </c>
      <c r="Q92" s="11" t="n">
        <v>4</v>
      </c>
      <c r="R92" s="11">
        <f>IFERROR(INDEX(Tariffe!$E$2:$E$200,MATCH(E92,Tariffe!$A$2:$A$200,0))*1,1)</f>
        <v/>
      </c>
    </row>
    <row r="93">
      <c r="A93" s="23" t="inlineStr">
        <is>
          <t>20261030_2315</t>
        </is>
      </c>
      <c r="B93" s="13" t="n">
        <v>46325</v>
      </c>
      <c r="C93" s="14" t="n">
        <v>0.96875</v>
      </c>
      <c r="D93" s="23" t="inlineStr">
        <is>
          <t>UN Unico</t>
        </is>
      </c>
      <c r="E93" s="23" t="inlineStr">
        <is>
          <t>I8 24€</t>
        </is>
      </c>
      <c r="F93" s="23">
        <f>IFERROR(INDEX(Tariffe!$B$2:$B$200,MATCH(E93,Tariffe!$A$2:$A$200,0)),"DA DEFINIRE")</f>
        <v/>
      </c>
      <c r="G93" s="16" t="n">
        <v>24</v>
      </c>
      <c r="H93" s="15">
        <f>Q93*R93</f>
        <v/>
      </c>
      <c r="I93" s="15" t="n">
        <v>0</v>
      </c>
      <c r="J93" s="16" t="n">
        <v>312</v>
      </c>
      <c r="K93" s="16" t="n">
        <v>0</v>
      </c>
      <c r="L93" s="16" t="n">
        <v>283.66</v>
      </c>
      <c r="M93" s="16" t="n">
        <v>28.34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Q93*O93</f>
        <v/>
      </c>
      <c r="Q93" s="15" t="n">
        <v>13</v>
      </c>
      <c r="R93" s="15">
        <f>IFERROR(INDEX(Tariffe!$E$2:$E$200,MATCH(E93,Tariffe!$A$2:$A$200,0))*1,1)</f>
        <v/>
      </c>
    </row>
    <row r="94">
      <c r="A94" s="22" t="inlineStr">
        <is>
          <t>20261030_2359</t>
        </is>
      </c>
      <c r="B94" s="9" t="n">
        <v>46325</v>
      </c>
      <c r="C94" s="10" t="n">
        <v>0.9993055555555556</v>
      </c>
      <c r="D94" s="22" t="inlineStr">
        <is>
          <t>UN Unico</t>
        </is>
      </c>
      <c r="E94" s="22" t="inlineStr">
        <is>
          <t>I1 48€</t>
        </is>
      </c>
      <c r="F94" s="22">
        <f>IFERROR(INDEX(Tariffe!$B$2:$B$200,MATCH(E94,Tariffe!$A$2:$A$200,0)),"DA DEFINIRE")</f>
        <v/>
      </c>
      <c r="G94" s="12" t="n">
        <v>48</v>
      </c>
      <c r="H94" s="11">
        <f>Q94*R94</f>
        <v/>
      </c>
      <c r="I94" s="11" t="n">
        <v>0</v>
      </c>
      <c r="J94" s="12" t="n">
        <v>96</v>
      </c>
      <c r="K94" s="12" t="n">
        <v>0</v>
      </c>
      <c r="L94" s="12" t="n">
        <v>87.28</v>
      </c>
      <c r="M94" s="12" t="n">
        <v>8.720000000000001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Q94*O94</f>
        <v/>
      </c>
      <c r="Q94" s="11" t="n">
        <v>2</v>
      </c>
      <c r="R94" s="11">
        <f>IFERROR(INDEX(Tariffe!$E$2:$E$200,MATCH(E94,Tariffe!$A$2:$A$200,0))*1,1)</f>
        <v/>
      </c>
    </row>
    <row r="95">
      <c r="A95" s="23" t="inlineStr">
        <is>
          <t>20261030_2359</t>
        </is>
      </c>
      <c r="B95" s="13" t="n">
        <v>46325</v>
      </c>
      <c r="C95" s="14" t="n">
        <v>0.9993055555555556</v>
      </c>
      <c r="D95" s="23" t="inlineStr">
        <is>
          <t>UN Unico</t>
        </is>
      </c>
      <c r="E95" s="23" t="inlineStr">
        <is>
          <t>I5 60€</t>
        </is>
      </c>
      <c r="F95" s="23">
        <f>IFERROR(INDEX(Tariffe!$B$2:$B$200,MATCH(E95,Tariffe!$A$2:$A$200,0)),"DA DEFINIRE")</f>
        <v/>
      </c>
      <c r="G95" s="16" t="n">
        <v>60</v>
      </c>
      <c r="H95" s="15">
        <f>Q95*R95</f>
        <v/>
      </c>
      <c r="I95" s="15" t="n">
        <v>0</v>
      </c>
      <c r="J95" s="16" t="n">
        <v>300</v>
      </c>
      <c r="K95" s="16" t="n">
        <v>0</v>
      </c>
      <c r="L95" s="16" t="n">
        <v>272.75</v>
      </c>
      <c r="M95" s="16" t="n">
        <v>27.25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Q95*O95</f>
        <v/>
      </c>
      <c r="Q95" s="15" t="n">
        <v>5</v>
      </c>
      <c r="R95" s="15">
        <f>IFERROR(INDEX(Tariffe!$E$2:$E$200,MATCH(E95,Tariffe!$A$2:$A$200,0))*1,1)</f>
        <v/>
      </c>
    </row>
    <row r="96">
      <c r="A96" s="22" t="inlineStr">
        <is>
          <t>20261030_2359</t>
        </is>
      </c>
      <c r="B96" s="9" t="n">
        <v>46325</v>
      </c>
      <c r="C96" s="10" t="n">
        <v>0.9993055555555556</v>
      </c>
      <c r="D96" s="22" t="inlineStr">
        <is>
          <t>UN Unico</t>
        </is>
      </c>
      <c r="E96" s="22" t="inlineStr">
        <is>
          <t>I8 24€</t>
        </is>
      </c>
      <c r="F96" s="22">
        <f>IFERROR(INDEX(Tariffe!$B$2:$B$200,MATCH(E96,Tariffe!$A$2:$A$200,0)),"DA DEFINIRE")</f>
        <v/>
      </c>
      <c r="G96" s="12" t="n">
        <v>24</v>
      </c>
      <c r="H96" s="11">
        <f>Q96*R96</f>
        <v/>
      </c>
      <c r="I96" s="11" t="n">
        <v>0</v>
      </c>
      <c r="J96" s="12" t="n">
        <v>312</v>
      </c>
      <c r="K96" s="12" t="n">
        <v>0</v>
      </c>
      <c r="L96" s="12" t="n">
        <v>283.66</v>
      </c>
      <c r="M96" s="12" t="n">
        <v>28.34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Q96*O96</f>
        <v/>
      </c>
      <c r="Q96" s="11" t="n">
        <v>13</v>
      </c>
      <c r="R96" s="11">
        <f>IFERROR(INDEX(Tariffe!$E$2:$E$200,MATCH(E96,Tariffe!$A$2:$A$200,0))*1,1)</f>
        <v/>
      </c>
    </row>
    <row r="97">
      <c r="A97" s="23" t="inlineStr">
        <is>
          <t>20261031_2015</t>
        </is>
      </c>
      <c r="B97" s="13" t="n">
        <v>46326</v>
      </c>
      <c r="C97" s="14" t="n">
        <v>0.84375</v>
      </c>
      <c r="D97" s="23" t="inlineStr">
        <is>
          <t>UN Unico</t>
        </is>
      </c>
      <c r="E97" s="23" t="inlineStr">
        <is>
          <t>I1 48€</t>
        </is>
      </c>
      <c r="F97" s="23">
        <f>IFERROR(INDEX(Tariffe!$B$2:$B$200,MATCH(E97,Tariffe!$A$2:$A$200,0)),"DA DEFINIRE")</f>
        <v/>
      </c>
      <c r="G97" s="16" t="n">
        <v>48</v>
      </c>
      <c r="H97" s="15">
        <f>Q97*R97</f>
        <v/>
      </c>
      <c r="I97" s="15" t="n">
        <v>0</v>
      </c>
      <c r="J97" s="16" t="n">
        <v>480</v>
      </c>
      <c r="K97" s="16" t="n">
        <v>0</v>
      </c>
      <c r="L97" s="16" t="n">
        <v>436.4</v>
      </c>
      <c r="M97" s="16" t="n">
        <v>43.6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Q97*O97</f>
        <v/>
      </c>
      <c r="Q97" s="15" t="n">
        <v>10</v>
      </c>
      <c r="R97" s="15">
        <f>IFERROR(INDEX(Tariffe!$E$2:$E$200,MATCH(E97,Tariffe!$A$2:$A$200,0))*1,1)</f>
        <v/>
      </c>
    </row>
    <row r="98">
      <c r="A98" s="22" t="inlineStr">
        <is>
          <t>20261031_2015</t>
        </is>
      </c>
      <c r="B98" s="9" t="n">
        <v>46326</v>
      </c>
      <c r="C98" s="10" t="n">
        <v>0.84375</v>
      </c>
      <c r="D98" s="22" t="inlineStr">
        <is>
          <t>UN Unico</t>
        </is>
      </c>
      <c r="E98" s="22" t="inlineStr">
        <is>
          <t>I2 36€</t>
        </is>
      </c>
      <c r="F98" s="22">
        <f>IFERROR(INDEX(Tariffe!$B$2:$B$200,MATCH(E98,Tariffe!$A$2:$A$200,0)),"DA DEFINIRE")</f>
        <v/>
      </c>
      <c r="G98" s="12" t="n">
        <v>36</v>
      </c>
      <c r="H98" s="11">
        <f>Q98*R98</f>
        <v/>
      </c>
      <c r="I98" s="11" t="n">
        <v>0</v>
      </c>
      <c r="J98" s="12" t="n">
        <v>108</v>
      </c>
      <c r="K98" s="12" t="n">
        <v>0</v>
      </c>
      <c r="L98" s="12" t="n">
        <v>98.19</v>
      </c>
      <c r="M98" s="12" t="n">
        <v>9.81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Q98*O98</f>
        <v/>
      </c>
      <c r="Q98" s="11" t="n">
        <v>3</v>
      </c>
      <c r="R98" s="11">
        <f>IFERROR(INDEX(Tariffe!$E$2:$E$200,MATCH(E98,Tariffe!$A$2:$A$200,0))*1,1)</f>
        <v/>
      </c>
    </row>
    <row r="99">
      <c r="A99" s="23" t="inlineStr">
        <is>
          <t>20261031_2015</t>
        </is>
      </c>
      <c r="B99" s="13" t="n">
        <v>46326</v>
      </c>
      <c r="C99" s="14" t="n">
        <v>0.84375</v>
      </c>
      <c r="D99" s="23" t="inlineStr">
        <is>
          <t>UN Unico</t>
        </is>
      </c>
      <c r="E99" s="23" t="inlineStr">
        <is>
          <t>I5 60€</t>
        </is>
      </c>
      <c r="F99" s="23">
        <f>IFERROR(INDEX(Tariffe!$B$2:$B$200,MATCH(E99,Tariffe!$A$2:$A$200,0)),"DA DEFINIRE")</f>
        <v/>
      </c>
      <c r="G99" s="16" t="n">
        <v>60</v>
      </c>
      <c r="H99" s="15">
        <f>Q99*R99</f>
        <v/>
      </c>
      <c r="I99" s="15" t="n">
        <v>2</v>
      </c>
      <c r="J99" s="16" t="n">
        <v>240</v>
      </c>
      <c r="K99" s="16" t="n">
        <v>0</v>
      </c>
      <c r="L99" s="16" t="n">
        <v>218.2</v>
      </c>
      <c r="M99" s="16" t="n">
        <v>21.8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Q99*O99</f>
        <v/>
      </c>
      <c r="Q99" s="15" t="n">
        <v>4</v>
      </c>
      <c r="R99" s="15">
        <f>IFERROR(INDEX(Tariffe!$E$2:$E$200,MATCH(E99,Tariffe!$A$2:$A$200,0))*1,1)</f>
        <v/>
      </c>
    </row>
    <row r="100">
      <c r="A100" s="22" t="inlineStr">
        <is>
          <t>20261031_2015</t>
        </is>
      </c>
      <c r="B100" s="9" t="n">
        <v>46326</v>
      </c>
      <c r="C100" s="10" t="n">
        <v>0.84375</v>
      </c>
      <c r="D100" s="22" t="inlineStr">
        <is>
          <t>UN Unico</t>
        </is>
      </c>
      <c r="E100" s="22" t="inlineStr">
        <is>
          <t>I8 24€</t>
        </is>
      </c>
      <c r="F100" s="22">
        <f>IFERROR(INDEX(Tariffe!$B$2:$B$200,MATCH(E100,Tariffe!$A$2:$A$200,0)),"DA DEFINIRE")</f>
        <v/>
      </c>
      <c r="G100" s="12" t="n">
        <v>24</v>
      </c>
      <c r="H100" s="11">
        <f>Q100*R100</f>
        <v/>
      </c>
      <c r="I100" s="11" t="n">
        <v>0</v>
      </c>
      <c r="J100" s="12" t="n">
        <v>216</v>
      </c>
      <c r="K100" s="12" t="n">
        <v>0</v>
      </c>
      <c r="L100" s="12" t="n">
        <v>196.38</v>
      </c>
      <c r="M100" s="12" t="n">
        <v>19.62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Q100*O100</f>
        <v/>
      </c>
      <c r="Q100" s="11" t="n">
        <v>9</v>
      </c>
      <c r="R100" s="11">
        <f>IFERROR(INDEX(Tariffe!$E$2:$E$200,MATCH(E100,Tariffe!$A$2:$A$200,0))*1,1)</f>
        <v/>
      </c>
    </row>
    <row r="101">
      <c r="A101" s="23" t="inlineStr">
        <is>
          <t>20261031_2115</t>
        </is>
      </c>
      <c r="B101" s="13" t="n">
        <v>46326</v>
      </c>
      <c r="C101" s="14" t="n">
        <v>0.8854166666666666</v>
      </c>
      <c r="D101" s="23" t="inlineStr">
        <is>
          <t>UN Unico</t>
        </is>
      </c>
      <c r="E101" s="23" t="inlineStr">
        <is>
          <t>I1 48€</t>
        </is>
      </c>
      <c r="F101" s="23">
        <f>IFERROR(INDEX(Tariffe!$B$2:$B$200,MATCH(E101,Tariffe!$A$2:$A$200,0)),"DA DEFINIRE")</f>
        <v/>
      </c>
      <c r="G101" s="16" t="n">
        <v>48</v>
      </c>
      <c r="H101" s="15">
        <f>Q101*R101</f>
        <v/>
      </c>
      <c r="I101" s="15" t="n">
        <v>0</v>
      </c>
      <c r="J101" s="16" t="n">
        <v>1104</v>
      </c>
      <c r="K101" s="16" t="n">
        <v>0</v>
      </c>
      <c r="L101" s="16" t="n">
        <v>1003.72</v>
      </c>
      <c r="M101" s="16" t="n">
        <v>100.28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Q101*O101</f>
        <v/>
      </c>
      <c r="Q101" s="15" t="n">
        <v>23</v>
      </c>
      <c r="R101" s="15">
        <f>IFERROR(INDEX(Tariffe!$E$2:$E$200,MATCH(E101,Tariffe!$A$2:$A$200,0))*1,1)</f>
        <v/>
      </c>
    </row>
    <row r="102">
      <c r="A102" s="22" t="inlineStr">
        <is>
          <t>20261031_2115</t>
        </is>
      </c>
      <c r="B102" s="9" t="n">
        <v>46326</v>
      </c>
      <c r="C102" s="10" t="n">
        <v>0.8854166666666666</v>
      </c>
      <c r="D102" s="22" t="inlineStr">
        <is>
          <t>UN Unico</t>
        </is>
      </c>
      <c r="E102" s="22" t="inlineStr">
        <is>
          <t>I2 36€</t>
        </is>
      </c>
      <c r="F102" s="22">
        <f>IFERROR(INDEX(Tariffe!$B$2:$B$200,MATCH(E102,Tariffe!$A$2:$A$200,0)),"DA DEFINIRE")</f>
        <v/>
      </c>
      <c r="G102" s="12" t="n">
        <v>36</v>
      </c>
      <c r="H102" s="11">
        <f>Q102*R102</f>
        <v/>
      </c>
      <c r="I102" s="11" t="n">
        <v>0</v>
      </c>
      <c r="J102" s="12" t="n">
        <v>216</v>
      </c>
      <c r="K102" s="12" t="n">
        <v>0</v>
      </c>
      <c r="L102" s="12" t="n">
        <v>196.38</v>
      </c>
      <c r="M102" s="12" t="n">
        <v>19.62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Q102*O102</f>
        <v/>
      </c>
      <c r="Q102" s="11" t="n">
        <v>6</v>
      </c>
      <c r="R102" s="11">
        <f>IFERROR(INDEX(Tariffe!$E$2:$E$200,MATCH(E102,Tariffe!$A$2:$A$200,0))*1,1)</f>
        <v/>
      </c>
    </row>
    <row r="103">
      <c r="A103" s="23" t="inlineStr">
        <is>
          <t>20261031_2115</t>
        </is>
      </c>
      <c r="B103" s="13" t="n">
        <v>46326</v>
      </c>
      <c r="C103" s="14" t="n">
        <v>0.8854166666666666</v>
      </c>
      <c r="D103" s="23" t="inlineStr">
        <is>
          <t>UN Unico</t>
        </is>
      </c>
      <c r="E103" s="23" t="inlineStr">
        <is>
          <t>I5 60€</t>
        </is>
      </c>
      <c r="F103" s="23">
        <f>IFERROR(INDEX(Tariffe!$B$2:$B$200,MATCH(E103,Tariffe!$A$2:$A$200,0)),"DA DEFINIRE")</f>
        <v/>
      </c>
      <c r="G103" s="16" t="n">
        <v>60</v>
      </c>
      <c r="H103" s="15">
        <f>Q103*R103</f>
        <v/>
      </c>
      <c r="I103" s="15" t="n">
        <v>0</v>
      </c>
      <c r="J103" s="16" t="n">
        <v>180</v>
      </c>
      <c r="K103" s="16" t="n">
        <v>0</v>
      </c>
      <c r="L103" s="16" t="n">
        <v>163.65</v>
      </c>
      <c r="M103" s="16" t="n">
        <v>16.35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Q103*O103</f>
        <v/>
      </c>
      <c r="Q103" s="15" t="n">
        <v>3</v>
      </c>
      <c r="R103" s="15">
        <f>IFERROR(INDEX(Tariffe!$E$2:$E$200,MATCH(E103,Tariffe!$A$2:$A$200,0))*1,1)</f>
        <v/>
      </c>
    </row>
    <row r="104">
      <c r="A104" s="22" t="inlineStr">
        <is>
          <t>20261031_2115</t>
        </is>
      </c>
      <c r="B104" s="9" t="n">
        <v>46326</v>
      </c>
      <c r="C104" s="10" t="n">
        <v>0.8854166666666666</v>
      </c>
      <c r="D104" s="22" t="inlineStr">
        <is>
          <t>UN Unico</t>
        </is>
      </c>
      <c r="E104" s="22" t="inlineStr">
        <is>
          <t>I8 24€</t>
        </is>
      </c>
      <c r="F104" s="22">
        <f>IFERROR(INDEX(Tariffe!$B$2:$B$200,MATCH(E104,Tariffe!$A$2:$A$200,0)),"DA DEFINIRE")</f>
        <v/>
      </c>
      <c r="G104" s="12" t="n">
        <v>24</v>
      </c>
      <c r="H104" s="11">
        <f>Q104*R104</f>
        <v/>
      </c>
      <c r="I104" s="11" t="n">
        <v>0</v>
      </c>
      <c r="J104" s="12" t="n">
        <v>528</v>
      </c>
      <c r="K104" s="12" t="n">
        <v>0</v>
      </c>
      <c r="L104" s="12" t="n">
        <v>480.04</v>
      </c>
      <c r="M104" s="12" t="n">
        <v>47.96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Q104*O104</f>
        <v/>
      </c>
      <c r="Q104" s="11" t="n">
        <v>22</v>
      </c>
      <c r="R104" s="11">
        <f>IFERROR(INDEX(Tariffe!$E$2:$E$200,MATCH(E104,Tariffe!$A$2:$A$200,0))*1,1)</f>
        <v/>
      </c>
    </row>
    <row r="105">
      <c r="A105" s="23" t="inlineStr">
        <is>
          <t>20261031_2215</t>
        </is>
      </c>
      <c r="B105" s="13" t="n">
        <v>46326</v>
      </c>
      <c r="C105" s="14" t="n">
        <v>0.9270833333333334</v>
      </c>
      <c r="D105" s="23" t="inlineStr">
        <is>
          <t>UN Unico</t>
        </is>
      </c>
      <c r="E105" s="23" t="inlineStr">
        <is>
          <t>I1 48€</t>
        </is>
      </c>
      <c r="F105" s="23">
        <f>IFERROR(INDEX(Tariffe!$B$2:$B$200,MATCH(E105,Tariffe!$A$2:$A$200,0)),"DA DEFINIRE")</f>
        <v/>
      </c>
      <c r="G105" s="16" t="n">
        <v>48</v>
      </c>
      <c r="H105" s="15">
        <f>Q105*R105</f>
        <v/>
      </c>
      <c r="I105" s="15" t="n">
        <v>3</v>
      </c>
      <c r="J105" s="16" t="n">
        <v>1296</v>
      </c>
      <c r="K105" s="16" t="n">
        <v>0</v>
      </c>
      <c r="L105" s="16" t="n">
        <v>1178.28</v>
      </c>
      <c r="M105" s="16" t="n">
        <v>117.72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Q105*O105</f>
        <v/>
      </c>
      <c r="Q105" s="15" t="n">
        <v>27</v>
      </c>
      <c r="R105" s="15">
        <f>IFERROR(INDEX(Tariffe!$E$2:$E$200,MATCH(E105,Tariffe!$A$2:$A$200,0))*1,1)</f>
        <v/>
      </c>
    </row>
    <row r="106">
      <c r="A106" s="22" t="inlineStr">
        <is>
          <t>20261031_2215</t>
        </is>
      </c>
      <c r="B106" s="9" t="n">
        <v>46326</v>
      </c>
      <c r="C106" s="10" t="n">
        <v>0.9270833333333334</v>
      </c>
      <c r="D106" s="22" t="inlineStr">
        <is>
          <t>UN Unico</t>
        </is>
      </c>
      <c r="E106" s="22" t="inlineStr">
        <is>
          <t>I2 36€</t>
        </is>
      </c>
      <c r="F106" s="22">
        <f>IFERROR(INDEX(Tariffe!$B$2:$B$200,MATCH(E106,Tariffe!$A$2:$A$200,0)),"DA DEFINIRE")</f>
        <v/>
      </c>
      <c r="G106" s="12" t="n">
        <v>36</v>
      </c>
      <c r="H106" s="11">
        <f>Q106*R106</f>
        <v/>
      </c>
      <c r="I106" s="11" t="n">
        <v>0</v>
      </c>
      <c r="J106" s="12" t="n">
        <v>180</v>
      </c>
      <c r="K106" s="12" t="n">
        <v>0</v>
      </c>
      <c r="L106" s="12" t="n">
        <v>163.65</v>
      </c>
      <c r="M106" s="12" t="n">
        <v>16.35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Q106*O106</f>
        <v/>
      </c>
      <c r="Q106" s="11" t="n">
        <v>5</v>
      </c>
      <c r="R106" s="11">
        <f>IFERROR(INDEX(Tariffe!$E$2:$E$200,MATCH(E106,Tariffe!$A$2:$A$200,0))*1,1)</f>
        <v/>
      </c>
    </row>
    <row r="107">
      <c r="A107" s="23" t="inlineStr">
        <is>
          <t>20261031_2215</t>
        </is>
      </c>
      <c r="B107" s="13" t="n">
        <v>46326</v>
      </c>
      <c r="C107" s="14" t="n">
        <v>0.9270833333333334</v>
      </c>
      <c r="D107" s="23" t="inlineStr">
        <is>
          <t>UN Unico</t>
        </is>
      </c>
      <c r="E107" s="23" t="inlineStr">
        <is>
          <t>I5 60€</t>
        </is>
      </c>
      <c r="F107" s="23">
        <f>IFERROR(INDEX(Tariffe!$B$2:$B$200,MATCH(E107,Tariffe!$A$2:$A$200,0)),"DA DEFINIRE")</f>
        <v/>
      </c>
      <c r="G107" s="16" t="n">
        <v>60</v>
      </c>
      <c r="H107" s="15">
        <f>Q107*R107</f>
        <v/>
      </c>
      <c r="I107" s="15" t="n">
        <v>0</v>
      </c>
      <c r="J107" s="16" t="n">
        <v>240</v>
      </c>
      <c r="K107" s="16" t="n">
        <v>0</v>
      </c>
      <c r="L107" s="16" t="n">
        <v>218.2</v>
      </c>
      <c r="M107" s="16" t="n">
        <v>21.8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Q107*O107</f>
        <v/>
      </c>
      <c r="Q107" s="15" t="n">
        <v>4</v>
      </c>
      <c r="R107" s="15">
        <f>IFERROR(INDEX(Tariffe!$E$2:$E$200,MATCH(E107,Tariffe!$A$2:$A$200,0))*1,1)</f>
        <v/>
      </c>
    </row>
    <row r="108">
      <c r="A108" s="22" t="inlineStr">
        <is>
          <t>20261031_2215</t>
        </is>
      </c>
      <c r="B108" s="9" t="n">
        <v>46326</v>
      </c>
      <c r="C108" s="10" t="n">
        <v>0.9270833333333334</v>
      </c>
      <c r="D108" s="22" t="inlineStr">
        <is>
          <t>UN Unico</t>
        </is>
      </c>
      <c r="E108" s="22" t="inlineStr">
        <is>
          <t>I8 24€</t>
        </is>
      </c>
      <c r="F108" s="22">
        <f>IFERROR(INDEX(Tariffe!$B$2:$B$200,MATCH(E108,Tariffe!$A$2:$A$200,0)),"DA DEFINIRE")</f>
        <v/>
      </c>
      <c r="G108" s="12" t="n">
        <v>24</v>
      </c>
      <c r="H108" s="11">
        <f>Q108*R108</f>
        <v/>
      </c>
      <c r="I108" s="11" t="n">
        <v>0</v>
      </c>
      <c r="J108" s="12" t="n">
        <v>1056</v>
      </c>
      <c r="K108" s="12" t="n">
        <v>0</v>
      </c>
      <c r="L108" s="12" t="n">
        <v>960.08</v>
      </c>
      <c r="M108" s="12" t="n">
        <v>95.92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Q108*O108</f>
        <v/>
      </c>
      <c r="Q108" s="11" t="n">
        <v>44</v>
      </c>
      <c r="R108" s="11">
        <f>IFERROR(INDEX(Tariffe!$E$2:$E$200,MATCH(E108,Tariffe!$A$2:$A$200,0))*1,1)</f>
        <v/>
      </c>
    </row>
    <row r="109">
      <c r="A109" s="23" t="inlineStr">
        <is>
          <t>20261031_2315</t>
        </is>
      </c>
      <c r="B109" s="13" t="n">
        <v>46326</v>
      </c>
      <c r="C109" s="14" t="n">
        <v>0.96875</v>
      </c>
      <c r="D109" s="23" t="inlineStr">
        <is>
          <t>UN Unico</t>
        </is>
      </c>
      <c r="E109" s="23" t="inlineStr">
        <is>
          <t>I1 48€</t>
        </is>
      </c>
      <c r="F109" s="23">
        <f>IFERROR(INDEX(Tariffe!$B$2:$B$200,MATCH(E109,Tariffe!$A$2:$A$200,0)),"DA DEFINIRE")</f>
        <v/>
      </c>
      <c r="G109" s="16" t="n">
        <v>48</v>
      </c>
      <c r="H109" s="15">
        <f>Q109*R109</f>
        <v/>
      </c>
      <c r="I109" s="15" t="n">
        <v>0</v>
      </c>
      <c r="J109" s="16" t="n">
        <v>1968</v>
      </c>
      <c r="K109" s="16" t="n">
        <v>0</v>
      </c>
      <c r="L109" s="16" t="n">
        <v>1789.24</v>
      </c>
      <c r="M109" s="16" t="n">
        <v>178.76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Q109*O109</f>
        <v/>
      </c>
      <c r="Q109" s="15" t="n">
        <v>41</v>
      </c>
      <c r="R109" s="15">
        <f>IFERROR(INDEX(Tariffe!$E$2:$E$200,MATCH(E109,Tariffe!$A$2:$A$200,0))*1,1)</f>
        <v/>
      </c>
    </row>
    <row r="110">
      <c r="A110" s="22" t="inlineStr">
        <is>
          <t>20261031_2315</t>
        </is>
      </c>
      <c r="B110" s="9" t="n">
        <v>46326</v>
      </c>
      <c r="C110" s="10" t="n">
        <v>0.96875</v>
      </c>
      <c r="D110" s="22" t="inlineStr">
        <is>
          <t>UN Unico</t>
        </is>
      </c>
      <c r="E110" s="22" t="inlineStr">
        <is>
          <t>I2 36€</t>
        </is>
      </c>
      <c r="F110" s="22">
        <f>IFERROR(INDEX(Tariffe!$B$2:$B$200,MATCH(E110,Tariffe!$A$2:$A$200,0)),"DA DEFINIRE")</f>
        <v/>
      </c>
      <c r="G110" s="12" t="n">
        <v>36</v>
      </c>
      <c r="H110" s="11">
        <f>Q110*R110</f>
        <v/>
      </c>
      <c r="I110" s="11" t="n">
        <v>0</v>
      </c>
      <c r="J110" s="12" t="n">
        <v>108</v>
      </c>
      <c r="K110" s="12" t="n">
        <v>0</v>
      </c>
      <c r="L110" s="12" t="n">
        <v>98.19</v>
      </c>
      <c r="M110" s="12" t="n">
        <v>9.81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Q110*O110</f>
        <v/>
      </c>
      <c r="Q110" s="11" t="n">
        <v>3</v>
      </c>
      <c r="R110" s="11">
        <f>IFERROR(INDEX(Tariffe!$E$2:$E$200,MATCH(E110,Tariffe!$A$2:$A$200,0))*1,1)</f>
        <v/>
      </c>
    </row>
    <row r="111">
      <c r="A111" s="23" t="inlineStr">
        <is>
          <t>20261031_2315</t>
        </is>
      </c>
      <c r="B111" s="13" t="n">
        <v>46326</v>
      </c>
      <c r="C111" s="14" t="n">
        <v>0.96875</v>
      </c>
      <c r="D111" s="23" t="inlineStr">
        <is>
          <t>UN Unico</t>
        </is>
      </c>
      <c r="E111" s="23" t="inlineStr">
        <is>
          <t>I5 60€</t>
        </is>
      </c>
      <c r="F111" s="23">
        <f>IFERROR(INDEX(Tariffe!$B$2:$B$200,MATCH(E111,Tariffe!$A$2:$A$200,0)),"DA DEFINIRE")</f>
        <v/>
      </c>
      <c r="G111" s="16" t="n">
        <v>60</v>
      </c>
      <c r="H111" s="15">
        <f>Q111*R111</f>
        <v/>
      </c>
      <c r="I111" s="15" t="n">
        <v>0</v>
      </c>
      <c r="J111" s="16" t="n">
        <v>300</v>
      </c>
      <c r="K111" s="16" t="n">
        <v>0</v>
      </c>
      <c r="L111" s="16" t="n">
        <v>272.75</v>
      </c>
      <c r="M111" s="16" t="n">
        <v>27.25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Q111*O111</f>
        <v/>
      </c>
      <c r="Q111" s="15" t="n">
        <v>5</v>
      </c>
      <c r="R111" s="15">
        <f>IFERROR(INDEX(Tariffe!$E$2:$E$200,MATCH(E111,Tariffe!$A$2:$A$200,0))*1,1)</f>
        <v/>
      </c>
    </row>
    <row r="112">
      <c r="A112" s="22" t="inlineStr">
        <is>
          <t>20261031_2315</t>
        </is>
      </c>
      <c r="B112" s="9" t="n">
        <v>46326</v>
      </c>
      <c r="C112" s="10" t="n">
        <v>0.96875</v>
      </c>
      <c r="D112" s="22" t="inlineStr">
        <is>
          <t>UN Unico</t>
        </is>
      </c>
      <c r="E112" s="22" t="inlineStr">
        <is>
          <t>I8 24€</t>
        </is>
      </c>
      <c r="F112" s="22">
        <f>IFERROR(INDEX(Tariffe!$B$2:$B$200,MATCH(E112,Tariffe!$A$2:$A$200,0)),"DA DEFINIRE")</f>
        <v/>
      </c>
      <c r="G112" s="12" t="n">
        <v>24</v>
      </c>
      <c r="H112" s="11">
        <f>Q112*R112</f>
        <v/>
      </c>
      <c r="I112" s="11" t="n">
        <v>0</v>
      </c>
      <c r="J112" s="12" t="n">
        <v>744</v>
      </c>
      <c r="K112" s="12" t="n">
        <v>0</v>
      </c>
      <c r="L112" s="12" t="n">
        <v>676.42</v>
      </c>
      <c r="M112" s="12" t="n">
        <v>67.58</v>
      </c>
      <c r="N112" s="22" t="inlineStr">
        <is>
          <t>10/2026</t>
        </is>
      </c>
      <c r="O112" s="11">
        <f>IFERROR(INDEX(Tariffe!$D$2:$D$200,MATCH(E112,Tariffe!$A$2:$A$200,0))*1,0)</f>
        <v/>
      </c>
      <c r="P112" s="11">
        <f>Q112*O112</f>
        <v/>
      </c>
      <c r="Q112" s="11" t="n">
        <v>31</v>
      </c>
      <c r="R112" s="11">
        <f>IFERROR(INDEX(Tariffe!$E$2:$E$200,MATCH(E112,Tariffe!$A$2:$A$200,0))*1,1)</f>
        <v/>
      </c>
    </row>
    <row r="113">
      <c r="A113" s="23" t="inlineStr">
        <is>
          <t>20261031_2359</t>
        </is>
      </c>
      <c r="B113" s="13" t="n">
        <v>46326</v>
      </c>
      <c r="C113" s="14" t="n">
        <v>0.9993055555555556</v>
      </c>
      <c r="D113" s="23" t="inlineStr">
        <is>
          <t>UN Unico</t>
        </is>
      </c>
      <c r="E113" s="23" t="inlineStr">
        <is>
          <t>I1 48€</t>
        </is>
      </c>
      <c r="F113" s="23">
        <f>IFERROR(INDEX(Tariffe!$B$2:$B$200,MATCH(E113,Tariffe!$A$2:$A$200,0)),"DA DEFINIRE")</f>
        <v/>
      </c>
      <c r="G113" s="16" t="n">
        <v>48</v>
      </c>
      <c r="H113" s="15">
        <f>Q113*R113</f>
        <v/>
      </c>
      <c r="I113" s="15" t="n">
        <v>0</v>
      </c>
      <c r="J113" s="16" t="n">
        <v>1968</v>
      </c>
      <c r="K113" s="16" t="n">
        <v>0</v>
      </c>
      <c r="L113" s="16" t="n">
        <v>1789.24</v>
      </c>
      <c r="M113" s="16" t="n">
        <v>178.76</v>
      </c>
      <c r="N113" s="23" t="inlineStr">
        <is>
          <t>10/2026</t>
        </is>
      </c>
      <c r="O113" s="15">
        <f>IFERROR(INDEX(Tariffe!$D$2:$D$200,MATCH(E113,Tariffe!$A$2:$A$200,0))*1,0)</f>
        <v/>
      </c>
      <c r="P113" s="15">
        <f>Q113*O113</f>
        <v/>
      </c>
      <c r="Q113" s="15" t="n">
        <v>41</v>
      </c>
      <c r="R113" s="15">
        <f>IFERROR(INDEX(Tariffe!$E$2:$E$200,MATCH(E113,Tariffe!$A$2:$A$200,0))*1,1)</f>
        <v/>
      </c>
    </row>
    <row r="114">
      <c r="A114" s="22" t="inlineStr">
        <is>
          <t>20261031_2359</t>
        </is>
      </c>
      <c r="B114" s="9" t="n">
        <v>46326</v>
      </c>
      <c r="C114" s="10" t="n">
        <v>0.9993055555555556</v>
      </c>
      <c r="D114" s="22" t="inlineStr">
        <is>
          <t>UN Unico</t>
        </is>
      </c>
      <c r="E114" s="22" t="inlineStr">
        <is>
          <t>I2 36€</t>
        </is>
      </c>
      <c r="F114" s="22">
        <f>IFERROR(INDEX(Tariffe!$B$2:$B$200,MATCH(E114,Tariffe!$A$2:$A$200,0)),"DA DEFINIRE")</f>
        <v/>
      </c>
      <c r="G114" s="12" t="n">
        <v>36</v>
      </c>
      <c r="H114" s="11">
        <f>Q114*R114</f>
        <v/>
      </c>
      <c r="I114" s="11" t="n">
        <v>0</v>
      </c>
      <c r="J114" s="12" t="n">
        <v>36</v>
      </c>
      <c r="K114" s="12" t="n">
        <v>0</v>
      </c>
      <c r="L114" s="12" t="n">
        <v>32.73</v>
      </c>
      <c r="M114" s="12" t="n">
        <v>3.27</v>
      </c>
      <c r="N114" s="22" t="inlineStr">
        <is>
          <t>10/2026</t>
        </is>
      </c>
      <c r="O114" s="11">
        <f>IFERROR(INDEX(Tariffe!$D$2:$D$200,MATCH(E114,Tariffe!$A$2:$A$200,0))*1,0)</f>
        <v/>
      </c>
      <c r="P114" s="11">
        <f>Q114*O114</f>
        <v/>
      </c>
      <c r="Q114" s="11" t="n">
        <v>1</v>
      </c>
      <c r="R114" s="11">
        <f>IFERROR(INDEX(Tariffe!$E$2:$E$200,MATCH(E114,Tariffe!$A$2:$A$200,0))*1,1)</f>
        <v/>
      </c>
    </row>
    <row r="115">
      <c r="A115" s="23" t="inlineStr">
        <is>
          <t>20261031_2359</t>
        </is>
      </c>
      <c r="B115" s="13" t="n">
        <v>46326</v>
      </c>
      <c r="C115" s="14" t="n">
        <v>0.9993055555555556</v>
      </c>
      <c r="D115" s="23" t="inlineStr">
        <is>
          <t>UN Unico</t>
        </is>
      </c>
      <c r="E115" s="23" t="inlineStr">
        <is>
          <t>I5 60€</t>
        </is>
      </c>
      <c r="F115" s="23">
        <f>IFERROR(INDEX(Tariffe!$B$2:$B$200,MATCH(E115,Tariffe!$A$2:$A$200,0)),"DA DEFINIRE")</f>
        <v/>
      </c>
      <c r="G115" s="16" t="n">
        <v>60</v>
      </c>
      <c r="H115" s="15">
        <f>Q115*R115</f>
        <v/>
      </c>
      <c r="I115" s="15" t="n">
        <v>0</v>
      </c>
      <c r="J115" s="16" t="n">
        <v>300</v>
      </c>
      <c r="K115" s="16" t="n">
        <v>0</v>
      </c>
      <c r="L115" s="16" t="n">
        <v>272.75</v>
      </c>
      <c r="M115" s="16" t="n">
        <v>27.25</v>
      </c>
      <c r="N115" s="23" t="inlineStr">
        <is>
          <t>10/2026</t>
        </is>
      </c>
      <c r="O115" s="15">
        <f>IFERROR(INDEX(Tariffe!$D$2:$D$200,MATCH(E115,Tariffe!$A$2:$A$200,0))*1,0)</f>
        <v/>
      </c>
      <c r="P115" s="15">
        <f>Q115*O115</f>
        <v/>
      </c>
      <c r="Q115" s="15" t="n">
        <v>5</v>
      </c>
      <c r="R115" s="15">
        <f>IFERROR(INDEX(Tariffe!$E$2:$E$200,MATCH(E115,Tariffe!$A$2:$A$200,0))*1,1)</f>
        <v/>
      </c>
    </row>
    <row r="116">
      <c r="A116" s="22" t="inlineStr">
        <is>
          <t>20261031_2359</t>
        </is>
      </c>
      <c r="B116" s="9" t="n">
        <v>46326</v>
      </c>
      <c r="C116" s="10" t="n">
        <v>0.9993055555555556</v>
      </c>
      <c r="D116" s="22" t="inlineStr">
        <is>
          <t>UN Unico</t>
        </is>
      </c>
      <c r="E116" s="22" t="inlineStr">
        <is>
          <t>I8 24€</t>
        </is>
      </c>
      <c r="F116" s="22">
        <f>IFERROR(INDEX(Tariffe!$B$2:$B$200,MATCH(E116,Tariffe!$A$2:$A$200,0)),"DA DEFINIRE")</f>
        <v/>
      </c>
      <c r="G116" s="12" t="n">
        <v>24</v>
      </c>
      <c r="H116" s="11">
        <f>Q116*R116</f>
        <v/>
      </c>
      <c r="I116" s="11" t="n">
        <v>0</v>
      </c>
      <c r="J116" s="12" t="n">
        <v>624</v>
      </c>
      <c r="K116" s="12" t="n">
        <v>0</v>
      </c>
      <c r="L116" s="12" t="n">
        <v>567.3200000000001</v>
      </c>
      <c r="M116" s="12" t="n">
        <v>56.68</v>
      </c>
      <c r="N116" s="22" t="inlineStr">
        <is>
          <t>10/2026</t>
        </is>
      </c>
      <c r="O116" s="11">
        <f>IFERROR(INDEX(Tariffe!$D$2:$D$200,MATCH(E116,Tariffe!$A$2:$A$200,0))*1,0)</f>
        <v/>
      </c>
      <c r="P116" s="11">
        <f>Q116*O116</f>
        <v/>
      </c>
      <c r="Q116" s="11" t="n">
        <v>26</v>
      </c>
      <c r="R116" s="11">
        <f>IFERROR(INDEX(Tariffe!$E$2:$E$200,MATCH(E116,Tariffe!$A$2:$A$200,0))*1,1)</f>
        <v/>
      </c>
    </row>
    <row r="117">
      <c r="A117" s="23" t="inlineStr">
        <is>
          <t>20261101_2015</t>
        </is>
      </c>
      <c r="B117" s="13" t="n">
        <v>46327</v>
      </c>
      <c r="C117" s="14" t="n">
        <v>0.84375</v>
      </c>
      <c r="D117" s="23" t="inlineStr">
        <is>
          <t>UN Unico</t>
        </is>
      </c>
      <c r="E117" s="23" t="inlineStr">
        <is>
          <t>I1 48€</t>
        </is>
      </c>
      <c r="F117" s="23">
        <f>IFERROR(INDEX(Tariffe!$B$2:$B$200,MATCH(E117,Tariffe!$A$2:$A$200,0)),"DA DEFINIRE")</f>
        <v/>
      </c>
      <c r="G117" s="16" t="n">
        <v>48</v>
      </c>
      <c r="H117" s="15">
        <f>Q117*R117</f>
        <v/>
      </c>
      <c r="I117" s="15" t="n">
        <v>0</v>
      </c>
      <c r="J117" s="16" t="n">
        <v>288</v>
      </c>
      <c r="K117" s="16" t="n">
        <v>0</v>
      </c>
      <c r="L117" s="16" t="n">
        <v>261.84</v>
      </c>
      <c r="M117" s="16" t="n">
        <v>26.16</v>
      </c>
      <c r="N117" s="23" t="inlineStr">
        <is>
          <t>11/2026</t>
        </is>
      </c>
      <c r="O117" s="15">
        <f>IFERROR(INDEX(Tariffe!$D$2:$D$200,MATCH(E117,Tariffe!$A$2:$A$200,0))*1,0)</f>
        <v/>
      </c>
      <c r="P117" s="15">
        <f>Q117*O117</f>
        <v/>
      </c>
      <c r="Q117" s="15" t="n">
        <v>6</v>
      </c>
      <c r="R117" s="15">
        <f>IFERROR(INDEX(Tariffe!$E$2:$E$200,MATCH(E117,Tariffe!$A$2:$A$200,0))*1,1)</f>
        <v/>
      </c>
    </row>
    <row r="118">
      <c r="A118" s="22" t="inlineStr">
        <is>
          <t>20261101_2015</t>
        </is>
      </c>
      <c r="B118" s="9" t="n">
        <v>46327</v>
      </c>
      <c r="C118" s="10" t="n">
        <v>0.84375</v>
      </c>
      <c r="D118" s="22" t="inlineStr">
        <is>
          <t>UN Unico</t>
        </is>
      </c>
      <c r="E118" s="22" t="inlineStr">
        <is>
          <t>I2 36€</t>
        </is>
      </c>
      <c r="F118" s="22">
        <f>IFERROR(INDEX(Tariffe!$B$2:$B$200,MATCH(E118,Tariffe!$A$2:$A$200,0)),"DA DEFINIRE")</f>
        <v/>
      </c>
      <c r="G118" s="12" t="n">
        <v>36</v>
      </c>
      <c r="H118" s="11">
        <f>Q118*R118</f>
        <v/>
      </c>
      <c r="I118" s="11" t="n">
        <v>0</v>
      </c>
      <c r="J118" s="12" t="n">
        <v>36</v>
      </c>
      <c r="K118" s="12" t="n">
        <v>0</v>
      </c>
      <c r="L118" s="12" t="n">
        <v>32.73</v>
      </c>
      <c r="M118" s="12" t="n">
        <v>3.27</v>
      </c>
      <c r="N118" s="22" t="inlineStr">
        <is>
          <t>11/2026</t>
        </is>
      </c>
      <c r="O118" s="11">
        <f>IFERROR(INDEX(Tariffe!$D$2:$D$200,MATCH(E118,Tariffe!$A$2:$A$200,0))*1,0)</f>
        <v/>
      </c>
      <c r="P118" s="11">
        <f>Q118*O118</f>
        <v/>
      </c>
      <c r="Q118" s="11" t="n">
        <v>1</v>
      </c>
      <c r="R118" s="11">
        <f>IFERROR(INDEX(Tariffe!$E$2:$E$200,MATCH(E118,Tariffe!$A$2:$A$200,0))*1,1)</f>
        <v/>
      </c>
    </row>
    <row r="119">
      <c r="A119" s="23" t="inlineStr">
        <is>
          <t>20261101_2015</t>
        </is>
      </c>
      <c r="B119" s="13" t="n">
        <v>46327</v>
      </c>
      <c r="C119" s="14" t="n">
        <v>0.84375</v>
      </c>
      <c r="D119" s="23" t="inlineStr">
        <is>
          <t>UN Unico</t>
        </is>
      </c>
      <c r="E119" s="23" t="inlineStr">
        <is>
          <t>I5 60€</t>
        </is>
      </c>
      <c r="F119" s="23">
        <f>IFERROR(INDEX(Tariffe!$B$2:$B$200,MATCH(E119,Tariffe!$A$2:$A$200,0)),"DA DEFINIRE")</f>
        <v/>
      </c>
      <c r="G119" s="16" t="n">
        <v>60</v>
      </c>
      <c r="H119" s="15">
        <f>Q119*R119</f>
        <v/>
      </c>
      <c r="I119" s="15" t="n">
        <v>0</v>
      </c>
      <c r="J119" s="16" t="n">
        <v>60</v>
      </c>
      <c r="K119" s="16" t="n">
        <v>0</v>
      </c>
      <c r="L119" s="16" t="n">
        <v>54.55</v>
      </c>
      <c r="M119" s="16" t="n">
        <v>5.45</v>
      </c>
      <c r="N119" s="23" t="inlineStr">
        <is>
          <t>11/2026</t>
        </is>
      </c>
      <c r="O119" s="15">
        <f>IFERROR(INDEX(Tariffe!$D$2:$D$200,MATCH(E119,Tariffe!$A$2:$A$200,0))*1,0)</f>
        <v/>
      </c>
      <c r="P119" s="15">
        <f>Q119*O119</f>
        <v/>
      </c>
      <c r="Q119" s="15" t="n">
        <v>1</v>
      </c>
      <c r="R119" s="15">
        <f>IFERROR(INDEX(Tariffe!$E$2:$E$200,MATCH(E119,Tariffe!$A$2:$A$200,0))*1,1)</f>
        <v/>
      </c>
    </row>
    <row r="120">
      <c r="A120" s="22" t="inlineStr">
        <is>
          <t>20261101_2015</t>
        </is>
      </c>
      <c r="B120" s="9" t="n">
        <v>46327</v>
      </c>
      <c r="C120" s="10" t="n">
        <v>0.84375</v>
      </c>
      <c r="D120" s="22" t="inlineStr">
        <is>
          <t>UN Unico</t>
        </is>
      </c>
      <c r="E120" s="22" t="inlineStr">
        <is>
          <t>I8 24€</t>
        </is>
      </c>
      <c r="F120" s="22">
        <f>IFERROR(INDEX(Tariffe!$B$2:$B$200,MATCH(E120,Tariffe!$A$2:$A$200,0)),"DA DEFINIRE")</f>
        <v/>
      </c>
      <c r="G120" s="12" t="n">
        <v>24</v>
      </c>
      <c r="H120" s="11">
        <f>Q120*R120</f>
        <v/>
      </c>
      <c r="I120" s="11" t="n">
        <v>0</v>
      </c>
      <c r="J120" s="12" t="n">
        <v>120</v>
      </c>
      <c r="K120" s="12" t="n">
        <v>0</v>
      </c>
      <c r="L120" s="12" t="n">
        <v>109.1</v>
      </c>
      <c r="M120" s="12" t="n">
        <v>10.9</v>
      </c>
      <c r="N120" s="22" t="inlineStr">
        <is>
          <t>11/2026</t>
        </is>
      </c>
      <c r="O120" s="11">
        <f>IFERROR(INDEX(Tariffe!$D$2:$D$200,MATCH(E120,Tariffe!$A$2:$A$200,0))*1,0)</f>
        <v/>
      </c>
      <c r="P120" s="11">
        <f>Q120*O120</f>
        <v/>
      </c>
      <c r="Q120" s="11" t="n">
        <v>5</v>
      </c>
      <c r="R120" s="11">
        <f>IFERROR(INDEX(Tariffe!$E$2:$E$200,MATCH(E120,Tariffe!$A$2:$A$200,0))*1,1)</f>
        <v/>
      </c>
    </row>
    <row r="121">
      <c r="A121" s="23" t="inlineStr">
        <is>
          <t>20261101_2115</t>
        </is>
      </c>
      <c r="B121" s="13" t="n">
        <v>46327</v>
      </c>
      <c r="C121" s="14" t="n">
        <v>0.8854166666666666</v>
      </c>
      <c r="D121" s="23" t="inlineStr">
        <is>
          <t>UN Unico</t>
        </is>
      </c>
      <c r="E121" s="23" t="inlineStr">
        <is>
          <t>I1 48€</t>
        </is>
      </c>
      <c r="F121" s="23">
        <f>IFERROR(INDEX(Tariffe!$B$2:$B$200,MATCH(E121,Tariffe!$A$2:$A$200,0)),"DA DEFINIRE")</f>
        <v/>
      </c>
      <c r="G121" s="16" t="n">
        <v>48</v>
      </c>
      <c r="H121" s="15">
        <f>Q121*R121</f>
        <v/>
      </c>
      <c r="I121" s="15" t="n">
        <v>0</v>
      </c>
      <c r="J121" s="16" t="n">
        <v>240</v>
      </c>
      <c r="K121" s="16" t="n">
        <v>0</v>
      </c>
      <c r="L121" s="16" t="n">
        <v>218.2</v>
      </c>
      <c r="M121" s="16" t="n">
        <v>21.8</v>
      </c>
      <c r="N121" s="23" t="inlineStr">
        <is>
          <t>11/2026</t>
        </is>
      </c>
      <c r="O121" s="15">
        <f>IFERROR(INDEX(Tariffe!$D$2:$D$200,MATCH(E121,Tariffe!$A$2:$A$200,0))*1,0)</f>
        <v/>
      </c>
      <c r="P121" s="15">
        <f>Q121*O121</f>
        <v/>
      </c>
      <c r="Q121" s="15" t="n">
        <v>5</v>
      </c>
      <c r="R121" s="15">
        <f>IFERROR(INDEX(Tariffe!$E$2:$E$200,MATCH(E121,Tariffe!$A$2:$A$200,0))*1,1)</f>
        <v/>
      </c>
    </row>
    <row r="122">
      <c r="A122" s="22" t="inlineStr">
        <is>
          <t>20261101_2115</t>
        </is>
      </c>
      <c r="B122" s="9" t="n">
        <v>46327</v>
      </c>
      <c r="C122" s="10" t="n">
        <v>0.8854166666666666</v>
      </c>
      <c r="D122" s="22" t="inlineStr">
        <is>
          <t>UN Unico</t>
        </is>
      </c>
      <c r="E122" s="22" t="inlineStr">
        <is>
          <t>I2 36€</t>
        </is>
      </c>
      <c r="F122" s="22">
        <f>IFERROR(INDEX(Tariffe!$B$2:$B$200,MATCH(E122,Tariffe!$A$2:$A$200,0)),"DA DEFINIRE")</f>
        <v/>
      </c>
      <c r="G122" s="12" t="n">
        <v>36</v>
      </c>
      <c r="H122" s="11">
        <f>Q122*R122</f>
        <v/>
      </c>
      <c r="I122" s="11" t="n">
        <v>0</v>
      </c>
      <c r="J122" s="12" t="n">
        <v>144</v>
      </c>
      <c r="K122" s="12" t="n">
        <v>0</v>
      </c>
      <c r="L122" s="12" t="n">
        <v>130.92</v>
      </c>
      <c r="M122" s="12" t="n">
        <v>13.08</v>
      </c>
      <c r="N122" s="22" t="inlineStr">
        <is>
          <t>11/2026</t>
        </is>
      </c>
      <c r="O122" s="11">
        <f>IFERROR(INDEX(Tariffe!$D$2:$D$200,MATCH(E122,Tariffe!$A$2:$A$200,0))*1,0)</f>
        <v/>
      </c>
      <c r="P122" s="11">
        <f>Q122*O122</f>
        <v/>
      </c>
      <c r="Q122" s="11" t="n">
        <v>4</v>
      </c>
      <c r="R122" s="11">
        <f>IFERROR(INDEX(Tariffe!$E$2:$E$200,MATCH(E122,Tariffe!$A$2:$A$200,0))*1,1)</f>
        <v/>
      </c>
    </row>
    <row r="123">
      <c r="A123" s="23" t="inlineStr">
        <is>
          <t>20261101_2115</t>
        </is>
      </c>
      <c r="B123" s="13" t="n">
        <v>46327</v>
      </c>
      <c r="C123" s="14" t="n">
        <v>0.8854166666666666</v>
      </c>
      <c r="D123" s="23" t="inlineStr">
        <is>
          <t>UN Unico</t>
        </is>
      </c>
      <c r="E123" s="23" t="inlineStr">
        <is>
          <t>I5 60€</t>
        </is>
      </c>
      <c r="F123" s="23">
        <f>IFERROR(INDEX(Tariffe!$B$2:$B$200,MATCH(E123,Tariffe!$A$2:$A$200,0)),"DA DEFINIRE")</f>
        <v/>
      </c>
      <c r="G123" s="16" t="n">
        <v>60</v>
      </c>
      <c r="H123" s="15">
        <f>Q123*R123</f>
        <v/>
      </c>
      <c r="I123" s="15" t="n">
        <v>0</v>
      </c>
      <c r="J123" s="16" t="n">
        <v>60</v>
      </c>
      <c r="K123" s="16" t="n">
        <v>0</v>
      </c>
      <c r="L123" s="16" t="n">
        <v>54.55</v>
      </c>
      <c r="M123" s="16" t="n">
        <v>5.45</v>
      </c>
      <c r="N123" s="23" t="inlineStr">
        <is>
          <t>11/2026</t>
        </is>
      </c>
      <c r="O123" s="15">
        <f>IFERROR(INDEX(Tariffe!$D$2:$D$200,MATCH(E123,Tariffe!$A$2:$A$200,0))*1,0)</f>
        <v/>
      </c>
      <c r="P123" s="15">
        <f>Q123*O123</f>
        <v/>
      </c>
      <c r="Q123" s="15" t="n">
        <v>1</v>
      </c>
      <c r="R123" s="15">
        <f>IFERROR(INDEX(Tariffe!$E$2:$E$200,MATCH(E123,Tariffe!$A$2:$A$200,0))*1,1)</f>
        <v/>
      </c>
    </row>
    <row r="124">
      <c r="A124" s="22" t="inlineStr">
        <is>
          <t>20261101_2115</t>
        </is>
      </c>
      <c r="B124" s="9" t="n">
        <v>46327</v>
      </c>
      <c r="C124" s="10" t="n">
        <v>0.8854166666666666</v>
      </c>
      <c r="D124" s="22" t="inlineStr">
        <is>
          <t>UN Unico</t>
        </is>
      </c>
      <c r="E124" s="22" t="inlineStr">
        <is>
          <t>I8 24€</t>
        </is>
      </c>
      <c r="F124" s="22">
        <f>IFERROR(INDEX(Tariffe!$B$2:$B$200,MATCH(E124,Tariffe!$A$2:$A$200,0)),"DA DEFINIRE")</f>
        <v/>
      </c>
      <c r="G124" s="12" t="n">
        <v>24</v>
      </c>
      <c r="H124" s="11">
        <f>Q124*R124</f>
        <v/>
      </c>
      <c r="I124" s="11" t="n">
        <v>0</v>
      </c>
      <c r="J124" s="12" t="n">
        <v>264</v>
      </c>
      <c r="K124" s="12" t="n">
        <v>0</v>
      </c>
      <c r="L124" s="12" t="n">
        <v>240.02</v>
      </c>
      <c r="M124" s="12" t="n">
        <v>23.98</v>
      </c>
      <c r="N124" s="22" t="inlineStr">
        <is>
          <t>11/2026</t>
        </is>
      </c>
      <c r="O124" s="11">
        <f>IFERROR(INDEX(Tariffe!$D$2:$D$200,MATCH(E124,Tariffe!$A$2:$A$200,0))*1,0)</f>
        <v/>
      </c>
      <c r="P124" s="11">
        <f>Q124*O124</f>
        <v/>
      </c>
      <c r="Q124" s="11" t="n">
        <v>11</v>
      </c>
      <c r="R124" s="11">
        <f>IFERROR(INDEX(Tariffe!$E$2:$E$200,MATCH(E124,Tariffe!$A$2:$A$200,0))*1,1)</f>
        <v/>
      </c>
    </row>
    <row r="125">
      <c r="A125" s="23" t="inlineStr">
        <is>
          <t>20261101_2215</t>
        </is>
      </c>
      <c r="B125" s="13" t="n">
        <v>46327</v>
      </c>
      <c r="C125" s="14" t="n">
        <v>0.9270833333333334</v>
      </c>
      <c r="D125" s="23" t="inlineStr">
        <is>
          <t>UN Unico</t>
        </is>
      </c>
      <c r="E125" s="23" t="inlineStr">
        <is>
          <t>I1 48€</t>
        </is>
      </c>
      <c r="F125" s="23">
        <f>IFERROR(INDEX(Tariffe!$B$2:$B$200,MATCH(E125,Tariffe!$A$2:$A$200,0)),"DA DEFINIRE")</f>
        <v/>
      </c>
      <c r="G125" s="16" t="n">
        <v>48</v>
      </c>
      <c r="H125" s="15">
        <f>Q125*R125</f>
        <v/>
      </c>
      <c r="I125" s="15" t="n">
        <v>0</v>
      </c>
      <c r="J125" s="16" t="n">
        <v>432</v>
      </c>
      <c r="K125" s="16" t="n">
        <v>0</v>
      </c>
      <c r="L125" s="16" t="n">
        <v>392.76</v>
      </c>
      <c r="M125" s="16" t="n">
        <v>39.24</v>
      </c>
      <c r="N125" s="23" t="inlineStr">
        <is>
          <t>11/2026</t>
        </is>
      </c>
      <c r="O125" s="15">
        <f>IFERROR(INDEX(Tariffe!$D$2:$D$200,MATCH(E125,Tariffe!$A$2:$A$200,0))*1,0)</f>
        <v/>
      </c>
      <c r="P125" s="15">
        <f>Q125*O125</f>
        <v/>
      </c>
      <c r="Q125" s="15" t="n">
        <v>9</v>
      </c>
      <c r="R125" s="15">
        <f>IFERROR(INDEX(Tariffe!$E$2:$E$200,MATCH(E125,Tariffe!$A$2:$A$200,0))*1,1)</f>
        <v/>
      </c>
    </row>
    <row r="126">
      <c r="A126" s="22" t="inlineStr">
        <is>
          <t>20261101_2215</t>
        </is>
      </c>
      <c r="B126" s="9" t="n">
        <v>46327</v>
      </c>
      <c r="C126" s="10" t="n">
        <v>0.9270833333333334</v>
      </c>
      <c r="D126" s="22" t="inlineStr">
        <is>
          <t>UN Unico</t>
        </is>
      </c>
      <c r="E126" s="22" t="inlineStr">
        <is>
          <t>I2 36€</t>
        </is>
      </c>
      <c r="F126" s="22">
        <f>IFERROR(INDEX(Tariffe!$B$2:$B$200,MATCH(E126,Tariffe!$A$2:$A$200,0)),"DA DEFINIRE")</f>
        <v/>
      </c>
      <c r="G126" s="12" t="n">
        <v>36</v>
      </c>
      <c r="H126" s="11">
        <f>Q126*R126</f>
        <v/>
      </c>
      <c r="I126" s="11" t="n">
        <v>0</v>
      </c>
      <c r="J126" s="12" t="n">
        <v>108</v>
      </c>
      <c r="K126" s="12" t="n">
        <v>0</v>
      </c>
      <c r="L126" s="12" t="n">
        <v>98.19</v>
      </c>
      <c r="M126" s="12" t="n">
        <v>9.81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Q126*O126</f>
        <v/>
      </c>
      <c r="Q126" s="11" t="n">
        <v>3</v>
      </c>
      <c r="R126" s="11">
        <f>IFERROR(INDEX(Tariffe!$E$2:$E$200,MATCH(E126,Tariffe!$A$2:$A$200,0))*1,1)</f>
        <v/>
      </c>
    </row>
    <row r="127">
      <c r="A127" s="23" t="inlineStr">
        <is>
          <t>20261101_2215</t>
        </is>
      </c>
      <c r="B127" s="13" t="n">
        <v>46327</v>
      </c>
      <c r="C127" s="14" t="n">
        <v>0.9270833333333334</v>
      </c>
      <c r="D127" s="23" t="inlineStr">
        <is>
          <t>UN Unico</t>
        </is>
      </c>
      <c r="E127" s="23" t="inlineStr">
        <is>
          <t>I5 60€</t>
        </is>
      </c>
      <c r="F127" s="23">
        <f>IFERROR(INDEX(Tariffe!$B$2:$B$200,MATCH(E127,Tariffe!$A$2:$A$200,0)),"DA DEFINIRE")</f>
        <v/>
      </c>
      <c r="G127" s="16" t="n">
        <v>60</v>
      </c>
      <c r="H127" s="15">
        <f>Q127*R127</f>
        <v/>
      </c>
      <c r="I127" s="15" t="n">
        <v>0</v>
      </c>
      <c r="J127" s="16" t="n">
        <v>60</v>
      </c>
      <c r="K127" s="16" t="n">
        <v>0</v>
      </c>
      <c r="L127" s="16" t="n">
        <v>54.55</v>
      </c>
      <c r="M127" s="16" t="n">
        <v>5.45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Q127*O127</f>
        <v/>
      </c>
      <c r="Q127" s="15" t="n">
        <v>1</v>
      </c>
      <c r="R127" s="15">
        <f>IFERROR(INDEX(Tariffe!$E$2:$E$200,MATCH(E127,Tariffe!$A$2:$A$200,0))*1,1)</f>
        <v/>
      </c>
    </row>
    <row r="128">
      <c r="A128" s="22" t="inlineStr">
        <is>
          <t>20261101_2215</t>
        </is>
      </c>
      <c r="B128" s="9" t="n">
        <v>46327</v>
      </c>
      <c r="C128" s="10" t="n">
        <v>0.9270833333333334</v>
      </c>
      <c r="D128" s="22" t="inlineStr">
        <is>
          <t>UN Unico</t>
        </is>
      </c>
      <c r="E128" s="22" t="inlineStr">
        <is>
          <t>I8 24€</t>
        </is>
      </c>
      <c r="F128" s="22">
        <f>IFERROR(INDEX(Tariffe!$B$2:$B$200,MATCH(E128,Tariffe!$A$2:$A$200,0)),"DA DEFINIRE")</f>
        <v/>
      </c>
      <c r="G128" s="12" t="n">
        <v>24</v>
      </c>
      <c r="H128" s="11">
        <f>Q128*R128</f>
        <v/>
      </c>
      <c r="I128" s="11" t="n">
        <v>0</v>
      </c>
      <c r="J128" s="12" t="n">
        <v>312</v>
      </c>
      <c r="K128" s="12" t="n">
        <v>0</v>
      </c>
      <c r="L128" s="12" t="n">
        <v>283.66</v>
      </c>
      <c r="M128" s="12" t="n">
        <v>28.34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Q128*O128</f>
        <v/>
      </c>
      <c r="Q128" s="11" t="n">
        <v>13</v>
      </c>
      <c r="R128" s="11">
        <f>IFERROR(INDEX(Tariffe!$E$2:$E$200,MATCH(E128,Tariffe!$A$2:$A$200,0))*1,1)</f>
        <v/>
      </c>
    </row>
    <row r="129">
      <c r="A129" s="23" t="inlineStr">
        <is>
          <t>20261101_2315</t>
        </is>
      </c>
      <c r="B129" s="13" t="n">
        <v>46327</v>
      </c>
      <c r="C129" s="14" t="n">
        <v>0.96875</v>
      </c>
      <c r="D129" s="23" t="inlineStr">
        <is>
          <t>UN Unico</t>
        </is>
      </c>
      <c r="E129" s="23" t="inlineStr">
        <is>
          <t>I2 36€</t>
        </is>
      </c>
      <c r="F129" s="23">
        <f>IFERROR(INDEX(Tariffe!$B$2:$B$200,MATCH(E129,Tariffe!$A$2:$A$200,0)),"DA DEFINIRE")</f>
        <v/>
      </c>
      <c r="G129" s="16" t="n">
        <v>36</v>
      </c>
      <c r="H129" s="15">
        <f>Q129*R129</f>
        <v/>
      </c>
      <c r="I129" s="15" t="n">
        <v>0</v>
      </c>
      <c r="J129" s="16" t="n">
        <v>72</v>
      </c>
      <c r="K129" s="16" t="n">
        <v>0</v>
      </c>
      <c r="L129" s="16" t="n">
        <v>65.45999999999999</v>
      </c>
      <c r="M129" s="16" t="n">
        <v>6.54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Q129*O129</f>
        <v/>
      </c>
      <c r="Q129" s="15" t="n">
        <v>2</v>
      </c>
      <c r="R129" s="15">
        <f>IFERROR(INDEX(Tariffe!$E$2:$E$200,MATCH(E129,Tariffe!$A$2:$A$200,0))*1,1)</f>
        <v/>
      </c>
    </row>
    <row r="130">
      <c r="A130" s="22" t="inlineStr">
        <is>
          <t>20261101_2315</t>
        </is>
      </c>
      <c r="B130" s="9" t="n">
        <v>46327</v>
      </c>
      <c r="C130" s="10" t="n">
        <v>0.96875</v>
      </c>
      <c r="D130" s="22" t="inlineStr">
        <is>
          <t>UN Unico</t>
        </is>
      </c>
      <c r="E130" s="22" t="inlineStr">
        <is>
          <t>I8 24€</t>
        </is>
      </c>
      <c r="F130" s="22">
        <f>IFERROR(INDEX(Tariffe!$B$2:$B$200,MATCH(E130,Tariffe!$A$2:$A$200,0)),"DA DEFINIRE")</f>
        <v/>
      </c>
      <c r="G130" s="12" t="n">
        <v>24</v>
      </c>
      <c r="H130" s="11">
        <f>Q130*R130</f>
        <v/>
      </c>
      <c r="I130" s="11" t="n">
        <v>0</v>
      </c>
      <c r="J130" s="12" t="n">
        <v>48</v>
      </c>
      <c r="K130" s="12" t="n">
        <v>0</v>
      </c>
      <c r="L130" s="12" t="n">
        <v>43.64</v>
      </c>
      <c r="M130" s="12" t="n">
        <v>4.36</v>
      </c>
      <c r="N130" s="22" t="inlineStr">
        <is>
          <t>11/2026</t>
        </is>
      </c>
      <c r="O130" s="11">
        <f>IFERROR(INDEX(Tariffe!$D$2:$D$200,MATCH(E130,Tariffe!$A$2:$A$200,0))*1,0)</f>
        <v/>
      </c>
      <c r="P130" s="11">
        <f>Q130*O130</f>
        <v/>
      </c>
      <c r="Q130" s="11" t="n">
        <v>2</v>
      </c>
      <c r="R130" s="11">
        <f>IFERROR(INDEX(Tariffe!$E$2:$E$200,MATCH(E130,Tariffe!$A$2:$A$200,0))*1,1)</f>
        <v/>
      </c>
    </row>
    <row r="131">
      <c r="A131" s="23" t="inlineStr">
        <is>
          <t>20261101_2359</t>
        </is>
      </c>
      <c r="B131" s="13" t="n">
        <v>46327</v>
      </c>
      <c r="C131" s="14" t="n">
        <v>0.9993055555555556</v>
      </c>
      <c r="D131" s="23" t="inlineStr">
        <is>
          <t>UN Unico</t>
        </is>
      </c>
      <c r="E131" s="23" t="inlineStr">
        <is>
          <t>I5 60€</t>
        </is>
      </c>
      <c r="F131" s="23">
        <f>IFERROR(INDEX(Tariffe!$B$2:$B$200,MATCH(E131,Tariffe!$A$2:$A$200,0)),"DA DEFINIRE")</f>
        <v/>
      </c>
      <c r="G131" s="16" t="n">
        <v>60</v>
      </c>
      <c r="H131" s="15">
        <f>Q131*R131</f>
        <v/>
      </c>
      <c r="I131" s="15" t="n">
        <v>0</v>
      </c>
      <c r="J131" s="16" t="n">
        <v>60</v>
      </c>
      <c r="K131" s="16" t="n">
        <v>0</v>
      </c>
      <c r="L131" s="16" t="n">
        <v>54.55</v>
      </c>
      <c r="M131" s="16" t="n">
        <v>5.45</v>
      </c>
      <c r="N131" s="23" t="inlineStr">
        <is>
          <t>11/2026</t>
        </is>
      </c>
      <c r="O131" s="15">
        <f>IFERROR(INDEX(Tariffe!$D$2:$D$200,MATCH(E131,Tariffe!$A$2:$A$200,0))*1,0)</f>
        <v/>
      </c>
      <c r="P131" s="15">
        <f>Q131*O131</f>
        <v/>
      </c>
      <c r="Q131" s="15" t="n">
        <v>1</v>
      </c>
      <c r="R131" s="15">
        <f>IFERROR(INDEX(Tariffe!$E$2:$E$200,MATCH(E131,Tariffe!$A$2:$A$200,0))*1,1)</f>
        <v/>
      </c>
    </row>
    <row r="132">
      <c r="A132" s="22" t="inlineStr">
        <is>
          <t>20261101_2359</t>
        </is>
      </c>
      <c r="B132" s="9" t="n">
        <v>46327</v>
      </c>
      <c r="C132" s="10" t="n">
        <v>0.9993055555555556</v>
      </c>
      <c r="D132" s="22" t="inlineStr">
        <is>
          <t>UN Unico</t>
        </is>
      </c>
      <c r="E132" s="22" t="inlineStr">
        <is>
          <t>I8 24€</t>
        </is>
      </c>
      <c r="F132" s="22">
        <f>IFERROR(INDEX(Tariffe!$B$2:$B$200,MATCH(E132,Tariffe!$A$2:$A$200,0)),"DA DEFINIRE")</f>
        <v/>
      </c>
      <c r="G132" s="12" t="n">
        <v>24</v>
      </c>
      <c r="H132" s="11">
        <f>Q132*R132</f>
        <v/>
      </c>
      <c r="I132" s="11" t="n">
        <v>0</v>
      </c>
      <c r="J132" s="12" t="n">
        <v>24</v>
      </c>
      <c r="K132" s="12" t="n">
        <v>0</v>
      </c>
      <c r="L132" s="12" t="n">
        <v>21.82</v>
      </c>
      <c r="M132" s="12" t="n">
        <v>2.18</v>
      </c>
      <c r="N132" s="22" t="inlineStr">
        <is>
          <t>11/2026</t>
        </is>
      </c>
      <c r="O132" s="11">
        <f>IFERROR(INDEX(Tariffe!$D$2:$D$200,MATCH(E132,Tariffe!$A$2:$A$200,0))*1,0)</f>
        <v/>
      </c>
      <c r="P132" s="11">
        <f>Q132*O132</f>
        <v/>
      </c>
      <c r="Q132" s="11" t="n">
        <v>1</v>
      </c>
      <c r="R132" s="11">
        <f>IFERROR(INDEX(Tariffe!$E$2:$E$200,MATCH(E132,Tariffe!$A$2:$A$200,0))*1,1)</f>
        <v/>
      </c>
    </row>
    <row r="133">
      <c r="A133" s="23" t="inlineStr">
        <is>
          <t>20261102_2015</t>
        </is>
      </c>
      <c r="B133" s="13" t="n">
        <v>46328</v>
      </c>
      <c r="C133" s="14" t="n">
        <v>0.84375</v>
      </c>
      <c r="D133" s="23" t="inlineStr">
        <is>
          <t>UN Unico</t>
        </is>
      </c>
      <c r="E133" s="23" t="inlineStr">
        <is>
          <t>I1 15€</t>
        </is>
      </c>
      <c r="F133" s="23">
        <f>IFERROR(INDEX(Tariffe!$B$2:$B$200,MATCH(E133,Tariffe!$A$2:$A$200,0)),"DA DEFINIRE")</f>
        <v/>
      </c>
      <c r="G133" s="16" t="n">
        <v>15</v>
      </c>
      <c r="H133" s="15">
        <f>Q133*R133</f>
        <v/>
      </c>
      <c r="I133" s="15" t="n">
        <v>0</v>
      </c>
      <c r="J133" s="16" t="n">
        <v>30</v>
      </c>
      <c r="K133" s="16" t="n">
        <v>0</v>
      </c>
      <c r="L133" s="16" t="n">
        <v>27.28</v>
      </c>
      <c r="M133" s="16" t="n">
        <v>2.72</v>
      </c>
      <c r="N133" s="23" t="inlineStr">
        <is>
          <t>11/2026</t>
        </is>
      </c>
      <c r="O133" s="15">
        <f>IFERROR(INDEX(Tariffe!$D$2:$D$200,MATCH(E133,Tariffe!$A$2:$A$200,0))*1,0)</f>
        <v/>
      </c>
      <c r="P133" s="15">
        <f>Q133*O133</f>
        <v/>
      </c>
      <c r="Q133" s="15" t="n">
        <v>2</v>
      </c>
      <c r="R133" s="15">
        <f>IFERROR(INDEX(Tariffe!$E$2:$E$200,MATCH(E133,Tariffe!$A$2:$A$200,0))*1,1)</f>
        <v/>
      </c>
    </row>
    <row r="134">
      <c r="A134" s="22" t="inlineStr">
        <is>
          <t>20261102_2215</t>
        </is>
      </c>
      <c r="B134" s="9" t="n">
        <v>46328</v>
      </c>
      <c r="C134" s="10" t="n">
        <v>0.9270833333333334</v>
      </c>
      <c r="D134" s="22" t="inlineStr">
        <is>
          <t>UN Unico</t>
        </is>
      </c>
      <c r="E134" s="22" t="inlineStr">
        <is>
          <t>I1 15€</t>
        </is>
      </c>
      <c r="F134" s="22">
        <f>IFERROR(INDEX(Tariffe!$B$2:$B$200,MATCH(E134,Tariffe!$A$2:$A$200,0)),"DA DEFINIRE")</f>
        <v/>
      </c>
      <c r="G134" s="12" t="n">
        <v>15</v>
      </c>
      <c r="H134" s="11">
        <f>Q134*R134</f>
        <v/>
      </c>
      <c r="I134" s="11" t="n">
        <v>0</v>
      </c>
      <c r="J134" s="12" t="n">
        <v>90</v>
      </c>
      <c r="K134" s="12" t="n">
        <v>0</v>
      </c>
      <c r="L134" s="12" t="n">
        <v>81.84</v>
      </c>
      <c r="M134" s="12" t="n">
        <v>8.16</v>
      </c>
      <c r="N134" s="22" t="inlineStr">
        <is>
          <t>11/2026</t>
        </is>
      </c>
      <c r="O134" s="11">
        <f>IFERROR(INDEX(Tariffe!$D$2:$D$200,MATCH(E134,Tariffe!$A$2:$A$200,0))*1,0)</f>
        <v/>
      </c>
      <c r="P134" s="11">
        <f>Q134*O134</f>
        <v/>
      </c>
      <c r="Q134" s="11" t="n">
        <v>6</v>
      </c>
      <c r="R134" s="11">
        <f>IFERROR(INDEX(Tariffe!$E$2:$E$200,MATCH(E134,Tariffe!$A$2:$A$200,0))*1,1)</f>
        <v/>
      </c>
    </row>
    <row r="135">
      <c r="A135" s="23" t="inlineStr">
        <is>
          <t>20261102_2315</t>
        </is>
      </c>
      <c r="B135" s="13" t="n">
        <v>46328</v>
      </c>
      <c r="C135" s="14" t="n">
        <v>0.96875</v>
      </c>
      <c r="D135" s="23" t="inlineStr">
        <is>
          <t>UN Unico</t>
        </is>
      </c>
      <c r="E135" s="23" t="inlineStr">
        <is>
          <t>I1 15€</t>
        </is>
      </c>
      <c r="F135" s="23">
        <f>IFERROR(INDEX(Tariffe!$B$2:$B$200,MATCH(E135,Tariffe!$A$2:$A$200,0)),"DA DEFINIRE")</f>
        <v/>
      </c>
      <c r="G135" s="16" t="n">
        <v>15</v>
      </c>
      <c r="H135" s="15">
        <f>Q135*R135</f>
        <v/>
      </c>
      <c r="I135" s="15" t="n">
        <v>0</v>
      </c>
      <c r="J135" s="16" t="n">
        <v>45</v>
      </c>
      <c r="K135" s="16" t="n">
        <v>0</v>
      </c>
      <c r="L135" s="16" t="n">
        <v>40.92</v>
      </c>
      <c r="M135" s="16" t="n">
        <v>4.08</v>
      </c>
      <c r="N135" s="23" t="inlineStr">
        <is>
          <t>11/2026</t>
        </is>
      </c>
      <c r="O135" s="15">
        <f>IFERROR(INDEX(Tariffe!$D$2:$D$200,MATCH(E135,Tariffe!$A$2:$A$200,0))*1,0)</f>
        <v/>
      </c>
      <c r="P135" s="15">
        <f>Q135*O135</f>
        <v/>
      </c>
      <c r="Q135" s="15" t="n">
        <v>3</v>
      </c>
      <c r="R135" s="15">
        <f>IFERROR(INDEX(Tariffe!$E$2:$E$200,MATCH(E135,Tariffe!$A$2:$A$200,0))*1,1)</f>
        <v/>
      </c>
    </row>
    <row r="136">
      <c r="A136" s="22" t="inlineStr">
        <is>
          <t>20261102_2359</t>
        </is>
      </c>
      <c r="B136" s="9" t="n">
        <v>46328</v>
      </c>
      <c r="C136" s="10" t="n">
        <v>0.9993055555555556</v>
      </c>
      <c r="D136" s="22" t="inlineStr">
        <is>
          <t>UN Unico</t>
        </is>
      </c>
      <c r="E136" s="22" t="inlineStr">
        <is>
          <t>I1 15€</t>
        </is>
      </c>
      <c r="F136" s="22">
        <f>IFERROR(INDEX(Tariffe!$B$2:$B$200,MATCH(E136,Tariffe!$A$2:$A$200,0)),"DA DEFINIRE")</f>
        <v/>
      </c>
      <c r="G136" s="12" t="n">
        <v>15</v>
      </c>
      <c r="H136" s="11">
        <f>Q136*R136</f>
        <v/>
      </c>
      <c r="I136" s="11" t="n">
        <v>0</v>
      </c>
      <c r="J136" s="12" t="n">
        <v>15</v>
      </c>
      <c r="K136" s="12" t="n">
        <v>0</v>
      </c>
      <c r="L136" s="12" t="n">
        <v>13.64</v>
      </c>
      <c r="M136" s="12" t="n">
        <v>1.36</v>
      </c>
      <c r="N136" s="22" t="inlineStr">
        <is>
          <t>11/2026</t>
        </is>
      </c>
      <c r="O136" s="11">
        <f>IFERROR(INDEX(Tariffe!$D$2:$D$200,MATCH(E136,Tariffe!$A$2:$A$200,0))*1,0)</f>
        <v/>
      </c>
      <c r="P136" s="11">
        <f>Q136*O136</f>
        <v/>
      </c>
      <c r="Q136" s="11" t="n">
        <v>1</v>
      </c>
      <c r="R136" s="11">
        <f>IFERROR(INDEX(Tariffe!$E$2:$E$200,MATCH(E136,Tariffe!$A$2:$A$200,0))*1,1)</f>
        <v/>
      </c>
    </row>
  </sheetData>
  <autoFilter ref="A1:R13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Persone per biglietto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IF(SUM($F$2:$F$6)&gt;0,F2/SUM($F$2:$F$6),0)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IF(SUM($F$2:$F$6)&gt;0,F3/SUM($F$2:$F$6),0)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IF(SUM($F$2:$F$6)&gt;0,F4/SUM($F$2:$F$6),0)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IF(SUM($F$2:$F$6)&gt;0,F5/SUM($F$2:$F$6),0)</f>
        <v/>
      </c>
    </row>
    <row r="6">
      <c r="A6" s="22">
        <f>Tariffe!A6</f>
        <v/>
      </c>
      <c r="B6" s="22">
        <f>Tariffe!B6</f>
        <v/>
      </c>
      <c r="C6" s="11">
        <f>Tariffe!D6</f>
        <v/>
      </c>
      <c r="D6" s="11">
        <f>SUMIF(Vendite!$E$2:$E$1000,A6,Vendite!$H$2:$H$1000)</f>
        <v/>
      </c>
      <c r="E6" s="11">
        <f>SUMIF(Vendite!$E$2:$E$1000,A6,Vendite!$P$2:$P$1000)</f>
        <v/>
      </c>
      <c r="F6" s="12">
        <f>SUMIF(Vendite!$E$2:$E$1000,A6,Vendite!$J$2:$J$1000)</f>
        <v/>
      </c>
      <c r="G6" s="24">
        <f>IF(SUM($F$2:$F$6)&gt;0,F6/SUM($F$2:$F$6),0)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7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742</v>
      </c>
      <c r="C590" s="11" t="n">
        <v>2219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742</v>
      </c>
      <c r="C591" s="15" t="n">
        <v>2219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755</v>
      </c>
      <c r="C592" s="11" t="n">
        <v>2261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760</v>
      </c>
      <c r="C593" s="15" t="n">
        <v>2277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761</v>
      </c>
      <c r="C594" s="11" t="n">
        <v>2284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764</v>
      </c>
      <c r="C595" s="15" t="n">
        <v>2296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768</v>
      </c>
      <c r="C596" s="11" t="n">
        <v>2310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768</v>
      </c>
      <c r="C597" s="15" t="n">
        <v>2310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769</v>
      </c>
      <c r="C598" s="11" t="n">
        <v>2314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770</v>
      </c>
      <c r="C599" s="15" t="n">
        <v>2316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770</v>
      </c>
      <c r="C600" s="11" t="n">
        <v>2316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771</v>
      </c>
      <c r="C601" s="15" t="n">
        <v>2318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772</v>
      </c>
      <c r="C602" s="11" t="n">
        <v>2320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772</v>
      </c>
      <c r="C603" s="15" t="n">
        <v>2320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772</v>
      </c>
      <c r="C604" s="11" t="n">
        <v>2320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772</v>
      </c>
      <c r="C605" s="15" t="n">
        <v>2320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772</v>
      </c>
      <c r="C606" s="11" t="n">
        <v>2320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773</v>
      </c>
      <c r="C607" s="15" t="n">
        <v>2322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773</v>
      </c>
      <c r="C608" s="11" t="n">
        <v>2322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775</v>
      </c>
      <c r="C609" s="15" t="n">
        <v>2331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777</v>
      </c>
      <c r="C610" s="11" t="n">
        <v>2338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790</v>
      </c>
      <c r="C611" s="15" t="n">
        <v>2378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795</v>
      </c>
      <c r="C612" s="11" t="n">
        <v>2392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799</v>
      </c>
      <c r="C613" s="15" t="n">
        <v>2405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799</v>
      </c>
      <c r="C614" s="11" t="n">
        <v>2405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814</v>
      </c>
      <c r="C615" s="15" t="n">
        <v>2444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817</v>
      </c>
      <c r="C616" s="11" t="n">
        <v>2455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818</v>
      </c>
      <c r="C617" s="15" t="n">
        <v>2457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833</v>
      </c>
      <c r="C618" s="11" t="n">
        <v>2501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842</v>
      </c>
      <c r="C619" s="15" t="n">
        <v>2533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853</v>
      </c>
      <c r="C620" s="11" t="n">
        <v>2569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861</v>
      </c>
      <c r="C621" s="15" t="n">
        <v>2602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865</v>
      </c>
      <c r="C622" s="11" t="n">
        <v>2612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893</v>
      </c>
      <c r="C623" s="15" t="n">
        <v>2708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911</v>
      </c>
      <c r="C624" s="11" t="n">
        <v>2761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918</v>
      </c>
      <c r="C625" s="15" t="n">
        <v>2790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936</v>
      </c>
      <c r="C626" s="11" t="n">
        <v>2855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938</v>
      </c>
      <c r="C627" s="15" t="n">
        <v>2859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958</v>
      </c>
      <c r="C628" s="11" t="n">
        <v>2914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968</v>
      </c>
      <c r="C629" s="15" t="n">
        <v>2936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979</v>
      </c>
      <c r="C630" s="11" t="n">
        <v>2964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980</v>
      </c>
      <c r="C631" s="15" t="n">
        <v>2967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981</v>
      </c>
      <c r="C632" s="11" t="n">
        <v>2970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983</v>
      </c>
      <c r="C633" s="15" t="n">
        <v>2974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986</v>
      </c>
      <c r="C634" s="11" t="n">
        <v>2982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989</v>
      </c>
      <c r="C635" s="15" t="n">
        <v>2991</v>
      </c>
      <c r="D635" s="16" t="n">
        <v>35913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997</v>
      </c>
      <c r="C636" s="11" t="n">
        <v>3011</v>
      </c>
      <c r="D636" s="12" t="n">
        <v>36153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999</v>
      </c>
      <c r="C637" s="15" t="n">
        <v>3015</v>
      </c>
      <c r="D637" s="16" t="n">
        <v>36201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1012</v>
      </c>
      <c r="C638" s="11" t="n">
        <v>3057</v>
      </c>
      <c r="D638" s="12" t="n">
        <v>36708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1012</v>
      </c>
      <c r="C639" s="15" t="n">
        <v>3057</v>
      </c>
      <c r="D639" s="16" t="n">
        <v>36708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1014</v>
      </c>
      <c r="C640" s="11" t="n">
        <v>3065</v>
      </c>
      <c r="D640" s="12" t="n">
        <v>36804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1017</v>
      </c>
      <c r="C641" s="15" t="n">
        <v>3076</v>
      </c>
      <c r="D641" s="16" t="n">
        <v>36939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1024</v>
      </c>
      <c r="C642" s="11" t="n">
        <v>3097</v>
      </c>
      <c r="D642" s="12" t="n">
        <v>37191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1027</v>
      </c>
      <c r="C643" s="15" t="n">
        <v>3107</v>
      </c>
      <c r="D643" s="16" t="n">
        <v>37311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1029</v>
      </c>
      <c r="C644" s="11" t="n">
        <v>3113</v>
      </c>
      <c r="D644" s="12" t="n">
        <v>37383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1030</v>
      </c>
      <c r="C645" s="15" t="n">
        <v>3115</v>
      </c>
      <c r="D645" s="16" t="n">
        <v>37407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1030</v>
      </c>
      <c r="C646" s="11" t="n">
        <v>3115</v>
      </c>
      <c r="D646" s="12" t="n">
        <v>37407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1032</v>
      </c>
      <c r="C647" s="15" t="n">
        <v>3122</v>
      </c>
      <c r="D647" s="16" t="n">
        <v>37491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1032</v>
      </c>
      <c r="C648" s="11" t="n">
        <v>3122</v>
      </c>
      <c r="D648" s="12" t="n">
        <v>37491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1034</v>
      </c>
      <c r="C649" s="15" t="n">
        <v>3130</v>
      </c>
      <c r="D649" s="16" t="n">
        <v>37587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1036</v>
      </c>
      <c r="C650" s="11" t="n">
        <v>3134</v>
      </c>
      <c r="D650" s="12" t="n">
        <v>37635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1039</v>
      </c>
      <c r="C651" s="15" t="n">
        <v>3144</v>
      </c>
      <c r="D651" s="16" t="n">
        <v>37755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1046</v>
      </c>
      <c r="C652" s="11" t="n">
        <v>3160</v>
      </c>
      <c r="D652" s="12" t="n">
        <v>37947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  <row r="653">
      <c r="A653" s="33" t="n">
        <v>46320.43333333333</v>
      </c>
      <c r="B653" s="15" t="n">
        <v>1046</v>
      </c>
      <c r="C653" s="15" t="n">
        <v>3160</v>
      </c>
      <c r="D653" s="16" t="n">
        <v>37947</v>
      </c>
      <c r="E653" s="34">
        <f>B653-B652</f>
        <v/>
      </c>
      <c r="F653" s="34">
        <f>C653-C652</f>
        <v/>
      </c>
      <c r="G653" s="35">
        <f>D653-D652</f>
        <v/>
      </c>
      <c r="H653">
        <f>TEXT(A653,"DD/MM HH:MM")</f>
        <v/>
      </c>
    </row>
    <row r="654">
      <c r="A654" s="30" t="n">
        <v>46320.47430555556</v>
      </c>
      <c r="B654" s="11" t="n">
        <v>1052</v>
      </c>
      <c r="C654" s="11" t="n">
        <v>3180</v>
      </c>
      <c r="D654" s="12" t="n">
        <v>38187</v>
      </c>
      <c r="E654" s="31">
        <f>B654-B653</f>
        <v/>
      </c>
      <c r="F654" s="31">
        <f>C654-C653</f>
        <v/>
      </c>
      <c r="G654" s="32">
        <f>D654-D653</f>
        <v/>
      </c>
      <c r="H654">
        <f>TEXT(A654,"DD/MM HH:MM")</f>
        <v/>
      </c>
    </row>
    <row r="655">
      <c r="A655" s="33" t="n">
        <v>46320.49930555555</v>
      </c>
      <c r="B655" s="15" t="n">
        <v>1058</v>
      </c>
      <c r="C655" s="15" t="n">
        <v>3200</v>
      </c>
      <c r="D655" s="16" t="n">
        <v>38427</v>
      </c>
      <c r="E655" s="34">
        <f>B655-B654</f>
        <v/>
      </c>
      <c r="F655" s="34">
        <f>C655-C654</f>
        <v/>
      </c>
      <c r="G655" s="35">
        <f>D655-D654</f>
        <v/>
      </c>
      <c r="H655">
        <f>TEXT(A655,"DD/MM HH:MM")</f>
        <v/>
      </c>
    </row>
    <row r="656">
      <c r="A656" s="30" t="n">
        <v>46320.51527777778</v>
      </c>
      <c r="B656" s="11" t="n">
        <v>1063</v>
      </c>
      <c r="C656" s="11" t="n">
        <v>3221</v>
      </c>
      <c r="D656" s="12" t="n">
        <v>38679</v>
      </c>
      <c r="E656" s="31">
        <f>B656-B655</f>
        <v/>
      </c>
      <c r="F656" s="31">
        <f>C656-C655</f>
        <v/>
      </c>
      <c r="G656" s="32">
        <f>D656-D655</f>
        <v/>
      </c>
      <c r="H656">
        <f>TEXT(A656,"DD/MM HH:MM")</f>
        <v/>
      </c>
    </row>
    <row r="657">
      <c r="A657" s="33" t="n">
        <v>46320.53680555556</v>
      </c>
      <c r="B657" s="15" t="n">
        <v>1077</v>
      </c>
      <c r="C657" s="15" t="n">
        <v>3270</v>
      </c>
      <c r="D657" s="16" t="n">
        <v>39267</v>
      </c>
      <c r="E657" s="34">
        <f>B657-B656</f>
        <v/>
      </c>
      <c r="F657" s="34">
        <f>C657-C656</f>
        <v/>
      </c>
      <c r="G657" s="35">
        <f>D657-D656</f>
        <v/>
      </c>
      <c r="H657">
        <f>TEXT(A657,"DD/MM HH:MM")</f>
        <v/>
      </c>
    </row>
    <row r="658">
      <c r="A658" s="30" t="n">
        <v>46320.55833333333</v>
      </c>
      <c r="B658" s="11" t="n">
        <v>1088</v>
      </c>
      <c r="C658" s="11" t="n">
        <v>3297</v>
      </c>
      <c r="D658" s="12" t="n">
        <v>39591</v>
      </c>
      <c r="E658" s="31">
        <f>B658-B657</f>
        <v/>
      </c>
      <c r="F658" s="31">
        <f>C658-C657</f>
        <v/>
      </c>
      <c r="G658" s="32">
        <f>D658-D657</f>
        <v/>
      </c>
      <c r="H658">
        <f>TEXT(A658,"DD/MM HH:MM")</f>
        <v/>
      </c>
    </row>
    <row r="659">
      <c r="A659" s="33" t="n">
        <v>46320.56041666667</v>
      </c>
      <c r="B659" s="15" t="n">
        <v>1088</v>
      </c>
      <c r="C659" s="15" t="n">
        <v>3297</v>
      </c>
      <c r="D659" s="16" t="n">
        <v>39591</v>
      </c>
      <c r="E659" s="34">
        <f>B659-B658</f>
        <v/>
      </c>
      <c r="F659" s="34">
        <f>C659-C658</f>
        <v/>
      </c>
      <c r="G659" s="35">
        <f>D659-D658</f>
        <v/>
      </c>
      <c r="H659">
        <f>TEXT(A659,"DD/MM HH:MM")</f>
        <v/>
      </c>
    </row>
    <row r="660">
      <c r="A660" s="30" t="n">
        <v>46320.58819444444</v>
      </c>
      <c r="B660" s="11" t="n">
        <v>1103</v>
      </c>
      <c r="C660" s="11" t="n">
        <v>3346</v>
      </c>
      <c r="D660" s="12" t="n">
        <v>40179</v>
      </c>
      <c r="E660" s="31">
        <f>B660-B659</f>
        <v/>
      </c>
      <c r="F660" s="31">
        <f>C660-C659</f>
        <v/>
      </c>
      <c r="G660" s="32">
        <f>D660-D659</f>
        <v/>
      </c>
      <c r="H660">
        <f>TEXT(A660,"DD/MM HH:MM")</f>
        <v/>
      </c>
    </row>
    <row r="661">
      <c r="A661" s="33" t="n">
        <v>46320.59305555555</v>
      </c>
      <c r="B661" s="15" t="n">
        <v>1104</v>
      </c>
      <c r="C661" s="15" t="n">
        <v>3350</v>
      </c>
      <c r="D661" s="16" t="n">
        <v>40227</v>
      </c>
      <c r="E661" s="34">
        <f>B661-B660</f>
        <v/>
      </c>
      <c r="F661" s="34">
        <f>C661-C660</f>
        <v/>
      </c>
      <c r="G661" s="35">
        <f>D661-D660</f>
        <v/>
      </c>
      <c r="H661">
        <f>TEXT(A661,"DD/MM HH:MM")</f>
        <v/>
      </c>
    </row>
    <row r="662">
      <c r="A662" s="30" t="n">
        <v>46320.60277777778</v>
      </c>
      <c r="B662" s="11" t="n">
        <v>1107</v>
      </c>
      <c r="C662" s="11" t="n">
        <v>3358</v>
      </c>
      <c r="D662" s="12" t="n">
        <v>40323</v>
      </c>
      <c r="E662" s="31">
        <f>B662-B661</f>
        <v/>
      </c>
      <c r="F662" s="31">
        <f>C662-C661</f>
        <v/>
      </c>
      <c r="G662" s="32">
        <f>D662-D661</f>
        <v/>
      </c>
      <c r="H662">
        <f>TEXT(A662,"DD/MM HH:MM")</f>
        <v/>
      </c>
    </row>
    <row r="663">
      <c r="A663" s="33" t="n">
        <v>46320.62847222222</v>
      </c>
      <c r="B663" s="15" t="n">
        <v>1134</v>
      </c>
      <c r="C663" s="15" t="n">
        <v>3448</v>
      </c>
      <c r="D663" s="16" t="n">
        <v>41403</v>
      </c>
      <c r="E663" s="34">
        <f>B663-B662</f>
        <v/>
      </c>
      <c r="F663" s="34">
        <f>C663-C662</f>
        <v/>
      </c>
      <c r="G663" s="35">
        <f>D663-D662</f>
        <v/>
      </c>
      <c r="H663">
        <f>TEXT(A663,"DD/MM HH:MM")</f>
        <v/>
      </c>
    </row>
    <row r="664">
      <c r="A664" s="30" t="n">
        <v>46320.64097222222</v>
      </c>
      <c r="B664" s="11" t="n">
        <v>1143</v>
      </c>
      <c r="C664" s="11" t="n">
        <v>3481</v>
      </c>
      <c r="D664" s="12" t="n">
        <v>41799</v>
      </c>
      <c r="E664" s="31">
        <f>B664-B663</f>
        <v/>
      </c>
      <c r="F664" s="31">
        <f>C664-C663</f>
        <v/>
      </c>
      <c r="G664" s="32">
        <f>D664-D663</f>
        <v/>
      </c>
      <c r="H664">
        <f>TEXT(A664,"DD/MM HH:MM")</f>
        <v/>
      </c>
    </row>
    <row r="665">
      <c r="A665" s="33" t="n">
        <v>46320.65138888889</v>
      </c>
      <c r="B665" s="15" t="n">
        <v>1151</v>
      </c>
      <c r="C665" s="15" t="n">
        <v>3509</v>
      </c>
      <c r="D665" s="16" t="n">
        <v>42135</v>
      </c>
      <c r="E665" s="34">
        <f>B665-B664</f>
        <v/>
      </c>
      <c r="F665" s="34">
        <f>C665-C664</f>
        <v/>
      </c>
      <c r="G665" s="35">
        <f>D665-D664</f>
        <v/>
      </c>
      <c r="H665">
        <f>TEXT(A665,"DD/MM HH:MM")</f>
        <v/>
      </c>
    </row>
    <row r="666">
      <c r="A666" s="30" t="n">
        <v>46320.65833333333</v>
      </c>
      <c r="B666" s="11" t="n">
        <v>1154</v>
      </c>
      <c r="C666" s="11" t="n">
        <v>3518</v>
      </c>
      <c r="D666" s="12" t="n">
        <v>42243</v>
      </c>
      <c r="E666" s="31">
        <f>B666-B665</f>
        <v/>
      </c>
      <c r="F666" s="31">
        <f>C666-C665</f>
        <v/>
      </c>
      <c r="G666" s="32">
        <f>D666-D665</f>
        <v/>
      </c>
      <c r="H666">
        <f>TEXT(A666,"DD/MM HH:MM")</f>
        <v/>
      </c>
    </row>
    <row r="667">
      <c r="A667" s="33" t="n">
        <v>46320.66527777778</v>
      </c>
      <c r="B667" s="15" t="n">
        <v>1161</v>
      </c>
      <c r="C667" s="15" t="n">
        <v>3540</v>
      </c>
      <c r="D667" s="16" t="n">
        <v>42507</v>
      </c>
      <c r="E667" s="34">
        <f>B667-B666</f>
        <v/>
      </c>
      <c r="F667" s="34">
        <f>C667-C666</f>
        <v/>
      </c>
      <c r="G667" s="35">
        <f>D667-D666</f>
        <v/>
      </c>
      <c r="H667">
        <f>TEXT(A667,"DD/MM HH:MM")</f>
        <v/>
      </c>
    </row>
    <row r="668">
      <c r="A668" s="30" t="n">
        <v>46320.66597222222</v>
      </c>
      <c r="B668" s="11" t="n">
        <v>1161</v>
      </c>
      <c r="C668" s="11" t="n">
        <v>3540</v>
      </c>
      <c r="D668" s="12" t="n">
        <v>42507</v>
      </c>
      <c r="E668" s="31">
        <f>B668-B667</f>
        <v/>
      </c>
      <c r="F668" s="31">
        <f>C668-C667</f>
        <v/>
      </c>
      <c r="G668" s="32">
        <f>D668-D667</f>
        <v/>
      </c>
      <c r="H668">
        <f>TEXT(A668,"DD/MM HH:MM")</f>
        <v/>
      </c>
    </row>
    <row r="669">
      <c r="A669" s="33" t="n">
        <v>46320.67847222222</v>
      </c>
      <c r="B669" s="15" t="n">
        <v>1172</v>
      </c>
      <c r="C669" s="15" t="n">
        <v>3576</v>
      </c>
      <c r="D669" s="16" t="n">
        <v>42939</v>
      </c>
      <c r="E669" s="34">
        <f>B669-B668</f>
        <v/>
      </c>
      <c r="F669" s="34">
        <f>C669-C668</f>
        <v/>
      </c>
      <c r="G669" s="35">
        <f>D669-D668</f>
        <v/>
      </c>
      <c r="H669">
        <f>TEXT(A669,"DD/MM HH:MM")</f>
        <v/>
      </c>
    </row>
    <row r="670">
      <c r="A670" s="30" t="n">
        <v>46320.68263888889</v>
      </c>
      <c r="B670" s="11" t="n">
        <v>1175</v>
      </c>
      <c r="C670" s="11" t="n">
        <v>3584</v>
      </c>
      <c r="D670" s="12" t="n">
        <v>43035</v>
      </c>
      <c r="E670" s="31">
        <f>B670-B669</f>
        <v/>
      </c>
      <c r="F670" s="31">
        <f>C670-C669</f>
        <v/>
      </c>
      <c r="G670" s="32">
        <f>D670-D669</f>
        <v/>
      </c>
      <c r="H670">
        <f>TEXT(A670,"DD/MM HH:MM")</f>
        <v/>
      </c>
    </row>
    <row r="671">
      <c r="A671" s="33" t="n">
        <v>46320.68402777778</v>
      </c>
      <c r="B671" s="15" t="n">
        <v>1176</v>
      </c>
      <c r="C671" s="15" t="n">
        <v>3587</v>
      </c>
      <c r="D671" s="16" t="n">
        <v>43071</v>
      </c>
      <c r="E671" s="34">
        <f>B671-B670</f>
        <v/>
      </c>
      <c r="F671" s="34">
        <f>C671-C670</f>
        <v/>
      </c>
      <c r="G671" s="35">
        <f>D671-D670</f>
        <v/>
      </c>
      <c r="H671">
        <f>TEXT(A671,"DD/MM HH:MM")</f>
        <v/>
      </c>
    </row>
    <row r="672">
      <c r="A672" s="30" t="n">
        <v>46320.70347222222</v>
      </c>
      <c r="B672" s="11" t="n">
        <v>1197</v>
      </c>
      <c r="C672" s="11" t="n">
        <v>3651</v>
      </c>
      <c r="D672" s="12" t="n">
        <v>43839</v>
      </c>
      <c r="E672" s="31">
        <f>B672-B671</f>
        <v/>
      </c>
      <c r="F672" s="31">
        <f>C672-C671</f>
        <v/>
      </c>
      <c r="G672" s="32">
        <f>D672-D671</f>
        <v/>
      </c>
      <c r="H672">
        <f>TEXT(A672,"DD/MM HH:MM")</f>
        <v/>
      </c>
    </row>
    <row r="673">
      <c r="A673" s="33" t="n">
        <v>46320.71388888889</v>
      </c>
      <c r="B673" s="15" t="n">
        <v>1203</v>
      </c>
      <c r="C673" s="15" t="n">
        <v>3669</v>
      </c>
      <c r="D673" s="16" t="n">
        <v>44055</v>
      </c>
      <c r="E673" s="34">
        <f>B673-B672</f>
        <v/>
      </c>
      <c r="F673" s="34">
        <f>C673-C672</f>
        <v/>
      </c>
      <c r="G673" s="35">
        <f>D673-D672</f>
        <v/>
      </c>
      <c r="H673">
        <f>TEXT(A673,"DD/MM HH:MM")</f>
        <v/>
      </c>
    </row>
    <row r="674">
      <c r="A674" s="30" t="n">
        <v>46320.71875</v>
      </c>
      <c r="B674" s="11" t="n">
        <v>1206</v>
      </c>
      <c r="C674" s="11" t="n">
        <v>3677</v>
      </c>
      <c r="D674" s="12" t="n">
        <v>44151</v>
      </c>
      <c r="E674" s="31">
        <f>B674-B673</f>
        <v/>
      </c>
      <c r="F674" s="31">
        <f>C674-C673</f>
        <v/>
      </c>
      <c r="G674" s="32">
        <f>D674-D673</f>
        <v/>
      </c>
      <c r="H674">
        <f>TEXT(A674,"DD/MM HH:MM")</f>
        <v/>
      </c>
    </row>
    <row r="675">
      <c r="A675" s="33" t="n">
        <v>46320.725</v>
      </c>
      <c r="B675" s="15" t="n">
        <v>1212</v>
      </c>
      <c r="C675" s="15" t="n">
        <v>3694</v>
      </c>
      <c r="D675" s="16" t="n">
        <v>44355</v>
      </c>
      <c r="E675" s="34">
        <f>B675-B674</f>
        <v/>
      </c>
      <c r="F675" s="34">
        <f>C675-C674</f>
        <v/>
      </c>
      <c r="G675" s="35">
        <f>D675-D674</f>
        <v/>
      </c>
      <c r="H675">
        <f>TEXT(A675,"DD/MM HH:MM")</f>
        <v/>
      </c>
    </row>
    <row r="676">
      <c r="A676" s="30" t="n">
        <v>46320.72847222222</v>
      </c>
      <c r="B676" s="11" t="n">
        <v>1213</v>
      </c>
      <c r="C676" s="11" t="n">
        <v>3696</v>
      </c>
      <c r="D676" s="12" t="n">
        <v>44379</v>
      </c>
      <c r="E676" s="31">
        <f>B676-B675</f>
        <v/>
      </c>
      <c r="F676" s="31">
        <f>C676-C675</f>
        <v/>
      </c>
      <c r="G676" s="32">
        <f>D676-D675</f>
        <v/>
      </c>
      <c r="H676">
        <f>TEXT(A676,"DD/MM HH:MM")</f>
        <v/>
      </c>
    </row>
    <row r="677">
      <c r="A677" s="33" t="n">
        <v>46320.73125</v>
      </c>
      <c r="B677" s="15" t="n">
        <v>1216</v>
      </c>
      <c r="C677" s="15" t="n">
        <v>3704</v>
      </c>
      <c r="D677" s="16" t="n">
        <v>44475</v>
      </c>
      <c r="E677" s="34">
        <f>B677-B676</f>
        <v/>
      </c>
      <c r="F677" s="34">
        <f>C677-C676</f>
        <v/>
      </c>
      <c r="G677" s="35">
        <f>D677-D676</f>
        <v/>
      </c>
      <c r="H677">
        <f>TEXT(A677,"DD/MM HH:MM")</f>
        <v/>
      </c>
    </row>
    <row r="678">
      <c r="A678" s="30" t="n">
        <v>46320.74027777778</v>
      </c>
      <c r="B678" s="11" t="n">
        <v>1229</v>
      </c>
      <c r="C678" s="11" t="n">
        <v>3740</v>
      </c>
      <c r="D678" s="12" t="n">
        <v>44907</v>
      </c>
      <c r="E678" s="31">
        <f>B678-B677</f>
        <v/>
      </c>
      <c r="F678" s="31">
        <f>C678-C677</f>
        <v/>
      </c>
      <c r="G678" s="32">
        <f>D678-D677</f>
        <v/>
      </c>
      <c r="H678">
        <f>TEXT(A678,"DD/MM HH:MM")</f>
        <v/>
      </c>
    </row>
    <row r="679">
      <c r="A679" s="33" t="n">
        <v>46320.75416666667</v>
      </c>
      <c r="B679" s="15" t="n">
        <v>1237</v>
      </c>
      <c r="C679" s="15" t="n">
        <v>3763</v>
      </c>
      <c r="D679" s="16" t="n">
        <v>45183</v>
      </c>
      <c r="E679" s="34">
        <f>B679-B678</f>
        <v/>
      </c>
      <c r="F679" s="34">
        <f>C679-C678</f>
        <v/>
      </c>
      <c r="G679" s="35">
        <f>D679-D678</f>
        <v/>
      </c>
      <c r="H679">
        <f>TEXT(A679,"DD/MM HH:MM")</f>
        <v/>
      </c>
    </row>
    <row r="680">
      <c r="A680" s="30" t="n">
        <v>46320.76527777778</v>
      </c>
      <c r="B680" s="11" t="n">
        <v>1260</v>
      </c>
      <c r="C680" s="11" t="n">
        <v>3834</v>
      </c>
      <c r="D680" s="12" t="n">
        <v>46035</v>
      </c>
      <c r="E680" s="31">
        <f>B680-B679</f>
        <v/>
      </c>
      <c r="F680" s="31">
        <f>C680-C679</f>
        <v/>
      </c>
      <c r="G680" s="32">
        <f>D680-D679</f>
        <v/>
      </c>
      <c r="H680">
        <f>TEXT(A680,"DD/MM HH:MM")</f>
        <v/>
      </c>
    </row>
    <row r="681">
      <c r="A681" s="33" t="n">
        <v>46320.78055555555</v>
      </c>
      <c r="B681" s="15" t="n">
        <v>1281</v>
      </c>
      <c r="C681" s="15" t="n">
        <v>3893</v>
      </c>
      <c r="D681" s="16" t="n">
        <v>46743</v>
      </c>
      <c r="E681" s="34">
        <f>B681-B680</f>
        <v/>
      </c>
      <c r="F681" s="34">
        <f>C681-C680</f>
        <v/>
      </c>
      <c r="G681" s="35">
        <f>D681-D680</f>
        <v/>
      </c>
      <c r="H681">
        <f>TEXT(A681,"DD/MM HH:MM")</f>
        <v/>
      </c>
    </row>
    <row r="682">
      <c r="A682" s="30" t="n">
        <v>46320.79722222222</v>
      </c>
      <c r="B682" s="11" t="n">
        <v>1296</v>
      </c>
      <c r="C682" s="11" t="n">
        <v>3944</v>
      </c>
      <c r="D682" s="12" t="n">
        <v>47355</v>
      </c>
      <c r="E682" s="31">
        <f>B682-B681</f>
        <v/>
      </c>
      <c r="F682" s="31">
        <f>C682-C681</f>
        <v/>
      </c>
      <c r="G682" s="32">
        <f>D682-D681</f>
        <v/>
      </c>
      <c r="H682">
        <f>TEXT(A682,"DD/MM HH:MM")</f>
        <v/>
      </c>
    </row>
    <row r="683">
      <c r="A683" s="33" t="n">
        <v>46320.80833333333</v>
      </c>
      <c r="B683" s="15" t="n">
        <v>1306</v>
      </c>
      <c r="C683" s="15" t="n">
        <v>3971</v>
      </c>
      <c r="D683" s="16" t="n">
        <v>47679</v>
      </c>
      <c r="E683" s="34">
        <f>B683-B682</f>
        <v/>
      </c>
      <c r="F683" s="34">
        <f>C683-C682</f>
        <v/>
      </c>
      <c r="G683" s="35">
        <f>D683-D682</f>
        <v/>
      </c>
      <c r="H683">
        <f>TEXT(A683,"DD/MM HH:MM")</f>
        <v/>
      </c>
    </row>
    <row r="684">
      <c r="A684" s="30" t="n">
        <v>46320.80972222222</v>
      </c>
      <c r="B684" s="11" t="n">
        <v>1307</v>
      </c>
      <c r="C684" s="11" t="n">
        <v>3975</v>
      </c>
      <c r="D684" s="12" t="n">
        <v>47727</v>
      </c>
      <c r="E684" s="31">
        <f>B684-B683</f>
        <v/>
      </c>
      <c r="F684" s="31">
        <f>C684-C683</f>
        <v/>
      </c>
      <c r="G684" s="32">
        <f>D684-D683</f>
        <v/>
      </c>
      <c r="H684">
        <f>TEXT(A684,"DD/MM HH:MM")</f>
        <v/>
      </c>
    </row>
    <row r="685">
      <c r="A685" s="33" t="n">
        <v>46320.82152777778</v>
      </c>
      <c r="B685" s="15" t="n">
        <v>1319</v>
      </c>
      <c r="C685" s="15" t="n">
        <v>4012</v>
      </c>
      <c r="D685" s="16" t="n">
        <v>48171</v>
      </c>
      <c r="E685" s="34">
        <f>B685-B684</f>
        <v/>
      </c>
      <c r="F685" s="34">
        <f>C685-C684</f>
        <v/>
      </c>
      <c r="G685" s="35">
        <f>D685-D684</f>
        <v/>
      </c>
      <c r="H685">
        <f>TEXT(A685,"DD/MM HH:MM")</f>
        <v/>
      </c>
    </row>
    <row r="686">
      <c r="A686" s="30" t="n">
        <v>46320.82430555556</v>
      </c>
      <c r="B686" s="11" t="n">
        <v>1323</v>
      </c>
      <c r="C686" s="11" t="n">
        <v>4023</v>
      </c>
      <c r="D686" s="12" t="n">
        <v>48303</v>
      </c>
      <c r="E686" s="31">
        <f>B686-B685</f>
        <v/>
      </c>
      <c r="F686" s="31">
        <f>C686-C685</f>
        <v/>
      </c>
      <c r="G686" s="32">
        <f>D686-D685</f>
        <v/>
      </c>
      <c r="H686">
        <f>TEXT(A686,"DD/MM HH:MM")</f>
        <v/>
      </c>
    </row>
    <row r="687">
      <c r="A687" s="33" t="n">
        <v>46320.83888888889</v>
      </c>
      <c r="B687" s="15" t="n">
        <v>1327</v>
      </c>
      <c r="C687" s="15" t="n">
        <v>4039</v>
      </c>
      <c r="D687" s="16" t="n">
        <v>48495</v>
      </c>
      <c r="E687" s="34">
        <f>B687-B686</f>
        <v/>
      </c>
      <c r="F687" s="34">
        <f>C687-C686</f>
        <v/>
      </c>
      <c r="G687" s="35">
        <f>D687-D686</f>
        <v/>
      </c>
      <c r="H687">
        <f>TEXT(A687,"DD/MM HH:MM")</f>
        <v/>
      </c>
    </row>
    <row r="688">
      <c r="A688" s="30" t="n">
        <v>46320.84861111111</v>
      </c>
      <c r="B688" s="11" t="n">
        <v>1333</v>
      </c>
      <c r="C688" s="11" t="n">
        <v>4060</v>
      </c>
      <c r="D688" s="12" t="n">
        <v>48747</v>
      </c>
      <c r="E688" s="31">
        <f>B688-B687</f>
        <v/>
      </c>
      <c r="F688" s="31">
        <f>C688-C687</f>
        <v/>
      </c>
      <c r="G688" s="32">
        <f>D688-D687</f>
        <v/>
      </c>
      <c r="H688">
        <f>TEXT(A688,"DD/MM HH:MM")</f>
        <v/>
      </c>
    </row>
    <row r="689">
      <c r="A689" s="33" t="n">
        <v>46320.86319444444</v>
      </c>
      <c r="B689" s="15" t="n">
        <v>1342</v>
      </c>
      <c r="C689" s="15" t="n">
        <v>4088</v>
      </c>
      <c r="D689" s="16" t="n">
        <v>49083</v>
      </c>
      <c r="E689" s="34">
        <f>B689-B688</f>
        <v/>
      </c>
      <c r="F689" s="34">
        <f>C689-C688</f>
        <v/>
      </c>
      <c r="G689" s="35">
        <f>D689-D688</f>
        <v/>
      </c>
      <c r="H689">
        <f>TEXT(A689,"DD/MM HH:MM")</f>
        <v/>
      </c>
    </row>
    <row r="690">
      <c r="A690" s="30" t="n">
        <v>46320.86666666667</v>
      </c>
      <c r="B690" s="11" t="n">
        <v>1343</v>
      </c>
      <c r="C690" s="11" t="n">
        <v>4090</v>
      </c>
      <c r="D690" s="12" t="n">
        <v>49107</v>
      </c>
      <c r="E690" s="31">
        <f>B690-B689</f>
        <v/>
      </c>
      <c r="F690" s="31">
        <f>C690-C689</f>
        <v/>
      </c>
      <c r="G690" s="32">
        <f>D690-D689</f>
        <v/>
      </c>
      <c r="H690">
        <f>TEXT(A690,"DD/MM HH:MM")</f>
        <v/>
      </c>
    </row>
    <row r="691">
      <c r="A691" s="33" t="n">
        <v>46320.86944444444</v>
      </c>
      <c r="B691" s="15" t="n">
        <v>1343</v>
      </c>
      <c r="C691" s="15" t="n">
        <v>4090</v>
      </c>
      <c r="D691" s="16" t="n">
        <v>49107</v>
      </c>
      <c r="E691" s="34">
        <f>B691-B690</f>
        <v/>
      </c>
      <c r="F691" s="34">
        <f>C691-C690</f>
        <v/>
      </c>
      <c r="G691" s="35">
        <f>D691-D690</f>
        <v/>
      </c>
      <c r="H691">
        <f>TEXT(A691,"DD/MM HH:MM")</f>
        <v/>
      </c>
    </row>
    <row r="692">
      <c r="A692" s="30" t="n">
        <v>46320.87083333333</v>
      </c>
      <c r="B692" s="11" t="n">
        <v>1345</v>
      </c>
      <c r="C692" s="11" t="n">
        <v>4098</v>
      </c>
      <c r="D692" s="12" t="n">
        <v>49203</v>
      </c>
      <c r="E692" s="31">
        <f>B692-B691</f>
        <v/>
      </c>
      <c r="F692" s="31">
        <f>C692-C691</f>
        <v/>
      </c>
      <c r="G692" s="32">
        <f>D692-D691</f>
        <v/>
      </c>
      <c r="H692">
        <f>TEXT(A692,"DD/MM HH:MM")</f>
        <v/>
      </c>
    </row>
    <row r="693">
      <c r="A693" s="33" t="n">
        <v>46320.87152777778</v>
      </c>
      <c r="B693" s="15" t="n">
        <v>1345</v>
      </c>
      <c r="C693" s="15" t="n">
        <v>4098</v>
      </c>
      <c r="D693" s="16" t="n">
        <v>49203</v>
      </c>
      <c r="E693" s="34">
        <f>B693-B692</f>
        <v/>
      </c>
      <c r="F693" s="34">
        <f>C693-C692</f>
        <v/>
      </c>
      <c r="G693" s="35">
        <f>D693-D692</f>
        <v/>
      </c>
      <c r="H693">
        <f>TEXT(A693,"DD/MM HH:MM")</f>
        <v/>
      </c>
    </row>
    <row r="694">
      <c r="A694" s="30" t="n">
        <v>46320.88541666666</v>
      </c>
      <c r="B694" s="11" t="n">
        <v>1361</v>
      </c>
      <c r="C694" s="11" t="n">
        <v>4151</v>
      </c>
      <c r="D694" s="12" t="n">
        <v>49839</v>
      </c>
      <c r="E694" s="31">
        <f>B694-B693</f>
        <v/>
      </c>
      <c r="F694" s="31">
        <f>C694-C693</f>
        <v/>
      </c>
      <c r="G694" s="32">
        <f>D694-D693</f>
        <v/>
      </c>
      <c r="H694">
        <f>TEXT(A694,"DD/MM HH:MM")</f>
        <v/>
      </c>
    </row>
    <row r="695">
      <c r="A695" s="33" t="n">
        <v>46320.88888888889</v>
      </c>
      <c r="B695" s="15" t="n">
        <v>1366</v>
      </c>
      <c r="C695" s="15" t="n">
        <v>4169</v>
      </c>
      <c r="D695" s="16" t="n">
        <v>50055</v>
      </c>
      <c r="E695" s="34">
        <f>B695-B694</f>
        <v/>
      </c>
      <c r="F695" s="34">
        <f>C695-C694</f>
        <v/>
      </c>
      <c r="G695" s="35">
        <f>D695-D694</f>
        <v/>
      </c>
      <c r="H695">
        <f>TEXT(A695,"DD/MM HH:MM")</f>
        <v/>
      </c>
    </row>
    <row r="696">
      <c r="A696" s="30" t="n">
        <v>46320.89444444444</v>
      </c>
      <c r="B696" s="11" t="n">
        <v>1368</v>
      </c>
      <c r="C696" s="11" t="n">
        <v>4175</v>
      </c>
      <c r="D696" s="12" t="n">
        <v>50127</v>
      </c>
      <c r="E696" s="31">
        <f>B696-B695</f>
        <v/>
      </c>
      <c r="F696" s="31">
        <f>C696-C695</f>
        <v/>
      </c>
      <c r="G696" s="32">
        <f>D696-D695</f>
        <v/>
      </c>
      <c r="H696">
        <f>TEXT(A696,"DD/MM HH:MM")</f>
        <v/>
      </c>
    </row>
    <row r="697">
      <c r="A697" s="33" t="n">
        <v>46320.90069444444</v>
      </c>
      <c r="B697" s="15" t="n">
        <v>1376</v>
      </c>
      <c r="C697" s="15" t="n">
        <v>4202</v>
      </c>
      <c r="D697" s="16" t="n">
        <v>50451</v>
      </c>
      <c r="E697" s="34">
        <f>B697-B696</f>
        <v/>
      </c>
      <c r="F697" s="34">
        <f>C697-C696</f>
        <v/>
      </c>
      <c r="G697" s="35">
        <f>D697-D696</f>
        <v/>
      </c>
      <c r="H697">
        <f>TEXT(A697,"DD/MM HH:MM")</f>
        <v/>
      </c>
    </row>
    <row r="698">
      <c r="A698" s="30" t="n">
        <v>46320.90208333333</v>
      </c>
      <c r="B698" s="11" t="n">
        <v>1381</v>
      </c>
      <c r="C698" s="11" t="n">
        <v>4216</v>
      </c>
      <c r="D698" s="12" t="n">
        <v>50619</v>
      </c>
      <c r="E698" s="31">
        <f>B698-B697</f>
        <v/>
      </c>
      <c r="F698" s="31">
        <f>C698-C697</f>
        <v/>
      </c>
      <c r="G698" s="32">
        <f>D698-D697</f>
        <v/>
      </c>
      <c r="H698">
        <f>TEXT(A698,"DD/MM HH:MM")</f>
        <v/>
      </c>
    </row>
    <row r="699">
      <c r="A699" s="33" t="n">
        <v>46320.90347222222</v>
      </c>
      <c r="B699" s="15" t="n">
        <v>1382</v>
      </c>
      <c r="C699" s="15" t="n">
        <v>4218</v>
      </c>
      <c r="D699" s="16" t="n">
        <v>50643</v>
      </c>
      <c r="E699" s="34">
        <f>B699-B698</f>
        <v/>
      </c>
      <c r="F699" s="34">
        <f>C699-C698</f>
        <v/>
      </c>
      <c r="G699" s="35">
        <f>D699-D698</f>
        <v/>
      </c>
      <c r="H699">
        <f>TEXT(A699,"DD/MM HH:MM")</f>
        <v/>
      </c>
    </row>
    <row r="700">
      <c r="A700" s="30" t="n">
        <v>46320.91319444445</v>
      </c>
      <c r="B700" s="11" t="n">
        <v>1387</v>
      </c>
      <c r="C700" s="11" t="n">
        <v>4235</v>
      </c>
      <c r="D700" s="12" t="n">
        <v>50847</v>
      </c>
      <c r="E700" s="31">
        <f>B700-B699</f>
        <v/>
      </c>
      <c r="F700" s="31">
        <f>C700-C699</f>
        <v/>
      </c>
      <c r="G700" s="32">
        <f>D700-D699</f>
        <v/>
      </c>
      <c r="H700">
        <f>TEXT(A700,"DD/MM HH:MM")</f>
        <v/>
      </c>
    </row>
    <row r="701">
      <c r="A701" s="33" t="n">
        <v>46320.91805555556</v>
      </c>
      <c r="B701" s="15" t="n">
        <v>1390</v>
      </c>
      <c r="C701" s="15" t="n">
        <v>4242</v>
      </c>
      <c r="D701" s="16" t="n">
        <v>50934</v>
      </c>
      <c r="E701" s="34">
        <f>B701-B700</f>
        <v/>
      </c>
      <c r="F701" s="34">
        <f>C701-C700</f>
        <v/>
      </c>
      <c r="G701" s="35">
        <f>D701-D700</f>
        <v/>
      </c>
      <c r="H701">
        <f>TEXT(A701,"DD/MM HH:MM")</f>
        <v/>
      </c>
    </row>
    <row r="702">
      <c r="A702" s="30" t="n">
        <v>46320.92569444444</v>
      </c>
      <c r="B702" s="11" t="n">
        <v>1393</v>
      </c>
      <c r="C702" s="11" t="n">
        <v>4256</v>
      </c>
      <c r="D702" s="12" t="n">
        <v>51105</v>
      </c>
      <c r="E702" s="31">
        <f>B702-B701</f>
        <v/>
      </c>
      <c r="F702" s="31">
        <f>C702-C701</f>
        <v/>
      </c>
      <c r="G702" s="32">
        <f>D702-D701</f>
        <v/>
      </c>
      <c r="H702">
        <f>TEXT(A702,"DD/MM HH:MM")</f>
        <v/>
      </c>
    </row>
    <row r="703">
      <c r="A703" s="33" t="n">
        <v>46320.93194444444</v>
      </c>
      <c r="B703" s="15" t="n">
        <v>1394</v>
      </c>
      <c r="C703" s="15" t="n">
        <v>4259</v>
      </c>
      <c r="D703" s="16" t="n">
        <v>51144</v>
      </c>
      <c r="E703" s="34">
        <f>B703-B702</f>
        <v/>
      </c>
      <c r="F703" s="34">
        <f>C703-C702</f>
        <v/>
      </c>
      <c r="G703" s="35">
        <f>D703-D702</f>
        <v/>
      </c>
      <c r="H703">
        <f>TEXT(A703,"DD/MM HH:MM")</f>
        <v/>
      </c>
    </row>
    <row r="704">
      <c r="A704" s="30" t="n">
        <v>46320.93958333333</v>
      </c>
      <c r="B704" s="11" t="n">
        <v>1398</v>
      </c>
      <c r="C704" s="11" t="n">
        <v>4273</v>
      </c>
      <c r="D704" s="12" t="n">
        <v>51312</v>
      </c>
      <c r="E704" s="31">
        <f>B704-B703</f>
        <v/>
      </c>
      <c r="F704" s="31">
        <f>C704-C703</f>
        <v/>
      </c>
      <c r="G704" s="32">
        <f>D704-D703</f>
        <v/>
      </c>
      <c r="H704">
        <f>TEXT(A704,"DD/MM HH:MM")</f>
        <v/>
      </c>
    </row>
    <row r="705">
      <c r="A705" s="33" t="n">
        <v>46320.94236111111</v>
      </c>
      <c r="B705" s="15" t="n">
        <v>1398</v>
      </c>
      <c r="C705" s="15" t="n">
        <v>4273</v>
      </c>
      <c r="D705" s="16" t="n">
        <v>51312</v>
      </c>
      <c r="E705" s="34">
        <f>B705-B704</f>
        <v/>
      </c>
      <c r="F705" s="34">
        <f>C705-C704</f>
        <v/>
      </c>
      <c r="G705" s="35">
        <f>D705-D704</f>
        <v/>
      </c>
      <c r="H705">
        <f>TEXT(A705,"DD/MM HH:MM")</f>
        <v/>
      </c>
    </row>
    <row r="706">
      <c r="A706" s="30" t="n">
        <v>46320.95347222222</v>
      </c>
      <c r="B706" s="11" t="n">
        <v>1403</v>
      </c>
      <c r="C706" s="11" t="n">
        <v>4287</v>
      </c>
      <c r="D706" s="12" t="n">
        <v>51480</v>
      </c>
      <c r="E706" s="31">
        <f>B706-B705</f>
        <v/>
      </c>
      <c r="F706" s="31">
        <f>C706-C705</f>
        <v/>
      </c>
      <c r="G706" s="32">
        <f>D706-D705</f>
        <v/>
      </c>
      <c r="H706">
        <f>TEXT(A706,"DD/MM HH:MM")</f>
        <v/>
      </c>
    </row>
    <row r="707">
      <c r="A707" s="33" t="n">
        <v>46320.95694444444</v>
      </c>
      <c r="B707" s="15" t="n">
        <v>1404</v>
      </c>
      <c r="C707" s="15" t="n">
        <v>4292</v>
      </c>
      <c r="D707" s="16" t="n">
        <v>51540</v>
      </c>
      <c r="E707" s="34">
        <f>B707-B706</f>
        <v/>
      </c>
      <c r="F707" s="34">
        <f>C707-C706</f>
        <v/>
      </c>
      <c r="G707" s="35">
        <f>D707-D706</f>
        <v/>
      </c>
      <c r="H707">
        <f>TEXT(A707,"DD/MM HH:MM")</f>
        <v/>
      </c>
    </row>
    <row r="708">
      <c r="A708" s="30" t="n">
        <v>46320.9625</v>
      </c>
      <c r="B708" s="11" t="n">
        <v>1408</v>
      </c>
      <c r="C708" s="11" t="n">
        <v>4308</v>
      </c>
      <c r="D708" s="12" t="n">
        <v>51732</v>
      </c>
      <c r="E708" s="31">
        <f>B708-B707</f>
        <v/>
      </c>
      <c r="F708" s="31">
        <f>C708-C707</f>
        <v/>
      </c>
      <c r="G708" s="32">
        <f>D708-D707</f>
        <v/>
      </c>
      <c r="H708">
        <f>TEXT(A708,"DD/MM HH:MM")</f>
        <v/>
      </c>
    </row>
    <row r="709">
      <c r="A709" s="33" t="n">
        <v>46320.97152777778</v>
      </c>
      <c r="B709" s="15" t="n">
        <v>1412</v>
      </c>
      <c r="C709" s="15" t="n">
        <v>4320</v>
      </c>
      <c r="D709" s="16" t="n">
        <v>51876</v>
      </c>
      <c r="E709" s="34">
        <f>B709-B708</f>
        <v/>
      </c>
      <c r="F709" s="34">
        <f>C709-C708</f>
        <v/>
      </c>
      <c r="G709" s="35">
        <f>D709-D708</f>
        <v/>
      </c>
      <c r="H709">
        <f>TEXT(A709,"DD/MM HH:MM")</f>
        <v/>
      </c>
    </row>
    <row r="710">
      <c r="A710" s="30" t="n">
        <v>46320.98055555556</v>
      </c>
      <c r="B710" s="11" t="n">
        <v>1418</v>
      </c>
      <c r="C710" s="11" t="n">
        <v>4342</v>
      </c>
      <c r="D710" s="12" t="n">
        <v>52140</v>
      </c>
      <c r="E710" s="31">
        <f>B710-B709</f>
        <v/>
      </c>
      <c r="F710" s="31">
        <f>C710-C709</f>
        <v/>
      </c>
      <c r="G710" s="32">
        <f>D710-D709</f>
        <v/>
      </c>
      <c r="H710">
        <f>TEXT(A710,"DD/MM HH:MM")</f>
        <v/>
      </c>
    </row>
    <row r="711">
      <c r="A711" s="33" t="n">
        <v>46320.98680555556</v>
      </c>
      <c r="B711" s="15" t="n">
        <v>1420</v>
      </c>
      <c r="C711" s="15" t="n">
        <v>4351</v>
      </c>
      <c r="D711" s="16" t="n">
        <v>52248</v>
      </c>
      <c r="E711" s="34">
        <f>B711-B710</f>
        <v/>
      </c>
      <c r="F711" s="34">
        <f>C711-C710</f>
        <v/>
      </c>
      <c r="G711" s="35">
        <f>D711-D710</f>
        <v/>
      </c>
      <c r="H711">
        <f>TEXT(A711,"DD/MM HH:MM")</f>
        <v/>
      </c>
    </row>
    <row r="712">
      <c r="A712" s="30" t="n">
        <v>46321.01458333333</v>
      </c>
      <c r="B712" s="11" t="n">
        <v>1423</v>
      </c>
      <c r="C712" s="11" t="n">
        <v>4364</v>
      </c>
      <c r="D712" s="12" t="n">
        <v>52404</v>
      </c>
      <c r="E712" s="31">
        <f>B712-B711</f>
        <v/>
      </c>
      <c r="F712" s="31">
        <f>C712-C711</f>
        <v/>
      </c>
      <c r="G712" s="32">
        <f>D712-D711</f>
        <v/>
      </c>
      <c r="H712">
        <f>TEXT(A712,"DD/MM HH:MM")</f>
        <v/>
      </c>
    </row>
    <row r="713">
      <c r="A713" s="33" t="n">
        <v>46321.06944444445</v>
      </c>
      <c r="B713" s="15" t="n">
        <v>1433</v>
      </c>
      <c r="C713" s="15" t="n">
        <v>4396</v>
      </c>
      <c r="D713" s="16" t="n">
        <v>52788</v>
      </c>
      <c r="E713" s="34">
        <f>B713-B712</f>
        <v/>
      </c>
      <c r="F713" s="34">
        <f>C713-C712</f>
        <v/>
      </c>
      <c r="G713" s="35">
        <f>D713-D712</f>
        <v/>
      </c>
      <c r="H713">
        <f>TEXT(A713,"DD/MM HH:MM")</f>
        <v/>
      </c>
    </row>
    <row r="714">
      <c r="A714" s="30" t="n">
        <v>46321.08263888889</v>
      </c>
      <c r="B714" s="11" t="n">
        <v>1435</v>
      </c>
      <c r="C714" s="11" t="n">
        <v>4403</v>
      </c>
      <c r="D714" s="12" t="n">
        <v>52872</v>
      </c>
      <c r="E714" s="31">
        <f>B714-B713</f>
        <v/>
      </c>
      <c r="F714" s="31">
        <f>C714-C713</f>
        <v/>
      </c>
      <c r="G714" s="32">
        <f>D714-D713</f>
        <v/>
      </c>
      <c r="H714">
        <f>TEXT(A714,"DD/MM HH:MM")</f>
        <v/>
      </c>
    </row>
    <row r="715">
      <c r="A715" s="33" t="n">
        <v>46321.11597222222</v>
      </c>
      <c r="B715" s="15" t="n">
        <v>1435</v>
      </c>
      <c r="C715" s="15" t="n">
        <v>4403</v>
      </c>
      <c r="D715" s="16" t="n">
        <v>52872</v>
      </c>
      <c r="E715" s="34">
        <f>B715-B714</f>
        <v/>
      </c>
      <c r="F715" s="34">
        <f>C715-C714</f>
        <v/>
      </c>
      <c r="G715" s="35">
        <f>D715-D714</f>
        <v/>
      </c>
      <c r="H715">
        <f>TEXT(A715,"DD/MM HH:MM")</f>
        <v/>
      </c>
    </row>
    <row r="716">
      <c r="A716" s="30" t="n">
        <v>46321.14583333334</v>
      </c>
      <c r="B716" s="11" t="n">
        <v>1435</v>
      </c>
      <c r="C716" s="11" t="n">
        <v>4403</v>
      </c>
      <c r="D716" s="12" t="n">
        <v>52872</v>
      </c>
      <c r="E716" s="31">
        <f>B716-B715</f>
        <v/>
      </c>
      <c r="F716" s="31">
        <f>C716-C715</f>
        <v/>
      </c>
      <c r="G716" s="32">
        <f>D716-D715</f>
        <v/>
      </c>
      <c r="H716">
        <f>TEXT(A716,"DD/MM HH:MM")</f>
        <v/>
      </c>
    </row>
    <row r="717">
      <c r="A717" s="33" t="n">
        <v>46321.1875</v>
      </c>
      <c r="B717" s="15" t="n">
        <v>1435</v>
      </c>
      <c r="C717" s="15" t="n">
        <v>4403</v>
      </c>
      <c r="D717" s="16" t="n">
        <v>52872</v>
      </c>
      <c r="E717" s="34">
        <f>B717-B716</f>
        <v/>
      </c>
      <c r="F717" s="34">
        <f>C717-C716</f>
        <v/>
      </c>
      <c r="G717" s="35">
        <f>D717-D716</f>
        <v/>
      </c>
      <c r="H717">
        <f>TEXT(A717,"DD/MM HH:MM")</f>
        <v/>
      </c>
    </row>
    <row r="718">
      <c r="A718" s="30" t="n">
        <v>46321.23333333333</v>
      </c>
      <c r="B718" s="11" t="n">
        <v>1435</v>
      </c>
      <c r="C718" s="11" t="n">
        <v>4403</v>
      </c>
      <c r="D718" s="12" t="n">
        <v>52872</v>
      </c>
      <c r="E718" s="31">
        <f>B718-B717</f>
        <v/>
      </c>
      <c r="F718" s="31">
        <f>C718-C717</f>
        <v/>
      </c>
      <c r="G718" s="32">
        <f>D718-D717</f>
        <v/>
      </c>
      <c r="H718">
        <f>TEXT(A718,"DD/MM HH:MM")</f>
        <v/>
      </c>
    </row>
    <row r="719">
      <c r="A719" s="33" t="n">
        <v>46321.27083333334</v>
      </c>
      <c r="B719" s="15" t="n">
        <v>1435</v>
      </c>
      <c r="C719" s="15" t="n">
        <v>4403</v>
      </c>
      <c r="D719" s="16" t="n">
        <v>52872</v>
      </c>
      <c r="E719" s="34">
        <f>B719-B718</f>
        <v/>
      </c>
      <c r="F719" s="34">
        <f>C719-C718</f>
        <v/>
      </c>
      <c r="G719" s="35">
        <f>D719-D718</f>
        <v/>
      </c>
      <c r="H719">
        <f>TEXT(A719,"DD/MM HH:MM")</f>
        <v/>
      </c>
    </row>
    <row r="720">
      <c r="A720" s="30" t="n">
        <v>46321.31805555556</v>
      </c>
      <c r="B720" s="11" t="n">
        <v>1436</v>
      </c>
      <c r="C720" s="11" t="n">
        <v>4405</v>
      </c>
      <c r="D720" s="12" t="n">
        <v>52896</v>
      </c>
      <c r="E720" s="31">
        <f>B720-B719</f>
        <v/>
      </c>
      <c r="F720" s="31">
        <f>C720-C719</f>
        <v/>
      </c>
      <c r="G720" s="32">
        <f>D720-D719</f>
        <v/>
      </c>
      <c r="H720">
        <f>TEXT(A720,"DD/MM HH:MM")</f>
        <v/>
      </c>
    </row>
    <row r="721">
      <c r="A721" s="33" t="n">
        <v>46321.36597222222</v>
      </c>
      <c r="B721" s="15" t="n">
        <v>1439</v>
      </c>
      <c r="C721" s="15" t="n">
        <v>4414</v>
      </c>
      <c r="D721" s="16" t="n">
        <v>53004</v>
      </c>
      <c r="E721" s="34">
        <f>B721-B720</f>
        <v/>
      </c>
      <c r="F721" s="34">
        <f>C721-C720</f>
        <v/>
      </c>
      <c r="G721" s="35">
        <f>D721-D720</f>
        <v/>
      </c>
      <c r="H721">
        <f>TEXT(A721,"DD/MM HH:MM")</f>
        <v/>
      </c>
    </row>
    <row r="722">
      <c r="A722" s="30" t="n">
        <v>46321.40277777778</v>
      </c>
      <c r="B722" s="11" t="n">
        <v>1444</v>
      </c>
      <c r="C722" s="11" t="n">
        <v>4430</v>
      </c>
      <c r="D722" s="12" t="n">
        <v>53196</v>
      </c>
      <c r="E722" s="31">
        <f>B722-B721</f>
        <v/>
      </c>
      <c r="F722" s="31">
        <f>C722-C721</f>
        <v/>
      </c>
      <c r="G722" s="32">
        <f>D722-D721</f>
        <v/>
      </c>
      <c r="H722">
        <f>TEXT(A722,"DD/MM HH:MM")</f>
        <v/>
      </c>
    </row>
    <row r="723">
      <c r="A723" s="33" t="n">
        <v>46321.45138888889</v>
      </c>
      <c r="B723" s="15" t="n">
        <v>1452</v>
      </c>
      <c r="C723" s="15" t="n">
        <v>4453</v>
      </c>
      <c r="D723" s="16" t="n">
        <v>53472</v>
      </c>
      <c r="E723" s="34">
        <f>B723-B722</f>
        <v/>
      </c>
      <c r="F723" s="34">
        <f>C723-C722</f>
        <v/>
      </c>
      <c r="G723" s="35">
        <f>D723-D722</f>
        <v/>
      </c>
      <c r="H723">
        <f>TEXT(A723,"DD/MM HH:MM")</f>
        <v/>
      </c>
    </row>
    <row r="724">
      <c r="A724" s="30" t="n">
        <v>46321.49375</v>
      </c>
      <c r="B724" s="11" t="n">
        <v>1458</v>
      </c>
      <c r="C724" s="11" t="n">
        <v>4474</v>
      </c>
      <c r="D724" s="12" t="n">
        <v>53724</v>
      </c>
      <c r="E724" s="31">
        <f>B724-B723</f>
        <v/>
      </c>
      <c r="F724" s="31">
        <f>C724-C723</f>
        <v/>
      </c>
      <c r="G724" s="32">
        <f>D724-D723</f>
        <v/>
      </c>
      <c r="H724">
        <f>TEXT(A724,"DD/MM HH:MM")</f>
        <v/>
      </c>
    </row>
    <row r="725">
      <c r="A725" s="33" t="n">
        <v>46321.50972222222</v>
      </c>
      <c r="B725" s="15" t="n">
        <v>1463</v>
      </c>
      <c r="C725" s="15" t="n">
        <v>4491</v>
      </c>
      <c r="D725" s="16" t="n">
        <v>53928</v>
      </c>
      <c r="E725" s="34">
        <f>B725-B724</f>
        <v/>
      </c>
      <c r="F725" s="34">
        <f>C725-C724</f>
        <v/>
      </c>
      <c r="G725" s="35">
        <f>D725-D724</f>
        <v/>
      </c>
      <c r="H725">
        <f>TEXT(A725,"DD/MM HH:MM")</f>
        <v/>
      </c>
    </row>
    <row r="726">
      <c r="A726" s="30" t="n">
        <v>46321.52569444444</v>
      </c>
      <c r="B726" s="11" t="n">
        <v>1465</v>
      </c>
      <c r="C726" s="11" t="n">
        <v>4495</v>
      </c>
      <c r="D726" s="12" t="n">
        <v>53976</v>
      </c>
      <c r="E726" s="31">
        <f>B726-B725</f>
        <v/>
      </c>
      <c r="F726" s="31">
        <f>C726-C725</f>
        <v/>
      </c>
      <c r="G726" s="32">
        <f>D726-D725</f>
        <v/>
      </c>
      <c r="H726">
        <f>TEXT(A726,"DD/MM HH:MM")</f>
        <v/>
      </c>
    </row>
    <row r="727">
      <c r="A727" s="33" t="n">
        <v>46321.56180555555</v>
      </c>
      <c r="B727" s="15" t="n">
        <v>1475</v>
      </c>
      <c r="C727" s="15" t="n">
        <v>4527</v>
      </c>
      <c r="D727" s="16" t="n">
        <v>54360</v>
      </c>
      <c r="E727" s="34">
        <f>B727-B726</f>
        <v/>
      </c>
      <c r="F727" s="34">
        <f>C727-C726</f>
        <v/>
      </c>
      <c r="G727" s="35">
        <f>D727-D726</f>
        <v/>
      </c>
      <c r="H727">
        <f>TEXT(A727,"DD/MM HH:MM")</f>
        <v/>
      </c>
    </row>
    <row r="728">
      <c r="A728" s="30" t="n">
        <v>46321.60347222222</v>
      </c>
      <c r="B728" s="11" t="n">
        <v>1486</v>
      </c>
      <c r="C728" s="11" t="n">
        <v>4561</v>
      </c>
      <c r="D728" s="12" t="n">
        <v>54768</v>
      </c>
      <c r="E728" s="31">
        <f>B728-B727</f>
        <v/>
      </c>
      <c r="F728" s="31">
        <f>C728-C727</f>
        <v/>
      </c>
      <c r="G728" s="32">
        <f>D728-D727</f>
        <v/>
      </c>
      <c r="H728">
        <f>TEXT(A728,"DD/MM HH:MM")</f>
        <v/>
      </c>
    </row>
    <row r="729">
      <c r="A729" s="33" t="n">
        <v>46321.62847222222</v>
      </c>
      <c r="B729" s="15" t="n">
        <v>1491</v>
      </c>
      <c r="C729" s="15" t="n">
        <v>4580</v>
      </c>
      <c r="D729" s="16" t="n">
        <v>54996</v>
      </c>
      <c r="E729" s="34">
        <f>B729-B728</f>
        <v/>
      </c>
      <c r="F729" s="34">
        <f>C729-C728</f>
        <v/>
      </c>
      <c r="G729" s="35">
        <f>D729-D728</f>
        <v/>
      </c>
      <c r="H729">
        <f>TEXT(A729,"DD/MM HH:MM")</f>
        <v/>
      </c>
    </row>
    <row r="730">
      <c r="A730" s="30" t="n">
        <v>46321.65277777778</v>
      </c>
      <c r="B730" s="11" t="n">
        <v>1498</v>
      </c>
      <c r="C730" s="11" t="n">
        <v>4606</v>
      </c>
      <c r="D730" s="12" t="n">
        <v>55308</v>
      </c>
      <c r="E730" s="31">
        <f>B730-B729</f>
        <v/>
      </c>
      <c r="F730" s="31">
        <f>C730-C729</f>
        <v/>
      </c>
      <c r="G730" s="32">
        <f>D730-D729</f>
        <v/>
      </c>
      <c r="H730">
        <f>TEXT(A730,"DD/MM HH:MM")</f>
        <v/>
      </c>
    </row>
    <row r="731">
      <c r="A731" s="33" t="n">
        <v>46321.675</v>
      </c>
      <c r="B731" s="15" t="n">
        <v>1506</v>
      </c>
      <c r="C731" s="15" t="n">
        <v>4633</v>
      </c>
      <c r="D731" s="16" t="n">
        <v>55632</v>
      </c>
      <c r="E731" s="34">
        <f>B731-B730</f>
        <v/>
      </c>
      <c r="F731" s="34">
        <f>C731-C730</f>
        <v/>
      </c>
      <c r="G731" s="35">
        <f>D731-D730</f>
        <v/>
      </c>
      <c r="H731">
        <f>TEXT(A731,"DD/MM HH:MM")</f>
        <v/>
      </c>
    </row>
    <row r="732">
      <c r="A732" s="30" t="n">
        <v>46321.71666666667</v>
      </c>
      <c r="B732" s="11" t="n">
        <v>1520</v>
      </c>
      <c r="C732" s="11" t="n">
        <v>4678</v>
      </c>
      <c r="D732" s="12" t="n">
        <v>56172</v>
      </c>
      <c r="E732" s="31">
        <f>B732-B731</f>
        <v/>
      </c>
      <c r="F732" s="31">
        <f>C732-C731</f>
        <v/>
      </c>
      <c r="G732" s="32">
        <f>D732-D731</f>
        <v/>
      </c>
      <c r="H732">
        <f>TEXT(A732,"DD/MM HH:MM")</f>
        <v/>
      </c>
    </row>
    <row r="733">
      <c r="A733" s="33" t="n">
        <v>46321.73819444444</v>
      </c>
      <c r="B733" s="15" t="n">
        <v>1522</v>
      </c>
      <c r="C733" s="15" t="n">
        <v>4686</v>
      </c>
      <c r="D733" s="16" t="n">
        <v>56268</v>
      </c>
      <c r="E733" s="34">
        <f>B733-B732</f>
        <v/>
      </c>
      <c r="F733" s="34">
        <f>C733-C732</f>
        <v/>
      </c>
      <c r="G733" s="35">
        <f>D733-D732</f>
        <v/>
      </c>
      <c r="H733">
        <f>TEXT(A733,"DD/MM HH:MM")</f>
        <v/>
      </c>
    </row>
    <row r="734">
      <c r="A734" s="30" t="n">
        <v>46321.76597222222</v>
      </c>
      <c r="B734" s="11" t="n">
        <v>1525</v>
      </c>
      <c r="C734" s="11" t="n">
        <v>4694</v>
      </c>
      <c r="D734" s="12" t="n">
        <v>56364</v>
      </c>
      <c r="E734" s="31">
        <f>B734-B733</f>
        <v/>
      </c>
      <c r="F734" s="31">
        <f>C734-C733</f>
        <v/>
      </c>
      <c r="G734" s="32">
        <f>D734-D733</f>
        <v/>
      </c>
      <c r="H734">
        <f>TEXT(A734,"DD/MM HH:MM")</f>
        <v/>
      </c>
    </row>
    <row r="735">
      <c r="A735" s="33" t="n">
        <v>46321.77222222222</v>
      </c>
      <c r="B735" s="15" t="n">
        <v>1527</v>
      </c>
      <c r="C735" s="15" t="n">
        <v>4700</v>
      </c>
      <c r="D735" s="16" t="n">
        <v>56436</v>
      </c>
      <c r="E735" s="34">
        <f>B735-B734</f>
        <v/>
      </c>
      <c r="F735" s="34">
        <f>C735-C734</f>
        <v/>
      </c>
      <c r="G735" s="35">
        <f>D735-D734</f>
        <v/>
      </c>
      <c r="H735">
        <f>TEXT(A735,"DD/MM HH:MM")</f>
        <v/>
      </c>
    </row>
    <row r="736">
      <c r="A736" s="30" t="n">
        <v>46321.77361111111</v>
      </c>
      <c r="B736" s="11" t="n">
        <v>1527</v>
      </c>
      <c r="C736" s="11" t="n">
        <v>4700</v>
      </c>
      <c r="D736" s="12" t="n">
        <v>56436</v>
      </c>
      <c r="E736" s="31">
        <f>B736-B735</f>
        <v/>
      </c>
      <c r="F736" s="31">
        <f>C736-C735</f>
        <v/>
      </c>
      <c r="G736" s="32">
        <f>D736-D735</f>
        <v/>
      </c>
      <c r="H736">
        <f>TEXT(A736,"DD/MM HH:MM")</f>
        <v/>
      </c>
    </row>
    <row r="737">
      <c r="A737" s="33" t="n">
        <v>46321.81388888889</v>
      </c>
      <c r="B737" s="15" t="n">
        <v>1544</v>
      </c>
      <c r="C737" s="15" t="n">
        <v>4752</v>
      </c>
      <c r="D737" s="16" t="n">
        <v>57060</v>
      </c>
      <c r="E737" s="34">
        <f>B737-B736</f>
        <v/>
      </c>
      <c r="F737" s="34">
        <f>C737-C736</f>
        <v/>
      </c>
      <c r="G737" s="35">
        <f>D737-D736</f>
        <v/>
      </c>
      <c r="H737">
        <f>TEXT(A737,"DD/MM HH:MM")</f>
        <v/>
      </c>
    </row>
    <row r="738">
      <c r="A738" s="30" t="n">
        <v>46321.82152777778</v>
      </c>
      <c r="B738" s="11" t="n">
        <v>1547</v>
      </c>
      <c r="C738" s="11" t="n">
        <v>4761</v>
      </c>
      <c r="D738" s="12" t="n">
        <v>57168</v>
      </c>
      <c r="E738" s="31">
        <f>B738-B737</f>
        <v/>
      </c>
      <c r="F738" s="31">
        <f>C738-C737</f>
        <v/>
      </c>
      <c r="G738" s="32">
        <f>D738-D737</f>
        <v/>
      </c>
      <c r="H738">
        <f>TEXT(A738,"DD/MM HH:MM")</f>
        <v/>
      </c>
    </row>
    <row r="739">
      <c r="A739" s="33" t="n">
        <v>46321.83958333333</v>
      </c>
      <c r="B739" s="15" t="n">
        <v>1563</v>
      </c>
      <c r="C739" s="15" t="n">
        <v>4802</v>
      </c>
      <c r="D739" s="16" t="n">
        <v>57660</v>
      </c>
      <c r="E739" s="34">
        <f>B739-B738</f>
        <v/>
      </c>
      <c r="F739" s="34">
        <f>C739-C738</f>
        <v/>
      </c>
      <c r="G739" s="35">
        <f>D739-D738</f>
        <v/>
      </c>
      <c r="H739">
        <f>TEXT(A739,"DD/MM HH:MM")</f>
        <v/>
      </c>
    </row>
    <row r="740">
      <c r="A740" s="30" t="n">
        <v>46321.86180555556</v>
      </c>
      <c r="B740" s="11" t="n">
        <v>1572</v>
      </c>
      <c r="C740" s="11" t="n">
        <v>4831</v>
      </c>
      <c r="D740" s="12" t="n">
        <v>58008</v>
      </c>
      <c r="E740" s="31">
        <f>B740-B739</f>
        <v/>
      </c>
      <c r="F740" s="31">
        <f>C740-C739</f>
        <v/>
      </c>
      <c r="G740" s="32">
        <f>D740-D739</f>
        <v/>
      </c>
      <c r="H740">
        <f>TEXT(A740,"DD/MM HH:MM")</f>
        <v/>
      </c>
    </row>
    <row r="741">
      <c r="A741" s="33" t="n">
        <v>46321.89444444444</v>
      </c>
      <c r="B741" s="15" t="n">
        <v>1594</v>
      </c>
      <c r="C741" s="15" t="n">
        <v>4904</v>
      </c>
      <c r="D741" s="16" t="n">
        <v>58884</v>
      </c>
      <c r="E741" s="34">
        <f>B741-B740</f>
        <v/>
      </c>
      <c r="F741" s="34">
        <f>C741-C740</f>
        <v/>
      </c>
      <c r="G741" s="35">
        <f>D741-D740</f>
        <v/>
      </c>
      <c r="H741">
        <f>TEXT(A741,"DD/MM HH:MM")</f>
        <v/>
      </c>
    </row>
    <row r="742">
      <c r="A742" s="30" t="n">
        <v>46321.92777777778</v>
      </c>
      <c r="B742" s="11" t="n">
        <v>1611</v>
      </c>
      <c r="C742" s="11" t="n">
        <v>4953</v>
      </c>
      <c r="D742" s="12" t="n">
        <v>59472</v>
      </c>
      <c r="E742" s="31">
        <f>B742-B741</f>
        <v/>
      </c>
      <c r="F742" s="31">
        <f>C742-C741</f>
        <v/>
      </c>
      <c r="G742" s="32">
        <f>D742-D741</f>
        <v/>
      </c>
      <c r="H742">
        <f>TEXT(A742,"DD/MM HH:MM")</f>
        <v/>
      </c>
    </row>
    <row r="743">
      <c r="A743" s="33" t="n">
        <v>46321.9375</v>
      </c>
      <c r="B743" s="15" t="n">
        <v>1613</v>
      </c>
      <c r="C743" s="15" t="n">
        <v>4961</v>
      </c>
      <c r="D743" s="16" t="n">
        <v>59568</v>
      </c>
      <c r="E743" s="34">
        <f>B743-B742</f>
        <v/>
      </c>
      <c r="F743" s="34">
        <f>C743-C742</f>
        <v/>
      </c>
      <c r="G743" s="35">
        <f>D743-D742</f>
        <v/>
      </c>
      <c r="H743">
        <f>TEXT(A743,"DD/MM HH:MM")</f>
        <v/>
      </c>
    </row>
    <row r="744">
      <c r="A744" s="30" t="n">
        <v>46321.94861111111</v>
      </c>
      <c r="B744" s="11" t="n">
        <v>1621</v>
      </c>
      <c r="C744" s="11" t="n">
        <v>4988</v>
      </c>
      <c r="D744" s="12" t="n">
        <v>59892</v>
      </c>
      <c r="E744" s="31">
        <f>B744-B743</f>
        <v/>
      </c>
      <c r="F744" s="31">
        <f>C744-C743</f>
        <v/>
      </c>
      <c r="G744" s="32">
        <f>D744-D743</f>
        <v/>
      </c>
      <c r="H744">
        <f>TEXT(A744,"DD/MM HH:MM")</f>
        <v/>
      </c>
    </row>
    <row r="745">
      <c r="A745" s="33" t="n">
        <v>46321.96736111111</v>
      </c>
      <c r="B745" s="15" t="n">
        <v>1630</v>
      </c>
      <c r="C745" s="15" t="n">
        <v>5019</v>
      </c>
      <c r="D745" s="16" t="n">
        <v>60264</v>
      </c>
      <c r="E745" s="34">
        <f>B745-B744</f>
        <v/>
      </c>
      <c r="F745" s="34">
        <f>C745-C744</f>
        <v/>
      </c>
      <c r="G745" s="35">
        <f>D745-D744</f>
        <v/>
      </c>
      <c r="H745">
        <f>TEXT(A745,"DD/MM HH:MM")</f>
        <v/>
      </c>
    </row>
    <row r="746">
      <c r="A746" s="30" t="n">
        <v>46321.98333333333</v>
      </c>
      <c r="B746" s="11" t="n">
        <v>1642</v>
      </c>
      <c r="C746" s="11" t="n">
        <v>5060</v>
      </c>
      <c r="D746" s="12" t="n">
        <v>60756</v>
      </c>
      <c r="E746" s="31">
        <f>B746-B745</f>
        <v/>
      </c>
      <c r="F746" s="31">
        <f>C746-C745</f>
        <v/>
      </c>
      <c r="G746" s="32">
        <f>D746-D745</f>
        <v/>
      </c>
      <c r="H746">
        <f>TEXT(A746,"DD/MM HH:MM")</f>
        <v/>
      </c>
    </row>
    <row r="747">
      <c r="A747" s="33" t="n">
        <v>46322.00902777778</v>
      </c>
      <c r="B747" s="15" t="n">
        <v>1645</v>
      </c>
      <c r="C747" s="15" t="n">
        <v>5070</v>
      </c>
      <c r="D747" s="16" t="n">
        <v>60876</v>
      </c>
      <c r="E747" s="34">
        <f>B747-B746</f>
        <v/>
      </c>
      <c r="F747" s="34">
        <f>C747-C746</f>
        <v/>
      </c>
      <c r="G747" s="35">
        <f>D747-D746</f>
        <v/>
      </c>
      <c r="H747">
        <f>TEXT(A747,"DD/MM HH:MM")</f>
        <v/>
      </c>
    </row>
    <row r="748">
      <c r="A748" s="30" t="n">
        <v>46322.01736111111</v>
      </c>
      <c r="B748" s="11" t="n">
        <v>1648</v>
      </c>
      <c r="C748" s="11" t="n">
        <v>5079</v>
      </c>
      <c r="D748" s="12" t="n">
        <v>60984</v>
      </c>
      <c r="E748" s="31">
        <f>B748-B747</f>
        <v/>
      </c>
      <c r="F748" s="31">
        <f>C748-C747</f>
        <v/>
      </c>
      <c r="G748" s="32">
        <f>D748-D747</f>
        <v/>
      </c>
      <c r="H748">
        <f>TEXT(A748,"DD/MM HH:MM")</f>
        <v/>
      </c>
    </row>
    <row r="749">
      <c r="A749" s="33" t="n">
        <v>46322.04027777778</v>
      </c>
      <c r="B749" s="15" t="n">
        <v>1653</v>
      </c>
      <c r="C749" s="15" t="n">
        <v>5095</v>
      </c>
      <c r="D749" s="16" t="n">
        <v>61176</v>
      </c>
      <c r="E749" s="34">
        <f>B749-B748</f>
        <v/>
      </c>
      <c r="F749" s="34">
        <f>C749-C748</f>
        <v/>
      </c>
      <c r="G749" s="35">
        <f>D749-D748</f>
        <v/>
      </c>
      <c r="H749">
        <f>TEXT(A749,"DD/MM HH:MM")</f>
        <v/>
      </c>
    </row>
    <row r="750">
      <c r="A750" s="30" t="n">
        <v>46322.06388888889</v>
      </c>
      <c r="B750" s="11" t="n">
        <v>1654</v>
      </c>
      <c r="C750" s="11" t="n">
        <v>5099</v>
      </c>
      <c r="D750" s="12" t="n">
        <v>61224</v>
      </c>
      <c r="E750" s="31">
        <f>B750-B749</f>
        <v/>
      </c>
      <c r="F750" s="31">
        <f>C750-C749</f>
        <v/>
      </c>
      <c r="G750" s="32">
        <f>D750-D749</f>
        <v/>
      </c>
      <c r="H750">
        <f>TEXT(A750,"DD/MM HH:MM")</f>
        <v/>
      </c>
    </row>
    <row r="751">
      <c r="A751" s="33" t="n">
        <v>46322.11458333334</v>
      </c>
      <c r="B751" s="15" t="n">
        <v>1654</v>
      </c>
      <c r="C751" s="15" t="n">
        <v>5099</v>
      </c>
      <c r="D751" s="16" t="n">
        <v>61224</v>
      </c>
      <c r="E751" s="34">
        <f>B751-B750</f>
        <v/>
      </c>
      <c r="F751" s="34">
        <f>C751-C750</f>
        <v/>
      </c>
      <c r="G751" s="35">
        <f>D751-D750</f>
        <v/>
      </c>
      <c r="H751">
        <f>TEXT(A751,"DD/MM HH:MM")</f>
        <v/>
      </c>
    </row>
    <row r="752">
      <c r="A752" s="30" t="n">
        <v>46322.14444444444</v>
      </c>
      <c r="B752" s="11" t="n">
        <v>1655</v>
      </c>
      <c r="C752" s="11" t="n">
        <v>5101</v>
      </c>
      <c r="D752" s="12" t="n">
        <v>61248</v>
      </c>
      <c r="E752" s="31">
        <f>B752-B751</f>
        <v/>
      </c>
      <c r="F752" s="31">
        <f>C752-C751</f>
        <v/>
      </c>
      <c r="G752" s="32">
        <f>D752-D751</f>
        <v/>
      </c>
      <c r="H752">
        <f>TEXT(A752,"DD/MM HH:MM")</f>
        <v/>
      </c>
    </row>
    <row r="753">
      <c r="A753" s="33" t="n">
        <v>46322.1875</v>
      </c>
      <c r="B753" s="15" t="n">
        <v>1655</v>
      </c>
      <c r="C753" s="15" t="n">
        <v>5101</v>
      </c>
      <c r="D753" s="16" t="n">
        <v>61248</v>
      </c>
      <c r="E753" s="34">
        <f>B753-B752</f>
        <v/>
      </c>
      <c r="F753" s="34">
        <f>C753-C752</f>
        <v/>
      </c>
      <c r="G753" s="35">
        <f>D753-D752</f>
        <v/>
      </c>
      <c r="H753">
        <f>TEXT(A753,"DD/MM HH:MM")</f>
        <v/>
      </c>
    </row>
    <row r="754">
      <c r="A754" s="30" t="n">
        <v>46322.22916666666</v>
      </c>
      <c r="B754" s="11" t="n">
        <v>1656</v>
      </c>
      <c r="C754" s="11" t="n">
        <v>5106</v>
      </c>
      <c r="D754" s="12" t="n">
        <v>61308</v>
      </c>
      <c r="E754" s="31">
        <f>B754-B753</f>
        <v/>
      </c>
      <c r="F754" s="31">
        <f>C754-C753</f>
        <v/>
      </c>
      <c r="G754" s="32">
        <f>D754-D753</f>
        <v/>
      </c>
      <c r="H754">
        <f>TEXT(A754,"DD/MM HH:MM")</f>
        <v/>
      </c>
    </row>
    <row r="755">
      <c r="A755" s="33" t="n">
        <v>46322.27013888889</v>
      </c>
      <c r="B755" s="15" t="n">
        <v>1656</v>
      </c>
      <c r="C755" s="15" t="n">
        <v>5106</v>
      </c>
      <c r="D755" s="16" t="n">
        <v>61308</v>
      </c>
      <c r="E755" s="34">
        <f>B755-B754</f>
        <v/>
      </c>
      <c r="F755" s="34">
        <f>C755-C754</f>
        <v/>
      </c>
      <c r="G755" s="35">
        <f>D755-D754</f>
        <v/>
      </c>
      <c r="H755">
        <f>TEXT(A755,"DD/MM HH:MM")</f>
        <v/>
      </c>
    </row>
    <row r="756">
      <c r="A756" s="30" t="n">
        <v>46322.31666666667</v>
      </c>
      <c r="B756" s="11" t="n">
        <v>1656</v>
      </c>
      <c r="C756" s="11" t="n">
        <v>5106</v>
      </c>
      <c r="D756" s="12" t="n">
        <v>61308</v>
      </c>
      <c r="E756" s="31">
        <f>B756-B755</f>
        <v/>
      </c>
      <c r="F756" s="31">
        <f>C756-C755</f>
        <v/>
      </c>
      <c r="G756" s="32">
        <f>D756-D755</f>
        <v/>
      </c>
      <c r="H756">
        <f>TEXT(A756,"DD/MM HH:MM")</f>
        <v/>
      </c>
    </row>
    <row r="757">
      <c r="A757" s="33" t="n">
        <v>46322.34166666667</v>
      </c>
      <c r="B757" s="15" t="n">
        <v>1657</v>
      </c>
      <c r="C757" s="15" t="n">
        <v>5110</v>
      </c>
      <c r="D757" s="16" t="n">
        <v>61356</v>
      </c>
      <c r="E757" s="34">
        <f>B757-B756</f>
        <v/>
      </c>
      <c r="F757" s="34">
        <f>C757-C756</f>
        <v/>
      </c>
      <c r="G757" s="35">
        <f>D757-D756</f>
        <v/>
      </c>
      <c r="H757">
        <f>TEXT(A757,"DD/MM HH:MM")</f>
        <v/>
      </c>
    </row>
    <row r="758">
      <c r="A758" s="30" t="n">
        <v>46322.35347222222</v>
      </c>
      <c r="B758" s="11" t="n">
        <v>1657</v>
      </c>
      <c r="C758" s="11" t="n">
        <v>5110</v>
      </c>
      <c r="D758" s="12" t="n">
        <v>61356</v>
      </c>
      <c r="E758" s="31">
        <f>B758-B757</f>
        <v/>
      </c>
      <c r="F758" s="31">
        <f>C758-C757</f>
        <v/>
      </c>
      <c r="G758" s="32">
        <f>D758-D757</f>
        <v/>
      </c>
      <c r="H758">
        <f>TEXT(A758,"DD/MM HH:MM")</f>
        <v/>
      </c>
    </row>
    <row r="759">
      <c r="A759" s="33" t="n">
        <v>46322.35763888889</v>
      </c>
      <c r="B759" s="15" t="n">
        <v>1658</v>
      </c>
      <c r="C759" s="15" t="n">
        <v>5112</v>
      </c>
      <c r="D759" s="16" t="n">
        <v>61380</v>
      </c>
      <c r="E759" s="34">
        <f>B759-B758</f>
        <v/>
      </c>
      <c r="F759" s="34">
        <f>C759-C758</f>
        <v/>
      </c>
      <c r="G759" s="35">
        <f>D759-D758</f>
        <v/>
      </c>
      <c r="H759">
        <f>TEXT(A759,"DD/MM HH:MM")</f>
        <v/>
      </c>
    </row>
    <row r="760">
      <c r="A760" s="30" t="n">
        <v>46322.3625</v>
      </c>
      <c r="B760" s="11" t="n">
        <v>1658</v>
      </c>
      <c r="C760" s="11" t="n">
        <v>5112</v>
      </c>
      <c r="D760" s="12" t="n">
        <v>61380</v>
      </c>
      <c r="E760" s="31">
        <f>B760-B759</f>
        <v/>
      </c>
      <c r="F760" s="31">
        <f>C760-C759</f>
        <v/>
      </c>
      <c r="G760" s="32">
        <f>D760-D759</f>
        <v/>
      </c>
      <c r="H760">
        <f>TEXT(A760,"DD/MM HH:MM")</f>
        <v/>
      </c>
    </row>
    <row r="761">
      <c r="A761" s="33" t="n">
        <v>46322.4</v>
      </c>
      <c r="B761" s="15" t="n">
        <v>1663</v>
      </c>
      <c r="C761" s="15" t="n">
        <v>5127</v>
      </c>
      <c r="D761" s="16" t="n">
        <v>61560</v>
      </c>
      <c r="E761" s="34">
        <f>B761-B760</f>
        <v/>
      </c>
      <c r="F761" s="34">
        <f>C761-C760</f>
        <v/>
      </c>
      <c r="G761" s="35">
        <f>D761-D760</f>
        <v/>
      </c>
      <c r="H761">
        <f>TEXT(A761,"DD/MM HH:MM")</f>
        <v/>
      </c>
    </row>
    <row r="762">
      <c r="A762" s="30" t="n">
        <v>46322.44027777778</v>
      </c>
      <c r="B762" s="11" t="n">
        <v>1670</v>
      </c>
      <c r="C762" s="11" t="n">
        <v>5150</v>
      </c>
      <c r="D762" s="12" t="n">
        <v>61836</v>
      </c>
      <c r="E762" s="31">
        <f>B762-B761</f>
        <v/>
      </c>
      <c r="F762" s="31">
        <f>C762-C761</f>
        <v/>
      </c>
      <c r="G762" s="32">
        <f>D762-D761</f>
        <v/>
      </c>
      <c r="H762">
        <f>TEXT(A762,"DD/MM HH:MM")</f>
        <v/>
      </c>
    </row>
    <row r="763">
      <c r="A763" s="33" t="n">
        <v>46322.47847222222</v>
      </c>
      <c r="B763" s="15" t="n">
        <v>1677</v>
      </c>
      <c r="C763" s="15" t="n">
        <v>5175</v>
      </c>
      <c r="D763" s="16" t="n">
        <v>62136</v>
      </c>
      <c r="E763" s="34">
        <f>B763-B762</f>
        <v/>
      </c>
      <c r="F763" s="34">
        <f>C763-C762</f>
        <v/>
      </c>
      <c r="G763" s="35">
        <f>D763-D762</f>
        <v/>
      </c>
      <c r="H763">
        <f>TEXT(A763,"DD/MM HH:MM")</f>
        <v/>
      </c>
    </row>
    <row r="764">
      <c r="A764" s="30" t="n">
        <v>46322.48125</v>
      </c>
      <c r="B764" s="11" t="n">
        <v>1678</v>
      </c>
      <c r="C764" s="11" t="n">
        <v>5179</v>
      </c>
      <c r="D764" s="12" t="n">
        <v>62184</v>
      </c>
      <c r="E764" s="31">
        <f>B764-B763</f>
        <v/>
      </c>
      <c r="F764" s="31">
        <f>C764-C763</f>
        <v/>
      </c>
      <c r="G764" s="32">
        <f>D764-D763</f>
        <v/>
      </c>
      <c r="H764">
        <f>TEXT(A764,"DD/MM HH:MM")</f>
        <v/>
      </c>
    </row>
  </sheetData>
  <autoFilter ref="A1:G764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2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0</v>
      </c>
      <c r="F635" s="37" t="n">
        <v>0</v>
      </c>
      <c r="G635" s="37" t="n">
        <v>0</v>
      </c>
      <c r="H635" s="37" t="n">
        <v>0</v>
      </c>
      <c r="I635" s="37" t="n">
        <v>0</v>
      </c>
      <c r="J635" s="37" t="n">
        <v>2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0</v>
      </c>
      <c r="F643" s="37" t="n">
        <v>0</v>
      </c>
      <c r="G643" s="37" t="n">
        <v>0</v>
      </c>
      <c r="H643" s="37" t="n">
        <v>0</v>
      </c>
      <c r="I643" s="37" t="n">
        <v>0</v>
      </c>
      <c r="J643" s="37" t="n">
        <v>1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0</v>
      </c>
      <c r="F650" s="36" t="n">
        <v>0</v>
      </c>
      <c r="G650" s="36" t="n">
        <v>0</v>
      </c>
      <c r="H650" s="36" t="n">
        <v>0</v>
      </c>
      <c r="I650" s="36" t="n">
        <v>0</v>
      </c>
      <c r="J650" s="36" t="n">
        <v>2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0</v>
      </c>
      <c r="F765" s="37" t="n">
        <v>0</v>
      </c>
      <c r="G765" s="37" t="n">
        <v>0</v>
      </c>
      <c r="H765" s="37" t="n">
        <v>0</v>
      </c>
      <c r="I765" s="37" t="n">
        <v>0</v>
      </c>
      <c r="J765" s="37" t="n">
        <v>2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  <row r="772">
      <c r="A772" s="30" t="n">
        <v>46319.89027777778</v>
      </c>
      <c r="B772" s="30" t="n">
        <v>46319.90347222222</v>
      </c>
      <c r="C772" s="9" t="n">
        <v>46320</v>
      </c>
      <c r="D772" s="10" t="n">
        <v>0.8854166666666666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46319.89027777778</v>
      </c>
      <c r="B773" s="33" t="n">
        <v>46319.90347222222</v>
      </c>
      <c r="C773" s="13" t="n">
        <v>46326</v>
      </c>
      <c r="D773" s="14" t="n">
        <v>0.96875</v>
      </c>
      <c r="E773" s="37" t="n">
        <v>1</v>
      </c>
      <c r="F773" s="37" t="n">
        <v>0</v>
      </c>
      <c r="G773" s="37" t="n">
        <v>0</v>
      </c>
      <c r="H773" s="37" t="n">
        <v>1</v>
      </c>
      <c r="I773" s="37" t="n">
        <v>0</v>
      </c>
      <c r="J773" s="37" t="n">
        <v>4</v>
      </c>
      <c r="K773" s="16" t="n">
        <v>48</v>
      </c>
    </row>
    <row r="774">
      <c r="A774" s="30" t="n">
        <v>46319.89027777778</v>
      </c>
      <c r="B774" s="30" t="n">
        <v>46319.90347222222</v>
      </c>
      <c r="C774" s="9" t="n">
        <v>46327</v>
      </c>
      <c r="D774" s="10" t="n">
        <v>0.9270833333333334</v>
      </c>
      <c r="E774" s="36" t="n">
        <v>1</v>
      </c>
      <c r="F774" s="36" t="n">
        <v>0</v>
      </c>
      <c r="G774" s="36" t="n">
        <v>1</v>
      </c>
      <c r="H774" s="36" t="n">
        <v>0</v>
      </c>
      <c r="I774" s="36" t="n">
        <v>0</v>
      </c>
      <c r="J774" s="36" t="n">
        <v>3</v>
      </c>
      <c r="K774" s="12" t="n">
        <v>36</v>
      </c>
    </row>
    <row r="775">
      <c r="A775" s="33" t="n">
        <v>46319.90347222222</v>
      </c>
      <c r="B775" s="33" t="n">
        <v>46319.93055555555</v>
      </c>
      <c r="C775" s="13" t="n">
        <v>46320</v>
      </c>
      <c r="D775" s="14" t="n">
        <v>0.84375</v>
      </c>
      <c r="E775" s="37" t="n">
        <v>2</v>
      </c>
      <c r="F775" s="37" t="n">
        <v>2</v>
      </c>
      <c r="G775" s="37" t="n">
        <v>0</v>
      </c>
      <c r="H775" s="37" t="n">
        <v>0</v>
      </c>
      <c r="I775" s="37" t="n">
        <v>0</v>
      </c>
      <c r="J775" s="37" t="n">
        <v>4</v>
      </c>
      <c r="K775" s="16" t="n">
        <v>48</v>
      </c>
    </row>
    <row r="776">
      <c r="A776" s="30" t="n">
        <v>46319.90347222222</v>
      </c>
      <c r="B776" s="30" t="n">
        <v>46319.93055555555</v>
      </c>
      <c r="C776" s="9" t="n">
        <v>46320</v>
      </c>
      <c r="D776" s="10" t="n">
        <v>0.9270833333333334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46324</v>
      </c>
      <c r="D777" s="14" t="n">
        <v>0.96875</v>
      </c>
      <c r="E777" s="37" t="n">
        <v>1</v>
      </c>
      <c r="F777" s="37" t="n">
        <v>1</v>
      </c>
      <c r="G777" s="37" t="n">
        <v>0</v>
      </c>
      <c r="H777" s="37" t="n">
        <v>0</v>
      </c>
      <c r="I777" s="37" t="n">
        <v>0</v>
      </c>
      <c r="J777" s="37" t="n">
        <v>2</v>
      </c>
      <c r="K777" s="16" t="n">
        <v>24</v>
      </c>
    </row>
    <row r="778">
      <c r="A778" s="30" t="n">
        <v>46319.90347222222</v>
      </c>
      <c r="B778" s="30" t="n">
        <v>46319.93055555555</v>
      </c>
      <c r="C778" s="9" t="n">
        <v>46325</v>
      </c>
      <c r="D778" s="10" t="n">
        <v>0.9270833333333334</v>
      </c>
      <c r="E778" s="36" t="n">
        <v>1</v>
      </c>
      <c r="F778" s="36" t="n">
        <v>0</v>
      </c>
      <c r="G778" s="36" t="n">
        <v>0</v>
      </c>
      <c r="H778" s="36" t="n">
        <v>1</v>
      </c>
      <c r="I778" s="36" t="n">
        <v>0</v>
      </c>
      <c r="J778" s="36" t="n">
        <v>4</v>
      </c>
      <c r="K778" s="12" t="n">
        <v>48</v>
      </c>
    </row>
    <row r="779">
      <c r="A779" s="33" t="n">
        <v>46319.90347222222</v>
      </c>
      <c r="B779" s="33" t="n">
        <v>46319.93055555555</v>
      </c>
      <c r="C779" s="13" t="n">
        <v>46326</v>
      </c>
      <c r="D779" s="14" t="n">
        <v>0.9270833333333334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46319.90347222222</v>
      </c>
      <c r="B780" s="30" t="n">
        <v>46319.93055555555</v>
      </c>
      <c r="C780" s="9" t="n">
        <v>46326</v>
      </c>
      <c r="D780" s="10" t="n">
        <v>0.96875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46319.90347222222</v>
      </c>
      <c r="B781" s="33" t="n">
        <v>46319.93055555555</v>
      </c>
      <c r="C781" s="13" t="n">
        <v>46326</v>
      </c>
      <c r="D781" s="14" t="n">
        <v>0.9993055555555556</v>
      </c>
      <c r="E781" s="37" t="n">
        <v>1</v>
      </c>
      <c r="F781" s="37" t="n">
        <v>0</v>
      </c>
      <c r="G781" s="37" t="n">
        <v>0</v>
      </c>
      <c r="H781" s="37" t="n">
        <v>1</v>
      </c>
      <c r="I781" s="37" t="n">
        <v>0</v>
      </c>
      <c r="J781" s="37" t="n">
        <v>4</v>
      </c>
      <c r="K781" s="16" t="n">
        <v>48</v>
      </c>
    </row>
    <row r="782">
      <c r="A782" s="30" t="n">
        <v>46319.93055555555</v>
      </c>
      <c r="B782" s="30" t="n">
        <v>46319.93958333333</v>
      </c>
      <c r="C782" s="9" t="n">
        <v>46320</v>
      </c>
      <c r="D782" s="10" t="n">
        <v>0.8854166666666666</v>
      </c>
      <c r="E782" s="36" t="n">
        <v>1</v>
      </c>
      <c r="F782" s="36" t="n">
        <v>1</v>
      </c>
      <c r="G782" s="36" t="n">
        <v>0</v>
      </c>
      <c r="H782" s="36" t="n">
        <v>0</v>
      </c>
      <c r="I782" s="36" t="n">
        <v>0</v>
      </c>
      <c r="J782" s="36" t="n">
        <v>2</v>
      </c>
      <c r="K782" s="12" t="n">
        <v>24</v>
      </c>
    </row>
    <row r="783">
      <c r="A783" s="33" t="n">
        <v>46319.93055555555</v>
      </c>
      <c r="B783" s="33" t="n">
        <v>46319.93958333333</v>
      </c>
      <c r="C783" s="13" t="n">
        <v>46326</v>
      </c>
      <c r="D783" s="14" t="n">
        <v>0.9993055555555556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46320</v>
      </c>
      <c r="D784" s="10" t="n">
        <v>0.84375</v>
      </c>
      <c r="E784" s="36" t="n">
        <v>1</v>
      </c>
      <c r="F784" s="36" t="n">
        <v>1</v>
      </c>
      <c r="G784" s="36" t="n">
        <v>0</v>
      </c>
      <c r="H784" s="36" t="n">
        <v>0</v>
      </c>
      <c r="I784" s="36" t="n">
        <v>0</v>
      </c>
      <c r="J784" s="36" t="n">
        <v>2</v>
      </c>
      <c r="K784" s="12" t="n">
        <v>24</v>
      </c>
    </row>
    <row r="785">
      <c r="A785" s="33" t="n">
        <v>46319.93958333333</v>
      </c>
      <c r="B785" s="33" t="n">
        <v>46319.97361111111</v>
      </c>
      <c r="C785" s="13" t="n">
        <v>46320</v>
      </c>
      <c r="D785" s="14" t="n">
        <v>0.8854166666666666</v>
      </c>
      <c r="E785" s="37" t="n">
        <v>2</v>
      </c>
      <c r="F785" s="37" t="n">
        <v>2</v>
      </c>
      <c r="G785" s="37" t="n">
        <v>0</v>
      </c>
      <c r="H785" s="37" t="n">
        <v>0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46320</v>
      </c>
      <c r="D786" s="10" t="n">
        <v>0.9270833333333334</v>
      </c>
      <c r="E786" s="36" t="n">
        <v>1</v>
      </c>
      <c r="F786" s="36" t="n">
        <v>0</v>
      </c>
      <c r="G786" s="36" t="n">
        <v>0</v>
      </c>
      <c r="H786" s="36" t="n">
        <v>1</v>
      </c>
      <c r="I786" s="36" t="n">
        <v>0</v>
      </c>
      <c r="J786" s="36" t="n">
        <v>4</v>
      </c>
      <c r="K786" s="12" t="n">
        <v>48</v>
      </c>
    </row>
    <row r="787">
      <c r="A787" s="33" t="n">
        <v>46319.93958333333</v>
      </c>
      <c r="B787" s="33" t="n">
        <v>46319.97361111111</v>
      </c>
      <c r="C787" s="13" t="n">
        <v>46320</v>
      </c>
      <c r="D787" s="14" t="n">
        <v>0.96875</v>
      </c>
      <c r="E787" s="37" t="n">
        <v>1</v>
      </c>
      <c r="F787" s="37" t="n">
        <v>1</v>
      </c>
      <c r="G787" s="37" t="n">
        <v>0</v>
      </c>
      <c r="H787" s="37" t="n">
        <v>0</v>
      </c>
      <c r="I787" s="37" t="n">
        <v>0</v>
      </c>
      <c r="J787" s="37" t="n">
        <v>2</v>
      </c>
      <c r="K787" s="16" t="n">
        <v>24</v>
      </c>
    </row>
    <row r="788">
      <c r="A788" s="30" t="n">
        <v>46319.93958333333</v>
      </c>
      <c r="B788" s="30" t="n">
        <v>46319.97361111111</v>
      </c>
      <c r="C788" s="9" t="n">
        <v>46324</v>
      </c>
      <c r="D788" s="10" t="n">
        <v>0.9270833333333334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46325</v>
      </c>
      <c r="D789" s="14" t="n">
        <v>0.96875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46319.93958333333</v>
      </c>
      <c r="B790" s="30" t="n">
        <v>46319.97361111111</v>
      </c>
      <c r="C790" s="9" t="n">
        <v>46326</v>
      </c>
      <c r="D790" s="10" t="n">
        <v>0.84375</v>
      </c>
      <c r="E790" s="36" t="n">
        <v>1</v>
      </c>
      <c r="F790" s="36" t="n">
        <v>1</v>
      </c>
      <c r="G790" s="36" t="n">
        <v>0</v>
      </c>
      <c r="H790" s="36" t="n">
        <v>0</v>
      </c>
      <c r="I790" s="36" t="n">
        <v>0</v>
      </c>
      <c r="J790" s="36" t="n">
        <v>2</v>
      </c>
      <c r="K790" s="12" t="n">
        <v>24</v>
      </c>
    </row>
    <row r="791">
      <c r="A791" s="33" t="n">
        <v>46319.93958333333</v>
      </c>
      <c r="B791" s="33" t="n">
        <v>46319.97361111111</v>
      </c>
      <c r="C791" s="13" t="n">
        <v>46326</v>
      </c>
      <c r="D791" s="14" t="n">
        <v>0.9270833333333334</v>
      </c>
      <c r="E791" s="37" t="n">
        <v>3</v>
      </c>
      <c r="F791" s="37" t="n">
        <v>1</v>
      </c>
      <c r="G791" s="37" t="n">
        <v>0</v>
      </c>
      <c r="H791" s="37" t="n">
        <v>1</v>
      </c>
      <c r="I791" s="37" t="n">
        <v>1</v>
      </c>
      <c r="J791" s="37" t="n">
        <v>11</v>
      </c>
      <c r="K791" s="16" t="n">
        <v>132</v>
      </c>
    </row>
    <row r="792">
      <c r="A792" s="30" t="n">
        <v>46319.93958333333</v>
      </c>
      <c r="B792" s="30" t="n">
        <v>46319.97361111111</v>
      </c>
      <c r="C792" s="9" t="n">
        <v>46326</v>
      </c>
      <c r="D792" s="10" t="n">
        <v>0.96875</v>
      </c>
      <c r="E792" s="36" t="n">
        <v>1</v>
      </c>
      <c r="F792" s="36" t="n">
        <v>0</v>
      </c>
      <c r="G792" s="36" t="n">
        <v>0</v>
      </c>
      <c r="H792" s="36" t="n">
        <v>1</v>
      </c>
      <c r="I792" s="36" t="n">
        <v>0</v>
      </c>
      <c r="J792" s="36" t="n">
        <v>4</v>
      </c>
      <c r="K792" s="12" t="n">
        <v>48</v>
      </c>
    </row>
    <row r="793">
      <c r="A793" s="33" t="n">
        <v>46319.93958333333</v>
      </c>
      <c r="B793" s="33" t="n">
        <v>46319.97361111111</v>
      </c>
      <c r="C793" s="13" t="n">
        <v>46327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46319.93958333333</v>
      </c>
      <c r="B794" s="30" t="n">
        <v>46319.97361111111</v>
      </c>
      <c r="C794" s="9" t="n">
        <v>46328</v>
      </c>
      <c r="D794" s="10" t="n">
        <v>0.96875</v>
      </c>
      <c r="E794" s="36" t="n">
        <v>0</v>
      </c>
      <c r="F794" s="36" t="n">
        <v>0</v>
      </c>
      <c r="G794" s="36" t="n">
        <v>0</v>
      </c>
      <c r="H794" s="36" t="n">
        <v>0</v>
      </c>
      <c r="I794" s="36" t="n">
        <v>0</v>
      </c>
      <c r="J794" s="36" t="n">
        <v>1</v>
      </c>
      <c r="K794" s="12" t="n">
        <v>15</v>
      </c>
    </row>
    <row r="795">
      <c r="A795" s="33" t="n">
        <v>46319.975</v>
      </c>
      <c r="B795" s="33" t="n">
        <v>46319.98402777778</v>
      </c>
      <c r="C795" s="13" t="n">
        <v>46326</v>
      </c>
      <c r="D795" s="14" t="n">
        <v>0.8854166666666666</v>
      </c>
      <c r="E795" s="37" t="n">
        <v>1</v>
      </c>
      <c r="F795" s="37" t="n">
        <v>0</v>
      </c>
      <c r="G795" s="37" t="n">
        <v>0</v>
      </c>
      <c r="H795" s="37" t="n">
        <v>1</v>
      </c>
      <c r="I795" s="37" t="n">
        <v>0</v>
      </c>
      <c r="J795" s="37" t="n">
        <v>4</v>
      </c>
      <c r="K795" s="16" t="n">
        <v>48</v>
      </c>
    </row>
    <row r="796">
      <c r="A796" s="30" t="n">
        <v>46319.975</v>
      </c>
      <c r="B796" s="30" t="n">
        <v>46319.98402777778</v>
      </c>
      <c r="C796" s="9" t="n">
        <v>46326</v>
      </c>
      <c r="D796" s="10" t="n">
        <v>0.96875</v>
      </c>
      <c r="E796" s="36" t="n">
        <v>1</v>
      </c>
      <c r="F796" s="36" t="n">
        <v>0</v>
      </c>
      <c r="G796" s="36" t="n">
        <v>0</v>
      </c>
      <c r="H796" s="36" t="n">
        <v>1</v>
      </c>
      <c r="I796" s="36" t="n">
        <v>0</v>
      </c>
      <c r="J796" s="36" t="n">
        <v>4</v>
      </c>
      <c r="K796" s="12" t="n">
        <v>48</v>
      </c>
    </row>
    <row r="797">
      <c r="A797" s="33" t="n">
        <v>46319.98402777778</v>
      </c>
      <c r="B797" s="33" t="n">
        <v>46320.01458333333</v>
      </c>
      <c r="C797" s="13" t="n">
        <v>46320</v>
      </c>
      <c r="D797" s="14" t="n">
        <v>0.8854166666666666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46319.98402777778</v>
      </c>
      <c r="B798" s="30" t="n">
        <v>46320.01458333333</v>
      </c>
      <c r="C798" s="9" t="n">
        <v>46320</v>
      </c>
      <c r="D798" s="10" t="n">
        <v>0.9270833333333334</v>
      </c>
      <c r="E798" s="36" t="n">
        <v>1</v>
      </c>
      <c r="F798" s="36" t="n">
        <v>0</v>
      </c>
      <c r="G798" s="36" t="n">
        <v>0</v>
      </c>
      <c r="H798" s="36" t="n">
        <v>1</v>
      </c>
      <c r="I798" s="36" t="n">
        <v>0</v>
      </c>
      <c r="J798" s="36" t="n">
        <v>4</v>
      </c>
      <c r="K798" s="12" t="n">
        <v>48</v>
      </c>
    </row>
    <row r="799">
      <c r="A799" s="33" t="n">
        <v>46319.98402777778</v>
      </c>
      <c r="B799" s="33" t="n">
        <v>46320.01458333333</v>
      </c>
      <c r="C799" s="13" t="n">
        <v>46326</v>
      </c>
      <c r="D799" s="14" t="n">
        <v>0.96875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46319.98402777778</v>
      </c>
      <c r="B800" s="30" t="n">
        <v>46320.01458333333</v>
      </c>
      <c r="C800" s="9" t="n">
        <v>46328</v>
      </c>
      <c r="D800" s="10" t="n">
        <v>0.9993055555555556</v>
      </c>
      <c r="E800" s="36" t="n">
        <v>0</v>
      </c>
      <c r="F800" s="36" t="n">
        <v>0</v>
      </c>
      <c r="G800" s="36" t="n">
        <v>0</v>
      </c>
      <c r="H800" s="36" t="n">
        <v>0</v>
      </c>
      <c r="I800" s="36" t="n">
        <v>0</v>
      </c>
      <c r="J800" s="36" t="n">
        <v>1</v>
      </c>
      <c r="K800" s="12" t="n">
        <v>15</v>
      </c>
    </row>
    <row r="801">
      <c r="A801" s="33" t="n">
        <v>46320.01458333333</v>
      </c>
      <c r="B801" s="33" t="n">
        <v>46320.05486111111</v>
      </c>
      <c r="C801" s="13" t="n">
        <v>46320</v>
      </c>
      <c r="D801" s="14" t="n">
        <v>0.84375</v>
      </c>
      <c r="E801" s="37" t="n">
        <v>1</v>
      </c>
      <c r="F801" s="37" t="n">
        <v>1</v>
      </c>
      <c r="G801" s="37" t="n">
        <v>0</v>
      </c>
      <c r="H801" s="37" t="n">
        <v>0</v>
      </c>
      <c r="I801" s="37" t="n">
        <v>0</v>
      </c>
      <c r="J801" s="37" t="n">
        <v>2</v>
      </c>
      <c r="K801" s="16" t="n">
        <v>24</v>
      </c>
    </row>
    <row r="802">
      <c r="A802" s="30" t="n">
        <v>46320.01458333333</v>
      </c>
      <c r="B802" s="30" t="n">
        <v>46320.05486111111</v>
      </c>
      <c r="C802" s="9" t="n">
        <v>46320</v>
      </c>
      <c r="D802" s="10" t="n">
        <v>0.9270833333333334</v>
      </c>
      <c r="E802" s="36" t="n">
        <v>2</v>
      </c>
      <c r="F802" s="36" t="n">
        <v>0</v>
      </c>
      <c r="G802" s="36" t="n">
        <v>0</v>
      </c>
      <c r="H802" s="36" t="n">
        <v>1</v>
      </c>
      <c r="I802" s="36" t="n">
        <v>1</v>
      </c>
      <c r="J802" s="36" t="n">
        <v>9</v>
      </c>
      <c r="K802" s="12" t="n">
        <v>108</v>
      </c>
    </row>
    <row r="803">
      <c r="A803" s="33" t="n">
        <v>46320.01458333333</v>
      </c>
      <c r="B803" s="33" t="n">
        <v>46320.05486111111</v>
      </c>
      <c r="C803" s="13" t="n">
        <v>46325</v>
      </c>
      <c r="D803" s="14" t="n">
        <v>0.96875</v>
      </c>
      <c r="E803" s="37" t="n">
        <v>1</v>
      </c>
      <c r="F803" s="37" t="n">
        <v>1</v>
      </c>
      <c r="G803" s="37" t="n">
        <v>0</v>
      </c>
      <c r="H803" s="37" t="n">
        <v>0</v>
      </c>
      <c r="I803" s="37" t="n">
        <v>0</v>
      </c>
      <c r="J803" s="37" t="n">
        <v>2</v>
      </c>
      <c r="K803" s="16" t="n">
        <v>24</v>
      </c>
    </row>
    <row r="804">
      <c r="A804" s="30" t="n">
        <v>46320.01458333333</v>
      </c>
      <c r="B804" s="30" t="n">
        <v>46320.05486111111</v>
      </c>
      <c r="C804" s="9" t="n">
        <v>46326</v>
      </c>
      <c r="D804" s="10" t="n">
        <v>0.8854166666666666</v>
      </c>
      <c r="E804" s="36" t="n">
        <v>2</v>
      </c>
      <c r="F804" s="36" t="n">
        <v>2</v>
      </c>
      <c r="G804" s="36" t="n">
        <v>0</v>
      </c>
      <c r="H804" s="36" t="n">
        <v>0</v>
      </c>
      <c r="I804" s="36" t="n">
        <v>0</v>
      </c>
      <c r="J804" s="36" t="n">
        <v>4</v>
      </c>
      <c r="K804" s="12" t="n">
        <v>48</v>
      </c>
    </row>
    <row r="805">
      <c r="A805" s="33" t="n">
        <v>46320.01458333333</v>
      </c>
      <c r="B805" s="33" t="n">
        <v>46320.05486111111</v>
      </c>
      <c r="C805" s="13" t="n">
        <v>46326</v>
      </c>
      <c r="D805" s="14" t="n">
        <v>0.9270833333333334</v>
      </c>
      <c r="E805" s="37" t="n">
        <v>1</v>
      </c>
      <c r="F805" s="37" t="n">
        <v>0</v>
      </c>
      <c r="G805" s="37" t="n">
        <v>0</v>
      </c>
      <c r="H805" s="37" t="n">
        <v>1</v>
      </c>
      <c r="I805" s="37" t="n">
        <v>0</v>
      </c>
      <c r="J805" s="37" t="n">
        <v>4</v>
      </c>
      <c r="K805" s="16" t="n">
        <v>48</v>
      </c>
    </row>
    <row r="806">
      <c r="A806" s="30" t="n">
        <v>46320.05486111111</v>
      </c>
      <c r="B806" s="30" t="n">
        <v>46320.09583333333</v>
      </c>
      <c r="C806" s="9" t="n">
        <v>46320</v>
      </c>
      <c r="D806" s="10" t="n">
        <v>0.8854166666666666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46320.05486111111</v>
      </c>
      <c r="B807" s="33" t="n">
        <v>46320.09583333333</v>
      </c>
      <c r="C807" s="13" t="n">
        <v>46320</v>
      </c>
      <c r="D807" s="14" t="n">
        <v>0.9270833333333334</v>
      </c>
      <c r="E807" s="37" t="n">
        <v>1</v>
      </c>
      <c r="F807" s="37" t="n">
        <v>0</v>
      </c>
      <c r="G807" s="37" t="n">
        <v>0</v>
      </c>
      <c r="H807" s="37" t="n">
        <v>1</v>
      </c>
      <c r="I807" s="37" t="n">
        <v>0</v>
      </c>
      <c r="J807" s="37" t="n">
        <v>4</v>
      </c>
      <c r="K807" s="16" t="n">
        <v>48</v>
      </c>
    </row>
    <row r="808">
      <c r="A808" s="30" t="n">
        <v>46320.05486111111</v>
      </c>
      <c r="B808" s="30" t="n">
        <v>46320.09583333333</v>
      </c>
      <c r="C808" s="9" t="n">
        <v>46326</v>
      </c>
      <c r="D808" s="10" t="n">
        <v>0.96875</v>
      </c>
      <c r="E808" s="36" t="n">
        <v>1</v>
      </c>
      <c r="F808" s="36" t="n">
        <v>1</v>
      </c>
      <c r="G808" s="36" t="n">
        <v>0</v>
      </c>
      <c r="H808" s="36" t="n">
        <v>0</v>
      </c>
      <c r="I808" s="36" t="n">
        <v>0</v>
      </c>
      <c r="J808" s="36" t="n">
        <v>2</v>
      </c>
      <c r="K808" s="12" t="n">
        <v>24</v>
      </c>
    </row>
    <row r="809">
      <c r="A809" s="33" t="n">
        <v>46320.10277777778</v>
      </c>
      <c r="B809" s="33" t="n">
        <v>46320.14305555556</v>
      </c>
      <c r="C809" s="13" t="n">
        <v>46320</v>
      </c>
      <c r="D809" s="14" t="n">
        <v>0.8854166666666666</v>
      </c>
      <c r="E809" s="37" t="n">
        <v>2</v>
      </c>
      <c r="F809" s="37" t="n">
        <v>2</v>
      </c>
      <c r="G809" s="37" t="n">
        <v>0</v>
      </c>
      <c r="H809" s="37" t="n">
        <v>0</v>
      </c>
      <c r="I809" s="37" t="n">
        <v>0</v>
      </c>
      <c r="J809" s="37" t="n">
        <v>4</v>
      </c>
      <c r="K809" s="16" t="n">
        <v>48</v>
      </c>
    </row>
    <row r="810">
      <c r="A810" s="30" t="n">
        <v>46320.10277777778</v>
      </c>
      <c r="B810" s="30" t="n">
        <v>46320.14305555556</v>
      </c>
      <c r="C810" s="9" t="n">
        <v>46320</v>
      </c>
      <c r="D810" s="10" t="n">
        <v>0.96875</v>
      </c>
      <c r="E810" s="36" t="n">
        <v>1</v>
      </c>
      <c r="F810" s="36" t="n">
        <v>0</v>
      </c>
      <c r="G810" s="36" t="n">
        <v>0</v>
      </c>
      <c r="H810" s="36" t="n">
        <v>1</v>
      </c>
      <c r="I810" s="36" t="n">
        <v>0</v>
      </c>
      <c r="J810" s="36" t="n">
        <v>4</v>
      </c>
      <c r="K810" s="12" t="n">
        <v>48</v>
      </c>
    </row>
    <row r="811">
      <c r="A811" s="33" t="n">
        <v>46320.18472222222</v>
      </c>
      <c r="B811" s="33" t="n">
        <v>46320.22708333333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1</v>
      </c>
      <c r="H811" s="37" t="n">
        <v>0</v>
      </c>
      <c r="I811" s="37" t="n">
        <v>0</v>
      </c>
      <c r="J811" s="37" t="n">
        <v>3</v>
      </c>
      <c r="K811" s="16" t="n">
        <v>36</v>
      </c>
    </row>
    <row r="812">
      <c r="A812" s="30" t="n">
        <v>46320.18472222222</v>
      </c>
      <c r="B812" s="30" t="n">
        <v>46320.22708333333</v>
      </c>
      <c r="C812" s="9" t="n">
        <v>46320</v>
      </c>
      <c r="D812" s="10" t="n">
        <v>0.96875</v>
      </c>
      <c r="E812" s="36" t="n">
        <v>1</v>
      </c>
      <c r="F812" s="36" t="n">
        <v>0</v>
      </c>
      <c r="G812" s="36" t="n">
        <v>0</v>
      </c>
      <c r="H812" s="36" t="n">
        <v>1</v>
      </c>
      <c r="I812" s="36" t="n">
        <v>0</v>
      </c>
      <c r="J812" s="36" t="n">
        <v>4</v>
      </c>
      <c r="K812" s="12" t="n">
        <v>48</v>
      </c>
    </row>
    <row r="813">
      <c r="A813" s="33" t="n">
        <v>46320.26736111111</v>
      </c>
      <c r="B813" s="33" t="n">
        <v>46320.31180555555</v>
      </c>
      <c r="C813" s="13" t="n">
        <v>46320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0</v>
      </c>
      <c r="I813" s="37" t="n">
        <v>1</v>
      </c>
      <c r="J813" s="37" t="n">
        <v>5</v>
      </c>
      <c r="K813" s="16" t="n">
        <v>60</v>
      </c>
    </row>
    <row r="814">
      <c r="A814" s="30" t="n">
        <v>46320.26736111111</v>
      </c>
      <c r="B814" s="30" t="n">
        <v>46320.31180555555</v>
      </c>
      <c r="C814" s="9" t="n">
        <v>46320</v>
      </c>
      <c r="D814" s="10" t="n">
        <v>0.9993055555555556</v>
      </c>
      <c r="E814" s="36" t="n">
        <v>1</v>
      </c>
      <c r="F814" s="36" t="n">
        <v>0</v>
      </c>
      <c r="G814" s="36" t="n">
        <v>1</v>
      </c>
      <c r="H814" s="36" t="n">
        <v>0</v>
      </c>
      <c r="I814" s="36" t="n">
        <v>0</v>
      </c>
      <c r="J814" s="36" t="n">
        <v>3</v>
      </c>
      <c r="K814" s="12" t="n">
        <v>36</v>
      </c>
    </row>
    <row r="815">
      <c r="A815" s="33" t="n">
        <v>46320.31180555555</v>
      </c>
      <c r="B815" s="33" t="n">
        <v>46320.35694444444</v>
      </c>
      <c r="C815" s="13" t="n">
        <v>46320</v>
      </c>
      <c r="D815" s="14" t="n">
        <v>0.9993055555555556</v>
      </c>
      <c r="E815" s="37" t="n">
        <v>1</v>
      </c>
      <c r="F815" s="37" t="n">
        <v>1</v>
      </c>
      <c r="G815" s="37" t="n">
        <v>0</v>
      </c>
      <c r="H815" s="37" t="n">
        <v>0</v>
      </c>
      <c r="I815" s="37" t="n">
        <v>0</v>
      </c>
      <c r="J815" s="37" t="n">
        <v>2</v>
      </c>
      <c r="K815" s="16" t="n">
        <v>24</v>
      </c>
    </row>
    <row r="816">
      <c r="A816" s="30" t="n">
        <v>46320.31180555555</v>
      </c>
      <c r="B816" s="30" t="n">
        <v>46320.35694444444</v>
      </c>
      <c r="C816" s="9" t="n">
        <v>46327</v>
      </c>
      <c r="D816" s="10" t="n">
        <v>0.8854166666666666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46320.35694444444</v>
      </c>
      <c r="B817" s="33" t="n">
        <v>46320.39166666667</v>
      </c>
      <c r="C817" s="13" t="n">
        <v>46320</v>
      </c>
      <c r="D817" s="14" t="n">
        <v>0.8854166666666666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46320.35694444444</v>
      </c>
      <c r="B818" s="30" t="n">
        <v>46320.39166666667</v>
      </c>
      <c r="C818" s="9" t="n">
        <v>46320</v>
      </c>
      <c r="D818" s="10" t="n">
        <v>0.96875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46320.35694444444</v>
      </c>
      <c r="B819" s="33" t="n">
        <v>46320.39166666667</v>
      </c>
      <c r="C819" s="13" t="n">
        <v>46325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46320.39166666667</v>
      </c>
      <c r="B820" s="30" t="n">
        <v>46320.43055555555</v>
      </c>
      <c r="C820" s="9" t="n">
        <v>46320</v>
      </c>
      <c r="D820" s="10" t="n">
        <v>0.9270833333333334</v>
      </c>
      <c r="E820" s="36" t="n">
        <v>1</v>
      </c>
      <c r="F820" s="36" t="n">
        <v>1</v>
      </c>
      <c r="G820" s="36" t="n">
        <v>0</v>
      </c>
      <c r="H820" s="36" t="n">
        <v>0</v>
      </c>
      <c r="I820" s="36" t="n">
        <v>0</v>
      </c>
      <c r="J820" s="36" t="n">
        <v>2</v>
      </c>
      <c r="K820" s="12" t="n">
        <v>24</v>
      </c>
    </row>
    <row r="821">
      <c r="A821" s="33" t="n">
        <v>46320.39166666667</v>
      </c>
      <c r="B821" s="33" t="n">
        <v>46320.43055555555</v>
      </c>
      <c r="C821" s="13" t="n">
        <v>46320</v>
      </c>
      <c r="D821" s="14" t="n">
        <v>0.96875</v>
      </c>
      <c r="E821" s="37" t="n">
        <v>4</v>
      </c>
      <c r="F821" s="37" t="n">
        <v>4</v>
      </c>
      <c r="G821" s="37" t="n">
        <v>0</v>
      </c>
      <c r="H821" s="37" t="n">
        <v>0</v>
      </c>
      <c r="I821" s="37" t="n">
        <v>0</v>
      </c>
      <c r="J821" s="37" t="n">
        <v>8</v>
      </c>
      <c r="K821" s="16" t="n">
        <v>96</v>
      </c>
    </row>
    <row r="822">
      <c r="A822" s="30" t="n">
        <v>46320.39166666667</v>
      </c>
      <c r="B822" s="30" t="n">
        <v>46320.43055555555</v>
      </c>
      <c r="C822" s="9" t="n">
        <v>46326</v>
      </c>
      <c r="D822" s="10" t="n">
        <v>0.9270833333333334</v>
      </c>
      <c r="E822" s="36" t="n">
        <v>1</v>
      </c>
      <c r="F822" s="36" t="n">
        <v>1</v>
      </c>
      <c r="G822" s="36" t="n">
        <v>0</v>
      </c>
      <c r="H822" s="36" t="n">
        <v>0</v>
      </c>
      <c r="I822" s="36" t="n">
        <v>0</v>
      </c>
      <c r="J822" s="36" t="n">
        <v>2</v>
      </c>
      <c r="K822" s="12" t="n">
        <v>24</v>
      </c>
    </row>
    <row r="823">
      <c r="A823" s="33" t="n">
        <v>46320.39166666667</v>
      </c>
      <c r="B823" s="33" t="n">
        <v>46320.43055555555</v>
      </c>
      <c r="C823" s="13" t="n">
        <v>46326</v>
      </c>
      <c r="D823" s="14" t="n">
        <v>0.96875</v>
      </c>
      <c r="E823" s="37" t="n">
        <v>1</v>
      </c>
      <c r="F823" s="37" t="n">
        <v>0</v>
      </c>
      <c r="G823" s="37" t="n">
        <v>0</v>
      </c>
      <c r="H823" s="37" t="n">
        <v>1</v>
      </c>
      <c r="I823" s="37" t="n">
        <v>0</v>
      </c>
      <c r="J823" s="37" t="n">
        <v>4</v>
      </c>
      <c r="K823" s="16" t="n">
        <v>48</v>
      </c>
    </row>
    <row r="824">
      <c r="A824" s="30" t="n">
        <v>46320.43333333333</v>
      </c>
      <c r="B824" s="30" t="n">
        <v>46320.47430555556</v>
      </c>
      <c r="C824" s="9" t="n">
        <v>46320</v>
      </c>
      <c r="D824" s="10" t="n">
        <v>0.84375</v>
      </c>
      <c r="E824" s="36" t="n">
        <v>1</v>
      </c>
      <c r="F824" s="36" t="n">
        <v>1</v>
      </c>
      <c r="G824" s="36" t="n">
        <v>0</v>
      </c>
      <c r="H824" s="36" t="n">
        <v>0</v>
      </c>
      <c r="I824" s="36" t="n">
        <v>0</v>
      </c>
      <c r="J824" s="36" t="n">
        <v>2</v>
      </c>
      <c r="K824" s="12" t="n">
        <v>24</v>
      </c>
    </row>
    <row r="825">
      <c r="A825" s="33" t="n">
        <v>46320.43333333333</v>
      </c>
      <c r="B825" s="33" t="n">
        <v>46320.47430555556</v>
      </c>
      <c r="C825" s="13" t="n">
        <v>46320</v>
      </c>
      <c r="D825" s="14" t="n">
        <v>0.8854166666666666</v>
      </c>
      <c r="E825" s="37" t="n">
        <v>1</v>
      </c>
      <c r="F825" s="37" t="n">
        <v>0</v>
      </c>
      <c r="G825" s="37" t="n">
        <v>0</v>
      </c>
      <c r="H825" s="37" t="n">
        <v>1</v>
      </c>
      <c r="I825" s="37" t="n">
        <v>0</v>
      </c>
      <c r="J825" s="37" t="n">
        <v>4</v>
      </c>
      <c r="K825" s="16" t="n">
        <v>48</v>
      </c>
    </row>
    <row r="826">
      <c r="A826" s="30" t="n">
        <v>46320.43333333333</v>
      </c>
      <c r="B826" s="30" t="n">
        <v>46320.47430555556</v>
      </c>
      <c r="C826" s="9" t="n">
        <v>46320</v>
      </c>
      <c r="D826" s="10" t="n">
        <v>0.96875</v>
      </c>
      <c r="E826" s="36" t="n">
        <v>1</v>
      </c>
      <c r="F826" s="36" t="n">
        <v>0</v>
      </c>
      <c r="G826" s="36" t="n">
        <v>0</v>
      </c>
      <c r="H826" s="36" t="n">
        <v>1</v>
      </c>
      <c r="I826" s="36" t="n">
        <v>0</v>
      </c>
      <c r="J826" s="36" t="n">
        <v>4</v>
      </c>
      <c r="K826" s="12" t="n">
        <v>48</v>
      </c>
    </row>
    <row r="827">
      <c r="A827" s="33" t="n">
        <v>46320.43333333333</v>
      </c>
      <c r="B827" s="33" t="n">
        <v>46320.47430555556</v>
      </c>
      <c r="C827" s="13" t="n">
        <v>46324</v>
      </c>
      <c r="D827" s="14" t="n">
        <v>0.9270833333333334</v>
      </c>
      <c r="E827" s="37" t="n">
        <v>2</v>
      </c>
      <c r="F827" s="37" t="n">
        <v>1</v>
      </c>
      <c r="G827" s="37" t="n">
        <v>0</v>
      </c>
      <c r="H827" s="37" t="n">
        <v>1</v>
      </c>
      <c r="I827" s="37" t="n">
        <v>0</v>
      </c>
      <c r="J827" s="37" t="n">
        <v>6</v>
      </c>
      <c r="K827" s="16" t="n">
        <v>72</v>
      </c>
    </row>
    <row r="828">
      <c r="A828" s="30" t="n">
        <v>46320.43333333333</v>
      </c>
      <c r="B828" s="30" t="n">
        <v>46320.47430555556</v>
      </c>
      <c r="C828" s="9" t="n">
        <v>46325</v>
      </c>
      <c r="D828" s="10" t="n">
        <v>0.9270833333333334</v>
      </c>
      <c r="E828" s="36" t="n">
        <v>1</v>
      </c>
      <c r="F828" s="36" t="n">
        <v>0</v>
      </c>
      <c r="G828" s="36" t="n">
        <v>0</v>
      </c>
      <c r="H828" s="36" t="n">
        <v>1</v>
      </c>
      <c r="I828" s="36" t="n">
        <v>0</v>
      </c>
      <c r="J828" s="36" t="n">
        <v>4</v>
      </c>
      <c r="K828" s="12" t="n">
        <v>48</v>
      </c>
    </row>
    <row r="829">
      <c r="A829" s="33" t="n">
        <v>46320.47430555556</v>
      </c>
      <c r="B829" s="33" t="n">
        <v>46320.49930555555</v>
      </c>
      <c r="C829" s="13" t="n">
        <v>46320</v>
      </c>
      <c r="D829" s="14" t="n">
        <v>0.84375</v>
      </c>
      <c r="E829" s="37" t="n">
        <v>1</v>
      </c>
      <c r="F829" s="37" t="n">
        <v>0</v>
      </c>
      <c r="G829" s="37" t="n">
        <v>1</v>
      </c>
      <c r="H829" s="37" t="n">
        <v>0</v>
      </c>
      <c r="I829" s="37" t="n">
        <v>0</v>
      </c>
      <c r="J829" s="37" t="n">
        <v>3</v>
      </c>
      <c r="K829" s="16" t="n">
        <v>36</v>
      </c>
    </row>
    <row r="830">
      <c r="A830" s="30" t="n">
        <v>46320.47430555556</v>
      </c>
      <c r="B830" s="30" t="n">
        <v>46320.49930555555</v>
      </c>
      <c r="C830" s="9" t="n">
        <v>46320</v>
      </c>
      <c r="D830" s="10" t="n">
        <v>0.8854166666666666</v>
      </c>
      <c r="E830" s="36" t="n">
        <v>3</v>
      </c>
      <c r="F830" s="36" t="n">
        <v>1</v>
      </c>
      <c r="G830" s="36" t="n">
        <v>0</v>
      </c>
      <c r="H830" s="36" t="n">
        <v>1</v>
      </c>
      <c r="I830" s="36" t="n">
        <v>1</v>
      </c>
      <c r="J830" s="36" t="n">
        <v>11</v>
      </c>
      <c r="K830" s="12" t="n">
        <v>132</v>
      </c>
    </row>
    <row r="831">
      <c r="A831" s="33" t="n">
        <v>46320.47430555556</v>
      </c>
      <c r="B831" s="33" t="n">
        <v>46320.49930555555</v>
      </c>
      <c r="C831" s="13" t="n">
        <v>46320</v>
      </c>
      <c r="D831" s="14" t="n">
        <v>0.9270833333333334</v>
      </c>
      <c r="E831" s="37" t="n">
        <v>2</v>
      </c>
      <c r="F831" s="37" t="n">
        <v>1</v>
      </c>
      <c r="G831" s="37" t="n">
        <v>0</v>
      </c>
      <c r="H831" s="37" t="n">
        <v>1</v>
      </c>
      <c r="I831" s="37" t="n">
        <v>0</v>
      </c>
      <c r="J831" s="37" t="n">
        <v>6</v>
      </c>
      <c r="K831" s="16" t="n">
        <v>72</v>
      </c>
    </row>
    <row r="832">
      <c r="A832" s="30" t="n">
        <v>46320.49930555555</v>
      </c>
      <c r="B832" s="30" t="n">
        <v>46320.51527777778</v>
      </c>
      <c r="C832" s="9" t="n">
        <v>46320</v>
      </c>
      <c r="D832" s="10" t="n">
        <v>0.9270833333333334</v>
      </c>
      <c r="E832" s="36" t="n">
        <v>2</v>
      </c>
      <c r="F832" s="36" t="n">
        <v>0</v>
      </c>
      <c r="G832" s="36" t="n">
        <v>0</v>
      </c>
      <c r="H832" s="36" t="n">
        <v>2</v>
      </c>
      <c r="I832" s="36" t="n">
        <v>0</v>
      </c>
      <c r="J832" s="36" t="n">
        <v>8</v>
      </c>
      <c r="K832" s="12" t="n">
        <v>96</v>
      </c>
    </row>
    <row r="833">
      <c r="A833" s="33" t="n">
        <v>46320.49930555555</v>
      </c>
      <c r="B833" s="33" t="n">
        <v>46320.51527777778</v>
      </c>
      <c r="C833" s="13" t="n">
        <v>46320</v>
      </c>
      <c r="D833" s="14" t="n">
        <v>0.96875</v>
      </c>
      <c r="E833" s="37" t="n">
        <v>2</v>
      </c>
      <c r="F833" s="37" t="n">
        <v>0</v>
      </c>
      <c r="G833" s="37" t="n">
        <v>0</v>
      </c>
      <c r="H833" s="37" t="n">
        <v>1</v>
      </c>
      <c r="I833" s="37" t="n">
        <v>1</v>
      </c>
      <c r="J833" s="37" t="n">
        <v>9</v>
      </c>
      <c r="K833" s="16" t="n">
        <v>108</v>
      </c>
    </row>
    <row r="834">
      <c r="A834" s="30" t="n">
        <v>46320.49930555555</v>
      </c>
      <c r="B834" s="30" t="n">
        <v>46320.51527777778</v>
      </c>
      <c r="C834" s="9" t="n">
        <v>46326</v>
      </c>
      <c r="D834" s="10" t="n">
        <v>0.84375</v>
      </c>
      <c r="E834" s="36" t="n">
        <v>1</v>
      </c>
      <c r="F834" s="36" t="n">
        <v>0</v>
      </c>
      <c r="G834" s="36" t="n">
        <v>0</v>
      </c>
      <c r="H834" s="36" t="n">
        <v>1</v>
      </c>
      <c r="I834" s="36" t="n">
        <v>0</v>
      </c>
      <c r="J834" s="36" t="n">
        <v>4</v>
      </c>
      <c r="K834" s="12" t="n">
        <v>48</v>
      </c>
    </row>
    <row r="835">
      <c r="A835" s="33" t="n">
        <v>46320.51527777778</v>
      </c>
      <c r="B835" s="33" t="n">
        <v>46320.53680555556</v>
      </c>
      <c r="C835" s="13" t="n">
        <v>46320</v>
      </c>
      <c r="D835" s="14" t="n">
        <v>0.84375</v>
      </c>
      <c r="E835" s="37" t="n">
        <v>4</v>
      </c>
      <c r="F835" s="37" t="n">
        <v>1</v>
      </c>
      <c r="G835" s="37" t="n">
        <v>0</v>
      </c>
      <c r="H835" s="37" t="n">
        <v>2</v>
      </c>
      <c r="I835" s="37" t="n">
        <v>1</v>
      </c>
      <c r="J835" s="37" t="n">
        <v>15</v>
      </c>
      <c r="K835" s="16" t="n">
        <v>180</v>
      </c>
    </row>
    <row r="836">
      <c r="A836" s="30" t="n">
        <v>46320.51527777778</v>
      </c>
      <c r="B836" s="30" t="n">
        <v>46320.53680555556</v>
      </c>
      <c r="C836" s="9" t="n">
        <v>46320</v>
      </c>
      <c r="D836" s="10" t="n">
        <v>0.8854166666666666</v>
      </c>
      <c r="E836" s="36" t="n">
        <v>2</v>
      </c>
      <c r="F836" s="36" t="n">
        <v>1</v>
      </c>
      <c r="G836" s="36" t="n">
        <v>1</v>
      </c>
      <c r="H836" s="36" t="n">
        <v>0</v>
      </c>
      <c r="I836" s="36" t="n">
        <v>0</v>
      </c>
      <c r="J836" s="36" t="n">
        <v>5</v>
      </c>
      <c r="K836" s="12" t="n">
        <v>60</v>
      </c>
    </row>
    <row r="837">
      <c r="A837" s="33" t="n">
        <v>46320.51527777778</v>
      </c>
      <c r="B837" s="33" t="n">
        <v>46320.53680555556</v>
      </c>
      <c r="C837" s="13" t="n">
        <v>46320</v>
      </c>
      <c r="D837" s="14" t="n">
        <v>0.9270833333333334</v>
      </c>
      <c r="E837" s="37" t="n">
        <v>1</v>
      </c>
      <c r="F837" s="37" t="n">
        <v>1</v>
      </c>
      <c r="G837" s="37" t="n">
        <v>0</v>
      </c>
      <c r="H837" s="37" t="n">
        <v>0</v>
      </c>
      <c r="I837" s="37" t="n">
        <v>0</v>
      </c>
      <c r="J837" s="37" t="n">
        <v>2</v>
      </c>
      <c r="K837" s="16" t="n">
        <v>24</v>
      </c>
    </row>
    <row r="838">
      <c r="A838" s="30" t="n">
        <v>46320.51527777778</v>
      </c>
      <c r="B838" s="30" t="n">
        <v>46320.53680555556</v>
      </c>
      <c r="C838" s="9" t="n">
        <v>46320</v>
      </c>
      <c r="D838" s="10" t="n">
        <v>0.96875</v>
      </c>
      <c r="E838" s="36" t="n">
        <v>2</v>
      </c>
      <c r="F838" s="36" t="n">
        <v>0</v>
      </c>
      <c r="G838" s="36" t="n">
        <v>0</v>
      </c>
      <c r="H838" s="36" t="n">
        <v>1</v>
      </c>
      <c r="I838" s="36" t="n">
        <v>1</v>
      </c>
      <c r="J838" s="36" t="n">
        <v>9</v>
      </c>
      <c r="K838" s="12" t="n">
        <v>108</v>
      </c>
    </row>
    <row r="839">
      <c r="A839" s="33" t="n">
        <v>46320.51527777778</v>
      </c>
      <c r="B839" s="33" t="n">
        <v>46320.53680555556</v>
      </c>
      <c r="C839" s="13" t="n">
        <v>46320</v>
      </c>
      <c r="D839" s="14" t="n">
        <v>0.9993055555555556</v>
      </c>
      <c r="E839" s="37" t="n">
        <v>1</v>
      </c>
      <c r="F839" s="37" t="n">
        <v>0</v>
      </c>
      <c r="G839" s="37" t="n">
        <v>0</v>
      </c>
      <c r="H839" s="37" t="n">
        <v>1</v>
      </c>
      <c r="I839" s="37" t="n">
        <v>0</v>
      </c>
      <c r="J839" s="37" t="n">
        <v>4</v>
      </c>
      <c r="K839" s="16" t="n">
        <v>48</v>
      </c>
    </row>
    <row r="840">
      <c r="A840" s="30" t="n">
        <v>46320.51527777778</v>
      </c>
      <c r="B840" s="30" t="n">
        <v>46320.53680555556</v>
      </c>
      <c r="C840" s="9" t="n">
        <v>46325</v>
      </c>
      <c r="D840" s="10" t="n">
        <v>0.9270833333333334</v>
      </c>
      <c r="E840" s="36" t="n">
        <v>1</v>
      </c>
      <c r="F840" s="36" t="n">
        <v>0</v>
      </c>
      <c r="G840" s="36" t="n">
        <v>0</v>
      </c>
      <c r="H840" s="36" t="n">
        <v>1</v>
      </c>
      <c r="I840" s="36" t="n">
        <v>0</v>
      </c>
      <c r="J840" s="36" t="n">
        <v>4</v>
      </c>
      <c r="K840" s="12" t="n">
        <v>48</v>
      </c>
    </row>
    <row r="841">
      <c r="A841" s="33" t="n">
        <v>46320.51527777778</v>
      </c>
      <c r="B841" s="33" t="n">
        <v>46320.53680555556</v>
      </c>
      <c r="C841" s="13" t="n">
        <v>46326</v>
      </c>
      <c r="D841" s="14" t="n">
        <v>0.8854166666666666</v>
      </c>
      <c r="E841" s="37" t="n">
        <v>2</v>
      </c>
      <c r="F841" s="37" t="n">
        <v>0</v>
      </c>
      <c r="G841" s="37" t="n">
        <v>2</v>
      </c>
      <c r="H841" s="37" t="n">
        <v>0</v>
      </c>
      <c r="I841" s="37" t="n">
        <v>0</v>
      </c>
      <c r="J841" s="37" t="n">
        <v>6</v>
      </c>
      <c r="K841" s="16" t="n">
        <v>72</v>
      </c>
    </row>
    <row r="842">
      <c r="A842" s="30" t="n">
        <v>46320.51527777778</v>
      </c>
      <c r="B842" s="30" t="n">
        <v>46320.53680555556</v>
      </c>
      <c r="C842" s="9" t="n">
        <v>46326</v>
      </c>
      <c r="D842" s="10" t="n">
        <v>0.96875</v>
      </c>
      <c r="E842" s="36" t="n">
        <v>1</v>
      </c>
      <c r="F842" s="36" t="n">
        <v>0</v>
      </c>
      <c r="G842" s="36" t="n">
        <v>0</v>
      </c>
      <c r="H842" s="36" t="n">
        <v>1</v>
      </c>
      <c r="I842" s="36" t="n">
        <v>0</v>
      </c>
      <c r="J842" s="36" t="n">
        <v>4</v>
      </c>
      <c r="K842" s="12" t="n">
        <v>48</v>
      </c>
    </row>
    <row r="843">
      <c r="A843" s="33" t="n">
        <v>46320.53680555556</v>
      </c>
      <c r="B843" s="33" t="n">
        <v>46320.55833333333</v>
      </c>
      <c r="C843" s="13" t="n">
        <v>46320</v>
      </c>
      <c r="D843" s="14" t="n">
        <v>0.84375</v>
      </c>
      <c r="E843" s="37" t="n">
        <v>3</v>
      </c>
      <c r="F843" s="37" t="n">
        <v>3</v>
      </c>
      <c r="G843" s="37" t="n">
        <v>0</v>
      </c>
      <c r="H843" s="37" t="n">
        <v>0</v>
      </c>
      <c r="I843" s="37" t="n">
        <v>0</v>
      </c>
      <c r="J843" s="37" t="n">
        <v>6</v>
      </c>
      <c r="K843" s="16" t="n">
        <v>72</v>
      </c>
    </row>
    <row r="844">
      <c r="A844" s="30" t="n">
        <v>46320.53680555556</v>
      </c>
      <c r="B844" s="30" t="n">
        <v>46320.55833333333</v>
      </c>
      <c r="C844" s="9" t="n">
        <v>46320</v>
      </c>
      <c r="D844" s="10" t="n">
        <v>0.8854166666666666</v>
      </c>
      <c r="E844" s="36" t="n">
        <v>1</v>
      </c>
      <c r="F844" s="36" t="n">
        <v>0</v>
      </c>
      <c r="G844" s="36" t="n">
        <v>0</v>
      </c>
      <c r="H844" s="36" t="n">
        <v>1</v>
      </c>
      <c r="I844" s="36" t="n">
        <v>0</v>
      </c>
      <c r="J844" s="36" t="n">
        <v>4</v>
      </c>
      <c r="K844" s="12" t="n">
        <v>48</v>
      </c>
    </row>
    <row r="845">
      <c r="A845" s="33" t="n">
        <v>46320.53680555556</v>
      </c>
      <c r="B845" s="33" t="n">
        <v>46320.55833333333</v>
      </c>
      <c r="C845" s="13" t="n">
        <v>46320</v>
      </c>
      <c r="D845" s="14" t="n">
        <v>0.9270833333333334</v>
      </c>
      <c r="E845" s="37" t="n">
        <v>1</v>
      </c>
      <c r="F845" s="37" t="n">
        <v>1</v>
      </c>
      <c r="G845" s="37" t="n">
        <v>0</v>
      </c>
      <c r="H845" s="37" t="n">
        <v>0</v>
      </c>
      <c r="I845" s="37" t="n">
        <v>0</v>
      </c>
      <c r="J845" s="37" t="n">
        <v>2</v>
      </c>
      <c r="K845" s="16" t="n">
        <v>24</v>
      </c>
    </row>
    <row r="846">
      <c r="A846" s="30" t="n">
        <v>46320.53680555556</v>
      </c>
      <c r="B846" s="30" t="n">
        <v>46320.55833333333</v>
      </c>
      <c r="C846" s="9" t="n">
        <v>46320</v>
      </c>
      <c r="D846" s="10" t="n">
        <v>0.9993055555555556</v>
      </c>
      <c r="E846" s="36" t="n">
        <v>1</v>
      </c>
      <c r="F846" s="36" t="n">
        <v>1</v>
      </c>
      <c r="G846" s="36" t="n">
        <v>0</v>
      </c>
      <c r="H846" s="36" t="n">
        <v>0</v>
      </c>
      <c r="I846" s="36" t="n">
        <v>0</v>
      </c>
      <c r="J846" s="36" t="n">
        <v>2</v>
      </c>
      <c r="K846" s="12" t="n">
        <v>24</v>
      </c>
    </row>
    <row r="847">
      <c r="A847" s="33" t="n">
        <v>46320.53680555556</v>
      </c>
      <c r="B847" s="33" t="n">
        <v>46320.55833333333</v>
      </c>
      <c r="C847" s="13" t="n">
        <v>46326</v>
      </c>
      <c r="D847" s="14" t="n">
        <v>0.8854166666666666</v>
      </c>
      <c r="E847" s="37" t="n">
        <v>1</v>
      </c>
      <c r="F847" s="37" t="n">
        <v>0</v>
      </c>
      <c r="G847" s="37" t="n">
        <v>0</v>
      </c>
      <c r="H847" s="37" t="n">
        <v>1</v>
      </c>
      <c r="I847" s="37" t="n">
        <v>0</v>
      </c>
      <c r="J847" s="37" t="n">
        <v>4</v>
      </c>
      <c r="K847" s="16" t="n">
        <v>48</v>
      </c>
    </row>
    <row r="848">
      <c r="A848" s="30" t="n">
        <v>46320.53680555556</v>
      </c>
      <c r="B848" s="30" t="n">
        <v>46320.55833333333</v>
      </c>
      <c r="C848" s="9" t="n">
        <v>46326</v>
      </c>
      <c r="D848" s="10" t="n">
        <v>0.9270833333333334</v>
      </c>
      <c r="E848" s="36" t="n">
        <v>2</v>
      </c>
      <c r="F848" s="36" t="n">
        <v>2</v>
      </c>
      <c r="G848" s="36" t="n">
        <v>0</v>
      </c>
      <c r="H848" s="36" t="n">
        <v>0</v>
      </c>
      <c r="I848" s="36" t="n">
        <v>0</v>
      </c>
      <c r="J848" s="36" t="n">
        <v>4</v>
      </c>
      <c r="K848" s="12" t="n">
        <v>48</v>
      </c>
    </row>
    <row r="849">
      <c r="A849" s="33" t="n">
        <v>46320.53680555556</v>
      </c>
      <c r="B849" s="33" t="n">
        <v>46320.55833333333</v>
      </c>
      <c r="C849" s="13" t="n">
        <v>46326</v>
      </c>
      <c r="D849" s="14" t="n">
        <v>0.96875</v>
      </c>
      <c r="E849" s="37" t="n">
        <v>1</v>
      </c>
      <c r="F849" s="37" t="n">
        <v>0</v>
      </c>
      <c r="G849" s="37" t="n">
        <v>1</v>
      </c>
      <c r="H849" s="37" t="n">
        <v>0</v>
      </c>
      <c r="I849" s="37" t="n">
        <v>0</v>
      </c>
      <c r="J849" s="37" t="n">
        <v>3</v>
      </c>
      <c r="K849" s="16" t="n">
        <v>36</v>
      </c>
    </row>
    <row r="850">
      <c r="A850" s="30" t="n">
        <v>46320.53680555556</v>
      </c>
      <c r="B850" s="30" t="n">
        <v>46320.55833333333</v>
      </c>
      <c r="C850" s="9" t="n">
        <v>46326</v>
      </c>
      <c r="D850" s="10" t="n">
        <v>0.9993055555555556</v>
      </c>
      <c r="E850" s="36" t="n">
        <v>1</v>
      </c>
      <c r="F850" s="36" t="n">
        <v>1</v>
      </c>
      <c r="G850" s="36" t="n">
        <v>0</v>
      </c>
      <c r="H850" s="36" t="n">
        <v>0</v>
      </c>
      <c r="I850" s="36" t="n">
        <v>0</v>
      </c>
      <c r="J850" s="36" t="n">
        <v>2</v>
      </c>
      <c r="K850" s="12" t="n">
        <v>24</v>
      </c>
    </row>
    <row r="851">
      <c r="A851" s="33" t="n">
        <v>46320.56041666667</v>
      </c>
      <c r="B851" s="33" t="n">
        <v>46320.58819444444</v>
      </c>
      <c r="C851" s="13" t="n">
        <v>46320</v>
      </c>
      <c r="D851" s="14" t="n">
        <v>0.84375</v>
      </c>
      <c r="E851" s="37" t="n">
        <v>1</v>
      </c>
      <c r="F851" s="37" t="n">
        <v>0</v>
      </c>
      <c r="G851" s="37" t="n">
        <v>0</v>
      </c>
      <c r="H851" s="37" t="n">
        <v>1</v>
      </c>
      <c r="I851" s="37" t="n">
        <v>0</v>
      </c>
      <c r="J851" s="37" t="n">
        <v>4</v>
      </c>
      <c r="K851" s="16" t="n">
        <v>48</v>
      </c>
    </row>
    <row r="852">
      <c r="A852" s="30" t="n">
        <v>46320.56041666667</v>
      </c>
      <c r="B852" s="30" t="n">
        <v>46320.58819444444</v>
      </c>
      <c r="C852" s="9" t="n">
        <v>46320</v>
      </c>
      <c r="D852" s="10" t="n">
        <v>0.8854166666666666</v>
      </c>
      <c r="E852" s="36" t="n">
        <v>3</v>
      </c>
      <c r="F852" s="36" t="n">
        <v>1</v>
      </c>
      <c r="G852" s="36" t="n">
        <v>0</v>
      </c>
      <c r="H852" s="36" t="n">
        <v>2</v>
      </c>
      <c r="I852" s="36" t="n">
        <v>0</v>
      </c>
      <c r="J852" s="36" t="n">
        <v>10</v>
      </c>
      <c r="K852" s="12" t="n">
        <v>120</v>
      </c>
    </row>
    <row r="853">
      <c r="A853" s="33" t="n">
        <v>46320.56041666667</v>
      </c>
      <c r="B853" s="33" t="n">
        <v>46320.58819444444</v>
      </c>
      <c r="C853" s="13" t="n">
        <v>46320</v>
      </c>
      <c r="D853" s="14" t="n">
        <v>0.9270833333333334</v>
      </c>
      <c r="E853" s="37" t="n">
        <v>1</v>
      </c>
      <c r="F853" s="37" t="n">
        <v>0</v>
      </c>
      <c r="G853" s="37" t="n">
        <v>0</v>
      </c>
      <c r="H853" s="37" t="n">
        <v>0</v>
      </c>
      <c r="I853" s="37" t="n">
        <v>1</v>
      </c>
      <c r="J853" s="37" t="n">
        <v>5</v>
      </c>
      <c r="K853" s="16" t="n">
        <v>60</v>
      </c>
    </row>
    <row r="854">
      <c r="A854" s="30" t="n">
        <v>46320.56041666667</v>
      </c>
      <c r="B854" s="30" t="n">
        <v>46320.58819444444</v>
      </c>
      <c r="C854" s="9" t="n">
        <v>46320</v>
      </c>
      <c r="D854" s="10" t="n">
        <v>0.96875</v>
      </c>
      <c r="E854" s="36" t="n">
        <v>3</v>
      </c>
      <c r="F854" s="36" t="n">
        <v>1</v>
      </c>
      <c r="G854" s="36" t="n">
        <v>0</v>
      </c>
      <c r="H854" s="36" t="n">
        <v>2</v>
      </c>
      <c r="I854" s="36" t="n">
        <v>0</v>
      </c>
      <c r="J854" s="36" t="n">
        <v>10</v>
      </c>
      <c r="K854" s="12" t="n">
        <v>120</v>
      </c>
    </row>
    <row r="855">
      <c r="A855" s="33" t="n">
        <v>46320.56041666667</v>
      </c>
      <c r="B855" s="33" t="n">
        <v>46320.58819444444</v>
      </c>
      <c r="C855" s="13" t="n">
        <v>46320</v>
      </c>
      <c r="D855" s="14" t="n">
        <v>0.9993055555555556</v>
      </c>
      <c r="E855" s="37" t="n">
        <v>1</v>
      </c>
      <c r="F855" s="37" t="n">
        <v>0</v>
      </c>
      <c r="G855" s="37" t="n">
        <v>0</v>
      </c>
      <c r="H855" s="37" t="n">
        <v>1</v>
      </c>
      <c r="I855" s="37" t="n">
        <v>0</v>
      </c>
      <c r="J855" s="37" t="n">
        <v>4</v>
      </c>
      <c r="K855" s="16" t="n">
        <v>48</v>
      </c>
    </row>
    <row r="856">
      <c r="A856" s="30" t="n">
        <v>46320.56041666667</v>
      </c>
      <c r="B856" s="30" t="n">
        <v>46320.58819444444</v>
      </c>
      <c r="C856" s="9" t="n">
        <v>46324</v>
      </c>
      <c r="D856" s="10" t="n">
        <v>0.9270833333333334</v>
      </c>
      <c r="E856" s="36" t="n">
        <v>1</v>
      </c>
      <c r="F856" s="36" t="n">
        <v>0</v>
      </c>
      <c r="G856" s="36" t="n">
        <v>0</v>
      </c>
      <c r="H856" s="36" t="n">
        <v>1</v>
      </c>
      <c r="I856" s="36" t="n">
        <v>0</v>
      </c>
      <c r="J856" s="36" t="n">
        <v>4</v>
      </c>
      <c r="K856" s="12" t="n">
        <v>48</v>
      </c>
    </row>
    <row r="857">
      <c r="A857" s="33" t="n">
        <v>46320.56041666667</v>
      </c>
      <c r="B857" s="33" t="n">
        <v>46320.58819444444</v>
      </c>
      <c r="C857" s="13" t="n">
        <v>46326</v>
      </c>
      <c r="D857" s="14" t="n">
        <v>0.8854166666666666</v>
      </c>
      <c r="E857" s="37" t="n">
        <v>1</v>
      </c>
      <c r="F857" s="37" t="n">
        <v>0</v>
      </c>
      <c r="G857" s="37" t="n">
        <v>0</v>
      </c>
      <c r="H857" s="37" t="n">
        <v>1</v>
      </c>
      <c r="I857" s="37" t="n">
        <v>0</v>
      </c>
      <c r="J857" s="37" t="n">
        <v>4</v>
      </c>
      <c r="K857" s="16" t="n">
        <v>48</v>
      </c>
    </row>
    <row r="858">
      <c r="A858" s="30" t="n">
        <v>46320.56041666667</v>
      </c>
      <c r="B858" s="30" t="n">
        <v>46320.58819444444</v>
      </c>
      <c r="C858" s="9" t="n">
        <v>46326</v>
      </c>
      <c r="D858" s="10" t="n">
        <v>0.9993055555555556</v>
      </c>
      <c r="E858" s="36" t="n">
        <v>2</v>
      </c>
      <c r="F858" s="36" t="n">
        <v>2</v>
      </c>
      <c r="G858" s="36" t="n">
        <v>0</v>
      </c>
      <c r="H858" s="36" t="n">
        <v>0</v>
      </c>
      <c r="I858" s="36" t="n">
        <v>0</v>
      </c>
      <c r="J858" s="36" t="n">
        <v>4</v>
      </c>
      <c r="K858" s="12" t="n">
        <v>48</v>
      </c>
    </row>
    <row r="859">
      <c r="A859" s="33" t="n">
        <v>46320.56041666667</v>
      </c>
      <c r="B859" s="33" t="n">
        <v>46320.58819444444</v>
      </c>
      <c r="C859" s="13" t="n">
        <v>46327</v>
      </c>
      <c r="D859" s="14" t="n">
        <v>0.8854166666666666</v>
      </c>
      <c r="E859" s="37" t="n">
        <v>1</v>
      </c>
      <c r="F859" s="37" t="n">
        <v>1</v>
      </c>
      <c r="G859" s="37" t="n">
        <v>0</v>
      </c>
      <c r="H859" s="37" t="n">
        <v>0</v>
      </c>
      <c r="I859" s="37" t="n">
        <v>0</v>
      </c>
      <c r="J859" s="37" t="n">
        <v>2</v>
      </c>
      <c r="K859" s="16" t="n">
        <v>24</v>
      </c>
    </row>
    <row r="860">
      <c r="A860" s="30" t="n">
        <v>46320.56041666667</v>
      </c>
      <c r="B860" s="30" t="n">
        <v>46320.58819444444</v>
      </c>
      <c r="C860" s="9" t="n">
        <v>46327</v>
      </c>
      <c r="D860" s="10" t="n">
        <v>0.9270833333333334</v>
      </c>
      <c r="E860" s="36" t="n">
        <v>1</v>
      </c>
      <c r="F860" s="36" t="n">
        <v>1</v>
      </c>
      <c r="G860" s="36" t="n">
        <v>0</v>
      </c>
      <c r="H860" s="36" t="n">
        <v>0</v>
      </c>
      <c r="I860" s="36" t="n">
        <v>0</v>
      </c>
      <c r="J860" s="36" t="n">
        <v>2</v>
      </c>
      <c r="K860" s="12" t="n">
        <v>24</v>
      </c>
    </row>
    <row r="861">
      <c r="A861" s="33" t="n">
        <v>46320.58819444444</v>
      </c>
      <c r="B861" s="33" t="n">
        <v>46320.59305555555</v>
      </c>
      <c r="C861" s="13" t="n">
        <v>46326</v>
      </c>
      <c r="D861" s="14" t="n">
        <v>0.9993055555555556</v>
      </c>
      <c r="E861" s="37" t="n">
        <v>1</v>
      </c>
      <c r="F861" s="37" t="n">
        <v>0</v>
      </c>
      <c r="G861" s="37" t="n">
        <v>0</v>
      </c>
      <c r="H861" s="37" t="n">
        <v>1</v>
      </c>
      <c r="I861" s="37" t="n">
        <v>0</v>
      </c>
      <c r="J861" s="37" t="n">
        <v>4</v>
      </c>
      <c r="K861" s="16" t="n">
        <v>48</v>
      </c>
    </row>
    <row r="862">
      <c r="A862" s="30" t="n">
        <v>46320.59305555555</v>
      </c>
      <c r="B862" s="30" t="n">
        <v>46320.60277777778</v>
      </c>
      <c r="C862" s="9" t="n">
        <v>46320</v>
      </c>
      <c r="D862" s="10" t="n">
        <v>0.8854166666666666</v>
      </c>
      <c r="E862" s="36" t="n">
        <v>2</v>
      </c>
      <c r="F862" s="36" t="n">
        <v>2</v>
      </c>
      <c r="G862" s="36" t="n">
        <v>0</v>
      </c>
      <c r="H862" s="36" t="n">
        <v>0</v>
      </c>
      <c r="I862" s="36" t="n">
        <v>0</v>
      </c>
      <c r="J862" s="36" t="n">
        <v>4</v>
      </c>
      <c r="K862" s="12" t="n">
        <v>48</v>
      </c>
    </row>
    <row r="863">
      <c r="A863" s="33" t="n">
        <v>46320.59305555555</v>
      </c>
      <c r="B863" s="33" t="n">
        <v>46320.60277777778</v>
      </c>
      <c r="C863" s="13" t="n">
        <v>46320</v>
      </c>
      <c r="D863" s="14" t="n">
        <v>0.9270833333333334</v>
      </c>
      <c r="E863" s="37" t="n">
        <v>1</v>
      </c>
      <c r="F863" s="37" t="n">
        <v>0</v>
      </c>
      <c r="G863" s="37" t="n">
        <v>0</v>
      </c>
      <c r="H863" s="37" t="n">
        <v>1</v>
      </c>
      <c r="I863" s="37" t="n">
        <v>0</v>
      </c>
      <c r="J863" s="37" t="n">
        <v>4</v>
      </c>
      <c r="K863" s="16" t="n">
        <v>48</v>
      </c>
    </row>
    <row r="864">
      <c r="A864" s="30" t="n">
        <v>46320.60277777778</v>
      </c>
      <c r="B864" s="30" t="n">
        <v>46320.62847222222</v>
      </c>
      <c r="C864" s="9" t="n">
        <v>46320</v>
      </c>
      <c r="D864" s="10" t="n">
        <v>0.84375</v>
      </c>
      <c r="E864" s="36" t="n">
        <v>5</v>
      </c>
      <c r="F864" s="36" t="n">
        <v>1</v>
      </c>
      <c r="G864" s="36" t="n">
        <v>1</v>
      </c>
      <c r="H864" s="36" t="n">
        <v>2</v>
      </c>
      <c r="I864" s="36" t="n">
        <v>1</v>
      </c>
      <c r="J864" s="36" t="n">
        <v>18</v>
      </c>
      <c r="K864" s="12" t="n">
        <v>216</v>
      </c>
    </row>
    <row r="865">
      <c r="A865" s="33" t="n">
        <v>46320.60277777778</v>
      </c>
      <c r="B865" s="33" t="n">
        <v>46320.62847222222</v>
      </c>
      <c r="C865" s="13" t="n">
        <v>46320</v>
      </c>
      <c r="D865" s="14" t="n">
        <v>0.8854166666666666</v>
      </c>
      <c r="E865" s="37" t="n">
        <v>5</v>
      </c>
      <c r="F865" s="37" t="n">
        <v>3</v>
      </c>
      <c r="G865" s="37" t="n">
        <v>0</v>
      </c>
      <c r="H865" s="37" t="n">
        <v>1</v>
      </c>
      <c r="I865" s="37" t="n">
        <v>1</v>
      </c>
      <c r="J865" s="37" t="n">
        <v>15</v>
      </c>
      <c r="K865" s="16" t="n">
        <v>180</v>
      </c>
    </row>
    <row r="866">
      <c r="A866" s="30" t="n">
        <v>46320.60277777778</v>
      </c>
      <c r="B866" s="30" t="n">
        <v>46320.62847222222</v>
      </c>
      <c r="C866" s="9" t="n">
        <v>46320</v>
      </c>
      <c r="D866" s="10" t="n">
        <v>0.9270833333333334</v>
      </c>
      <c r="E866" s="36" t="n">
        <v>8</v>
      </c>
      <c r="F866" s="36" t="n">
        <v>4</v>
      </c>
      <c r="G866" s="36" t="n">
        <v>0</v>
      </c>
      <c r="H866" s="36" t="n">
        <v>3</v>
      </c>
      <c r="I866" s="36" t="n">
        <v>1</v>
      </c>
      <c r="J866" s="36" t="n">
        <v>25</v>
      </c>
      <c r="K866" s="12" t="n">
        <v>300</v>
      </c>
    </row>
    <row r="867">
      <c r="A867" s="33" t="n">
        <v>46320.60277777778</v>
      </c>
      <c r="B867" s="33" t="n">
        <v>46320.62847222222</v>
      </c>
      <c r="C867" s="13" t="n">
        <v>46320</v>
      </c>
      <c r="D867" s="14" t="n">
        <v>0.96875</v>
      </c>
      <c r="E867" s="37" t="n">
        <v>5</v>
      </c>
      <c r="F867" s="37" t="n">
        <v>0</v>
      </c>
      <c r="G867" s="37" t="n">
        <v>1</v>
      </c>
      <c r="H867" s="37" t="n">
        <v>3</v>
      </c>
      <c r="I867" s="37" t="n">
        <v>1</v>
      </c>
      <c r="J867" s="37" t="n">
        <v>20</v>
      </c>
      <c r="K867" s="16" t="n">
        <v>240</v>
      </c>
    </row>
    <row r="868">
      <c r="A868" s="30" t="n">
        <v>46320.60277777778</v>
      </c>
      <c r="B868" s="30" t="n">
        <v>46320.62847222222</v>
      </c>
      <c r="C868" s="9" t="n">
        <v>46320</v>
      </c>
      <c r="D868" s="10" t="n">
        <v>0.9993055555555556</v>
      </c>
      <c r="E868" s="36" t="n">
        <v>2</v>
      </c>
      <c r="F868" s="36" t="n">
        <v>0</v>
      </c>
      <c r="G868" s="36" t="n">
        <v>0</v>
      </c>
      <c r="H868" s="36" t="n">
        <v>2</v>
      </c>
      <c r="I868" s="36" t="n">
        <v>0</v>
      </c>
      <c r="J868" s="36" t="n">
        <v>8</v>
      </c>
      <c r="K868" s="12" t="n">
        <v>96</v>
      </c>
    </row>
    <row r="869">
      <c r="A869" s="33" t="n">
        <v>46320.60277777778</v>
      </c>
      <c r="B869" s="33" t="n">
        <v>46320.62847222222</v>
      </c>
      <c r="C869" s="13" t="n">
        <v>46324</v>
      </c>
      <c r="D869" s="14" t="n">
        <v>0.9270833333333334</v>
      </c>
      <c r="E869" s="37" t="n">
        <v>1</v>
      </c>
      <c r="F869" s="37" t="n">
        <v>1</v>
      </c>
      <c r="G869" s="37" t="n">
        <v>0</v>
      </c>
      <c r="H869" s="37" t="n">
        <v>0</v>
      </c>
      <c r="I869" s="37" t="n">
        <v>0</v>
      </c>
      <c r="J869" s="37" t="n">
        <v>2</v>
      </c>
      <c r="K869" s="16" t="n">
        <v>24</v>
      </c>
    </row>
    <row r="870">
      <c r="A870" s="30" t="n">
        <v>46320.60277777778</v>
      </c>
      <c r="B870" s="30" t="n">
        <v>46320.62847222222</v>
      </c>
      <c r="C870" s="9" t="n">
        <v>46327</v>
      </c>
      <c r="D870" s="10" t="n">
        <v>0.8854166666666666</v>
      </c>
      <c r="E870" s="36" t="n">
        <v>1</v>
      </c>
      <c r="F870" s="36" t="n">
        <v>1</v>
      </c>
      <c r="G870" s="36" t="n">
        <v>0</v>
      </c>
      <c r="H870" s="36" t="n">
        <v>0</v>
      </c>
      <c r="I870" s="36" t="n">
        <v>0</v>
      </c>
      <c r="J870" s="36" t="n">
        <v>2</v>
      </c>
      <c r="K870" s="12" t="n">
        <v>24</v>
      </c>
    </row>
    <row r="871">
      <c r="A871" s="33" t="n">
        <v>46320.62847222222</v>
      </c>
      <c r="B871" s="33" t="n">
        <v>46320.64097222222</v>
      </c>
      <c r="C871" s="13" t="n">
        <v>46320</v>
      </c>
      <c r="D871" s="14" t="n">
        <v>0.84375</v>
      </c>
      <c r="E871" s="37" t="n">
        <v>3</v>
      </c>
      <c r="F871" s="37" t="n">
        <v>1</v>
      </c>
      <c r="G871" s="37" t="n">
        <v>0</v>
      </c>
      <c r="H871" s="37" t="n">
        <v>1</v>
      </c>
      <c r="I871" s="37" t="n">
        <v>1</v>
      </c>
      <c r="J871" s="37" t="n">
        <v>11</v>
      </c>
      <c r="K871" s="16" t="n">
        <v>132</v>
      </c>
    </row>
    <row r="872">
      <c r="A872" s="30" t="n">
        <v>46320.62847222222</v>
      </c>
      <c r="B872" s="30" t="n">
        <v>46320.64097222222</v>
      </c>
      <c r="C872" s="9" t="n">
        <v>46320</v>
      </c>
      <c r="D872" s="10" t="n">
        <v>0.8854166666666666</v>
      </c>
      <c r="E872" s="36" t="n">
        <v>3</v>
      </c>
      <c r="F872" s="36" t="n">
        <v>1</v>
      </c>
      <c r="G872" s="36" t="n">
        <v>1</v>
      </c>
      <c r="H872" s="36" t="n">
        <v>1</v>
      </c>
      <c r="I872" s="36" t="n">
        <v>0</v>
      </c>
      <c r="J872" s="36" t="n">
        <v>9</v>
      </c>
      <c r="K872" s="12" t="n">
        <v>108</v>
      </c>
    </row>
    <row r="873">
      <c r="A873" s="33" t="n">
        <v>46320.62847222222</v>
      </c>
      <c r="B873" s="33" t="n">
        <v>46320.64097222222</v>
      </c>
      <c r="C873" s="13" t="n">
        <v>46320</v>
      </c>
      <c r="D873" s="14" t="n">
        <v>0.9270833333333334</v>
      </c>
      <c r="E873" s="37" t="n">
        <v>1</v>
      </c>
      <c r="F873" s="37" t="n">
        <v>0</v>
      </c>
      <c r="G873" s="37" t="n">
        <v>0</v>
      </c>
      <c r="H873" s="37" t="n">
        <v>1</v>
      </c>
      <c r="I873" s="37" t="n">
        <v>0</v>
      </c>
      <c r="J873" s="37" t="n">
        <v>4</v>
      </c>
      <c r="K873" s="16" t="n">
        <v>48</v>
      </c>
    </row>
    <row r="874">
      <c r="A874" s="30" t="n">
        <v>46320.62847222222</v>
      </c>
      <c r="B874" s="30" t="n">
        <v>46320.64097222222</v>
      </c>
      <c r="C874" s="9" t="n">
        <v>46320</v>
      </c>
      <c r="D874" s="10" t="n">
        <v>0.96875</v>
      </c>
      <c r="E874" s="36" t="n">
        <v>2</v>
      </c>
      <c r="F874" s="36" t="n">
        <v>0</v>
      </c>
      <c r="G874" s="36" t="n">
        <v>0</v>
      </c>
      <c r="H874" s="36" t="n">
        <v>1</v>
      </c>
      <c r="I874" s="36" t="n">
        <v>1</v>
      </c>
      <c r="J874" s="36" t="n">
        <v>9</v>
      </c>
      <c r="K874" s="12" t="n">
        <v>108</v>
      </c>
    </row>
    <row r="875">
      <c r="A875" s="33" t="n">
        <v>46320.64097222222</v>
      </c>
      <c r="B875" s="33" t="n">
        <v>46320.65138888889</v>
      </c>
      <c r="C875" s="13" t="n">
        <v>46320</v>
      </c>
      <c r="D875" s="14" t="n">
        <v>0.8854166666666666</v>
      </c>
      <c r="E875" s="37" t="n">
        <v>5</v>
      </c>
      <c r="F875" s="37" t="n">
        <v>3</v>
      </c>
      <c r="G875" s="37" t="n">
        <v>0</v>
      </c>
      <c r="H875" s="37" t="n">
        <v>2</v>
      </c>
      <c r="I875" s="37" t="n">
        <v>0</v>
      </c>
      <c r="J875" s="37" t="n">
        <v>14</v>
      </c>
      <c r="K875" s="16" t="n">
        <v>168</v>
      </c>
    </row>
    <row r="876">
      <c r="A876" s="30" t="n">
        <v>46320.64097222222</v>
      </c>
      <c r="B876" s="30" t="n">
        <v>46320.65138888889</v>
      </c>
      <c r="C876" s="9" t="n">
        <v>46320</v>
      </c>
      <c r="D876" s="10" t="n">
        <v>0.9270833333333334</v>
      </c>
      <c r="E876" s="36" t="n">
        <v>1</v>
      </c>
      <c r="F876" s="36" t="n">
        <v>0</v>
      </c>
      <c r="G876" s="36" t="n">
        <v>0</v>
      </c>
      <c r="H876" s="36" t="n">
        <v>1</v>
      </c>
      <c r="I876" s="36" t="n">
        <v>0</v>
      </c>
      <c r="J876" s="36" t="n">
        <v>4</v>
      </c>
      <c r="K876" s="12" t="n">
        <v>48</v>
      </c>
    </row>
    <row r="877">
      <c r="A877" s="33" t="n">
        <v>46320.64097222222</v>
      </c>
      <c r="B877" s="33" t="n">
        <v>46320.65138888889</v>
      </c>
      <c r="C877" s="13" t="n">
        <v>46320</v>
      </c>
      <c r="D877" s="14" t="n">
        <v>0.96875</v>
      </c>
      <c r="E877" s="37" t="n">
        <v>1</v>
      </c>
      <c r="F877" s="37" t="n">
        <v>0</v>
      </c>
      <c r="G877" s="37" t="n">
        <v>0</v>
      </c>
      <c r="H877" s="37" t="n">
        <v>0</v>
      </c>
      <c r="I877" s="37" t="n">
        <v>1</v>
      </c>
      <c r="J877" s="37" t="n">
        <v>5</v>
      </c>
      <c r="K877" s="16" t="n">
        <v>60</v>
      </c>
    </row>
    <row r="878">
      <c r="A878" s="30" t="n">
        <v>46320.64097222222</v>
      </c>
      <c r="B878" s="30" t="n">
        <v>46320.65138888889</v>
      </c>
      <c r="C878" s="9" t="n">
        <v>46325</v>
      </c>
      <c r="D878" s="10" t="n">
        <v>0.9270833333333334</v>
      </c>
      <c r="E878" s="36" t="n">
        <v>1</v>
      </c>
      <c r="F878" s="36" t="n">
        <v>0</v>
      </c>
      <c r="G878" s="36" t="n">
        <v>0</v>
      </c>
      <c r="H878" s="36" t="n">
        <v>0</v>
      </c>
      <c r="I878" s="36" t="n">
        <v>1</v>
      </c>
      <c r="J878" s="36" t="n">
        <v>5</v>
      </c>
      <c r="K878" s="12" t="n">
        <v>60</v>
      </c>
    </row>
    <row r="879">
      <c r="A879" s="33" t="n">
        <v>46320.65138888889</v>
      </c>
      <c r="B879" s="33" t="n">
        <v>46320.65833333333</v>
      </c>
      <c r="C879" s="13" t="n">
        <v>46320</v>
      </c>
      <c r="D879" s="14" t="n">
        <v>0.8854166666666666</v>
      </c>
      <c r="E879" s="37" t="n">
        <v>1</v>
      </c>
      <c r="F879" s="37" t="n">
        <v>0</v>
      </c>
      <c r="G879" s="37" t="n">
        <v>1</v>
      </c>
      <c r="H879" s="37" t="n">
        <v>0</v>
      </c>
      <c r="I879" s="37" t="n">
        <v>0</v>
      </c>
      <c r="J879" s="37" t="n">
        <v>3</v>
      </c>
      <c r="K879" s="16" t="n">
        <v>36</v>
      </c>
    </row>
    <row r="880">
      <c r="A880" s="30" t="n">
        <v>46320.65138888889</v>
      </c>
      <c r="B880" s="30" t="n">
        <v>46320.65833333333</v>
      </c>
      <c r="C880" s="9" t="n">
        <v>46320</v>
      </c>
      <c r="D880" s="10" t="n">
        <v>0.9993055555555556</v>
      </c>
      <c r="E880" s="36" t="n">
        <v>1</v>
      </c>
      <c r="F880" s="36" t="n">
        <v>1</v>
      </c>
      <c r="G880" s="36" t="n">
        <v>0</v>
      </c>
      <c r="H880" s="36" t="n">
        <v>0</v>
      </c>
      <c r="I880" s="36" t="n">
        <v>0</v>
      </c>
      <c r="J880" s="36" t="n">
        <v>2</v>
      </c>
      <c r="K880" s="12" t="n">
        <v>24</v>
      </c>
    </row>
    <row r="881">
      <c r="A881" s="33" t="n">
        <v>46320.65138888889</v>
      </c>
      <c r="B881" s="33" t="n">
        <v>46320.65833333333</v>
      </c>
      <c r="C881" s="13" t="n">
        <v>46326</v>
      </c>
      <c r="D881" s="14" t="n">
        <v>0.96875</v>
      </c>
      <c r="E881" s="37" t="n">
        <v>1</v>
      </c>
      <c r="F881" s="37" t="n">
        <v>0</v>
      </c>
      <c r="G881" s="37" t="n">
        <v>0</v>
      </c>
      <c r="H881" s="37" t="n">
        <v>1</v>
      </c>
      <c r="I881" s="37" t="n">
        <v>0</v>
      </c>
      <c r="J881" s="37" t="n">
        <v>4</v>
      </c>
      <c r="K881" s="16" t="n">
        <v>48</v>
      </c>
    </row>
    <row r="882">
      <c r="A882" s="30" t="n">
        <v>46320.65833333333</v>
      </c>
      <c r="B882" s="30" t="n">
        <v>46320.66527777778</v>
      </c>
      <c r="C882" s="9" t="n">
        <v>46320</v>
      </c>
      <c r="D882" s="10" t="n">
        <v>0.84375</v>
      </c>
      <c r="E882" s="36" t="n">
        <v>3</v>
      </c>
      <c r="F882" s="36" t="n">
        <v>1</v>
      </c>
      <c r="G882" s="36" t="n">
        <v>2</v>
      </c>
      <c r="H882" s="36" t="n">
        <v>0</v>
      </c>
      <c r="I882" s="36" t="n">
        <v>0</v>
      </c>
      <c r="J882" s="36" t="n">
        <v>8</v>
      </c>
      <c r="K882" s="12" t="n">
        <v>96</v>
      </c>
    </row>
    <row r="883">
      <c r="A883" s="33" t="n">
        <v>46320.65833333333</v>
      </c>
      <c r="B883" s="33" t="n">
        <v>46320.66527777778</v>
      </c>
      <c r="C883" s="13" t="n">
        <v>46320</v>
      </c>
      <c r="D883" s="14" t="n">
        <v>0.8854166666666666</v>
      </c>
      <c r="E883" s="37" t="n">
        <v>1</v>
      </c>
      <c r="F883" s="37" t="n">
        <v>1</v>
      </c>
      <c r="G883" s="37" t="n">
        <v>0</v>
      </c>
      <c r="H883" s="37" t="n">
        <v>0</v>
      </c>
      <c r="I883" s="37" t="n">
        <v>0</v>
      </c>
      <c r="J883" s="37" t="n">
        <v>2</v>
      </c>
      <c r="K883" s="16" t="n">
        <v>24</v>
      </c>
    </row>
    <row r="884">
      <c r="A884" s="30" t="n">
        <v>46320.65833333333</v>
      </c>
      <c r="B884" s="30" t="n">
        <v>46320.66527777778</v>
      </c>
      <c r="C884" s="9" t="n">
        <v>46320</v>
      </c>
      <c r="D884" s="10" t="n">
        <v>0.96875</v>
      </c>
      <c r="E884" s="36" t="n">
        <v>2</v>
      </c>
      <c r="F884" s="36" t="n">
        <v>0</v>
      </c>
      <c r="G884" s="36" t="n">
        <v>0</v>
      </c>
      <c r="H884" s="36" t="n">
        <v>1</v>
      </c>
      <c r="I884" s="36" t="n">
        <v>1</v>
      </c>
      <c r="J884" s="36" t="n">
        <v>9</v>
      </c>
      <c r="K884" s="12" t="n">
        <v>108</v>
      </c>
    </row>
    <row r="885">
      <c r="A885" s="33" t="n">
        <v>46320.65833333333</v>
      </c>
      <c r="B885" s="33" t="n">
        <v>46320.66527777778</v>
      </c>
      <c r="C885" s="13" t="n">
        <v>46326</v>
      </c>
      <c r="D885" s="14" t="n">
        <v>0.84375</v>
      </c>
      <c r="E885" s="37" t="n">
        <v>1</v>
      </c>
      <c r="F885" s="37" t="n">
        <v>0</v>
      </c>
      <c r="G885" s="37" t="n">
        <v>1</v>
      </c>
      <c r="H885" s="37" t="n">
        <v>0</v>
      </c>
      <c r="I885" s="37" t="n">
        <v>0</v>
      </c>
      <c r="J885" s="37" t="n">
        <v>3</v>
      </c>
      <c r="K885" s="16" t="n">
        <v>36</v>
      </c>
    </row>
    <row r="886">
      <c r="A886" s="30" t="n">
        <v>46320.66597222222</v>
      </c>
      <c r="B886" s="30" t="n">
        <v>46320.67847222222</v>
      </c>
      <c r="C886" s="9" t="n">
        <v>46320</v>
      </c>
      <c r="D886" s="10" t="n">
        <v>0.84375</v>
      </c>
      <c r="E886" s="36" t="n">
        <v>3</v>
      </c>
      <c r="F886" s="36" t="n">
        <v>1</v>
      </c>
      <c r="G886" s="36" t="n">
        <v>1</v>
      </c>
      <c r="H886" s="36" t="n">
        <v>1</v>
      </c>
      <c r="I886" s="36" t="n">
        <v>0</v>
      </c>
      <c r="J886" s="36" t="n">
        <v>9</v>
      </c>
      <c r="K886" s="12" t="n">
        <v>108</v>
      </c>
    </row>
    <row r="887">
      <c r="A887" s="33" t="n">
        <v>46320.66597222222</v>
      </c>
      <c r="B887" s="33" t="n">
        <v>46320.67847222222</v>
      </c>
      <c r="C887" s="13" t="n">
        <v>46320</v>
      </c>
      <c r="D887" s="14" t="n">
        <v>0.8854166666666666</v>
      </c>
      <c r="E887" s="37" t="n">
        <v>3</v>
      </c>
      <c r="F887" s="37" t="n">
        <v>3</v>
      </c>
      <c r="G887" s="37" t="n">
        <v>0</v>
      </c>
      <c r="H887" s="37" t="n">
        <v>0</v>
      </c>
      <c r="I887" s="37" t="n">
        <v>0</v>
      </c>
      <c r="J887" s="37" t="n">
        <v>6</v>
      </c>
      <c r="K887" s="16" t="n">
        <v>72</v>
      </c>
    </row>
    <row r="888">
      <c r="A888" s="30" t="n">
        <v>46320.66597222222</v>
      </c>
      <c r="B888" s="30" t="n">
        <v>46320.67847222222</v>
      </c>
      <c r="C888" s="9" t="n">
        <v>46320</v>
      </c>
      <c r="D888" s="10" t="n">
        <v>0.96875</v>
      </c>
      <c r="E888" s="36" t="n">
        <v>1</v>
      </c>
      <c r="F888" s="36" t="n">
        <v>0</v>
      </c>
      <c r="G888" s="36" t="n">
        <v>0</v>
      </c>
      <c r="H888" s="36" t="n">
        <v>0</v>
      </c>
      <c r="I888" s="36" t="n">
        <v>1</v>
      </c>
      <c r="J888" s="36" t="n">
        <v>5</v>
      </c>
      <c r="K888" s="12" t="n">
        <v>60</v>
      </c>
    </row>
    <row r="889">
      <c r="A889" s="33" t="n">
        <v>46320.66597222222</v>
      </c>
      <c r="B889" s="33" t="n">
        <v>46320.67847222222</v>
      </c>
      <c r="C889" s="13" t="n">
        <v>46320</v>
      </c>
      <c r="D889" s="14" t="n">
        <v>0.9993055555555556</v>
      </c>
      <c r="E889" s="37" t="n">
        <v>2</v>
      </c>
      <c r="F889" s="37" t="n">
        <v>0</v>
      </c>
      <c r="G889" s="37" t="n">
        <v>0</v>
      </c>
      <c r="H889" s="37" t="n">
        <v>2</v>
      </c>
      <c r="I889" s="37" t="n">
        <v>0</v>
      </c>
      <c r="J889" s="37" t="n">
        <v>8</v>
      </c>
      <c r="K889" s="16" t="n">
        <v>96</v>
      </c>
    </row>
    <row r="890">
      <c r="A890" s="30" t="n">
        <v>46320.66597222222</v>
      </c>
      <c r="B890" s="30" t="n">
        <v>46320.67847222222</v>
      </c>
      <c r="C890" s="9" t="n">
        <v>46324</v>
      </c>
      <c r="D890" s="10" t="n">
        <v>0.84375</v>
      </c>
      <c r="E890" s="36" t="n">
        <v>1</v>
      </c>
      <c r="F890" s="36" t="n">
        <v>0</v>
      </c>
      <c r="G890" s="36" t="n">
        <v>0</v>
      </c>
      <c r="H890" s="36" t="n">
        <v>1</v>
      </c>
      <c r="I890" s="36" t="n">
        <v>0</v>
      </c>
      <c r="J890" s="36" t="n">
        <v>4</v>
      </c>
      <c r="K890" s="12" t="n">
        <v>48</v>
      </c>
    </row>
    <row r="891">
      <c r="A891" s="33" t="n">
        <v>46320.66597222222</v>
      </c>
      <c r="B891" s="33" t="n">
        <v>46320.67847222222</v>
      </c>
      <c r="C891" s="13" t="n">
        <v>46326</v>
      </c>
      <c r="D891" s="14" t="n">
        <v>0.9993055555555556</v>
      </c>
      <c r="E891" s="37" t="n">
        <v>1</v>
      </c>
      <c r="F891" s="37" t="n">
        <v>0</v>
      </c>
      <c r="G891" s="37" t="n">
        <v>0</v>
      </c>
      <c r="H891" s="37" t="n">
        <v>1</v>
      </c>
      <c r="I891" s="37" t="n">
        <v>0</v>
      </c>
      <c r="J891" s="37" t="n">
        <v>4</v>
      </c>
      <c r="K891" s="16" t="n">
        <v>48</v>
      </c>
    </row>
    <row r="892">
      <c r="A892" s="30" t="n">
        <v>46320.67847222222</v>
      </c>
      <c r="B892" s="30" t="n">
        <v>46320.68263888889</v>
      </c>
      <c r="C892" s="9" t="n">
        <v>46320</v>
      </c>
      <c r="D892" s="10" t="n">
        <v>0.9270833333333334</v>
      </c>
      <c r="E892" s="36" t="n">
        <v>2</v>
      </c>
      <c r="F892" s="36" t="n">
        <v>1</v>
      </c>
      <c r="G892" s="36" t="n">
        <v>0</v>
      </c>
      <c r="H892" s="36" t="n">
        <v>1</v>
      </c>
      <c r="I892" s="36" t="n">
        <v>0</v>
      </c>
      <c r="J892" s="36" t="n">
        <v>6</v>
      </c>
      <c r="K892" s="12" t="n">
        <v>72</v>
      </c>
    </row>
    <row r="893">
      <c r="A893" s="33" t="n">
        <v>46320.67847222222</v>
      </c>
      <c r="B893" s="33" t="n">
        <v>46320.68263888889</v>
      </c>
      <c r="C893" s="13" t="n">
        <v>46327</v>
      </c>
      <c r="D893" s="14" t="n">
        <v>0.8854166666666666</v>
      </c>
      <c r="E893" s="37" t="n">
        <v>1</v>
      </c>
      <c r="F893" s="37" t="n">
        <v>1</v>
      </c>
      <c r="G893" s="37" t="n">
        <v>0</v>
      </c>
      <c r="H893" s="37" t="n">
        <v>0</v>
      </c>
      <c r="I893" s="37" t="n">
        <v>0</v>
      </c>
      <c r="J893" s="37" t="n">
        <v>2</v>
      </c>
      <c r="K893" s="16" t="n">
        <v>24</v>
      </c>
    </row>
    <row r="894">
      <c r="A894" s="30" t="n">
        <v>46320.68263888889</v>
      </c>
      <c r="B894" s="30" t="n">
        <v>46320.68402777778</v>
      </c>
      <c r="C894" s="9" t="n">
        <v>46320</v>
      </c>
      <c r="D894" s="10" t="n">
        <v>0.84375</v>
      </c>
      <c r="E894" s="36" t="n">
        <v>1</v>
      </c>
      <c r="F894" s="36" t="n">
        <v>0</v>
      </c>
      <c r="G894" s="36" t="n">
        <v>1</v>
      </c>
      <c r="H894" s="36" t="n">
        <v>0</v>
      </c>
      <c r="I894" s="36" t="n">
        <v>0</v>
      </c>
      <c r="J894" s="36" t="n">
        <v>3</v>
      </c>
      <c r="K894" s="12" t="n">
        <v>36</v>
      </c>
    </row>
    <row r="895">
      <c r="A895" s="33" t="n">
        <v>46320.68402777778</v>
      </c>
      <c r="B895" s="33" t="n">
        <v>46320.70347222222</v>
      </c>
      <c r="C895" s="13" t="n">
        <v>46320</v>
      </c>
      <c r="D895" s="14" t="n">
        <v>0.84375</v>
      </c>
      <c r="E895" s="37" t="n">
        <v>1</v>
      </c>
      <c r="F895" s="37" t="n">
        <v>1</v>
      </c>
      <c r="G895" s="37" t="n">
        <v>0</v>
      </c>
      <c r="H895" s="37" t="n">
        <v>0</v>
      </c>
      <c r="I895" s="37" t="n">
        <v>0</v>
      </c>
      <c r="J895" s="37" t="n">
        <v>2</v>
      </c>
      <c r="K895" s="16" t="n">
        <v>24</v>
      </c>
    </row>
    <row r="896">
      <c r="A896" s="30" t="n">
        <v>46320.68402777778</v>
      </c>
      <c r="B896" s="30" t="n">
        <v>46320.70347222222</v>
      </c>
      <c r="C896" s="9" t="n">
        <v>46320</v>
      </c>
      <c r="D896" s="10" t="n">
        <v>0.8854166666666666</v>
      </c>
      <c r="E896" s="36" t="n">
        <v>1</v>
      </c>
      <c r="F896" s="36" t="n">
        <v>0</v>
      </c>
      <c r="G896" s="36" t="n">
        <v>0</v>
      </c>
      <c r="H896" s="36" t="n">
        <v>0</v>
      </c>
      <c r="I896" s="36" t="n">
        <v>1</v>
      </c>
      <c r="J896" s="36" t="n">
        <v>5</v>
      </c>
      <c r="K896" s="12" t="n">
        <v>60</v>
      </c>
    </row>
    <row r="897">
      <c r="A897" s="33" t="n">
        <v>46320.68402777778</v>
      </c>
      <c r="B897" s="33" t="n">
        <v>46320.70347222222</v>
      </c>
      <c r="C897" s="13" t="n">
        <v>46320</v>
      </c>
      <c r="D897" s="14" t="n">
        <v>0.9270833333333334</v>
      </c>
      <c r="E897" s="37" t="n">
        <v>7</v>
      </c>
      <c r="F897" s="37" t="n">
        <v>4</v>
      </c>
      <c r="G897" s="37" t="n">
        <v>0</v>
      </c>
      <c r="H897" s="37" t="n">
        <v>3</v>
      </c>
      <c r="I897" s="37" t="n">
        <v>0</v>
      </c>
      <c r="J897" s="37" t="n">
        <v>20</v>
      </c>
      <c r="K897" s="16" t="n">
        <v>240</v>
      </c>
    </row>
    <row r="898">
      <c r="A898" s="30" t="n">
        <v>46320.68402777778</v>
      </c>
      <c r="B898" s="30" t="n">
        <v>46320.70347222222</v>
      </c>
      <c r="C898" s="9" t="n">
        <v>46320</v>
      </c>
      <c r="D898" s="10" t="n">
        <v>0.96875</v>
      </c>
      <c r="E898" s="36" t="n">
        <v>3</v>
      </c>
      <c r="F898" s="36" t="n">
        <v>0</v>
      </c>
      <c r="G898" s="36" t="n">
        <v>0</v>
      </c>
      <c r="H898" s="36" t="n">
        <v>2</v>
      </c>
      <c r="I898" s="36" t="n">
        <v>1</v>
      </c>
      <c r="J898" s="36" t="n">
        <v>13</v>
      </c>
      <c r="K898" s="12" t="n">
        <v>156</v>
      </c>
    </row>
    <row r="899">
      <c r="A899" s="33" t="n">
        <v>46320.68402777778</v>
      </c>
      <c r="B899" s="33" t="n">
        <v>46320.70347222222</v>
      </c>
      <c r="C899" s="13" t="n">
        <v>46320</v>
      </c>
      <c r="D899" s="14" t="n">
        <v>0.9993055555555556</v>
      </c>
      <c r="E899" s="37" t="n">
        <v>7</v>
      </c>
      <c r="F899" s="37" t="n">
        <v>2</v>
      </c>
      <c r="G899" s="37" t="n">
        <v>4</v>
      </c>
      <c r="H899" s="37" t="n">
        <v>1</v>
      </c>
      <c r="I899" s="37" t="n">
        <v>0</v>
      </c>
      <c r="J899" s="37" t="n">
        <v>20</v>
      </c>
      <c r="K899" s="16" t="n">
        <v>240</v>
      </c>
    </row>
    <row r="900">
      <c r="A900" s="30" t="n">
        <v>46320.68402777778</v>
      </c>
      <c r="B900" s="30" t="n">
        <v>46320.70347222222</v>
      </c>
      <c r="C900" s="9" t="n">
        <v>46325</v>
      </c>
      <c r="D900" s="10" t="n">
        <v>0.8854166666666666</v>
      </c>
      <c r="E900" s="36" t="n">
        <v>1</v>
      </c>
      <c r="F900" s="36" t="n">
        <v>1</v>
      </c>
      <c r="G900" s="36" t="n">
        <v>0</v>
      </c>
      <c r="H900" s="36" t="n">
        <v>0</v>
      </c>
      <c r="I900" s="36" t="n">
        <v>0</v>
      </c>
      <c r="J900" s="36" t="n">
        <v>2</v>
      </c>
      <c r="K900" s="12" t="n">
        <v>24</v>
      </c>
    </row>
    <row r="901">
      <c r="A901" s="33" t="n">
        <v>46320.68402777778</v>
      </c>
      <c r="B901" s="33" t="n">
        <v>46320.70347222222</v>
      </c>
      <c r="C901" s="13" t="n">
        <v>46326</v>
      </c>
      <c r="D901" s="14" t="n">
        <v>0.9270833333333334</v>
      </c>
      <c r="E901" s="37" t="n">
        <v>1</v>
      </c>
      <c r="F901" s="37" t="n">
        <v>1</v>
      </c>
      <c r="G901" s="37" t="n">
        <v>0</v>
      </c>
      <c r="H901" s="37" t="n">
        <v>0</v>
      </c>
      <c r="I901" s="37" t="n">
        <v>0</v>
      </c>
      <c r="J901" s="37" t="n">
        <v>2</v>
      </c>
      <c r="K901" s="16" t="n">
        <v>24</v>
      </c>
    </row>
    <row r="902">
      <c r="A902" s="30" t="n">
        <v>46320.70347222222</v>
      </c>
      <c r="B902" s="30" t="n">
        <v>46320.71388888889</v>
      </c>
      <c r="C902" s="9" t="n">
        <v>46320</v>
      </c>
      <c r="D902" s="10" t="n">
        <v>0.84375</v>
      </c>
      <c r="E902" s="36" t="n">
        <v>1</v>
      </c>
      <c r="F902" s="36" t="n">
        <v>0</v>
      </c>
      <c r="G902" s="36" t="n">
        <v>0</v>
      </c>
      <c r="H902" s="36" t="n">
        <v>1</v>
      </c>
      <c r="I902" s="36" t="n">
        <v>0</v>
      </c>
      <c r="J902" s="36" t="n">
        <v>4</v>
      </c>
      <c r="K902" s="12" t="n">
        <v>48</v>
      </c>
    </row>
    <row r="903">
      <c r="A903" s="33" t="n">
        <v>46320.70347222222</v>
      </c>
      <c r="B903" s="33" t="n">
        <v>46320.71388888889</v>
      </c>
      <c r="C903" s="13" t="n">
        <v>46320</v>
      </c>
      <c r="D903" s="14" t="n">
        <v>0.8854166666666666</v>
      </c>
      <c r="E903" s="37" t="n">
        <v>1</v>
      </c>
      <c r="F903" s="37" t="n">
        <v>1</v>
      </c>
      <c r="G903" s="37" t="n">
        <v>0</v>
      </c>
      <c r="H903" s="37" t="n">
        <v>0</v>
      </c>
      <c r="I903" s="37" t="n">
        <v>0</v>
      </c>
      <c r="J903" s="37" t="n">
        <v>2</v>
      </c>
      <c r="K903" s="16" t="n">
        <v>24</v>
      </c>
    </row>
    <row r="904">
      <c r="A904" s="30" t="n">
        <v>46320.70347222222</v>
      </c>
      <c r="B904" s="30" t="n">
        <v>46320.71388888889</v>
      </c>
      <c r="C904" s="9" t="n">
        <v>46320</v>
      </c>
      <c r="D904" s="10" t="n">
        <v>0.9270833333333334</v>
      </c>
      <c r="E904" s="36" t="n">
        <v>2</v>
      </c>
      <c r="F904" s="36" t="n">
        <v>2</v>
      </c>
      <c r="G904" s="36" t="n">
        <v>0</v>
      </c>
      <c r="H904" s="36" t="n">
        <v>0</v>
      </c>
      <c r="I904" s="36" t="n">
        <v>0</v>
      </c>
      <c r="J904" s="36" t="n">
        <v>4</v>
      </c>
      <c r="K904" s="12" t="n">
        <v>48</v>
      </c>
    </row>
    <row r="905">
      <c r="A905" s="33" t="n">
        <v>46320.70347222222</v>
      </c>
      <c r="B905" s="33" t="n">
        <v>46320.71388888889</v>
      </c>
      <c r="C905" s="13" t="n">
        <v>46320</v>
      </c>
      <c r="D905" s="14" t="n">
        <v>0.96875</v>
      </c>
      <c r="E905" s="37" t="n">
        <v>1</v>
      </c>
      <c r="F905" s="37" t="n">
        <v>0</v>
      </c>
      <c r="G905" s="37" t="n">
        <v>0</v>
      </c>
      <c r="H905" s="37" t="n">
        <v>1</v>
      </c>
      <c r="I905" s="37" t="n">
        <v>0</v>
      </c>
      <c r="J905" s="37" t="n">
        <v>4</v>
      </c>
      <c r="K905" s="16" t="n">
        <v>48</v>
      </c>
    </row>
    <row r="906">
      <c r="A906" s="30" t="n">
        <v>46320.70347222222</v>
      </c>
      <c r="B906" s="30" t="n">
        <v>46320.71388888889</v>
      </c>
      <c r="C906" s="9" t="n">
        <v>46326</v>
      </c>
      <c r="D906" s="10" t="n">
        <v>0.9270833333333334</v>
      </c>
      <c r="E906" s="36" t="n">
        <v>1</v>
      </c>
      <c r="F906" s="36" t="n">
        <v>0</v>
      </c>
      <c r="G906" s="36" t="n">
        <v>0</v>
      </c>
      <c r="H906" s="36" t="n">
        <v>1</v>
      </c>
      <c r="I906" s="36" t="n">
        <v>0</v>
      </c>
      <c r="J906" s="36" t="n">
        <v>4</v>
      </c>
      <c r="K906" s="12" t="n">
        <v>48</v>
      </c>
    </row>
    <row r="907">
      <c r="A907" s="33" t="n">
        <v>46320.71388888889</v>
      </c>
      <c r="B907" s="33" t="n">
        <v>46320.71875</v>
      </c>
      <c r="C907" s="13" t="n">
        <v>46320</v>
      </c>
      <c r="D907" s="14" t="n">
        <v>0.84375</v>
      </c>
      <c r="E907" s="37" t="n">
        <v>1</v>
      </c>
      <c r="F907" s="37" t="n">
        <v>1</v>
      </c>
      <c r="G907" s="37" t="n">
        <v>0</v>
      </c>
      <c r="H907" s="37" t="n">
        <v>0</v>
      </c>
      <c r="I907" s="37" t="n">
        <v>0</v>
      </c>
      <c r="J907" s="37" t="n">
        <v>2</v>
      </c>
      <c r="K907" s="16" t="n">
        <v>24</v>
      </c>
    </row>
    <row r="908">
      <c r="A908" s="30" t="n">
        <v>46320.71388888889</v>
      </c>
      <c r="B908" s="30" t="n">
        <v>46320.71875</v>
      </c>
      <c r="C908" s="9" t="n">
        <v>46320</v>
      </c>
      <c r="D908" s="10" t="n">
        <v>0.9270833333333334</v>
      </c>
      <c r="E908" s="36" t="n">
        <v>1</v>
      </c>
      <c r="F908" s="36" t="n">
        <v>0</v>
      </c>
      <c r="G908" s="36" t="n">
        <v>0</v>
      </c>
      <c r="H908" s="36" t="n">
        <v>1</v>
      </c>
      <c r="I908" s="36" t="n">
        <v>0</v>
      </c>
      <c r="J908" s="36" t="n">
        <v>4</v>
      </c>
      <c r="K908" s="12" t="n">
        <v>48</v>
      </c>
    </row>
    <row r="909">
      <c r="A909" s="33" t="n">
        <v>46320.71388888889</v>
      </c>
      <c r="B909" s="33" t="n">
        <v>46320.71875</v>
      </c>
      <c r="C909" s="13" t="n">
        <v>46325</v>
      </c>
      <c r="D909" s="14" t="n">
        <v>0.8854166666666666</v>
      </c>
      <c r="E909" s="37" t="n">
        <v>1</v>
      </c>
      <c r="F909" s="37" t="n">
        <v>1</v>
      </c>
      <c r="G909" s="37" t="n">
        <v>0</v>
      </c>
      <c r="H909" s="37" t="n">
        <v>0</v>
      </c>
      <c r="I909" s="37" t="n">
        <v>0</v>
      </c>
      <c r="J909" s="37" t="n">
        <v>2</v>
      </c>
      <c r="K909" s="16" t="n">
        <v>24</v>
      </c>
    </row>
    <row r="910">
      <c r="A910" s="30" t="n">
        <v>46320.71875</v>
      </c>
      <c r="B910" s="30" t="n">
        <v>46320.725</v>
      </c>
      <c r="C910" s="9" t="n">
        <v>46320</v>
      </c>
      <c r="D910" s="10" t="n">
        <v>0.84375</v>
      </c>
      <c r="E910" s="36" t="n">
        <v>2</v>
      </c>
      <c r="F910" s="36" t="n">
        <v>1</v>
      </c>
      <c r="G910" s="36" t="n">
        <v>0</v>
      </c>
      <c r="H910" s="36" t="n">
        <v>1</v>
      </c>
      <c r="I910" s="36" t="n">
        <v>0</v>
      </c>
      <c r="J910" s="36" t="n">
        <v>6</v>
      </c>
      <c r="K910" s="12" t="n">
        <v>72</v>
      </c>
    </row>
    <row r="911">
      <c r="A911" s="33" t="n">
        <v>46320.71875</v>
      </c>
      <c r="B911" s="33" t="n">
        <v>46320.725</v>
      </c>
      <c r="C911" s="13" t="n">
        <v>46320</v>
      </c>
      <c r="D911" s="14" t="n">
        <v>0.9270833333333334</v>
      </c>
      <c r="E911" s="37" t="n">
        <v>5</v>
      </c>
      <c r="F911" s="37" t="n">
        <v>3</v>
      </c>
      <c r="G911" s="37" t="n">
        <v>0</v>
      </c>
      <c r="H911" s="37" t="n">
        <v>1</v>
      </c>
      <c r="I911" s="37" t="n">
        <v>1</v>
      </c>
      <c r="J911" s="37" t="n">
        <v>15</v>
      </c>
      <c r="K911" s="16" t="n">
        <v>180</v>
      </c>
    </row>
    <row r="912">
      <c r="A912" s="30" t="n">
        <v>46320.71875</v>
      </c>
      <c r="B912" s="30" t="n">
        <v>46320.725</v>
      </c>
      <c r="C912" s="9" t="n">
        <v>46320</v>
      </c>
      <c r="D912" s="10" t="n">
        <v>0.96875</v>
      </c>
      <c r="E912" s="36" t="n">
        <v>1</v>
      </c>
      <c r="F912" s="36" t="n">
        <v>1</v>
      </c>
      <c r="G912" s="36" t="n">
        <v>0</v>
      </c>
      <c r="H912" s="36" t="n">
        <v>0</v>
      </c>
      <c r="I912" s="36" t="n">
        <v>0</v>
      </c>
      <c r="J912" s="36" t="n">
        <v>2</v>
      </c>
      <c r="K912" s="12" t="n">
        <v>24</v>
      </c>
    </row>
    <row r="913">
      <c r="A913" s="33" t="n">
        <v>46320.71875</v>
      </c>
      <c r="B913" s="33" t="n">
        <v>46320.725</v>
      </c>
      <c r="C913" s="13" t="n">
        <v>46320</v>
      </c>
      <c r="D913" s="14" t="n">
        <v>0.9993055555555556</v>
      </c>
      <c r="E913" s="37" t="n">
        <v>-2</v>
      </c>
      <c r="F913" s="37" t="n">
        <v>0</v>
      </c>
      <c r="G913" s="37" t="n">
        <v>-2</v>
      </c>
      <c r="H913" s="37" t="n">
        <v>0</v>
      </c>
      <c r="I913" s="37" t="n">
        <v>0</v>
      </c>
      <c r="J913" s="37" t="n">
        <v>-6</v>
      </c>
      <c r="K913" s="16" t="n">
        <v>-72</v>
      </c>
    </row>
    <row r="914">
      <c r="A914" s="30" t="n">
        <v>46320.725</v>
      </c>
      <c r="B914" s="30" t="n">
        <v>46320.72847222222</v>
      </c>
      <c r="C914" s="9" t="n">
        <v>46320</v>
      </c>
      <c r="D914" s="10" t="n">
        <v>0.9270833333333334</v>
      </c>
      <c r="E914" s="36" t="n">
        <v>1</v>
      </c>
      <c r="F914" s="36" t="n">
        <v>1</v>
      </c>
      <c r="G914" s="36" t="n">
        <v>0</v>
      </c>
      <c r="H914" s="36" t="n">
        <v>0</v>
      </c>
      <c r="I914" s="36" t="n">
        <v>0</v>
      </c>
      <c r="J914" s="36" t="n">
        <v>2</v>
      </c>
      <c r="K914" s="12" t="n">
        <v>24</v>
      </c>
    </row>
    <row r="915">
      <c r="A915" s="33" t="n">
        <v>46320.72847222222</v>
      </c>
      <c r="B915" s="33" t="n">
        <v>46320.73125</v>
      </c>
      <c r="C915" s="13" t="n">
        <v>46320</v>
      </c>
      <c r="D915" s="14" t="n">
        <v>0.84375</v>
      </c>
      <c r="E915" s="37" t="n">
        <v>2</v>
      </c>
      <c r="F915" s="37" t="n">
        <v>1</v>
      </c>
      <c r="G915" s="37" t="n">
        <v>0</v>
      </c>
      <c r="H915" s="37" t="n">
        <v>1</v>
      </c>
      <c r="I915" s="37" t="n">
        <v>0</v>
      </c>
      <c r="J915" s="37" t="n">
        <v>6</v>
      </c>
      <c r="K915" s="16" t="n">
        <v>72</v>
      </c>
    </row>
    <row r="916">
      <c r="A916" s="30" t="n">
        <v>46320.72847222222</v>
      </c>
      <c r="B916" s="30" t="n">
        <v>46320.73125</v>
      </c>
      <c r="C916" s="9" t="n">
        <v>46320</v>
      </c>
      <c r="D916" s="10" t="n">
        <v>0.9993055555555556</v>
      </c>
      <c r="E916" s="36" t="n">
        <v>1</v>
      </c>
      <c r="F916" s="36" t="n">
        <v>1</v>
      </c>
      <c r="G916" s="36" t="n">
        <v>0</v>
      </c>
      <c r="H916" s="36" t="n">
        <v>0</v>
      </c>
      <c r="I916" s="36" t="n">
        <v>0</v>
      </c>
      <c r="J916" s="36" t="n">
        <v>2</v>
      </c>
      <c r="K916" s="12" t="n">
        <v>24</v>
      </c>
    </row>
    <row r="917">
      <c r="A917" s="33" t="n">
        <v>46320.73125</v>
      </c>
      <c r="B917" s="33" t="n">
        <v>46320.74027777778</v>
      </c>
      <c r="C917" s="13" t="n">
        <v>46320</v>
      </c>
      <c r="D917" s="14" t="n">
        <v>0.84375</v>
      </c>
      <c r="E917" s="37" t="n">
        <v>4</v>
      </c>
      <c r="F917" s="37" t="n">
        <v>2</v>
      </c>
      <c r="G917" s="37" t="n">
        <v>0</v>
      </c>
      <c r="H917" s="37" t="n">
        <v>2</v>
      </c>
      <c r="I917" s="37" t="n">
        <v>0</v>
      </c>
      <c r="J917" s="37" t="n">
        <v>12</v>
      </c>
      <c r="K917" s="16" t="n">
        <v>144</v>
      </c>
    </row>
    <row r="918">
      <c r="A918" s="30" t="n">
        <v>46320.73125</v>
      </c>
      <c r="B918" s="30" t="n">
        <v>46320.74027777778</v>
      </c>
      <c r="C918" s="9" t="n">
        <v>46320</v>
      </c>
      <c r="D918" s="10" t="n">
        <v>0.8854166666666666</v>
      </c>
      <c r="E918" s="36" t="n">
        <v>1</v>
      </c>
      <c r="F918" s="36" t="n">
        <v>1</v>
      </c>
      <c r="G918" s="36" t="n">
        <v>0</v>
      </c>
      <c r="H918" s="36" t="n">
        <v>0</v>
      </c>
      <c r="I918" s="36" t="n">
        <v>0</v>
      </c>
      <c r="J918" s="36" t="n">
        <v>2</v>
      </c>
      <c r="K918" s="12" t="n">
        <v>24</v>
      </c>
    </row>
    <row r="919">
      <c r="A919" s="33" t="n">
        <v>46320.73125</v>
      </c>
      <c r="B919" s="33" t="n">
        <v>46320.74027777778</v>
      </c>
      <c r="C919" s="13" t="n">
        <v>46320</v>
      </c>
      <c r="D919" s="14" t="n">
        <v>0.96875</v>
      </c>
      <c r="E919" s="37" t="n">
        <v>6</v>
      </c>
      <c r="F919" s="37" t="n">
        <v>3</v>
      </c>
      <c r="G919" s="37" t="n">
        <v>2</v>
      </c>
      <c r="H919" s="37" t="n">
        <v>1</v>
      </c>
      <c r="I919" s="37" t="n">
        <v>0</v>
      </c>
      <c r="J919" s="37" t="n">
        <v>16</v>
      </c>
      <c r="K919" s="16" t="n">
        <v>192</v>
      </c>
    </row>
    <row r="920">
      <c r="A920" s="30" t="n">
        <v>46320.73125</v>
      </c>
      <c r="B920" s="30" t="n">
        <v>46320.74027777778</v>
      </c>
      <c r="C920" s="9" t="n">
        <v>46324</v>
      </c>
      <c r="D920" s="10" t="n">
        <v>0.9270833333333334</v>
      </c>
      <c r="E920" s="36" t="n">
        <v>1</v>
      </c>
      <c r="F920" s="36" t="n">
        <v>1</v>
      </c>
      <c r="G920" s="36" t="n">
        <v>0</v>
      </c>
      <c r="H920" s="36" t="n">
        <v>0</v>
      </c>
      <c r="I920" s="36" t="n">
        <v>0</v>
      </c>
      <c r="J920" s="36" t="n">
        <v>2</v>
      </c>
      <c r="K920" s="12" t="n">
        <v>24</v>
      </c>
    </row>
    <row r="921">
      <c r="A921" s="33" t="n">
        <v>46320.73125</v>
      </c>
      <c r="B921" s="33" t="n">
        <v>46320.74027777778</v>
      </c>
      <c r="C921" s="13" t="n">
        <v>46326</v>
      </c>
      <c r="D921" s="14" t="n">
        <v>0.9270833333333334</v>
      </c>
      <c r="E921" s="37" t="n">
        <v>1</v>
      </c>
      <c r="F921" s="37" t="n">
        <v>0</v>
      </c>
      <c r="G921" s="37" t="n">
        <v>0</v>
      </c>
      <c r="H921" s="37" t="n">
        <v>1</v>
      </c>
      <c r="I921" s="37" t="n">
        <v>0</v>
      </c>
      <c r="J921" s="37" t="n">
        <v>4</v>
      </c>
      <c r="K921" s="16" t="n">
        <v>48</v>
      </c>
    </row>
    <row r="922">
      <c r="A922" s="30" t="n">
        <v>46320.74027777778</v>
      </c>
      <c r="B922" s="30" t="n">
        <v>46320.75416666667</v>
      </c>
      <c r="C922" s="9" t="n">
        <v>46320</v>
      </c>
      <c r="D922" s="10" t="n">
        <v>0.9270833333333334</v>
      </c>
      <c r="E922" s="36" t="n">
        <v>1</v>
      </c>
      <c r="F922" s="36" t="n">
        <v>0</v>
      </c>
      <c r="G922" s="36" t="n">
        <v>0</v>
      </c>
      <c r="H922" s="36" t="n">
        <v>1</v>
      </c>
      <c r="I922" s="36" t="n">
        <v>0</v>
      </c>
      <c r="J922" s="36" t="n">
        <v>4</v>
      </c>
      <c r="K922" s="12" t="n">
        <v>48</v>
      </c>
    </row>
    <row r="923">
      <c r="A923" s="33" t="n">
        <v>46320.74027777778</v>
      </c>
      <c r="B923" s="33" t="n">
        <v>46320.75416666667</v>
      </c>
      <c r="C923" s="13" t="n">
        <v>46320</v>
      </c>
      <c r="D923" s="14" t="n">
        <v>0.96875</v>
      </c>
      <c r="E923" s="37" t="n">
        <v>4</v>
      </c>
      <c r="F923" s="37" t="n">
        <v>3</v>
      </c>
      <c r="G923" s="37" t="n">
        <v>0</v>
      </c>
      <c r="H923" s="37" t="n">
        <v>0</v>
      </c>
      <c r="I923" s="37" t="n">
        <v>1</v>
      </c>
      <c r="J923" s="37" t="n">
        <v>11</v>
      </c>
      <c r="K923" s="16" t="n">
        <v>132</v>
      </c>
    </row>
    <row r="924">
      <c r="A924" s="30" t="n">
        <v>46320.74027777778</v>
      </c>
      <c r="B924" s="30" t="n">
        <v>46320.75416666667</v>
      </c>
      <c r="C924" s="9" t="n">
        <v>46320</v>
      </c>
      <c r="D924" s="10" t="n">
        <v>0.9993055555555556</v>
      </c>
      <c r="E924" s="36" t="n">
        <v>1</v>
      </c>
      <c r="F924" s="36" t="n">
        <v>0</v>
      </c>
      <c r="G924" s="36" t="n">
        <v>0</v>
      </c>
      <c r="H924" s="36" t="n">
        <v>1</v>
      </c>
      <c r="I924" s="36" t="n">
        <v>0</v>
      </c>
      <c r="J924" s="36" t="n">
        <v>4</v>
      </c>
      <c r="K924" s="12" t="n">
        <v>48</v>
      </c>
    </row>
    <row r="925">
      <c r="A925" s="33" t="n">
        <v>46320.74027777778</v>
      </c>
      <c r="B925" s="33" t="n">
        <v>46320.75416666667</v>
      </c>
      <c r="C925" s="13" t="n">
        <v>46326</v>
      </c>
      <c r="D925" s="14" t="n">
        <v>0.9270833333333334</v>
      </c>
      <c r="E925" s="37" t="n">
        <v>2</v>
      </c>
      <c r="F925" s="37" t="n">
        <v>2</v>
      </c>
      <c r="G925" s="37" t="n">
        <v>0</v>
      </c>
      <c r="H925" s="37" t="n">
        <v>0</v>
      </c>
      <c r="I925" s="37" t="n">
        <v>0</v>
      </c>
      <c r="J925" s="37" t="n">
        <v>4</v>
      </c>
      <c r="K925" s="16" t="n">
        <v>48</v>
      </c>
    </row>
    <row r="926">
      <c r="A926" s="30" t="n">
        <v>46320.75416666667</v>
      </c>
      <c r="B926" s="30" t="n">
        <v>46320.76527777778</v>
      </c>
      <c r="C926" s="9" t="n">
        <v>46320</v>
      </c>
      <c r="D926" s="10" t="n">
        <v>0.84375</v>
      </c>
      <c r="E926" s="36" t="n">
        <v>5</v>
      </c>
      <c r="F926" s="36" t="n">
        <v>3</v>
      </c>
      <c r="G926" s="36" t="n">
        <v>0</v>
      </c>
      <c r="H926" s="36" t="n">
        <v>1</v>
      </c>
      <c r="I926" s="36" t="n">
        <v>1</v>
      </c>
      <c r="J926" s="36" t="n">
        <v>15</v>
      </c>
      <c r="K926" s="12" t="n">
        <v>180</v>
      </c>
    </row>
    <row r="927">
      <c r="A927" s="33" t="n">
        <v>46320.75416666667</v>
      </c>
      <c r="B927" s="33" t="n">
        <v>46320.76527777778</v>
      </c>
      <c r="C927" s="13" t="n">
        <v>46320</v>
      </c>
      <c r="D927" s="14" t="n">
        <v>0.9270833333333334</v>
      </c>
      <c r="E927" s="37" t="n">
        <v>3</v>
      </c>
      <c r="F927" s="37" t="n">
        <v>2</v>
      </c>
      <c r="G927" s="37" t="n">
        <v>1</v>
      </c>
      <c r="H927" s="37" t="n">
        <v>0</v>
      </c>
      <c r="I927" s="37" t="n">
        <v>0</v>
      </c>
      <c r="J927" s="37" t="n">
        <v>7</v>
      </c>
      <c r="K927" s="16" t="n">
        <v>84</v>
      </c>
    </row>
    <row r="928">
      <c r="A928" s="30" t="n">
        <v>46320.75416666667</v>
      </c>
      <c r="B928" s="30" t="n">
        <v>46320.76527777778</v>
      </c>
      <c r="C928" s="9" t="n">
        <v>46320</v>
      </c>
      <c r="D928" s="10" t="n">
        <v>0.96875</v>
      </c>
      <c r="E928" s="36" t="n">
        <v>8</v>
      </c>
      <c r="F928" s="36" t="n">
        <v>2</v>
      </c>
      <c r="G928" s="36" t="n">
        <v>0</v>
      </c>
      <c r="H928" s="36" t="n">
        <v>5</v>
      </c>
      <c r="I928" s="36" t="n">
        <v>1</v>
      </c>
      <c r="J928" s="36" t="n">
        <v>29</v>
      </c>
      <c r="K928" s="12" t="n">
        <v>348</v>
      </c>
    </row>
    <row r="929">
      <c r="A929" s="33" t="n">
        <v>46320.75416666667</v>
      </c>
      <c r="B929" s="33" t="n">
        <v>46320.76527777778</v>
      </c>
      <c r="C929" s="13" t="n">
        <v>46324</v>
      </c>
      <c r="D929" s="14" t="n">
        <v>0.8854166666666666</v>
      </c>
      <c r="E929" s="37" t="n">
        <v>1</v>
      </c>
      <c r="F929" s="37" t="n">
        <v>1</v>
      </c>
      <c r="G929" s="37" t="n">
        <v>0</v>
      </c>
      <c r="H929" s="37" t="n">
        <v>0</v>
      </c>
      <c r="I929" s="37" t="n">
        <v>0</v>
      </c>
      <c r="J929" s="37" t="n">
        <v>2</v>
      </c>
      <c r="K929" s="16" t="n">
        <v>24</v>
      </c>
    </row>
    <row r="930">
      <c r="A930" s="30" t="n">
        <v>46320.75416666667</v>
      </c>
      <c r="B930" s="30" t="n">
        <v>46320.76527777778</v>
      </c>
      <c r="C930" s="9" t="n">
        <v>46325</v>
      </c>
      <c r="D930" s="10" t="n">
        <v>0.9270833333333334</v>
      </c>
      <c r="E930" s="36" t="n">
        <v>2</v>
      </c>
      <c r="F930" s="36" t="n">
        <v>2</v>
      </c>
      <c r="G930" s="36" t="n">
        <v>0</v>
      </c>
      <c r="H930" s="36" t="n">
        <v>0</v>
      </c>
      <c r="I930" s="36" t="n">
        <v>0</v>
      </c>
      <c r="J930" s="36" t="n">
        <v>4</v>
      </c>
      <c r="K930" s="12" t="n">
        <v>48</v>
      </c>
    </row>
    <row r="931">
      <c r="A931" s="33" t="n">
        <v>46320.75416666667</v>
      </c>
      <c r="B931" s="33" t="n">
        <v>46320.76527777778</v>
      </c>
      <c r="C931" s="13" t="n">
        <v>46326</v>
      </c>
      <c r="D931" s="14" t="n">
        <v>0.8854166666666666</v>
      </c>
      <c r="E931" s="37" t="n">
        <v>1</v>
      </c>
      <c r="F931" s="37" t="n">
        <v>0</v>
      </c>
      <c r="G931" s="37" t="n">
        <v>0</v>
      </c>
      <c r="H931" s="37" t="n">
        <v>1</v>
      </c>
      <c r="I931" s="37" t="n">
        <v>0</v>
      </c>
      <c r="J931" s="37" t="n">
        <v>4</v>
      </c>
      <c r="K931" s="16" t="n">
        <v>48</v>
      </c>
    </row>
    <row r="932">
      <c r="A932" s="30" t="n">
        <v>46320.75416666667</v>
      </c>
      <c r="B932" s="30" t="n">
        <v>46320.76527777778</v>
      </c>
      <c r="C932" s="9" t="n">
        <v>46326</v>
      </c>
      <c r="D932" s="10" t="n">
        <v>0.9270833333333334</v>
      </c>
      <c r="E932" s="36" t="n">
        <v>1</v>
      </c>
      <c r="F932" s="36" t="n">
        <v>0</v>
      </c>
      <c r="G932" s="36" t="n">
        <v>0</v>
      </c>
      <c r="H932" s="36" t="n">
        <v>1</v>
      </c>
      <c r="I932" s="36" t="n">
        <v>0</v>
      </c>
      <c r="J932" s="36" t="n">
        <v>4</v>
      </c>
      <c r="K932" s="12" t="n">
        <v>48</v>
      </c>
    </row>
    <row r="933">
      <c r="A933" s="33" t="n">
        <v>46320.75416666667</v>
      </c>
      <c r="B933" s="33" t="n">
        <v>46320.76527777778</v>
      </c>
      <c r="C933" s="13" t="n">
        <v>46327</v>
      </c>
      <c r="D933" s="14" t="n">
        <v>0.8854166666666666</v>
      </c>
      <c r="E933" s="37" t="n">
        <v>1</v>
      </c>
      <c r="F933" s="37" t="n">
        <v>1</v>
      </c>
      <c r="G933" s="37" t="n">
        <v>0</v>
      </c>
      <c r="H933" s="37" t="n">
        <v>0</v>
      </c>
      <c r="I933" s="37" t="n">
        <v>0</v>
      </c>
      <c r="J933" s="37" t="n">
        <v>2</v>
      </c>
      <c r="K933" s="16" t="n">
        <v>24</v>
      </c>
    </row>
    <row r="934">
      <c r="A934" s="30" t="n">
        <v>46320.75416666667</v>
      </c>
      <c r="B934" s="30" t="n">
        <v>46320.76527777778</v>
      </c>
      <c r="C934" s="9" t="n">
        <v>46327</v>
      </c>
      <c r="D934" s="10" t="n">
        <v>0.9270833333333334</v>
      </c>
      <c r="E934" s="36" t="n">
        <v>1</v>
      </c>
      <c r="F934" s="36" t="n">
        <v>0</v>
      </c>
      <c r="G934" s="36" t="n">
        <v>0</v>
      </c>
      <c r="H934" s="36" t="n">
        <v>1</v>
      </c>
      <c r="I934" s="36" t="n">
        <v>0</v>
      </c>
      <c r="J934" s="36" t="n">
        <v>4</v>
      </c>
      <c r="K934" s="12" t="n">
        <v>48</v>
      </c>
    </row>
    <row r="935">
      <c r="A935" s="33" t="n">
        <v>46320.76527777778</v>
      </c>
      <c r="B935" s="33" t="n">
        <v>46320.78055555555</v>
      </c>
      <c r="C935" s="13" t="n">
        <v>46320</v>
      </c>
      <c r="D935" s="14" t="n">
        <v>0.84375</v>
      </c>
      <c r="E935" s="37" t="n">
        <v>8</v>
      </c>
      <c r="F935" s="37" t="n">
        <v>4</v>
      </c>
      <c r="G935" s="37" t="n">
        <v>0</v>
      </c>
      <c r="H935" s="37" t="n">
        <v>4</v>
      </c>
      <c r="I935" s="37" t="n">
        <v>0</v>
      </c>
      <c r="J935" s="37" t="n">
        <v>24</v>
      </c>
      <c r="K935" s="16" t="n">
        <v>288</v>
      </c>
    </row>
    <row r="936">
      <c r="A936" s="30" t="n">
        <v>46320.76527777778</v>
      </c>
      <c r="B936" s="30" t="n">
        <v>46320.78055555555</v>
      </c>
      <c r="C936" s="9" t="n">
        <v>46320</v>
      </c>
      <c r="D936" s="10" t="n">
        <v>0.9270833333333334</v>
      </c>
      <c r="E936" s="36" t="n">
        <v>1</v>
      </c>
      <c r="F936" s="36" t="n">
        <v>1</v>
      </c>
      <c r="G936" s="36" t="n">
        <v>0</v>
      </c>
      <c r="H936" s="36" t="n">
        <v>0</v>
      </c>
      <c r="I936" s="36" t="n">
        <v>0</v>
      </c>
      <c r="J936" s="36" t="n">
        <v>2</v>
      </c>
      <c r="K936" s="12" t="n">
        <v>24</v>
      </c>
    </row>
    <row r="937">
      <c r="A937" s="33" t="n">
        <v>46320.76527777778</v>
      </c>
      <c r="B937" s="33" t="n">
        <v>46320.78055555555</v>
      </c>
      <c r="C937" s="13" t="n">
        <v>46320</v>
      </c>
      <c r="D937" s="14" t="n">
        <v>0.96875</v>
      </c>
      <c r="E937" s="37" t="n">
        <v>7</v>
      </c>
      <c r="F937" s="37" t="n">
        <v>4</v>
      </c>
      <c r="G937" s="37" t="n">
        <v>1</v>
      </c>
      <c r="H937" s="37" t="n">
        <v>2</v>
      </c>
      <c r="I937" s="37" t="n">
        <v>0</v>
      </c>
      <c r="J937" s="37" t="n">
        <v>19</v>
      </c>
      <c r="K937" s="16" t="n">
        <v>228</v>
      </c>
    </row>
    <row r="938">
      <c r="A938" s="30" t="n">
        <v>46320.76527777778</v>
      </c>
      <c r="B938" s="30" t="n">
        <v>46320.78055555555</v>
      </c>
      <c r="C938" s="9" t="n">
        <v>46320</v>
      </c>
      <c r="D938" s="10" t="n">
        <v>0.9993055555555556</v>
      </c>
      <c r="E938" s="36" t="n">
        <v>2</v>
      </c>
      <c r="F938" s="36" t="n">
        <v>0</v>
      </c>
      <c r="G938" s="36" t="n">
        <v>1</v>
      </c>
      <c r="H938" s="36" t="n">
        <v>1</v>
      </c>
      <c r="I938" s="36" t="n">
        <v>0</v>
      </c>
      <c r="J938" s="36" t="n">
        <v>7</v>
      </c>
      <c r="K938" s="12" t="n">
        <v>84</v>
      </c>
    </row>
    <row r="939">
      <c r="A939" s="33" t="n">
        <v>46320.76527777778</v>
      </c>
      <c r="B939" s="33" t="n">
        <v>46320.78055555555</v>
      </c>
      <c r="C939" s="13" t="n">
        <v>46325</v>
      </c>
      <c r="D939" s="14" t="n">
        <v>0.8854166666666666</v>
      </c>
      <c r="E939" s="37" t="n">
        <v>1</v>
      </c>
      <c r="F939" s="37" t="n">
        <v>1</v>
      </c>
      <c r="G939" s="37" t="n">
        <v>0</v>
      </c>
      <c r="H939" s="37" t="n">
        <v>0</v>
      </c>
      <c r="I939" s="37" t="n">
        <v>0</v>
      </c>
      <c r="J939" s="37" t="n">
        <v>2</v>
      </c>
      <c r="K939" s="16" t="n">
        <v>24</v>
      </c>
    </row>
    <row r="940">
      <c r="A940" s="30" t="n">
        <v>46320.76527777778</v>
      </c>
      <c r="B940" s="30" t="n">
        <v>46320.78055555555</v>
      </c>
      <c r="C940" s="9" t="n">
        <v>46327</v>
      </c>
      <c r="D940" s="10" t="n">
        <v>0.9270833333333334</v>
      </c>
      <c r="E940" s="36" t="n">
        <v>1</v>
      </c>
      <c r="F940" s="36" t="n">
        <v>1</v>
      </c>
      <c r="G940" s="36" t="n">
        <v>0</v>
      </c>
      <c r="H940" s="36" t="n">
        <v>0</v>
      </c>
      <c r="I940" s="36" t="n">
        <v>0</v>
      </c>
      <c r="J940" s="36" t="n">
        <v>2</v>
      </c>
      <c r="K940" s="12" t="n">
        <v>24</v>
      </c>
    </row>
    <row r="941">
      <c r="A941" s="33" t="n">
        <v>46320.76527777778</v>
      </c>
      <c r="B941" s="33" t="n">
        <v>46320.78055555555</v>
      </c>
      <c r="C941" s="13" t="n">
        <v>46327</v>
      </c>
      <c r="D941" s="14" t="n">
        <v>0.96875</v>
      </c>
      <c r="E941" s="37" t="n">
        <v>1</v>
      </c>
      <c r="F941" s="37" t="n">
        <v>0</v>
      </c>
      <c r="G941" s="37" t="n">
        <v>1</v>
      </c>
      <c r="H941" s="37" t="n">
        <v>0</v>
      </c>
      <c r="I941" s="37" t="n">
        <v>0</v>
      </c>
      <c r="J941" s="37" t="n">
        <v>3</v>
      </c>
      <c r="K941" s="16" t="n">
        <v>36</v>
      </c>
    </row>
    <row r="942">
      <c r="A942" s="30" t="n">
        <v>46320.78055555555</v>
      </c>
      <c r="B942" s="30" t="n">
        <v>46320.79722222222</v>
      </c>
      <c r="C942" s="9" t="n">
        <v>46320</v>
      </c>
      <c r="D942" s="10" t="n">
        <v>0.96875</v>
      </c>
      <c r="E942" s="36" t="n">
        <v>2</v>
      </c>
      <c r="F942" s="36" t="n">
        <v>1</v>
      </c>
      <c r="G942" s="36" t="n">
        <v>1</v>
      </c>
      <c r="H942" s="36" t="n">
        <v>0</v>
      </c>
      <c r="I942" s="36" t="n">
        <v>0</v>
      </c>
      <c r="J942" s="36" t="n">
        <v>5</v>
      </c>
      <c r="K942" s="12" t="n">
        <v>60</v>
      </c>
    </row>
    <row r="943">
      <c r="A943" s="33" t="n">
        <v>46320.78055555555</v>
      </c>
      <c r="B943" s="33" t="n">
        <v>46320.79722222222</v>
      </c>
      <c r="C943" s="13" t="n">
        <v>46320</v>
      </c>
      <c r="D943" s="14" t="n">
        <v>0.9993055555555556</v>
      </c>
      <c r="E943" s="37" t="n">
        <v>7</v>
      </c>
      <c r="F943" s="37" t="n">
        <v>1</v>
      </c>
      <c r="G943" s="37" t="n">
        <v>1</v>
      </c>
      <c r="H943" s="37" t="n">
        <v>4</v>
      </c>
      <c r="I943" s="37" t="n">
        <v>1</v>
      </c>
      <c r="J943" s="37" t="n">
        <v>26</v>
      </c>
      <c r="K943" s="16" t="n">
        <v>312</v>
      </c>
    </row>
    <row r="944">
      <c r="A944" s="30" t="n">
        <v>46320.78055555555</v>
      </c>
      <c r="B944" s="30" t="n">
        <v>46320.79722222222</v>
      </c>
      <c r="C944" s="9" t="n">
        <v>46325</v>
      </c>
      <c r="D944" s="10" t="n">
        <v>0.8854166666666666</v>
      </c>
      <c r="E944" s="36" t="n">
        <v>1</v>
      </c>
      <c r="F944" s="36" t="n">
        <v>0</v>
      </c>
      <c r="G944" s="36" t="n">
        <v>0</v>
      </c>
      <c r="H944" s="36" t="n">
        <v>0</v>
      </c>
      <c r="I944" s="36" t="n">
        <v>1</v>
      </c>
      <c r="J944" s="36" t="n">
        <v>5</v>
      </c>
      <c r="K944" s="12" t="n">
        <v>60</v>
      </c>
    </row>
    <row r="945">
      <c r="A945" s="33" t="n">
        <v>46320.78055555555</v>
      </c>
      <c r="B945" s="33" t="n">
        <v>46320.79722222222</v>
      </c>
      <c r="C945" s="13" t="n">
        <v>46325</v>
      </c>
      <c r="D945" s="14" t="n">
        <v>0.9270833333333334</v>
      </c>
      <c r="E945" s="37" t="n">
        <v>1</v>
      </c>
      <c r="F945" s="37" t="n">
        <v>1</v>
      </c>
      <c r="G945" s="37" t="n">
        <v>0</v>
      </c>
      <c r="H945" s="37" t="n">
        <v>0</v>
      </c>
      <c r="I945" s="37" t="n">
        <v>0</v>
      </c>
      <c r="J945" s="37" t="n">
        <v>2</v>
      </c>
      <c r="K945" s="16" t="n">
        <v>24</v>
      </c>
    </row>
    <row r="946">
      <c r="A946" s="30" t="n">
        <v>46320.78055555555</v>
      </c>
      <c r="B946" s="30" t="n">
        <v>46320.79722222222</v>
      </c>
      <c r="C946" s="9" t="n">
        <v>46325</v>
      </c>
      <c r="D946" s="10" t="n">
        <v>0.96875</v>
      </c>
      <c r="E946" s="36" t="n">
        <v>1</v>
      </c>
      <c r="F946" s="36" t="n">
        <v>1</v>
      </c>
      <c r="G946" s="36" t="n">
        <v>0</v>
      </c>
      <c r="H946" s="36" t="n">
        <v>0</v>
      </c>
      <c r="I946" s="36" t="n">
        <v>0</v>
      </c>
      <c r="J946" s="36" t="n">
        <v>2</v>
      </c>
      <c r="K946" s="12" t="n">
        <v>24</v>
      </c>
    </row>
    <row r="947">
      <c r="A947" s="33" t="n">
        <v>46320.78055555555</v>
      </c>
      <c r="B947" s="33" t="n">
        <v>46320.79722222222</v>
      </c>
      <c r="C947" s="13" t="n">
        <v>46326</v>
      </c>
      <c r="D947" s="14" t="n">
        <v>0.96875</v>
      </c>
      <c r="E947" s="37" t="n">
        <v>1</v>
      </c>
      <c r="F947" s="37" t="n">
        <v>0</v>
      </c>
      <c r="G947" s="37" t="n">
        <v>0</v>
      </c>
      <c r="H947" s="37" t="n">
        <v>1</v>
      </c>
      <c r="I947" s="37" t="n">
        <v>0</v>
      </c>
      <c r="J947" s="37" t="n">
        <v>4</v>
      </c>
      <c r="K947" s="16" t="n">
        <v>48</v>
      </c>
    </row>
    <row r="948">
      <c r="A948" s="30" t="n">
        <v>46320.78055555555</v>
      </c>
      <c r="B948" s="30" t="n">
        <v>46320.79722222222</v>
      </c>
      <c r="C948" s="9" t="n">
        <v>46327</v>
      </c>
      <c r="D948" s="10" t="n">
        <v>0.9270833333333334</v>
      </c>
      <c r="E948" s="36" t="n">
        <v>2</v>
      </c>
      <c r="F948" s="36" t="n">
        <v>0</v>
      </c>
      <c r="G948" s="36" t="n">
        <v>1</v>
      </c>
      <c r="H948" s="36" t="n">
        <v>1</v>
      </c>
      <c r="I948" s="36" t="n">
        <v>0</v>
      </c>
      <c r="J948" s="36" t="n">
        <v>7</v>
      </c>
      <c r="K948" s="12" t="n">
        <v>84</v>
      </c>
    </row>
    <row r="949">
      <c r="A949" s="33" t="n">
        <v>46320.79722222222</v>
      </c>
      <c r="B949" s="33" t="n">
        <v>46320.80833333333</v>
      </c>
      <c r="C949" s="13" t="n">
        <v>46320</v>
      </c>
      <c r="D949" s="14" t="n">
        <v>0.84375</v>
      </c>
      <c r="E949" s="37" t="n">
        <v>1</v>
      </c>
      <c r="F949" s="37" t="n">
        <v>1</v>
      </c>
      <c r="G949" s="37" t="n">
        <v>0</v>
      </c>
      <c r="H949" s="37" t="n">
        <v>0</v>
      </c>
      <c r="I949" s="37" t="n">
        <v>0</v>
      </c>
      <c r="J949" s="37" t="n">
        <v>2</v>
      </c>
      <c r="K949" s="16" t="n">
        <v>24</v>
      </c>
    </row>
    <row r="950">
      <c r="A950" s="30" t="n">
        <v>46320.79722222222</v>
      </c>
      <c r="B950" s="30" t="n">
        <v>46320.80833333333</v>
      </c>
      <c r="C950" s="9" t="n">
        <v>46320</v>
      </c>
      <c r="D950" s="10" t="n">
        <v>0.96875</v>
      </c>
      <c r="E950" s="36" t="n">
        <v>2</v>
      </c>
      <c r="F950" s="36" t="n">
        <v>2</v>
      </c>
      <c r="G950" s="36" t="n">
        <v>0</v>
      </c>
      <c r="H950" s="36" t="n">
        <v>0</v>
      </c>
      <c r="I950" s="36" t="n">
        <v>0</v>
      </c>
      <c r="J950" s="36" t="n">
        <v>4</v>
      </c>
      <c r="K950" s="12" t="n">
        <v>48</v>
      </c>
    </row>
    <row r="951">
      <c r="A951" s="33" t="n">
        <v>46320.79722222222</v>
      </c>
      <c r="B951" s="33" t="n">
        <v>46320.80833333333</v>
      </c>
      <c r="C951" s="13" t="n">
        <v>46320</v>
      </c>
      <c r="D951" s="14" t="n">
        <v>0.9993055555555556</v>
      </c>
      <c r="E951" s="37" t="n">
        <v>6</v>
      </c>
      <c r="F951" s="37" t="n">
        <v>2</v>
      </c>
      <c r="G951" s="37" t="n">
        <v>1</v>
      </c>
      <c r="H951" s="37" t="n">
        <v>3</v>
      </c>
      <c r="I951" s="37" t="n">
        <v>0</v>
      </c>
      <c r="J951" s="37" t="n">
        <v>19</v>
      </c>
      <c r="K951" s="16" t="n">
        <v>228</v>
      </c>
    </row>
    <row r="952">
      <c r="A952" s="30" t="n">
        <v>46320.79722222222</v>
      </c>
      <c r="B952" s="30" t="n">
        <v>46320.80833333333</v>
      </c>
      <c r="C952" s="9" t="n">
        <v>46326</v>
      </c>
      <c r="D952" s="10" t="n">
        <v>0.9270833333333334</v>
      </c>
      <c r="E952" s="36" t="n">
        <v>1</v>
      </c>
      <c r="F952" s="36" t="n">
        <v>1</v>
      </c>
      <c r="G952" s="36" t="n">
        <v>0</v>
      </c>
      <c r="H952" s="36" t="n">
        <v>0</v>
      </c>
      <c r="I952" s="36" t="n">
        <v>0</v>
      </c>
      <c r="J952" s="36" t="n">
        <v>2</v>
      </c>
      <c r="K952" s="12" t="n">
        <v>24</v>
      </c>
    </row>
    <row r="953">
      <c r="A953" s="33" t="n">
        <v>46320.80833333333</v>
      </c>
      <c r="B953" s="33" t="n">
        <v>46320.80972222222</v>
      </c>
      <c r="C953" s="13" t="n">
        <v>46326</v>
      </c>
      <c r="D953" s="14" t="n">
        <v>0.9993055555555556</v>
      </c>
      <c r="E953" s="37" t="n">
        <v>1</v>
      </c>
      <c r="F953" s="37" t="n">
        <v>0</v>
      </c>
      <c r="G953" s="37" t="n">
        <v>0</v>
      </c>
      <c r="H953" s="37" t="n">
        <v>1</v>
      </c>
      <c r="I953" s="37" t="n">
        <v>0</v>
      </c>
      <c r="J953" s="37" t="n">
        <v>4</v>
      </c>
      <c r="K953" s="16" t="n">
        <v>48</v>
      </c>
    </row>
    <row r="954">
      <c r="A954" s="30" t="n">
        <v>46320.80972222222</v>
      </c>
      <c r="B954" s="30" t="n">
        <v>46320.82152777778</v>
      </c>
      <c r="C954" s="9" t="n">
        <v>46320</v>
      </c>
      <c r="D954" s="10" t="n">
        <v>0.9993055555555556</v>
      </c>
      <c r="E954" s="36" t="n">
        <v>4</v>
      </c>
      <c r="F954" s="36" t="n">
        <v>2</v>
      </c>
      <c r="G954" s="36" t="n">
        <v>0</v>
      </c>
      <c r="H954" s="36" t="n">
        <v>2</v>
      </c>
      <c r="I954" s="36" t="n">
        <v>0</v>
      </c>
      <c r="J954" s="36" t="n">
        <v>12</v>
      </c>
      <c r="K954" s="12" t="n">
        <v>144</v>
      </c>
    </row>
    <row r="955">
      <c r="A955" s="33" t="n">
        <v>46320.80972222222</v>
      </c>
      <c r="B955" s="33" t="n">
        <v>46320.82152777778</v>
      </c>
      <c r="C955" s="13" t="n">
        <v>46324</v>
      </c>
      <c r="D955" s="14" t="n">
        <v>0.8854166666666666</v>
      </c>
      <c r="E955" s="37" t="n">
        <v>3</v>
      </c>
      <c r="F955" s="37" t="n">
        <v>2</v>
      </c>
      <c r="G955" s="37" t="n">
        <v>0</v>
      </c>
      <c r="H955" s="37" t="n">
        <v>1</v>
      </c>
      <c r="I955" s="37" t="n">
        <v>0</v>
      </c>
      <c r="J955" s="37" t="n">
        <v>8</v>
      </c>
      <c r="K955" s="16" t="n">
        <v>96</v>
      </c>
    </row>
    <row r="956">
      <c r="A956" s="30" t="n">
        <v>46320.80972222222</v>
      </c>
      <c r="B956" s="30" t="n">
        <v>46320.82152777778</v>
      </c>
      <c r="C956" s="9" t="n">
        <v>46326</v>
      </c>
      <c r="D956" s="10" t="n">
        <v>0.8854166666666666</v>
      </c>
      <c r="E956" s="36" t="n">
        <v>1</v>
      </c>
      <c r="F956" s="36" t="n">
        <v>0</v>
      </c>
      <c r="G956" s="36" t="n">
        <v>0</v>
      </c>
      <c r="H956" s="36" t="n">
        <v>0</v>
      </c>
      <c r="I956" s="36" t="n">
        <v>1</v>
      </c>
      <c r="J956" s="36" t="n">
        <v>5</v>
      </c>
      <c r="K956" s="12" t="n">
        <v>60</v>
      </c>
    </row>
    <row r="957">
      <c r="A957" s="33" t="n">
        <v>46320.80972222222</v>
      </c>
      <c r="B957" s="33" t="n">
        <v>46320.82152777778</v>
      </c>
      <c r="C957" s="13" t="n">
        <v>46326</v>
      </c>
      <c r="D957" s="14" t="n">
        <v>0.96875</v>
      </c>
      <c r="E957" s="37" t="n">
        <v>2</v>
      </c>
      <c r="F957" s="37" t="n">
        <v>0</v>
      </c>
      <c r="G957" s="37" t="n">
        <v>0</v>
      </c>
      <c r="H957" s="37" t="n">
        <v>2</v>
      </c>
      <c r="I957" s="37" t="n">
        <v>0</v>
      </c>
      <c r="J957" s="37" t="n">
        <v>8</v>
      </c>
      <c r="K957" s="16" t="n">
        <v>96</v>
      </c>
    </row>
    <row r="958">
      <c r="A958" s="30" t="n">
        <v>46320.80972222222</v>
      </c>
      <c r="B958" s="30" t="n">
        <v>46320.82152777778</v>
      </c>
      <c r="C958" s="9" t="n">
        <v>46327</v>
      </c>
      <c r="D958" s="10" t="n">
        <v>0.84375</v>
      </c>
      <c r="E958" s="36" t="n">
        <v>1</v>
      </c>
      <c r="F958" s="36" t="n">
        <v>1</v>
      </c>
      <c r="G958" s="36" t="n">
        <v>0</v>
      </c>
      <c r="H958" s="36" t="n">
        <v>0</v>
      </c>
      <c r="I958" s="36" t="n">
        <v>0</v>
      </c>
      <c r="J958" s="36" t="n">
        <v>2</v>
      </c>
      <c r="K958" s="12" t="n">
        <v>24</v>
      </c>
    </row>
    <row r="959">
      <c r="A959" s="33" t="n">
        <v>46320.80972222222</v>
      </c>
      <c r="B959" s="33" t="n">
        <v>46320.82152777778</v>
      </c>
      <c r="C959" s="13" t="n">
        <v>46327</v>
      </c>
      <c r="D959" s="14" t="n">
        <v>0.9270833333333334</v>
      </c>
      <c r="E959" s="37" t="n">
        <v>1</v>
      </c>
      <c r="F959" s="37" t="n">
        <v>1</v>
      </c>
      <c r="G959" s="37" t="n">
        <v>0</v>
      </c>
      <c r="H959" s="37" t="n">
        <v>0</v>
      </c>
      <c r="I959" s="37" t="n">
        <v>0</v>
      </c>
      <c r="J959" s="37" t="n">
        <v>2</v>
      </c>
      <c r="K959" s="16" t="n">
        <v>24</v>
      </c>
    </row>
    <row r="960">
      <c r="A960" s="30" t="n">
        <v>46320.82152777778</v>
      </c>
      <c r="B960" s="30" t="n">
        <v>46320.82430555556</v>
      </c>
      <c r="C960" s="9" t="n">
        <v>46320</v>
      </c>
      <c r="D960" s="10" t="n">
        <v>0.9993055555555556</v>
      </c>
      <c r="E960" s="36" t="n">
        <v>3</v>
      </c>
      <c r="F960" s="36" t="n">
        <v>1</v>
      </c>
      <c r="G960" s="36" t="n">
        <v>1</v>
      </c>
      <c r="H960" s="36" t="n">
        <v>1</v>
      </c>
      <c r="I960" s="36" t="n">
        <v>0</v>
      </c>
      <c r="J960" s="36" t="n">
        <v>9</v>
      </c>
      <c r="K960" s="12" t="n">
        <v>108</v>
      </c>
    </row>
    <row r="961">
      <c r="A961" s="33" t="n">
        <v>46320.82152777778</v>
      </c>
      <c r="B961" s="33" t="n">
        <v>46320.82430555556</v>
      </c>
      <c r="C961" s="13" t="n">
        <v>46325</v>
      </c>
      <c r="D961" s="14" t="n">
        <v>0.9270833333333334</v>
      </c>
      <c r="E961" s="37" t="n">
        <v>1</v>
      </c>
      <c r="F961" s="37" t="n">
        <v>1</v>
      </c>
      <c r="G961" s="37" t="n">
        <v>0</v>
      </c>
      <c r="H961" s="37" t="n">
        <v>0</v>
      </c>
      <c r="I961" s="37" t="n">
        <v>0</v>
      </c>
      <c r="J961" s="37" t="n">
        <v>2</v>
      </c>
      <c r="K961" s="16" t="n">
        <v>24</v>
      </c>
    </row>
    <row r="962">
      <c r="A962" s="30" t="n">
        <v>46320.82430555556</v>
      </c>
      <c r="B962" s="30" t="n">
        <v>46320.83888888889</v>
      </c>
      <c r="C962" s="9" t="n">
        <v>46320</v>
      </c>
      <c r="D962" s="10" t="n">
        <v>0.9993055555555556</v>
      </c>
      <c r="E962" s="36" t="n">
        <v>2</v>
      </c>
      <c r="F962" s="36" t="n">
        <v>0</v>
      </c>
      <c r="G962" s="36" t="n">
        <v>0</v>
      </c>
      <c r="H962" s="36" t="n">
        <v>2</v>
      </c>
      <c r="I962" s="36" t="n">
        <v>0</v>
      </c>
      <c r="J962" s="36" t="n">
        <v>8</v>
      </c>
      <c r="K962" s="12" t="n">
        <v>96</v>
      </c>
    </row>
    <row r="963">
      <c r="A963" s="33" t="n">
        <v>46320.82430555556</v>
      </c>
      <c r="B963" s="33" t="n">
        <v>46320.83888888889</v>
      </c>
      <c r="C963" s="13" t="n">
        <v>46324</v>
      </c>
      <c r="D963" s="14" t="n">
        <v>0.8854166666666666</v>
      </c>
      <c r="E963" s="37" t="n">
        <v>1</v>
      </c>
      <c r="F963" s="37" t="n">
        <v>0</v>
      </c>
      <c r="G963" s="37" t="n">
        <v>0</v>
      </c>
      <c r="H963" s="37" t="n">
        <v>1</v>
      </c>
      <c r="I963" s="37" t="n">
        <v>0</v>
      </c>
      <c r="J963" s="37" t="n">
        <v>4</v>
      </c>
      <c r="K963" s="16" t="n">
        <v>48</v>
      </c>
    </row>
    <row r="964">
      <c r="A964" s="30" t="n">
        <v>46320.82430555556</v>
      </c>
      <c r="B964" s="30" t="n">
        <v>46320.83888888889</v>
      </c>
      <c r="C964" s="9" t="n">
        <v>46327</v>
      </c>
      <c r="D964" s="10" t="n">
        <v>0.84375</v>
      </c>
      <c r="E964" s="36" t="n">
        <v>1</v>
      </c>
      <c r="F964" s="36" t="n">
        <v>0</v>
      </c>
      <c r="G964" s="36" t="n">
        <v>0</v>
      </c>
      <c r="H964" s="36" t="n">
        <v>1</v>
      </c>
      <c r="I964" s="36" t="n">
        <v>0</v>
      </c>
      <c r="J964" s="36" t="n">
        <v>4</v>
      </c>
      <c r="K964" s="12" t="n">
        <v>48</v>
      </c>
    </row>
    <row r="965">
      <c r="A965" s="33" t="n">
        <v>46320.83888888889</v>
      </c>
      <c r="B965" s="33" t="n">
        <v>46320.84861111111</v>
      </c>
      <c r="C965" s="13" t="n">
        <v>46320</v>
      </c>
      <c r="D965" s="14" t="n">
        <v>0.9993055555555556</v>
      </c>
      <c r="E965" s="37" t="n">
        <v>4</v>
      </c>
      <c r="F965" s="37" t="n">
        <v>0</v>
      </c>
      <c r="G965" s="37" t="n">
        <v>1</v>
      </c>
      <c r="H965" s="37" t="n">
        <v>1</v>
      </c>
      <c r="I965" s="37" t="n">
        <v>2</v>
      </c>
      <c r="J965" s="37" t="n">
        <v>17</v>
      </c>
      <c r="K965" s="16" t="n">
        <v>204</v>
      </c>
    </row>
    <row r="966">
      <c r="A966" s="30" t="n">
        <v>46320.83888888889</v>
      </c>
      <c r="B966" s="30" t="n">
        <v>46320.84861111111</v>
      </c>
      <c r="C966" s="9" t="n">
        <v>46325</v>
      </c>
      <c r="D966" s="10" t="n">
        <v>0.8854166666666666</v>
      </c>
      <c r="E966" s="36" t="n">
        <v>1</v>
      </c>
      <c r="F966" s="36" t="n">
        <v>1</v>
      </c>
      <c r="G966" s="36" t="n">
        <v>0</v>
      </c>
      <c r="H966" s="36" t="n">
        <v>0</v>
      </c>
      <c r="I966" s="36" t="n">
        <v>0</v>
      </c>
      <c r="J966" s="36" t="n">
        <v>2</v>
      </c>
      <c r="K966" s="12" t="n">
        <v>24</v>
      </c>
    </row>
    <row r="967">
      <c r="A967" s="33" t="n">
        <v>46320.83888888889</v>
      </c>
      <c r="B967" s="33" t="n">
        <v>46320.84861111111</v>
      </c>
      <c r="C967" s="13" t="n">
        <v>46326</v>
      </c>
      <c r="D967" s="14" t="n">
        <v>0.8854166666666666</v>
      </c>
      <c r="E967" s="37" t="n">
        <v>1</v>
      </c>
      <c r="F967" s="37" t="n">
        <v>1</v>
      </c>
      <c r="G967" s="37" t="n">
        <v>0</v>
      </c>
      <c r="H967" s="37" t="n">
        <v>0</v>
      </c>
      <c r="I967" s="37" t="n">
        <v>0</v>
      </c>
      <c r="J967" s="37" t="n">
        <v>2</v>
      </c>
      <c r="K967" s="16" t="n">
        <v>24</v>
      </c>
    </row>
    <row r="968">
      <c r="A968" s="30" t="n">
        <v>46320.84861111111</v>
      </c>
      <c r="B968" s="30" t="n">
        <v>46320.86319444444</v>
      </c>
      <c r="C968" s="9" t="n">
        <v>46320</v>
      </c>
      <c r="D968" s="10" t="n">
        <v>0.9993055555555556</v>
      </c>
      <c r="E968" s="36" t="n">
        <v>5</v>
      </c>
      <c r="F968" s="36" t="n">
        <v>3</v>
      </c>
      <c r="G968" s="36" t="n">
        <v>0</v>
      </c>
      <c r="H968" s="36" t="n">
        <v>1</v>
      </c>
      <c r="I968" s="36" t="n">
        <v>1</v>
      </c>
      <c r="J968" s="36" t="n">
        <v>15</v>
      </c>
      <c r="K968" s="12" t="n">
        <v>180</v>
      </c>
    </row>
    <row r="969">
      <c r="A969" s="33" t="n">
        <v>46320.84861111111</v>
      </c>
      <c r="B969" s="33" t="n">
        <v>46320.86319444444</v>
      </c>
      <c r="C969" s="13" t="n">
        <v>46324</v>
      </c>
      <c r="D969" s="14" t="n">
        <v>0.8854166666666666</v>
      </c>
      <c r="E969" s="37" t="n">
        <v>1</v>
      </c>
      <c r="F969" s="37" t="n">
        <v>0</v>
      </c>
      <c r="G969" s="37" t="n">
        <v>1</v>
      </c>
      <c r="H969" s="37" t="n">
        <v>0</v>
      </c>
      <c r="I969" s="37" t="n">
        <v>0</v>
      </c>
      <c r="J969" s="37" t="n">
        <v>3</v>
      </c>
      <c r="K969" s="16" t="n">
        <v>36</v>
      </c>
    </row>
    <row r="970">
      <c r="A970" s="30" t="n">
        <v>46320.84861111111</v>
      </c>
      <c r="B970" s="30" t="n">
        <v>46320.86319444444</v>
      </c>
      <c r="C970" s="9" t="n">
        <v>46324</v>
      </c>
      <c r="D970" s="10" t="n">
        <v>0.9270833333333334</v>
      </c>
      <c r="E970" s="36" t="n">
        <v>1</v>
      </c>
      <c r="F970" s="36" t="n">
        <v>0</v>
      </c>
      <c r="G970" s="36" t="n">
        <v>0</v>
      </c>
      <c r="H970" s="36" t="n">
        <v>1</v>
      </c>
      <c r="I970" s="36" t="n">
        <v>0</v>
      </c>
      <c r="J970" s="36" t="n">
        <v>4</v>
      </c>
      <c r="K970" s="12" t="n">
        <v>48</v>
      </c>
    </row>
    <row r="971">
      <c r="A971" s="33" t="n">
        <v>46320.84861111111</v>
      </c>
      <c r="B971" s="33" t="n">
        <v>46320.86319444444</v>
      </c>
      <c r="C971" s="13" t="n">
        <v>46326</v>
      </c>
      <c r="D971" s="14" t="n">
        <v>0.96875</v>
      </c>
      <c r="E971" s="37" t="n">
        <v>2</v>
      </c>
      <c r="F971" s="37" t="n">
        <v>1</v>
      </c>
      <c r="G971" s="37" t="n">
        <v>0</v>
      </c>
      <c r="H971" s="37" t="n">
        <v>1</v>
      </c>
      <c r="I971" s="37" t="n">
        <v>0</v>
      </c>
      <c r="J971" s="37" t="n">
        <v>6</v>
      </c>
      <c r="K971" s="16" t="n">
        <v>72</v>
      </c>
    </row>
    <row r="972">
      <c r="A972" s="30" t="n">
        <v>46320.86319444444</v>
      </c>
      <c r="B972" s="30" t="n">
        <v>46320.86666666667</v>
      </c>
      <c r="C972" s="9" t="n">
        <v>46325</v>
      </c>
      <c r="D972" s="10" t="n">
        <v>0.9270833333333334</v>
      </c>
      <c r="E972" s="36" t="n">
        <v>1</v>
      </c>
      <c r="F972" s="36" t="n">
        <v>1</v>
      </c>
      <c r="G972" s="36" t="n">
        <v>0</v>
      </c>
      <c r="H972" s="36" t="n">
        <v>0</v>
      </c>
      <c r="I972" s="36" t="n">
        <v>0</v>
      </c>
      <c r="J972" s="36" t="n">
        <v>2</v>
      </c>
      <c r="K972" s="12" t="n">
        <v>24</v>
      </c>
    </row>
    <row r="973">
      <c r="A973" s="33" t="n">
        <v>46320.86944444444</v>
      </c>
      <c r="B973" s="33" t="n">
        <v>46320.87083333333</v>
      </c>
      <c r="C973" s="13" t="n">
        <v>46320</v>
      </c>
      <c r="D973" s="14" t="n">
        <v>0.9993055555555556</v>
      </c>
      <c r="E973" s="37" t="n">
        <v>1</v>
      </c>
      <c r="F973" s="37" t="n">
        <v>0</v>
      </c>
      <c r="G973" s="37" t="n">
        <v>0</v>
      </c>
      <c r="H973" s="37" t="n">
        <v>1</v>
      </c>
      <c r="I973" s="37" t="n">
        <v>0</v>
      </c>
      <c r="J973" s="37" t="n">
        <v>4</v>
      </c>
      <c r="K973" s="16" t="n">
        <v>48</v>
      </c>
    </row>
    <row r="974">
      <c r="A974" s="30" t="n">
        <v>46320.86944444444</v>
      </c>
      <c r="B974" s="30" t="n">
        <v>46320.87083333333</v>
      </c>
      <c r="C974" s="9" t="n">
        <v>46326</v>
      </c>
      <c r="D974" s="10" t="n">
        <v>0.96875</v>
      </c>
      <c r="E974" s="36" t="n">
        <v>1</v>
      </c>
      <c r="F974" s="36" t="n">
        <v>0</v>
      </c>
      <c r="G974" s="36" t="n">
        <v>0</v>
      </c>
      <c r="H974" s="36" t="n">
        <v>1</v>
      </c>
      <c r="I974" s="36" t="n">
        <v>0</v>
      </c>
      <c r="J974" s="36" t="n">
        <v>4</v>
      </c>
      <c r="K974" s="12" t="n">
        <v>48</v>
      </c>
    </row>
    <row r="975">
      <c r="A975" s="33" t="n">
        <v>46320.87152777778</v>
      </c>
      <c r="B975" s="33" t="n">
        <v>46320.88541666666</v>
      </c>
      <c r="C975" s="13" t="n">
        <v>46320</v>
      </c>
      <c r="D975" s="14" t="n">
        <v>0.9993055555555556</v>
      </c>
      <c r="E975" s="37" t="n">
        <v>3</v>
      </c>
      <c r="F975" s="37" t="n">
        <v>1</v>
      </c>
      <c r="G975" s="37" t="n">
        <v>0</v>
      </c>
      <c r="H975" s="37" t="n">
        <v>2</v>
      </c>
      <c r="I975" s="37" t="n">
        <v>0</v>
      </c>
      <c r="J975" s="37" t="n">
        <v>10</v>
      </c>
      <c r="K975" s="16" t="n">
        <v>120</v>
      </c>
    </row>
    <row r="976">
      <c r="A976" s="30" t="n">
        <v>46320.87152777778</v>
      </c>
      <c r="B976" s="30" t="n">
        <v>46320.88541666666</v>
      </c>
      <c r="C976" s="9" t="n">
        <v>46324</v>
      </c>
      <c r="D976" s="10" t="n">
        <v>0.8854166666666666</v>
      </c>
      <c r="E976" s="36" t="n">
        <v>1</v>
      </c>
      <c r="F976" s="36" t="n">
        <v>1</v>
      </c>
      <c r="G976" s="36" t="n">
        <v>0</v>
      </c>
      <c r="H976" s="36" t="n">
        <v>0</v>
      </c>
      <c r="I976" s="36" t="n">
        <v>0</v>
      </c>
      <c r="J976" s="36" t="n">
        <v>2</v>
      </c>
      <c r="K976" s="12" t="n">
        <v>24</v>
      </c>
    </row>
    <row r="977">
      <c r="A977" s="33" t="n">
        <v>46320.87152777778</v>
      </c>
      <c r="B977" s="33" t="n">
        <v>46320.88541666666</v>
      </c>
      <c r="C977" s="13" t="n">
        <v>46324</v>
      </c>
      <c r="D977" s="14" t="n">
        <v>0.9270833333333334</v>
      </c>
      <c r="E977" s="37" t="n">
        <v>1</v>
      </c>
      <c r="F977" s="37" t="n">
        <v>0</v>
      </c>
      <c r="G977" s="37" t="n">
        <v>0</v>
      </c>
      <c r="H977" s="37" t="n">
        <v>0</v>
      </c>
      <c r="I977" s="37" t="n">
        <v>1</v>
      </c>
      <c r="J977" s="37" t="n">
        <v>5</v>
      </c>
      <c r="K977" s="16" t="n">
        <v>60</v>
      </c>
    </row>
    <row r="978">
      <c r="A978" s="30" t="n">
        <v>46320.87152777778</v>
      </c>
      <c r="B978" s="30" t="n">
        <v>46320.88541666666</v>
      </c>
      <c r="C978" s="9" t="n">
        <v>46324</v>
      </c>
      <c r="D978" s="10" t="n">
        <v>0.96875</v>
      </c>
      <c r="E978" s="36" t="n">
        <v>2</v>
      </c>
      <c r="F978" s="36" t="n">
        <v>0</v>
      </c>
      <c r="G978" s="36" t="n">
        <v>0</v>
      </c>
      <c r="H978" s="36" t="n">
        <v>1</v>
      </c>
      <c r="I978" s="36" t="n">
        <v>1</v>
      </c>
      <c r="J978" s="36" t="n">
        <v>9</v>
      </c>
      <c r="K978" s="12" t="n">
        <v>108</v>
      </c>
    </row>
    <row r="979">
      <c r="A979" s="33" t="n">
        <v>46320.87152777778</v>
      </c>
      <c r="B979" s="33" t="n">
        <v>46320.88541666666</v>
      </c>
      <c r="C979" s="13" t="n">
        <v>46325</v>
      </c>
      <c r="D979" s="14" t="n">
        <v>0.9993055555555556</v>
      </c>
      <c r="E979" s="37" t="n">
        <v>2</v>
      </c>
      <c r="F979" s="37" t="n">
        <v>2</v>
      </c>
      <c r="G979" s="37" t="n">
        <v>0</v>
      </c>
      <c r="H979" s="37" t="n">
        <v>0</v>
      </c>
      <c r="I979" s="37" t="n">
        <v>0</v>
      </c>
      <c r="J979" s="37" t="n">
        <v>4</v>
      </c>
      <c r="K979" s="16" t="n">
        <v>48</v>
      </c>
    </row>
    <row r="980">
      <c r="A980" s="30" t="n">
        <v>46320.87152777778</v>
      </c>
      <c r="B980" s="30" t="n">
        <v>46320.88541666666</v>
      </c>
      <c r="C980" s="9" t="n">
        <v>46326</v>
      </c>
      <c r="D980" s="10" t="n">
        <v>0.84375</v>
      </c>
      <c r="E980" s="36" t="n">
        <v>1</v>
      </c>
      <c r="F980" s="36" t="n">
        <v>0</v>
      </c>
      <c r="G980" s="36" t="n">
        <v>0</v>
      </c>
      <c r="H980" s="36" t="n">
        <v>1</v>
      </c>
      <c r="I980" s="36" t="n">
        <v>0</v>
      </c>
      <c r="J980" s="36" t="n">
        <v>4</v>
      </c>
      <c r="K980" s="12" t="n">
        <v>48</v>
      </c>
    </row>
    <row r="981">
      <c r="A981" s="33" t="n">
        <v>46320.87152777778</v>
      </c>
      <c r="B981" s="33" t="n">
        <v>46320.88541666666</v>
      </c>
      <c r="C981" s="13" t="n">
        <v>46326</v>
      </c>
      <c r="D981" s="14" t="n">
        <v>0.8854166666666666</v>
      </c>
      <c r="E981" s="37" t="n">
        <v>3</v>
      </c>
      <c r="F981" s="37" t="n">
        <v>1</v>
      </c>
      <c r="G981" s="37" t="n">
        <v>1</v>
      </c>
      <c r="H981" s="37" t="n">
        <v>1</v>
      </c>
      <c r="I981" s="37" t="n">
        <v>0</v>
      </c>
      <c r="J981" s="37" t="n">
        <v>9</v>
      </c>
      <c r="K981" s="16" t="n">
        <v>108</v>
      </c>
    </row>
    <row r="982">
      <c r="A982" s="30" t="n">
        <v>46320.87152777778</v>
      </c>
      <c r="B982" s="30" t="n">
        <v>46320.88541666666</v>
      </c>
      <c r="C982" s="9" t="n">
        <v>46326</v>
      </c>
      <c r="D982" s="10" t="n">
        <v>0.9270833333333334</v>
      </c>
      <c r="E982" s="36" t="n">
        <v>2</v>
      </c>
      <c r="F982" s="36" t="n">
        <v>1</v>
      </c>
      <c r="G982" s="36" t="n">
        <v>0</v>
      </c>
      <c r="H982" s="36" t="n">
        <v>1</v>
      </c>
      <c r="I982" s="36" t="n">
        <v>0</v>
      </c>
      <c r="J982" s="36" t="n">
        <v>6</v>
      </c>
      <c r="K982" s="12" t="n">
        <v>72</v>
      </c>
    </row>
    <row r="983">
      <c r="A983" s="33" t="n">
        <v>46320.87152777778</v>
      </c>
      <c r="B983" s="33" t="n">
        <v>46320.88541666666</v>
      </c>
      <c r="C983" s="13" t="n">
        <v>46326</v>
      </c>
      <c r="D983" s="14" t="n">
        <v>0.9993055555555556</v>
      </c>
      <c r="E983" s="37" t="n">
        <v>1</v>
      </c>
      <c r="F983" s="37" t="n">
        <v>0</v>
      </c>
      <c r="G983" s="37" t="n">
        <v>0</v>
      </c>
      <c r="H983" s="37" t="n">
        <v>1</v>
      </c>
      <c r="I983" s="37" t="n">
        <v>0</v>
      </c>
      <c r="J983" s="37" t="n">
        <v>4</v>
      </c>
      <c r="K983" s="16" t="n">
        <v>48</v>
      </c>
    </row>
    <row r="984">
      <c r="A984" s="30" t="n">
        <v>46320.88541666666</v>
      </c>
      <c r="B984" s="30" t="n">
        <v>46320.88888888889</v>
      </c>
      <c r="C984" s="9" t="n">
        <v>46320</v>
      </c>
      <c r="D984" s="10" t="n">
        <v>0.9993055555555556</v>
      </c>
      <c r="E984" s="36" t="n">
        <v>4</v>
      </c>
      <c r="F984" s="36" t="n">
        <v>0</v>
      </c>
      <c r="G984" s="36" t="n">
        <v>0</v>
      </c>
      <c r="H984" s="36" t="n">
        <v>4</v>
      </c>
      <c r="I984" s="36" t="n">
        <v>0</v>
      </c>
      <c r="J984" s="36" t="n">
        <v>16</v>
      </c>
      <c r="K984" s="12" t="n">
        <v>192</v>
      </c>
    </row>
    <row r="985">
      <c r="A985" s="33" t="n">
        <v>46320.88541666666</v>
      </c>
      <c r="B985" s="33" t="n">
        <v>46320.88888888889</v>
      </c>
      <c r="C985" s="13" t="n">
        <v>46326</v>
      </c>
      <c r="D985" s="14" t="n">
        <v>0.9270833333333334</v>
      </c>
      <c r="E985" s="37" t="n">
        <v>1</v>
      </c>
      <c r="F985" s="37" t="n">
        <v>1</v>
      </c>
      <c r="G985" s="37" t="n">
        <v>0</v>
      </c>
      <c r="H985" s="37" t="n">
        <v>0</v>
      </c>
      <c r="I985" s="37" t="n">
        <v>0</v>
      </c>
      <c r="J985" s="37" t="n">
        <v>2</v>
      </c>
      <c r="K985" s="16" t="n">
        <v>24</v>
      </c>
    </row>
    <row r="986">
      <c r="A986" s="30" t="n">
        <v>46320.88888888889</v>
      </c>
      <c r="B986" s="30" t="n">
        <v>46320.89444444444</v>
      </c>
      <c r="C986" s="9" t="n">
        <v>46320</v>
      </c>
      <c r="D986" s="10" t="n">
        <v>0.9993055555555556</v>
      </c>
      <c r="E986" s="36" t="n">
        <v>2</v>
      </c>
      <c r="F986" s="36" t="n">
        <v>1</v>
      </c>
      <c r="G986" s="36" t="n">
        <v>0</v>
      </c>
      <c r="H986" s="36" t="n">
        <v>1</v>
      </c>
      <c r="I986" s="36" t="n">
        <v>0</v>
      </c>
      <c r="J986" s="36" t="n">
        <v>6</v>
      </c>
      <c r="K986" s="12" t="n">
        <v>72</v>
      </c>
    </row>
    <row r="987">
      <c r="A987" s="33" t="n">
        <v>46320.89444444444</v>
      </c>
      <c r="B987" s="33" t="n">
        <v>46320.90069444444</v>
      </c>
      <c r="C987" s="13" t="n">
        <v>46320</v>
      </c>
      <c r="D987" s="14" t="n">
        <v>0.9993055555555556</v>
      </c>
      <c r="E987" s="37" t="n">
        <v>6</v>
      </c>
      <c r="F987" s="37" t="n">
        <v>3</v>
      </c>
      <c r="G987" s="37" t="n">
        <v>0</v>
      </c>
      <c r="H987" s="37" t="n">
        <v>2</v>
      </c>
      <c r="I987" s="37" t="n">
        <v>1</v>
      </c>
      <c r="J987" s="37" t="n">
        <v>19</v>
      </c>
      <c r="K987" s="16" t="n">
        <v>228</v>
      </c>
    </row>
    <row r="988">
      <c r="A988" s="30" t="n">
        <v>46320.89444444444</v>
      </c>
      <c r="B988" s="30" t="n">
        <v>46320.90069444444</v>
      </c>
      <c r="C988" s="9" t="n">
        <v>46325</v>
      </c>
      <c r="D988" s="10" t="n">
        <v>0.9270833333333334</v>
      </c>
      <c r="E988" s="36" t="n">
        <v>1</v>
      </c>
      <c r="F988" s="36" t="n">
        <v>0</v>
      </c>
      <c r="G988" s="36" t="n">
        <v>1</v>
      </c>
      <c r="H988" s="36" t="n">
        <v>0</v>
      </c>
      <c r="I988" s="36" t="n">
        <v>0</v>
      </c>
      <c r="J988" s="36" t="n">
        <v>3</v>
      </c>
      <c r="K988" s="12" t="n">
        <v>36</v>
      </c>
    </row>
    <row r="989">
      <c r="A989" s="33" t="n">
        <v>46320.89444444444</v>
      </c>
      <c r="B989" s="33" t="n">
        <v>46320.90069444444</v>
      </c>
      <c r="C989" s="13" t="n">
        <v>46325</v>
      </c>
      <c r="D989" s="14" t="n">
        <v>0.9993055555555556</v>
      </c>
      <c r="E989" s="37" t="n">
        <v>1</v>
      </c>
      <c r="F989" s="37" t="n">
        <v>0</v>
      </c>
      <c r="G989" s="37" t="n">
        <v>0</v>
      </c>
      <c r="H989" s="37" t="n">
        <v>0</v>
      </c>
      <c r="I989" s="37" t="n">
        <v>1</v>
      </c>
      <c r="J989" s="37" t="n">
        <v>5</v>
      </c>
      <c r="K989" s="16" t="n">
        <v>60</v>
      </c>
    </row>
    <row r="990">
      <c r="A990" s="30" t="n">
        <v>46320.90069444444</v>
      </c>
      <c r="B990" s="30" t="n">
        <v>46320.90208333333</v>
      </c>
      <c r="C990" s="9" t="n">
        <v>46320</v>
      </c>
      <c r="D990" s="10" t="n">
        <v>0.9993055555555556</v>
      </c>
      <c r="E990" s="36" t="n">
        <v>2</v>
      </c>
      <c r="F990" s="36" t="n">
        <v>0</v>
      </c>
      <c r="G990" s="36" t="n">
        <v>1</v>
      </c>
      <c r="H990" s="36" t="n">
        <v>0</v>
      </c>
      <c r="I990" s="36" t="n">
        <v>1</v>
      </c>
      <c r="J990" s="36" t="n">
        <v>8</v>
      </c>
      <c r="K990" s="12" t="n">
        <v>96</v>
      </c>
    </row>
    <row r="991">
      <c r="A991" s="33" t="n">
        <v>46320.90069444444</v>
      </c>
      <c r="B991" s="33" t="n">
        <v>46320.90208333333</v>
      </c>
      <c r="C991" s="13" t="n">
        <v>46325</v>
      </c>
      <c r="D991" s="14" t="n">
        <v>0.8854166666666666</v>
      </c>
      <c r="E991" s="37" t="n">
        <v>1</v>
      </c>
      <c r="F991" s="37" t="n">
        <v>1</v>
      </c>
      <c r="G991" s="37" t="n">
        <v>0</v>
      </c>
      <c r="H991" s="37" t="n">
        <v>0</v>
      </c>
      <c r="I991" s="37" t="n">
        <v>0</v>
      </c>
      <c r="J991" s="37" t="n">
        <v>2</v>
      </c>
      <c r="K991" s="16" t="n">
        <v>24</v>
      </c>
    </row>
    <row r="992">
      <c r="A992" s="30" t="n">
        <v>46320.90069444444</v>
      </c>
      <c r="B992" s="30" t="n">
        <v>46320.90208333333</v>
      </c>
      <c r="C992" s="9" t="n">
        <v>46326</v>
      </c>
      <c r="D992" s="10" t="n">
        <v>0.8854166666666666</v>
      </c>
      <c r="E992" s="36" t="n">
        <v>1</v>
      </c>
      <c r="F992" s="36" t="n">
        <v>1</v>
      </c>
      <c r="G992" s="36" t="n">
        <v>0</v>
      </c>
      <c r="H992" s="36" t="n">
        <v>0</v>
      </c>
      <c r="I992" s="36" t="n">
        <v>0</v>
      </c>
      <c r="J992" s="36" t="n">
        <v>2</v>
      </c>
      <c r="K992" s="12" t="n">
        <v>24</v>
      </c>
    </row>
    <row r="993">
      <c r="A993" s="33" t="n">
        <v>46320.90069444444</v>
      </c>
      <c r="B993" s="33" t="n">
        <v>46320.90208333333</v>
      </c>
      <c r="C993" s="13" t="n">
        <v>46327</v>
      </c>
      <c r="D993" s="14" t="n">
        <v>0.8854166666666666</v>
      </c>
      <c r="E993" s="37" t="n">
        <v>1</v>
      </c>
      <c r="F993" s="37" t="n">
        <v>1</v>
      </c>
      <c r="G993" s="37" t="n">
        <v>0</v>
      </c>
      <c r="H993" s="37" t="n">
        <v>0</v>
      </c>
      <c r="I993" s="37" t="n">
        <v>0</v>
      </c>
      <c r="J993" s="37" t="n">
        <v>2</v>
      </c>
      <c r="K993" s="16" t="n">
        <v>24</v>
      </c>
    </row>
    <row r="994">
      <c r="A994" s="30" t="n">
        <v>46320.90208333333</v>
      </c>
      <c r="B994" s="30" t="n">
        <v>46320.90347222222</v>
      </c>
      <c r="C994" s="9" t="n">
        <v>46320</v>
      </c>
      <c r="D994" s="10" t="n">
        <v>0.9993055555555556</v>
      </c>
      <c r="E994" s="36" t="n">
        <v>1</v>
      </c>
      <c r="F994" s="36" t="n">
        <v>1</v>
      </c>
      <c r="G994" s="36" t="n">
        <v>0</v>
      </c>
      <c r="H994" s="36" t="n">
        <v>0</v>
      </c>
      <c r="I994" s="36" t="n">
        <v>0</v>
      </c>
      <c r="J994" s="36" t="n">
        <v>2</v>
      </c>
      <c r="K994" s="12" t="n">
        <v>24</v>
      </c>
    </row>
    <row r="995">
      <c r="A995" s="33" t="n">
        <v>46320.90347222222</v>
      </c>
      <c r="B995" s="33" t="n">
        <v>46320.91319444445</v>
      </c>
      <c r="C995" s="13" t="n">
        <v>46320</v>
      </c>
      <c r="D995" s="14" t="n">
        <v>0.9993055555555556</v>
      </c>
      <c r="E995" s="37" t="n">
        <v>3</v>
      </c>
      <c r="F995" s="37" t="n">
        <v>2</v>
      </c>
      <c r="G995" s="37" t="n">
        <v>0</v>
      </c>
      <c r="H995" s="37" t="n">
        <v>1</v>
      </c>
      <c r="I995" s="37" t="n">
        <v>0</v>
      </c>
      <c r="J995" s="37" t="n">
        <v>8</v>
      </c>
      <c r="K995" s="16" t="n">
        <v>96</v>
      </c>
    </row>
    <row r="996">
      <c r="A996" s="30" t="n">
        <v>46320.90347222222</v>
      </c>
      <c r="B996" s="30" t="n">
        <v>46320.91319444445</v>
      </c>
      <c r="C996" s="9" t="n">
        <v>46324</v>
      </c>
      <c r="D996" s="10" t="n">
        <v>0.9270833333333334</v>
      </c>
      <c r="E996" s="36" t="n">
        <v>1</v>
      </c>
      <c r="F996" s="36" t="n">
        <v>0</v>
      </c>
      <c r="G996" s="36" t="n">
        <v>0</v>
      </c>
      <c r="H996" s="36" t="n">
        <v>1</v>
      </c>
      <c r="I996" s="36" t="n">
        <v>0</v>
      </c>
      <c r="J996" s="36" t="n">
        <v>4</v>
      </c>
      <c r="K996" s="12" t="n">
        <v>48</v>
      </c>
    </row>
    <row r="997">
      <c r="A997" s="33" t="n">
        <v>46320.90347222222</v>
      </c>
      <c r="B997" s="33" t="n">
        <v>46320.91319444445</v>
      </c>
      <c r="C997" s="13" t="n">
        <v>46326</v>
      </c>
      <c r="D997" s="14" t="n">
        <v>0.9270833333333334</v>
      </c>
      <c r="E997" s="37" t="n">
        <v>1</v>
      </c>
      <c r="F997" s="37" t="n">
        <v>0</v>
      </c>
      <c r="G997" s="37" t="n">
        <v>0</v>
      </c>
      <c r="H997" s="37" t="n">
        <v>0</v>
      </c>
      <c r="I997" s="37" t="n">
        <v>1</v>
      </c>
      <c r="J997" s="37" t="n">
        <v>5</v>
      </c>
      <c r="K997" s="16" t="n">
        <v>60</v>
      </c>
    </row>
    <row r="998">
      <c r="A998" s="30" t="n">
        <v>46320.91319444445</v>
      </c>
      <c r="B998" s="30" t="n">
        <v>46320.91805555556</v>
      </c>
      <c r="C998" s="9" t="n">
        <v>46320</v>
      </c>
      <c r="D998" s="10" t="n">
        <v>0.9993055555555556</v>
      </c>
      <c r="E998" s="36" t="n">
        <v>1</v>
      </c>
      <c r="F998" s="36" t="n">
        <v>1</v>
      </c>
      <c r="G998" s="36" t="n">
        <v>0</v>
      </c>
      <c r="H998" s="36" t="n">
        <v>0</v>
      </c>
      <c r="I998" s="36" t="n">
        <v>0</v>
      </c>
      <c r="J998" s="36" t="n">
        <v>2</v>
      </c>
      <c r="K998" s="12" t="n">
        <v>24</v>
      </c>
    </row>
    <row r="999">
      <c r="A999" s="33" t="n">
        <v>46320.91319444445</v>
      </c>
      <c r="B999" s="33" t="n">
        <v>46320.91805555556</v>
      </c>
      <c r="C999" s="13" t="n">
        <v>46325</v>
      </c>
      <c r="D999" s="14" t="n">
        <v>0.9270833333333334</v>
      </c>
      <c r="E999" s="37" t="n">
        <v>1</v>
      </c>
      <c r="F999" s="37" t="n">
        <v>1</v>
      </c>
      <c r="G999" s="37" t="n">
        <v>0</v>
      </c>
      <c r="H999" s="37" t="n">
        <v>0</v>
      </c>
      <c r="I999" s="37" t="n">
        <v>0</v>
      </c>
      <c r="J999" s="37" t="n">
        <v>2</v>
      </c>
      <c r="K999" s="16" t="n">
        <v>24</v>
      </c>
    </row>
    <row r="1000">
      <c r="A1000" s="30" t="n">
        <v>46320.91319444445</v>
      </c>
      <c r="B1000" s="30" t="n">
        <v>46320.91805555556</v>
      </c>
      <c r="C1000" s="9" t="n">
        <v>46326</v>
      </c>
      <c r="D1000" s="10" t="n">
        <v>0.84375</v>
      </c>
      <c r="E1000" s="36" t="n">
        <v>1</v>
      </c>
      <c r="F1000" s="36" t="n">
        <v>1</v>
      </c>
      <c r="G1000" s="36" t="n">
        <v>0</v>
      </c>
      <c r="H1000" s="36" t="n">
        <v>0</v>
      </c>
      <c r="I1000" s="36" t="n">
        <v>0</v>
      </c>
      <c r="J1000" s="36" t="n">
        <v>2</v>
      </c>
      <c r="K1000" s="12" t="n">
        <v>24</v>
      </c>
    </row>
    <row r="1001">
      <c r="A1001" s="33" t="n">
        <v>46320.91319444445</v>
      </c>
      <c r="B1001" s="33" t="n">
        <v>46320.91805555556</v>
      </c>
      <c r="C1001" s="13" t="n">
        <v>46328</v>
      </c>
      <c r="D1001" s="14" t="n">
        <v>0.9270833333333334</v>
      </c>
      <c r="E1001" s="37" t="n">
        <v>0</v>
      </c>
      <c r="F1001" s="37" t="n">
        <v>0</v>
      </c>
      <c r="G1001" s="37" t="n">
        <v>0</v>
      </c>
      <c r="H1001" s="37" t="n">
        <v>0</v>
      </c>
      <c r="I1001" s="37" t="n">
        <v>0</v>
      </c>
      <c r="J1001" s="37" t="n">
        <v>1</v>
      </c>
      <c r="K1001" s="16" t="n">
        <v>15</v>
      </c>
    </row>
    <row r="1002">
      <c r="A1002" s="30" t="n">
        <v>46320.91805555556</v>
      </c>
      <c r="B1002" s="30" t="n">
        <v>46320.92569444444</v>
      </c>
      <c r="C1002" s="9" t="n">
        <v>46320</v>
      </c>
      <c r="D1002" s="10" t="n">
        <v>0.9993055555555556</v>
      </c>
      <c r="E1002" s="36" t="n">
        <v>1</v>
      </c>
      <c r="F1002" s="36" t="n">
        <v>0</v>
      </c>
      <c r="G1002" s="36" t="n">
        <v>0</v>
      </c>
      <c r="H1002" s="36" t="n">
        <v>1</v>
      </c>
      <c r="I1002" s="36" t="n">
        <v>0</v>
      </c>
      <c r="J1002" s="36" t="n">
        <v>4</v>
      </c>
      <c r="K1002" s="12" t="n">
        <v>48</v>
      </c>
    </row>
    <row r="1003">
      <c r="A1003" s="33" t="n">
        <v>46320.91805555556</v>
      </c>
      <c r="B1003" s="33" t="n">
        <v>46320.92569444444</v>
      </c>
      <c r="C1003" s="13" t="n">
        <v>46325</v>
      </c>
      <c r="D1003" s="14" t="n">
        <v>0.96875</v>
      </c>
      <c r="E1003" s="37" t="n">
        <v>1</v>
      </c>
      <c r="F1003" s="37" t="n">
        <v>0</v>
      </c>
      <c r="G1003" s="37" t="n">
        <v>0</v>
      </c>
      <c r="H1003" s="37" t="n">
        <v>1</v>
      </c>
      <c r="I1003" s="37" t="n">
        <v>0</v>
      </c>
      <c r="J1003" s="37" t="n">
        <v>4</v>
      </c>
      <c r="K1003" s="16" t="n">
        <v>48</v>
      </c>
    </row>
    <row r="1004">
      <c r="A1004" s="30" t="n">
        <v>46320.91805555556</v>
      </c>
      <c r="B1004" s="30" t="n">
        <v>46320.92569444444</v>
      </c>
      <c r="C1004" s="9" t="n">
        <v>46326</v>
      </c>
      <c r="D1004" s="10" t="n">
        <v>0.96875</v>
      </c>
      <c r="E1004" s="36" t="n">
        <v>1</v>
      </c>
      <c r="F1004" s="36" t="n">
        <v>0</v>
      </c>
      <c r="G1004" s="36" t="n">
        <v>0</v>
      </c>
      <c r="H1004" s="36" t="n">
        <v>0</v>
      </c>
      <c r="I1004" s="36" t="n">
        <v>1</v>
      </c>
      <c r="J1004" s="36" t="n">
        <v>5</v>
      </c>
      <c r="K1004" s="12" t="n">
        <v>60</v>
      </c>
    </row>
    <row r="1005">
      <c r="A1005" s="33" t="n">
        <v>46320.91805555556</v>
      </c>
      <c r="B1005" s="33" t="n">
        <v>46320.92569444444</v>
      </c>
      <c r="C1005" s="13" t="n">
        <v>46328</v>
      </c>
      <c r="D1005" s="14" t="n">
        <v>0.9270833333333334</v>
      </c>
      <c r="E1005" s="37" t="n">
        <v>0</v>
      </c>
      <c r="F1005" s="37" t="n">
        <v>0</v>
      </c>
      <c r="G1005" s="37" t="n">
        <v>0</v>
      </c>
      <c r="H1005" s="37" t="n">
        <v>0</v>
      </c>
      <c r="I1005" s="37" t="n">
        <v>0</v>
      </c>
      <c r="J1005" s="37" t="n">
        <v>1</v>
      </c>
      <c r="K1005" s="16" t="n">
        <v>15</v>
      </c>
    </row>
    <row r="1006">
      <c r="A1006" s="30" t="n">
        <v>46320.92569444444</v>
      </c>
      <c r="B1006" s="30" t="n">
        <v>46320.93194444444</v>
      </c>
      <c r="C1006" s="9" t="n">
        <v>46326</v>
      </c>
      <c r="D1006" s="10" t="n">
        <v>0.9993055555555556</v>
      </c>
      <c r="E1006" s="36" t="n">
        <v>1</v>
      </c>
      <c r="F1006" s="36" t="n">
        <v>1</v>
      </c>
      <c r="G1006" s="36" t="n">
        <v>0</v>
      </c>
      <c r="H1006" s="36" t="n">
        <v>0</v>
      </c>
      <c r="I1006" s="36" t="n">
        <v>0</v>
      </c>
      <c r="J1006" s="36" t="n">
        <v>2</v>
      </c>
      <c r="K1006" s="12" t="n">
        <v>24</v>
      </c>
    </row>
    <row r="1007">
      <c r="A1007" s="33" t="n">
        <v>46320.92569444444</v>
      </c>
      <c r="B1007" s="33" t="n">
        <v>46320.93194444444</v>
      </c>
      <c r="C1007" s="13" t="n">
        <v>46328</v>
      </c>
      <c r="D1007" s="14" t="n">
        <v>0.9270833333333334</v>
      </c>
      <c r="E1007" s="37" t="n">
        <v>0</v>
      </c>
      <c r="F1007" s="37" t="n">
        <v>0</v>
      </c>
      <c r="G1007" s="37" t="n">
        <v>0</v>
      </c>
      <c r="H1007" s="37" t="n">
        <v>0</v>
      </c>
      <c r="I1007" s="37" t="n">
        <v>0</v>
      </c>
      <c r="J1007" s="37" t="n">
        <v>1</v>
      </c>
      <c r="K1007" s="16" t="n">
        <v>15</v>
      </c>
    </row>
    <row r="1008">
      <c r="A1008" s="30" t="n">
        <v>46320.93194444444</v>
      </c>
      <c r="B1008" s="30" t="n">
        <v>46320.93958333333</v>
      </c>
      <c r="C1008" s="9" t="n">
        <v>46324</v>
      </c>
      <c r="D1008" s="10" t="n">
        <v>0.96875</v>
      </c>
      <c r="E1008" s="36" t="n">
        <v>1</v>
      </c>
      <c r="F1008" s="36" t="n">
        <v>1</v>
      </c>
      <c r="G1008" s="36" t="n">
        <v>0</v>
      </c>
      <c r="H1008" s="36" t="n">
        <v>0</v>
      </c>
      <c r="I1008" s="36" t="n">
        <v>0</v>
      </c>
      <c r="J1008" s="36" t="n">
        <v>2</v>
      </c>
      <c r="K1008" s="12" t="n">
        <v>24</v>
      </c>
    </row>
    <row r="1009">
      <c r="A1009" s="33" t="n">
        <v>46320.93194444444</v>
      </c>
      <c r="B1009" s="33" t="n">
        <v>46320.93958333333</v>
      </c>
      <c r="C1009" s="13" t="n">
        <v>46325</v>
      </c>
      <c r="D1009" s="14" t="n">
        <v>0.9270833333333334</v>
      </c>
      <c r="E1009" s="37" t="n">
        <v>1</v>
      </c>
      <c r="F1009" s="37" t="n">
        <v>0</v>
      </c>
      <c r="G1009" s="37" t="n">
        <v>0</v>
      </c>
      <c r="H1009" s="37" t="n">
        <v>1</v>
      </c>
      <c r="I1009" s="37" t="n">
        <v>0</v>
      </c>
      <c r="J1009" s="37" t="n">
        <v>4</v>
      </c>
      <c r="K1009" s="16" t="n">
        <v>48</v>
      </c>
    </row>
    <row r="1010">
      <c r="A1010" s="30" t="n">
        <v>46320.93194444444</v>
      </c>
      <c r="B1010" s="30" t="n">
        <v>46320.93958333333</v>
      </c>
      <c r="C1010" s="9" t="n">
        <v>46326</v>
      </c>
      <c r="D1010" s="10" t="n">
        <v>0.96875</v>
      </c>
      <c r="E1010" s="36" t="n">
        <v>1</v>
      </c>
      <c r="F1010" s="36" t="n">
        <v>0</v>
      </c>
      <c r="G1010" s="36" t="n">
        <v>0</v>
      </c>
      <c r="H1010" s="36" t="n">
        <v>1</v>
      </c>
      <c r="I1010" s="36" t="n">
        <v>0</v>
      </c>
      <c r="J1010" s="36" t="n">
        <v>4</v>
      </c>
      <c r="K1010" s="12" t="n">
        <v>48</v>
      </c>
    </row>
    <row r="1011">
      <c r="A1011" s="33" t="n">
        <v>46320.93194444444</v>
      </c>
      <c r="B1011" s="33" t="n">
        <v>46320.93958333333</v>
      </c>
      <c r="C1011" s="13" t="n">
        <v>46326</v>
      </c>
      <c r="D1011" s="14" t="n">
        <v>0.9993055555555556</v>
      </c>
      <c r="E1011" s="37" t="n">
        <v>1</v>
      </c>
      <c r="F1011" s="37" t="n">
        <v>0</v>
      </c>
      <c r="G1011" s="37" t="n">
        <v>0</v>
      </c>
      <c r="H1011" s="37" t="n">
        <v>1</v>
      </c>
      <c r="I1011" s="37" t="n">
        <v>0</v>
      </c>
      <c r="J1011" s="37" t="n">
        <v>4</v>
      </c>
      <c r="K1011" s="16" t="n">
        <v>48</v>
      </c>
    </row>
    <row r="1012">
      <c r="A1012" s="30" t="n">
        <v>46320.94236111111</v>
      </c>
      <c r="B1012" s="30" t="n">
        <v>46320.95347222222</v>
      </c>
      <c r="C1012" s="9" t="n">
        <v>46320</v>
      </c>
      <c r="D1012" s="10" t="n">
        <v>0.9993055555555556</v>
      </c>
      <c r="E1012" s="36" t="n">
        <v>1</v>
      </c>
      <c r="F1012" s="36" t="n">
        <v>0</v>
      </c>
      <c r="G1012" s="36" t="n">
        <v>0</v>
      </c>
      <c r="H1012" s="36" t="n">
        <v>1</v>
      </c>
      <c r="I1012" s="36" t="n">
        <v>0</v>
      </c>
      <c r="J1012" s="36" t="n">
        <v>4</v>
      </c>
      <c r="K1012" s="12" t="n">
        <v>48</v>
      </c>
    </row>
    <row r="1013">
      <c r="A1013" s="33" t="n">
        <v>46320.94236111111</v>
      </c>
      <c r="B1013" s="33" t="n">
        <v>46320.95347222222</v>
      </c>
      <c r="C1013" s="13" t="n">
        <v>46325</v>
      </c>
      <c r="D1013" s="14" t="n">
        <v>0.9270833333333334</v>
      </c>
      <c r="E1013" s="37" t="n">
        <v>1</v>
      </c>
      <c r="F1013" s="37" t="n">
        <v>1</v>
      </c>
      <c r="G1013" s="37" t="n">
        <v>0</v>
      </c>
      <c r="H1013" s="37" t="n">
        <v>0</v>
      </c>
      <c r="I1013" s="37" t="n">
        <v>0</v>
      </c>
      <c r="J1013" s="37" t="n">
        <v>2</v>
      </c>
      <c r="K1013" s="16" t="n">
        <v>24</v>
      </c>
    </row>
    <row r="1014">
      <c r="A1014" s="30" t="n">
        <v>46320.94236111111</v>
      </c>
      <c r="B1014" s="30" t="n">
        <v>46320.95347222222</v>
      </c>
      <c r="C1014" s="9" t="n">
        <v>46326</v>
      </c>
      <c r="D1014" s="10" t="n">
        <v>0.8854166666666666</v>
      </c>
      <c r="E1014" s="36" t="n">
        <v>1</v>
      </c>
      <c r="F1014" s="36" t="n">
        <v>1</v>
      </c>
      <c r="G1014" s="36" t="n">
        <v>0</v>
      </c>
      <c r="H1014" s="36" t="n">
        <v>0</v>
      </c>
      <c r="I1014" s="36" t="n">
        <v>0</v>
      </c>
      <c r="J1014" s="36" t="n">
        <v>2</v>
      </c>
      <c r="K1014" s="12" t="n">
        <v>24</v>
      </c>
    </row>
    <row r="1015">
      <c r="A1015" s="33" t="n">
        <v>46320.94236111111</v>
      </c>
      <c r="B1015" s="33" t="n">
        <v>46320.95347222222</v>
      </c>
      <c r="C1015" s="13" t="n">
        <v>46326</v>
      </c>
      <c r="D1015" s="14" t="n">
        <v>0.9270833333333334</v>
      </c>
      <c r="E1015" s="37" t="n">
        <v>1</v>
      </c>
      <c r="F1015" s="37" t="n">
        <v>1</v>
      </c>
      <c r="G1015" s="37" t="n">
        <v>0</v>
      </c>
      <c r="H1015" s="37" t="n">
        <v>0</v>
      </c>
      <c r="I1015" s="37" t="n">
        <v>0</v>
      </c>
      <c r="J1015" s="37" t="n">
        <v>2</v>
      </c>
      <c r="K1015" s="16" t="n">
        <v>24</v>
      </c>
    </row>
    <row r="1016">
      <c r="A1016" s="30" t="n">
        <v>46320.94236111111</v>
      </c>
      <c r="B1016" s="30" t="n">
        <v>46320.95347222222</v>
      </c>
      <c r="C1016" s="9" t="n">
        <v>46326</v>
      </c>
      <c r="D1016" s="10" t="n">
        <v>0.96875</v>
      </c>
      <c r="E1016" s="36" t="n">
        <v>1</v>
      </c>
      <c r="F1016" s="36" t="n">
        <v>0</v>
      </c>
      <c r="G1016" s="36" t="n">
        <v>0</v>
      </c>
      <c r="H1016" s="36" t="n">
        <v>1</v>
      </c>
      <c r="I1016" s="36" t="n">
        <v>0</v>
      </c>
      <c r="J1016" s="36" t="n">
        <v>4</v>
      </c>
      <c r="K1016" s="12" t="n">
        <v>48</v>
      </c>
    </row>
    <row r="1017">
      <c r="A1017" s="33" t="n">
        <v>46320.95347222222</v>
      </c>
      <c r="B1017" s="33" t="n">
        <v>46320.95694444444</v>
      </c>
      <c r="C1017" s="13" t="n">
        <v>46326</v>
      </c>
      <c r="D1017" s="14" t="n">
        <v>0.9993055555555556</v>
      </c>
      <c r="E1017" s="37" t="n">
        <v>1</v>
      </c>
      <c r="F1017" s="37" t="n">
        <v>0</v>
      </c>
      <c r="G1017" s="37" t="n">
        <v>0</v>
      </c>
      <c r="H1017" s="37" t="n">
        <v>0</v>
      </c>
      <c r="I1017" s="37" t="n">
        <v>1</v>
      </c>
      <c r="J1017" s="37" t="n">
        <v>5</v>
      </c>
      <c r="K1017" s="16" t="n">
        <v>60</v>
      </c>
    </row>
    <row r="1018">
      <c r="A1018" s="30" t="n">
        <v>46320.95694444444</v>
      </c>
      <c r="B1018" s="30" t="n">
        <v>46320.9625</v>
      </c>
      <c r="C1018" s="9" t="n">
        <v>46326</v>
      </c>
      <c r="D1018" s="10" t="n">
        <v>0.9270833333333334</v>
      </c>
      <c r="E1018" s="36" t="n">
        <v>2</v>
      </c>
      <c r="F1018" s="36" t="n">
        <v>0</v>
      </c>
      <c r="G1018" s="36" t="n">
        <v>0</v>
      </c>
      <c r="H1018" s="36" t="n">
        <v>2</v>
      </c>
      <c r="I1018" s="36" t="n">
        <v>0</v>
      </c>
      <c r="J1018" s="36" t="n">
        <v>8</v>
      </c>
      <c r="K1018" s="12" t="n">
        <v>96</v>
      </c>
    </row>
    <row r="1019">
      <c r="A1019" s="33" t="n">
        <v>46320.95694444444</v>
      </c>
      <c r="B1019" s="33" t="n">
        <v>46320.9625</v>
      </c>
      <c r="C1019" s="13" t="n">
        <v>46326</v>
      </c>
      <c r="D1019" s="14" t="n">
        <v>0.96875</v>
      </c>
      <c r="E1019" s="37" t="n">
        <v>2</v>
      </c>
      <c r="F1019" s="37" t="n">
        <v>0</v>
      </c>
      <c r="G1019" s="37" t="n">
        <v>0</v>
      </c>
      <c r="H1019" s="37" t="n">
        <v>2</v>
      </c>
      <c r="I1019" s="37" t="n">
        <v>0</v>
      </c>
      <c r="J1019" s="37" t="n">
        <v>8</v>
      </c>
      <c r="K1019" s="16" t="n">
        <v>96</v>
      </c>
    </row>
    <row r="1020">
      <c r="A1020" s="30" t="n">
        <v>46320.9625</v>
      </c>
      <c r="B1020" s="30" t="n">
        <v>46320.97152777778</v>
      </c>
      <c r="C1020" s="9" t="n">
        <v>46324</v>
      </c>
      <c r="D1020" s="10" t="n">
        <v>0.8854166666666666</v>
      </c>
      <c r="E1020" s="36" t="n">
        <v>1</v>
      </c>
      <c r="F1020" s="36" t="n">
        <v>0</v>
      </c>
      <c r="G1020" s="36" t="n">
        <v>0</v>
      </c>
      <c r="H1020" s="36" t="n">
        <v>1</v>
      </c>
      <c r="I1020" s="36" t="n">
        <v>0</v>
      </c>
      <c r="J1020" s="36" t="n">
        <v>4</v>
      </c>
      <c r="K1020" s="12" t="n">
        <v>48</v>
      </c>
    </row>
    <row r="1021">
      <c r="A1021" s="33" t="n">
        <v>46320.9625</v>
      </c>
      <c r="B1021" s="33" t="n">
        <v>46320.97152777778</v>
      </c>
      <c r="C1021" s="13" t="n">
        <v>46324</v>
      </c>
      <c r="D1021" s="14" t="n">
        <v>0.9993055555555556</v>
      </c>
      <c r="E1021" s="37" t="n">
        <v>1</v>
      </c>
      <c r="F1021" s="37" t="n">
        <v>1</v>
      </c>
      <c r="G1021" s="37" t="n">
        <v>0</v>
      </c>
      <c r="H1021" s="37" t="n">
        <v>0</v>
      </c>
      <c r="I1021" s="37" t="n">
        <v>0</v>
      </c>
      <c r="J1021" s="37" t="n">
        <v>2</v>
      </c>
      <c r="K1021" s="16" t="n">
        <v>24</v>
      </c>
    </row>
    <row r="1022">
      <c r="A1022" s="30" t="n">
        <v>46320.9625</v>
      </c>
      <c r="B1022" s="30" t="n">
        <v>46320.97152777778</v>
      </c>
      <c r="C1022" s="9" t="n">
        <v>46325</v>
      </c>
      <c r="D1022" s="10" t="n">
        <v>0.96875</v>
      </c>
      <c r="E1022" s="36" t="n">
        <v>1</v>
      </c>
      <c r="F1022" s="36" t="n">
        <v>1</v>
      </c>
      <c r="G1022" s="36" t="n">
        <v>0</v>
      </c>
      <c r="H1022" s="36" t="n">
        <v>0</v>
      </c>
      <c r="I1022" s="36" t="n">
        <v>0</v>
      </c>
      <c r="J1022" s="36" t="n">
        <v>2</v>
      </c>
      <c r="K1022" s="12" t="n">
        <v>24</v>
      </c>
    </row>
    <row r="1023">
      <c r="A1023" s="33" t="n">
        <v>46320.9625</v>
      </c>
      <c r="B1023" s="33" t="n">
        <v>46320.97152777778</v>
      </c>
      <c r="C1023" s="13" t="n">
        <v>46326</v>
      </c>
      <c r="D1023" s="14" t="n">
        <v>0.9993055555555556</v>
      </c>
      <c r="E1023" s="37" t="n">
        <v>1</v>
      </c>
      <c r="F1023" s="37" t="n">
        <v>0</v>
      </c>
      <c r="G1023" s="37" t="n">
        <v>0</v>
      </c>
      <c r="H1023" s="37" t="n">
        <v>1</v>
      </c>
      <c r="I1023" s="37" t="n">
        <v>0</v>
      </c>
      <c r="J1023" s="37" t="n">
        <v>4</v>
      </c>
      <c r="K1023" s="16" t="n">
        <v>48</v>
      </c>
    </row>
    <row r="1024">
      <c r="A1024" s="30" t="n">
        <v>46320.97152777778</v>
      </c>
      <c r="B1024" s="30" t="n">
        <v>46320.98055555556</v>
      </c>
      <c r="C1024" s="9" t="n">
        <v>46324</v>
      </c>
      <c r="D1024" s="10" t="n">
        <v>0.96875</v>
      </c>
      <c r="E1024" s="36" t="n">
        <v>1</v>
      </c>
      <c r="F1024" s="36" t="n">
        <v>1</v>
      </c>
      <c r="G1024" s="36" t="n">
        <v>0</v>
      </c>
      <c r="H1024" s="36" t="n">
        <v>0</v>
      </c>
      <c r="I1024" s="36" t="n">
        <v>0</v>
      </c>
      <c r="J1024" s="36" t="n">
        <v>2</v>
      </c>
      <c r="K1024" s="12" t="n">
        <v>24</v>
      </c>
    </row>
    <row r="1025">
      <c r="A1025" s="33" t="n">
        <v>46320.97152777778</v>
      </c>
      <c r="B1025" s="33" t="n">
        <v>46320.98055555556</v>
      </c>
      <c r="C1025" s="13" t="n">
        <v>46325</v>
      </c>
      <c r="D1025" s="14" t="n">
        <v>0.96875</v>
      </c>
      <c r="E1025" s="37" t="n">
        <v>2</v>
      </c>
      <c r="F1025" s="37" t="n">
        <v>0</v>
      </c>
      <c r="G1025" s="37" t="n">
        <v>0</v>
      </c>
      <c r="H1025" s="37" t="n">
        <v>1</v>
      </c>
      <c r="I1025" s="37" t="n">
        <v>1</v>
      </c>
      <c r="J1025" s="37" t="n">
        <v>9</v>
      </c>
      <c r="K1025" s="16" t="n">
        <v>108</v>
      </c>
    </row>
    <row r="1026">
      <c r="A1026" s="30" t="n">
        <v>46320.97152777778</v>
      </c>
      <c r="B1026" s="30" t="n">
        <v>46320.98055555556</v>
      </c>
      <c r="C1026" s="9" t="n">
        <v>46326</v>
      </c>
      <c r="D1026" s="10" t="n">
        <v>0.9270833333333334</v>
      </c>
      <c r="E1026" s="36" t="n">
        <v>2</v>
      </c>
      <c r="F1026" s="36" t="n">
        <v>0</v>
      </c>
      <c r="G1026" s="36" t="n">
        <v>0</v>
      </c>
      <c r="H1026" s="36" t="n">
        <v>1</v>
      </c>
      <c r="I1026" s="36" t="n">
        <v>1</v>
      </c>
      <c r="J1026" s="36" t="n">
        <v>9</v>
      </c>
      <c r="K1026" s="12" t="n">
        <v>108</v>
      </c>
    </row>
    <row r="1027">
      <c r="A1027" s="33" t="n">
        <v>46320.97152777778</v>
      </c>
      <c r="B1027" s="33" t="n">
        <v>46320.98055555556</v>
      </c>
      <c r="C1027" s="13" t="n">
        <v>46326</v>
      </c>
      <c r="D1027" s="14" t="n">
        <v>0.96875</v>
      </c>
      <c r="E1027" s="37" t="n">
        <v>1</v>
      </c>
      <c r="F1027" s="37" t="n">
        <v>1</v>
      </c>
      <c r="G1027" s="37" t="n">
        <v>0</v>
      </c>
      <c r="H1027" s="37" t="n">
        <v>0</v>
      </c>
      <c r="I1027" s="37" t="n">
        <v>0</v>
      </c>
      <c r="J1027" s="37" t="n">
        <v>2</v>
      </c>
      <c r="K1027" s="16" t="n">
        <v>24</v>
      </c>
    </row>
    <row r="1028">
      <c r="A1028" s="30" t="n">
        <v>46320.98055555556</v>
      </c>
      <c r="B1028" s="30" t="n">
        <v>46320.98680555556</v>
      </c>
      <c r="C1028" s="9" t="n">
        <v>46326</v>
      </c>
      <c r="D1028" s="10" t="n">
        <v>0.96875</v>
      </c>
      <c r="E1028" s="36" t="n">
        <v>2</v>
      </c>
      <c r="F1028" s="36" t="n">
        <v>0</v>
      </c>
      <c r="G1028" s="36" t="n">
        <v>0</v>
      </c>
      <c r="H1028" s="36" t="n">
        <v>1</v>
      </c>
      <c r="I1028" s="36" t="n">
        <v>1</v>
      </c>
      <c r="J1028" s="36" t="n">
        <v>9</v>
      </c>
      <c r="K1028" s="12" t="n">
        <v>108</v>
      </c>
    </row>
    <row r="1029">
      <c r="A1029" s="33" t="n">
        <v>46320.98680555556</v>
      </c>
      <c r="B1029" s="33" t="n">
        <v>46321.01458333333</v>
      </c>
      <c r="C1029" s="13" t="n">
        <v>46325</v>
      </c>
      <c r="D1029" s="14" t="n">
        <v>0.96875</v>
      </c>
      <c r="E1029" s="37" t="n">
        <v>1</v>
      </c>
      <c r="F1029" s="37" t="n">
        <v>0</v>
      </c>
      <c r="G1029" s="37" t="n">
        <v>0</v>
      </c>
      <c r="H1029" s="37" t="n">
        <v>1</v>
      </c>
      <c r="I1029" s="37" t="n">
        <v>0</v>
      </c>
      <c r="J1029" s="37" t="n">
        <v>4</v>
      </c>
      <c r="K1029" s="16" t="n">
        <v>48</v>
      </c>
    </row>
    <row r="1030">
      <c r="A1030" s="30" t="n">
        <v>46320.98680555556</v>
      </c>
      <c r="B1030" s="30" t="n">
        <v>46321.01458333333</v>
      </c>
      <c r="C1030" s="9" t="n">
        <v>46326</v>
      </c>
      <c r="D1030" s="10" t="n">
        <v>0.96875</v>
      </c>
      <c r="E1030" s="36" t="n">
        <v>1</v>
      </c>
      <c r="F1030" s="36" t="n">
        <v>0</v>
      </c>
      <c r="G1030" s="36" t="n">
        <v>0</v>
      </c>
      <c r="H1030" s="36" t="n">
        <v>1</v>
      </c>
      <c r="I1030" s="36" t="n">
        <v>0</v>
      </c>
      <c r="J1030" s="36" t="n">
        <v>4</v>
      </c>
      <c r="K1030" s="12" t="n">
        <v>48</v>
      </c>
    </row>
    <row r="1031">
      <c r="A1031" s="33" t="n">
        <v>46320.98680555556</v>
      </c>
      <c r="B1031" s="33" t="n">
        <v>46321.01458333333</v>
      </c>
      <c r="C1031" s="13" t="n">
        <v>46326</v>
      </c>
      <c r="D1031" s="14" t="n">
        <v>0.9993055555555556</v>
      </c>
      <c r="E1031" s="37" t="n">
        <v>1</v>
      </c>
      <c r="F1031" s="37" t="n">
        <v>0</v>
      </c>
      <c r="G1031" s="37" t="n">
        <v>0</v>
      </c>
      <c r="H1031" s="37" t="n">
        <v>0</v>
      </c>
      <c r="I1031" s="37" t="n">
        <v>1</v>
      </c>
      <c r="J1031" s="37" t="n">
        <v>5</v>
      </c>
      <c r="K1031" s="16" t="n">
        <v>60</v>
      </c>
    </row>
    <row r="1032">
      <c r="A1032" s="30" t="n">
        <v>46321.01458333333</v>
      </c>
      <c r="B1032" s="30" t="n">
        <v>46321.06944444445</v>
      </c>
      <c r="C1032" s="9" t="n">
        <v>46324</v>
      </c>
      <c r="D1032" s="10" t="n">
        <v>0.96875</v>
      </c>
      <c r="E1032" s="36" t="n">
        <v>1</v>
      </c>
      <c r="F1032" s="36" t="n">
        <v>0</v>
      </c>
      <c r="G1032" s="36" t="n">
        <v>0</v>
      </c>
      <c r="H1032" s="36" t="n">
        <v>0</v>
      </c>
      <c r="I1032" s="36" t="n">
        <v>1</v>
      </c>
      <c r="J1032" s="36" t="n">
        <v>5</v>
      </c>
      <c r="K1032" s="12" t="n">
        <v>60</v>
      </c>
    </row>
    <row r="1033">
      <c r="A1033" s="33" t="n">
        <v>46321.01458333333</v>
      </c>
      <c r="B1033" s="33" t="n">
        <v>46321.06944444445</v>
      </c>
      <c r="C1033" s="13" t="n">
        <v>46325</v>
      </c>
      <c r="D1033" s="14" t="n">
        <v>0.9993055555555556</v>
      </c>
      <c r="E1033" s="37" t="n">
        <v>2</v>
      </c>
      <c r="F1033" s="37" t="n">
        <v>1</v>
      </c>
      <c r="G1033" s="37" t="n">
        <v>0</v>
      </c>
      <c r="H1033" s="37" t="n">
        <v>0</v>
      </c>
      <c r="I1033" s="37" t="n">
        <v>1</v>
      </c>
      <c r="J1033" s="37" t="n">
        <v>7</v>
      </c>
      <c r="K1033" s="16" t="n">
        <v>84</v>
      </c>
    </row>
    <row r="1034">
      <c r="A1034" s="30" t="n">
        <v>46321.01458333333</v>
      </c>
      <c r="B1034" s="30" t="n">
        <v>46321.06944444445</v>
      </c>
      <c r="C1034" s="9" t="n">
        <v>46326</v>
      </c>
      <c r="D1034" s="10" t="n">
        <v>0.84375</v>
      </c>
      <c r="E1034" s="36" t="n">
        <v>1</v>
      </c>
      <c r="F1034" s="36" t="n">
        <v>1</v>
      </c>
      <c r="G1034" s="36" t="n">
        <v>0</v>
      </c>
      <c r="H1034" s="36" t="n">
        <v>0</v>
      </c>
      <c r="I1034" s="36" t="n">
        <v>0</v>
      </c>
      <c r="J1034" s="36" t="n">
        <v>2</v>
      </c>
      <c r="K1034" s="12" t="n">
        <v>24</v>
      </c>
    </row>
    <row r="1035">
      <c r="A1035" s="33" t="n">
        <v>46321.01458333333</v>
      </c>
      <c r="B1035" s="33" t="n">
        <v>46321.06944444445</v>
      </c>
      <c r="C1035" s="13" t="n">
        <v>46326</v>
      </c>
      <c r="D1035" s="14" t="n">
        <v>0.9270833333333334</v>
      </c>
      <c r="E1035" s="37" t="n">
        <v>1</v>
      </c>
      <c r="F1035" s="37" t="n">
        <v>1</v>
      </c>
      <c r="G1035" s="37" t="n">
        <v>0</v>
      </c>
      <c r="H1035" s="37" t="n">
        <v>0</v>
      </c>
      <c r="I1035" s="37" t="n">
        <v>0</v>
      </c>
      <c r="J1035" s="37" t="n">
        <v>2</v>
      </c>
      <c r="K1035" s="16" t="n">
        <v>24</v>
      </c>
    </row>
    <row r="1036">
      <c r="A1036" s="30" t="n">
        <v>46321.01458333333</v>
      </c>
      <c r="B1036" s="30" t="n">
        <v>46321.06944444445</v>
      </c>
      <c r="C1036" s="9" t="n">
        <v>46326</v>
      </c>
      <c r="D1036" s="10" t="n">
        <v>0.96875</v>
      </c>
      <c r="E1036" s="36" t="n">
        <v>1</v>
      </c>
      <c r="F1036" s="36" t="n">
        <v>0</v>
      </c>
      <c r="G1036" s="36" t="n">
        <v>0</v>
      </c>
      <c r="H1036" s="36" t="n">
        <v>1</v>
      </c>
      <c r="I1036" s="36" t="n">
        <v>0</v>
      </c>
      <c r="J1036" s="36" t="n">
        <v>4</v>
      </c>
      <c r="K1036" s="12" t="n">
        <v>48</v>
      </c>
    </row>
    <row r="1037">
      <c r="A1037" s="33" t="n">
        <v>46321.01458333333</v>
      </c>
      <c r="B1037" s="33" t="n">
        <v>46321.06944444445</v>
      </c>
      <c r="C1037" s="13" t="n">
        <v>46326</v>
      </c>
      <c r="D1037" s="14" t="n">
        <v>0.9993055555555556</v>
      </c>
      <c r="E1037" s="37" t="n">
        <v>2</v>
      </c>
      <c r="F1037" s="37" t="n">
        <v>0</v>
      </c>
      <c r="G1037" s="37" t="n">
        <v>0</v>
      </c>
      <c r="H1037" s="37" t="n">
        <v>2</v>
      </c>
      <c r="I1037" s="37" t="n">
        <v>0</v>
      </c>
      <c r="J1037" s="37" t="n">
        <v>8</v>
      </c>
      <c r="K1037" s="16" t="n">
        <v>96</v>
      </c>
    </row>
    <row r="1038">
      <c r="A1038" s="30" t="n">
        <v>46321.01458333333</v>
      </c>
      <c r="B1038" s="30" t="n">
        <v>46321.06944444445</v>
      </c>
      <c r="C1038" s="9" t="n">
        <v>46327</v>
      </c>
      <c r="D1038" s="10" t="n">
        <v>0.9270833333333334</v>
      </c>
      <c r="E1038" s="36" t="n">
        <v>2</v>
      </c>
      <c r="F1038" s="36" t="n">
        <v>2</v>
      </c>
      <c r="G1038" s="36" t="n">
        <v>0</v>
      </c>
      <c r="H1038" s="36" t="n">
        <v>0</v>
      </c>
      <c r="I1038" s="36" t="n">
        <v>0</v>
      </c>
      <c r="J1038" s="36" t="n">
        <v>4</v>
      </c>
      <c r="K1038" s="12" t="n">
        <v>48</v>
      </c>
    </row>
    <row r="1039">
      <c r="A1039" s="33" t="n">
        <v>46321.06944444445</v>
      </c>
      <c r="B1039" s="33" t="n">
        <v>46321.08263888889</v>
      </c>
      <c r="C1039" s="13" t="n">
        <v>46324</v>
      </c>
      <c r="D1039" s="14" t="n">
        <v>0.96875</v>
      </c>
      <c r="E1039" s="37" t="n">
        <v>1</v>
      </c>
      <c r="F1039" s="37" t="n">
        <v>0</v>
      </c>
      <c r="G1039" s="37" t="n">
        <v>1</v>
      </c>
      <c r="H1039" s="37" t="n">
        <v>0</v>
      </c>
      <c r="I1039" s="37" t="n">
        <v>0</v>
      </c>
      <c r="J1039" s="37" t="n">
        <v>3</v>
      </c>
      <c r="K1039" s="16" t="n">
        <v>36</v>
      </c>
    </row>
    <row r="1040">
      <c r="A1040" s="30" t="n">
        <v>46321.06944444445</v>
      </c>
      <c r="B1040" s="30" t="n">
        <v>46321.08263888889</v>
      </c>
      <c r="C1040" s="9" t="n">
        <v>46327</v>
      </c>
      <c r="D1040" s="10" t="n">
        <v>0.9270833333333334</v>
      </c>
      <c r="E1040" s="36" t="n">
        <v>1</v>
      </c>
      <c r="F1040" s="36" t="n">
        <v>0</v>
      </c>
      <c r="G1040" s="36" t="n">
        <v>0</v>
      </c>
      <c r="H1040" s="36" t="n">
        <v>1</v>
      </c>
      <c r="I1040" s="36" t="n">
        <v>0</v>
      </c>
      <c r="J1040" s="36" t="n">
        <v>4</v>
      </c>
      <c r="K1040" s="12" t="n">
        <v>48</v>
      </c>
    </row>
    <row r="1041">
      <c r="A1041" s="33" t="n">
        <v>46321.27083333334</v>
      </c>
      <c r="B1041" s="33" t="n">
        <v>46321.31805555556</v>
      </c>
      <c r="C1041" s="13" t="n">
        <v>46324</v>
      </c>
      <c r="D1041" s="14" t="n">
        <v>0.9270833333333334</v>
      </c>
      <c r="E1041" s="37" t="n">
        <v>1</v>
      </c>
      <c r="F1041" s="37" t="n">
        <v>1</v>
      </c>
      <c r="G1041" s="37" t="n">
        <v>0</v>
      </c>
      <c r="H1041" s="37" t="n">
        <v>0</v>
      </c>
      <c r="I1041" s="37" t="n">
        <v>0</v>
      </c>
      <c r="J1041" s="37" t="n">
        <v>2</v>
      </c>
      <c r="K1041" s="16" t="n">
        <v>24</v>
      </c>
    </row>
    <row r="1042">
      <c r="A1042" s="30" t="n">
        <v>46321.31805555556</v>
      </c>
      <c r="B1042" s="30" t="n">
        <v>46321.36597222222</v>
      </c>
      <c r="C1042" s="9" t="n">
        <v>46324</v>
      </c>
      <c r="D1042" s="10" t="n">
        <v>0.8854166666666666</v>
      </c>
      <c r="E1042" s="36" t="n">
        <v>1</v>
      </c>
      <c r="F1042" s="36" t="n">
        <v>0</v>
      </c>
      <c r="G1042" s="36" t="n">
        <v>1</v>
      </c>
      <c r="H1042" s="36" t="n">
        <v>0</v>
      </c>
      <c r="I1042" s="36" t="n">
        <v>0</v>
      </c>
      <c r="J1042" s="36" t="n">
        <v>3</v>
      </c>
      <c r="K1042" s="12" t="n">
        <v>36</v>
      </c>
    </row>
    <row r="1043">
      <c r="A1043" s="33" t="n">
        <v>46321.31805555556</v>
      </c>
      <c r="B1043" s="33" t="n">
        <v>46321.36597222222</v>
      </c>
      <c r="C1043" s="13" t="n">
        <v>46326</v>
      </c>
      <c r="D1043" s="14" t="n">
        <v>0.9270833333333334</v>
      </c>
      <c r="E1043" s="37" t="n">
        <v>1</v>
      </c>
      <c r="F1043" s="37" t="n">
        <v>0</v>
      </c>
      <c r="G1043" s="37" t="n">
        <v>0</v>
      </c>
      <c r="H1043" s="37" t="n">
        <v>1</v>
      </c>
      <c r="I1043" s="37" t="n">
        <v>0</v>
      </c>
      <c r="J1043" s="37" t="n">
        <v>4</v>
      </c>
      <c r="K1043" s="16" t="n">
        <v>48</v>
      </c>
    </row>
    <row r="1044">
      <c r="A1044" s="30" t="n">
        <v>46321.31805555556</v>
      </c>
      <c r="B1044" s="30" t="n">
        <v>46321.36597222222</v>
      </c>
      <c r="C1044" s="9" t="n">
        <v>46326</v>
      </c>
      <c r="D1044" s="10" t="n">
        <v>0.96875</v>
      </c>
      <c r="E1044" s="36" t="n">
        <v>1</v>
      </c>
      <c r="F1044" s="36" t="n">
        <v>1</v>
      </c>
      <c r="G1044" s="36" t="n">
        <v>0</v>
      </c>
      <c r="H1044" s="36" t="n">
        <v>0</v>
      </c>
      <c r="I1044" s="36" t="n">
        <v>0</v>
      </c>
      <c r="J1044" s="36" t="n">
        <v>2</v>
      </c>
      <c r="K1044" s="12" t="n">
        <v>24</v>
      </c>
    </row>
    <row r="1045">
      <c r="A1045" s="33" t="n">
        <v>46321.36597222222</v>
      </c>
      <c r="B1045" s="33" t="n">
        <v>46321.40277777778</v>
      </c>
      <c r="C1045" s="13" t="n">
        <v>46324</v>
      </c>
      <c r="D1045" s="14" t="n">
        <v>0.96875</v>
      </c>
      <c r="E1045" s="37" t="n">
        <v>1</v>
      </c>
      <c r="F1045" s="37" t="n">
        <v>0</v>
      </c>
      <c r="G1045" s="37" t="n">
        <v>0</v>
      </c>
      <c r="H1045" s="37" t="n">
        <v>1</v>
      </c>
      <c r="I1045" s="37" t="n">
        <v>0</v>
      </c>
      <c r="J1045" s="37" t="n">
        <v>4</v>
      </c>
      <c r="K1045" s="16" t="n">
        <v>48</v>
      </c>
    </row>
    <row r="1046">
      <c r="A1046" s="30" t="n">
        <v>46321.36597222222</v>
      </c>
      <c r="B1046" s="30" t="n">
        <v>46321.40277777778</v>
      </c>
      <c r="C1046" s="9" t="n">
        <v>46325</v>
      </c>
      <c r="D1046" s="10" t="n">
        <v>0.9270833333333334</v>
      </c>
      <c r="E1046" s="36" t="n">
        <v>1</v>
      </c>
      <c r="F1046" s="36" t="n">
        <v>0</v>
      </c>
      <c r="G1046" s="36" t="n">
        <v>0</v>
      </c>
      <c r="H1046" s="36" t="n">
        <v>1</v>
      </c>
      <c r="I1046" s="36" t="n">
        <v>0</v>
      </c>
      <c r="J1046" s="36" t="n">
        <v>4</v>
      </c>
      <c r="K1046" s="12" t="n">
        <v>48</v>
      </c>
    </row>
    <row r="1047">
      <c r="A1047" s="33" t="n">
        <v>46321.36597222222</v>
      </c>
      <c r="B1047" s="33" t="n">
        <v>46321.40277777778</v>
      </c>
      <c r="C1047" s="13" t="n">
        <v>46326</v>
      </c>
      <c r="D1047" s="14" t="n">
        <v>0.9993055555555556</v>
      </c>
      <c r="E1047" s="37" t="n">
        <v>2</v>
      </c>
      <c r="F1047" s="37" t="n">
        <v>2</v>
      </c>
      <c r="G1047" s="37" t="n">
        <v>0</v>
      </c>
      <c r="H1047" s="37" t="n">
        <v>0</v>
      </c>
      <c r="I1047" s="37" t="n">
        <v>0</v>
      </c>
      <c r="J1047" s="37" t="n">
        <v>4</v>
      </c>
      <c r="K1047" s="16" t="n">
        <v>48</v>
      </c>
    </row>
    <row r="1048">
      <c r="A1048" s="30" t="n">
        <v>46321.36597222222</v>
      </c>
      <c r="B1048" s="30" t="n">
        <v>46321.40277777778</v>
      </c>
      <c r="C1048" s="9" t="n">
        <v>46327</v>
      </c>
      <c r="D1048" s="10" t="n">
        <v>0.9270833333333334</v>
      </c>
      <c r="E1048" s="36" t="n">
        <v>1</v>
      </c>
      <c r="F1048" s="36" t="n">
        <v>0</v>
      </c>
      <c r="G1048" s="36" t="n">
        <v>0</v>
      </c>
      <c r="H1048" s="36" t="n">
        <v>1</v>
      </c>
      <c r="I1048" s="36" t="n">
        <v>0</v>
      </c>
      <c r="J1048" s="36" t="n">
        <v>4</v>
      </c>
      <c r="K1048" s="12" t="n">
        <v>48</v>
      </c>
    </row>
    <row r="1049">
      <c r="A1049" s="33" t="n">
        <v>46321.40277777778</v>
      </c>
      <c r="B1049" s="33" t="n">
        <v>46321.45138888889</v>
      </c>
      <c r="C1049" s="13" t="n">
        <v>46324</v>
      </c>
      <c r="D1049" s="14" t="n">
        <v>0.8854166666666666</v>
      </c>
      <c r="E1049" s="37" t="n">
        <v>1</v>
      </c>
      <c r="F1049" s="37" t="n">
        <v>1</v>
      </c>
      <c r="G1049" s="37" t="n">
        <v>0</v>
      </c>
      <c r="H1049" s="37" t="n">
        <v>0</v>
      </c>
      <c r="I1049" s="37" t="n">
        <v>0</v>
      </c>
      <c r="J1049" s="37" t="n">
        <v>2</v>
      </c>
      <c r="K1049" s="16" t="n">
        <v>24</v>
      </c>
    </row>
    <row r="1050">
      <c r="A1050" s="30" t="n">
        <v>46321.40277777778</v>
      </c>
      <c r="B1050" s="30" t="n">
        <v>46321.45138888889</v>
      </c>
      <c r="C1050" s="9" t="n">
        <v>46324</v>
      </c>
      <c r="D1050" s="10" t="n">
        <v>0.9993055555555556</v>
      </c>
      <c r="E1050" s="36" t="n">
        <v>2</v>
      </c>
      <c r="F1050" s="36" t="n">
        <v>2</v>
      </c>
      <c r="G1050" s="36" t="n">
        <v>0</v>
      </c>
      <c r="H1050" s="36" t="n">
        <v>0</v>
      </c>
      <c r="I1050" s="36" t="n">
        <v>0</v>
      </c>
      <c r="J1050" s="36" t="n">
        <v>4</v>
      </c>
      <c r="K1050" s="12" t="n">
        <v>48</v>
      </c>
    </row>
    <row r="1051">
      <c r="A1051" s="33" t="n">
        <v>46321.40277777778</v>
      </c>
      <c r="B1051" s="33" t="n">
        <v>46321.45138888889</v>
      </c>
      <c r="C1051" s="13" t="n">
        <v>46325</v>
      </c>
      <c r="D1051" s="14" t="n">
        <v>0.9270833333333334</v>
      </c>
      <c r="E1051" s="37" t="n">
        <v>1</v>
      </c>
      <c r="F1051" s="37" t="n">
        <v>1</v>
      </c>
      <c r="G1051" s="37" t="n">
        <v>0</v>
      </c>
      <c r="H1051" s="37" t="n">
        <v>0</v>
      </c>
      <c r="I1051" s="37" t="n">
        <v>0</v>
      </c>
      <c r="J1051" s="37" t="n">
        <v>2</v>
      </c>
      <c r="K1051" s="16" t="n">
        <v>24</v>
      </c>
    </row>
    <row r="1052">
      <c r="A1052" s="30" t="n">
        <v>46321.40277777778</v>
      </c>
      <c r="B1052" s="30" t="n">
        <v>46321.45138888889</v>
      </c>
      <c r="C1052" s="9" t="n">
        <v>46326</v>
      </c>
      <c r="D1052" s="10" t="n">
        <v>0.84375</v>
      </c>
      <c r="E1052" s="36" t="n">
        <v>1</v>
      </c>
      <c r="F1052" s="36" t="n">
        <v>0</v>
      </c>
      <c r="G1052" s="36" t="n">
        <v>0</v>
      </c>
      <c r="H1052" s="36" t="n">
        <v>1</v>
      </c>
      <c r="I1052" s="36" t="n">
        <v>0</v>
      </c>
      <c r="J1052" s="36" t="n">
        <v>4</v>
      </c>
      <c r="K1052" s="12" t="n">
        <v>48</v>
      </c>
    </row>
    <row r="1053">
      <c r="A1053" s="33" t="n">
        <v>46321.40277777778</v>
      </c>
      <c r="B1053" s="33" t="n">
        <v>46321.45138888889</v>
      </c>
      <c r="C1053" s="13" t="n">
        <v>46326</v>
      </c>
      <c r="D1053" s="14" t="n">
        <v>0.9270833333333334</v>
      </c>
      <c r="E1053" s="37" t="n">
        <v>1</v>
      </c>
      <c r="F1053" s="37" t="n">
        <v>1</v>
      </c>
      <c r="G1053" s="37" t="n">
        <v>0</v>
      </c>
      <c r="H1053" s="37" t="n">
        <v>0</v>
      </c>
      <c r="I1053" s="37" t="n">
        <v>0</v>
      </c>
      <c r="J1053" s="37" t="n">
        <v>2</v>
      </c>
      <c r="K1053" s="16" t="n">
        <v>24</v>
      </c>
    </row>
    <row r="1054">
      <c r="A1054" s="30" t="n">
        <v>46321.40277777778</v>
      </c>
      <c r="B1054" s="30" t="n">
        <v>46321.45138888889</v>
      </c>
      <c r="C1054" s="9" t="n">
        <v>46327</v>
      </c>
      <c r="D1054" s="10" t="n">
        <v>0.84375</v>
      </c>
      <c r="E1054" s="36" t="n">
        <v>2</v>
      </c>
      <c r="F1054" s="36" t="n">
        <v>0</v>
      </c>
      <c r="G1054" s="36" t="n">
        <v>0</v>
      </c>
      <c r="H1054" s="36" t="n">
        <v>1</v>
      </c>
      <c r="I1054" s="36" t="n">
        <v>1</v>
      </c>
      <c r="J1054" s="36" t="n">
        <v>9</v>
      </c>
      <c r="K1054" s="12" t="n">
        <v>108</v>
      </c>
    </row>
    <row r="1055">
      <c r="A1055" s="33" t="n">
        <v>46321.45138888889</v>
      </c>
      <c r="B1055" s="33" t="n">
        <v>46321.49375</v>
      </c>
      <c r="C1055" s="13" t="n">
        <v>46324</v>
      </c>
      <c r="D1055" s="14" t="n">
        <v>0.9270833333333334</v>
      </c>
      <c r="E1055" s="37" t="n">
        <v>1</v>
      </c>
      <c r="F1055" s="37" t="n">
        <v>0</v>
      </c>
      <c r="G1055" s="37" t="n">
        <v>0</v>
      </c>
      <c r="H1055" s="37" t="n">
        <v>1</v>
      </c>
      <c r="I1055" s="37" t="n">
        <v>0</v>
      </c>
      <c r="J1055" s="37" t="n">
        <v>4</v>
      </c>
      <c r="K1055" s="16" t="n">
        <v>48</v>
      </c>
    </row>
    <row r="1056">
      <c r="A1056" s="30" t="n">
        <v>46321.45138888889</v>
      </c>
      <c r="B1056" s="30" t="n">
        <v>46321.49375</v>
      </c>
      <c r="C1056" s="9" t="n">
        <v>46325</v>
      </c>
      <c r="D1056" s="10" t="n">
        <v>0.9993055555555556</v>
      </c>
      <c r="E1056" s="36" t="n">
        <v>1</v>
      </c>
      <c r="F1056" s="36" t="n">
        <v>0</v>
      </c>
      <c r="G1056" s="36" t="n">
        <v>0</v>
      </c>
      <c r="H1056" s="36" t="n">
        <v>0</v>
      </c>
      <c r="I1056" s="36" t="n">
        <v>1</v>
      </c>
      <c r="J1056" s="36" t="n">
        <v>5</v>
      </c>
      <c r="K1056" s="12" t="n">
        <v>60</v>
      </c>
    </row>
    <row r="1057">
      <c r="A1057" s="33" t="n">
        <v>46321.45138888889</v>
      </c>
      <c r="B1057" s="33" t="n">
        <v>46321.49375</v>
      </c>
      <c r="C1057" s="13" t="n">
        <v>46326</v>
      </c>
      <c r="D1057" s="14" t="n">
        <v>0.8854166666666666</v>
      </c>
      <c r="E1057" s="37" t="n">
        <v>2</v>
      </c>
      <c r="F1057" s="37" t="n">
        <v>2</v>
      </c>
      <c r="G1057" s="37" t="n">
        <v>0</v>
      </c>
      <c r="H1057" s="37" t="n">
        <v>0</v>
      </c>
      <c r="I1057" s="37" t="n">
        <v>0</v>
      </c>
      <c r="J1057" s="37" t="n">
        <v>4</v>
      </c>
      <c r="K1057" s="16" t="n">
        <v>48</v>
      </c>
    </row>
    <row r="1058">
      <c r="A1058" s="30" t="n">
        <v>46321.45138888889</v>
      </c>
      <c r="B1058" s="30" t="n">
        <v>46321.49375</v>
      </c>
      <c r="C1058" s="9" t="n">
        <v>46326</v>
      </c>
      <c r="D1058" s="10" t="n">
        <v>0.96875</v>
      </c>
      <c r="E1058" s="36" t="n">
        <v>2</v>
      </c>
      <c r="F1058" s="36" t="n">
        <v>0</v>
      </c>
      <c r="G1058" s="36" t="n">
        <v>0</v>
      </c>
      <c r="H1058" s="36" t="n">
        <v>2</v>
      </c>
      <c r="I1058" s="36" t="n">
        <v>0</v>
      </c>
      <c r="J1058" s="36" t="n">
        <v>8</v>
      </c>
      <c r="K1058" s="12" t="n">
        <v>96</v>
      </c>
    </row>
    <row r="1059">
      <c r="A1059" s="33" t="n">
        <v>46321.49375</v>
      </c>
      <c r="B1059" s="33" t="n">
        <v>46321.50972222222</v>
      </c>
      <c r="C1059" s="13" t="n">
        <v>46324</v>
      </c>
      <c r="D1059" s="14" t="n">
        <v>0.8854166666666666</v>
      </c>
      <c r="E1059" s="37" t="n">
        <v>1</v>
      </c>
      <c r="F1059" s="37" t="n">
        <v>0</v>
      </c>
      <c r="G1059" s="37" t="n">
        <v>1</v>
      </c>
      <c r="H1059" s="37" t="n">
        <v>0</v>
      </c>
      <c r="I1059" s="37" t="n">
        <v>0</v>
      </c>
      <c r="J1059" s="37" t="n">
        <v>3</v>
      </c>
      <c r="K1059" s="16" t="n">
        <v>36</v>
      </c>
    </row>
    <row r="1060">
      <c r="A1060" s="30" t="n">
        <v>46321.49375</v>
      </c>
      <c r="B1060" s="30" t="n">
        <v>46321.50972222222</v>
      </c>
      <c r="C1060" s="9" t="n">
        <v>46324</v>
      </c>
      <c r="D1060" s="10" t="n">
        <v>0.96875</v>
      </c>
      <c r="E1060" s="36" t="n">
        <v>2</v>
      </c>
      <c r="F1060" s="36" t="n">
        <v>1</v>
      </c>
      <c r="G1060" s="36" t="n">
        <v>0</v>
      </c>
      <c r="H1060" s="36" t="n">
        <v>1</v>
      </c>
      <c r="I1060" s="36" t="n">
        <v>0</v>
      </c>
      <c r="J1060" s="36" t="n">
        <v>6</v>
      </c>
      <c r="K1060" s="12" t="n">
        <v>72</v>
      </c>
    </row>
    <row r="1061">
      <c r="A1061" s="33" t="n">
        <v>46321.49375</v>
      </c>
      <c r="B1061" s="33" t="n">
        <v>46321.50972222222</v>
      </c>
      <c r="C1061" s="13" t="n">
        <v>46325</v>
      </c>
      <c r="D1061" s="14" t="n">
        <v>0.9270833333333334</v>
      </c>
      <c r="E1061" s="37" t="n">
        <v>1</v>
      </c>
      <c r="F1061" s="37" t="n">
        <v>0</v>
      </c>
      <c r="G1061" s="37" t="n">
        <v>0</v>
      </c>
      <c r="H1061" s="37" t="n">
        <v>1</v>
      </c>
      <c r="I1061" s="37" t="n">
        <v>0</v>
      </c>
      <c r="J1061" s="37" t="n">
        <v>4</v>
      </c>
      <c r="K1061" s="16" t="n">
        <v>48</v>
      </c>
    </row>
    <row r="1062">
      <c r="A1062" s="30" t="n">
        <v>46321.49375</v>
      </c>
      <c r="B1062" s="30" t="n">
        <v>46321.50972222222</v>
      </c>
      <c r="C1062" s="9" t="n">
        <v>46326</v>
      </c>
      <c r="D1062" s="10" t="n">
        <v>0.8854166666666666</v>
      </c>
      <c r="E1062" s="36" t="n">
        <v>1</v>
      </c>
      <c r="F1062" s="36" t="n">
        <v>0</v>
      </c>
      <c r="G1062" s="36" t="n">
        <v>0</v>
      </c>
      <c r="H1062" s="36" t="n">
        <v>1</v>
      </c>
      <c r="I1062" s="36" t="n">
        <v>0</v>
      </c>
      <c r="J1062" s="36" t="n">
        <v>4</v>
      </c>
      <c r="K1062" s="12" t="n">
        <v>48</v>
      </c>
    </row>
    <row r="1063">
      <c r="A1063" s="33" t="n">
        <v>46321.50972222222</v>
      </c>
      <c r="B1063" s="33" t="n">
        <v>46321.52569444444</v>
      </c>
      <c r="C1063" s="13" t="n">
        <v>46325</v>
      </c>
      <c r="D1063" s="14" t="n">
        <v>0.8854166666666666</v>
      </c>
      <c r="E1063" s="37" t="n">
        <v>1</v>
      </c>
      <c r="F1063" s="37" t="n">
        <v>1</v>
      </c>
      <c r="G1063" s="37" t="n">
        <v>0</v>
      </c>
      <c r="H1063" s="37" t="n">
        <v>0</v>
      </c>
      <c r="I1063" s="37" t="n">
        <v>0</v>
      </c>
      <c r="J1063" s="37" t="n">
        <v>2</v>
      </c>
      <c r="K1063" s="16" t="n">
        <v>24</v>
      </c>
    </row>
    <row r="1064">
      <c r="A1064" s="30" t="n">
        <v>46321.50972222222</v>
      </c>
      <c r="B1064" s="30" t="n">
        <v>46321.52569444444</v>
      </c>
      <c r="C1064" s="9" t="n">
        <v>46325</v>
      </c>
      <c r="D1064" s="10" t="n">
        <v>0.9270833333333334</v>
      </c>
      <c r="E1064" s="36" t="n">
        <v>1</v>
      </c>
      <c r="F1064" s="36" t="n">
        <v>1</v>
      </c>
      <c r="G1064" s="36" t="n">
        <v>0</v>
      </c>
      <c r="H1064" s="36" t="n">
        <v>0</v>
      </c>
      <c r="I1064" s="36" t="n">
        <v>0</v>
      </c>
      <c r="J1064" s="36" t="n">
        <v>2</v>
      </c>
      <c r="K1064" s="12" t="n">
        <v>24</v>
      </c>
    </row>
    <row r="1065">
      <c r="A1065" s="33" t="n">
        <v>46321.52569444444</v>
      </c>
      <c r="B1065" s="33" t="n">
        <v>46321.56180555555</v>
      </c>
      <c r="C1065" s="13" t="n">
        <v>46324</v>
      </c>
      <c r="D1065" s="14" t="n">
        <v>0.9270833333333334</v>
      </c>
      <c r="E1065" s="37" t="n">
        <v>3</v>
      </c>
      <c r="F1065" s="37" t="n">
        <v>3</v>
      </c>
      <c r="G1065" s="37" t="n">
        <v>0</v>
      </c>
      <c r="H1065" s="37" t="n">
        <v>0</v>
      </c>
      <c r="I1065" s="37" t="n">
        <v>0</v>
      </c>
      <c r="J1065" s="37" t="n">
        <v>6</v>
      </c>
      <c r="K1065" s="16" t="n">
        <v>72</v>
      </c>
    </row>
    <row r="1066">
      <c r="A1066" s="30" t="n">
        <v>46321.52569444444</v>
      </c>
      <c r="B1066" s="30" t="n">
        <v>46321.56180555555</v>
      </c>
      <c r="C1066" s="9" t="n">
        <v>46325</v>
      </c>
      <c r="D1066" s="10" t="n">
        <v>0.9270833333333334</v>
      </c>
      <c r="E1066" s="36" t="n">
        <v>3</v>
      </c>
      <c r="F1066" s="36" t="n">
        <v>1</v>
      </c>
      <c r="G1066" s="36" t="n">
        <v>0</v>
      </c>
      <c r="H1066" s="36" t="n">
        <v>2</v>
      </c>
      <c r="I1066" s="36" t="n">
        <v>0</v>
      </c>
      <c r="J1066" s="36" t="n">
        <v>10</v>
      </c>
      <c r="K1066" s="12" t="n">
        <v>120</v>
      </c>
    </row>
    <row r="1067">
      <c r="A1067" s="33" t="n">
        <v>46321.52569444444</v>
      </c>
      <c r="B1067" s="33" t="n">
        <v>46321.56180555555</v>
      </c>
      <c r="C1067" s="13" t="n">
        <v>46325</v>
      </c>
      <c r="D1067" s="14" t="n">
        <v>0.96875</v>
      </c>
      <c r="E1067" s="37" t="n">
        <v>1</v>
      </c>
      <c r="F1067" s="37" t="n">
        <v>0</v>
      </c>
      <c r="G1067" s="37" t="n">
        <v>0</v>
      </c>
      <c r="H1067" s="37" t="n">
        <v>0</v>
      </c>
      <c r="I1067" s="37" t="n">
        <v>1</v>
      </c>
      <c r="J1067" s="37" t="n">
        <v>5</v>
      </c>
      <c r="K1067" s="16" t="n">
        <v>60</v>
      </c>
    </row>
    <row r="1068">
      <c r="A1068" s="30" t="n">
        <v>46321.52569444444</v>
      </c>
      <c r="B1068" s="30" t="n">
        <v>46321.56180555555</v>
      </c>
      <c r="C1068" s="9" t="n">
        <v>46326</v>
      </c>
      <c r="D1068" s="10" t="n">
        <v>0.9270833333333334</v>
      </c>
      <c r="E1068" s="36" t="n">
        <v>2</v>
      </c>
      <c r="F1068" s="36" t="n">
        <v>0</v>
      </c>
      <c r="G1068" s="36" t="n">
        <v>1</v>
      </c>
      <c r="H1068" s="36" t="n">
        <v>1</v>
      </c>
      <c r="I1068" s="36" t="n">
        <v>0</v>
      </c>
      <c r="J1068" s="36" t="n">
        <v>7</v>
      </c>
      <c r="K1068" s="12" t="n">
        <v>84</v>
      </c>
    </row>
    <row r="1069">
      <c r="A1069" s="33" t="n">
        <v>46321.52569444444</v>
      </c>
      <c r="B1069" s="33" t="n">
        <v>46321.56180555555</v>
      </c>
      <c r="C1069" s="13" t="n">
        <v>46327</v>
      </c>
      <c r="D1069" s="14" t="n">
        <v>0.9270833333333334</v>
      </c>
      <c r="E1069" s="37" t="n">
        <v>1</v>
      </c>
      <c r="F1069" s="37" t="n">
        <v>0</v>
      </c>
      <c r="G1069" s="37" t="n">
        <v>0</v>
      </c>
      <c r="H1069" s="37" t="n">
        <v>1</v>
      </c>
      <c r="I1069" s="37" t="n">
        <v>0</v>
      </c>
      <c r="J1069" s="37" t="n">
        <v>4</v>
      </c>
      <c r="K1069" s="16" t="n">
        <v>48</v>
      </c>
    </row>
    <row r="1070">
      <c r="A1070" s="30" t="n">
        <v>46321.56180555555</v>
      </c>
      <c r="B1070" s="30" t="n">
        <v>46321.60347222222</v>
      </c>
      <c r="C1070" s="9" t="n">
        <v>46324</v>
      </c>
      <c r="D1070" s="10" t="n">
        <v>0.84375</v>
      </c>
      <c r="E1070" s="36" t="n">
        <v>1</v>
      </c>
      <c r="F1070" s="36" t="n">
        <v>1</v>
      </c>
      <c r="G1070" s="36" t="n">
        <v>0</v>
      </c>
      <c r="H1070" s="36" t="n">
        <v>0</v>
      </c>
      <c r="I1070" s="36" t="n">
        <v>0</v>
      </c>
      <c r="J1070" s="36" t="n">
        <v>2</v>
      </c>
      <c r="K1070" s="12" t="n">
        <v>24</v>
      </c>
    </row>
    <row r="1071">
      <c r="A1071" s="33" t="n">
        <v>46321.56180555555</v>
      </c>
      <c r="B1071" s="33" t="n">
        <v>46321.60347222222</v>
      </c>
      <c r="C1071" s="13" t="n">
        <v>46324</v>
      </c>
      <c r="D1071" s="14" t="n">
        <v>0.9270833333333334</v>
      </c>
      <c r="E1071" s="37" t="n">
        <v>3</v>
      </c>
      <c r="F1071" s="37" t="n">
        <v>1</v>
      </c>
      <c r="G1071" s="37" t="n">
        <v>1</v>
      </c>
      <c r="H1071" s="37" t="n">
        <v>1</v>
      </c>
      <c r="I1071" s="37" t="n">
        <v>0</v>
      </c>
      <c r="J1071" s="37" t="n">
        <v>9</v>
      </c>
      <c r="K1071" s="16" t="n">
        <v>108</v>
      </c>
    </row>
    <row r="1072">
      <c r="A1072" s="30" t="n">
        <v>46321.56180555555</v>
      </c>
      <c r="B1072" s="30" t="n">
        <v>46321.60347222222</v>
      </c>
      <c r="C1072" s="9" t="n">
        <v>46325</v>
      </c>
      <c r="D1072" s="10" t="n">
        <v>0.84375</v>
      </c>
      <c r="E1072" s="36" t="n">
        <v>1</v>
      </c>
      <c r="F1072" s="36" t="n">
        <v>0</v>
      </c>
      <c r="G1072" s="36" t="n">
        <v>0</v>
      </c>
      <c r="H1072" s="36" t="n">
        <v>1</v>
      </c>
      <c r="I1072" s="36" t="n">
        <v>0</v>
      </c>
      <c r="J1072" s="36" t="n">
        <v>4</v>
      </c>
      <c r="K1072" s="12" t="n">
        <v>48</v>
      </c>
    </row>
    <row r="1073">
      <c r="A1073" s="33" t="n">
        <v>46321.56180555555</v>
      </c>
      <c r="B1073" s="33" t="n">
        <v>46321.60347222222</v>
      </c>
      <c r="C1073" s="13" t="n">
        <v>46325</v>
      </c>
      <c r="D1073" s="14" t="n">
        <v>0.9270833333333334</v>
      </c>
      <c r="E1073" s="37" t="n">
        <v>1</v>
      </c>
      <c r="F1073" s="37" t="n">
        <v>0</v>
      </c>
      <c r="G1073" s="37" t="n">
        <v>0</v>
      </c>
      <c r="H1073" s="37" t="n">
        <v>1</v>
      </c>
      <c r="I1073" s="37" t="n">
        <v>0</v>
      </c>
      <c r="J1073" s="37" t="n">
        <v>4</v>
      </c>
      <c r="K1073" s="16" t="n">
        <v>48</v>
      </c>
    </row>
    <row r="1074">
      <c r="A1074" s="30" t="n">
        <v>46321.56180555555</v>
      </c>
      <c r="B1074" s="30" t="n">
        <v>46321.60347222222</v>
      </c>
      <c r="C1074" s="9" t="n">
        <v>46325</v>
      </c>
      <c r="D1074" s="10" t="n">
        <v>0.96875</v>
      </c>
      <c r="E1074" s="36" t="n">
        <v>1</v>
      </c>
      <c r="F1074" s="36" t="n">
        <v>1</v>
      </c>
      <c r="G1074" s="36" t="n">
        <v>0</v>
      </c>
      <c r="H1074" s="36" t="n">
        <v>0</v>
      </c>
      <c r="I1074" s="36" t="n">
        <v>0</v>
      </c>
      <c r="J1074" s="36" t="n">
        <v>2</v>
      </c>
      <c r="K1074" s="12" t="n">
        <v>24</v>
      </c>
    </row>
    <row r="1075">
      <c r="A1075" s="33" t="n">
        <v>46321.56180555555</v>
      </c>
      <c r="B1075" s="33" t="n">
        <v>46321.60347222222</v>
      </c>
      <c r="C1075" s="13" t="n">
        <v>46325</v>
      </c>
      <c r="D1075" s="14" t="n">
        <v>0.9993055555555556</v>
      </c>
      <c r="E1075" s="37" t="n">
        <v>1</v>
      </c>
      <c r="F1075" s="37" t="n">
        <v>1</v>
      </c>
      <c r="G1075" s="37" t="n">
        <v>0</v>
      </c>
      <c r="H1075" s="37" t="n">
        <v>0</v>
      </c>
      <c r="I1075" s="37" t="n">
        <v>0</v>
      </c>
      <c r="J1075" s="37" t="n">
        <v>2</v>
      </c>
      <c r="K1075" s="16" t="n">
        <v>24</v>
      </c>
    </row>
    <row r="1076">
      <c r="A1076" s="30" t="n">
        <v>46321.56180555555</v>
      </c>
      <c r="B1076" s="30" t="n">
        <v>46321.60347222222</v>
      </c>
      <c r="C1076" s="9" t="n">
        <v>46326</v>
      </c>
      <c r="D1076" s="10" t="n">
        <v>0.84375</v>
      </c>
      <c r="E1076" s="36" t="n">
        <v>1</v>
      </c>
      <c r="F1076" s="36" t="n">
        <v>0</v>
      </c>
      <c r="G1076" s="36" t="n">
        <v>1</v>
      </c>
      <c r="H1076" s="36" t="n">
        <v>0</v>
      </c>
      <c r="I1076" s="36" t="n">
        <v>0</v>
      </c>
      <c r="J1076" s="36" t="n">
        <v>3</v>
      </c>
      <c r="K1076" s="12" t="n">
        <v>36</v>
      </c>
    </row>
    <row r="1077">
      <c r="A1077" s="33" t="n">
        <v>46321.56180555555</v>
      </c>
      <c r="B1077" s="33" t="n">
        <v>46321.60347222222</v>
      </c>
      <c r="C1077" s="13" t="n">
        <v>46326</v>
      </c>
      <c r="D1077" s="14" t="n">
        <v>0.9270833333333334</v>
      </c>
      <c r="E1077" s="37" t="n">
        <v>2</v>
      </c>
      <c r="F1077" s="37" t="n">
        <v>0</v>
      </c>
      <c r="G1077" s="37" t="n">
        <v>0</v>
      </c>
      <c r="H1077" s="37" t="n">
        <v>2</v>
      </c>
      <c r="I1077" s="37" t="n">
        <v>0</v>
      </c>
      <c r="J1077" s="37" t="n">
        <v>8</v>
      </c>
      <c r="K1077" s="16" t="n">
        <v>96</v>
      </c>
    </row>
    <row r="1078">
      <c r="A1078" s="30" t="n">
        <v>46321.60347222222</v>
      </c>
      <c r="B1078" s="30" t="n">
        <v>46321.62847222222</v>
      </c>
      <c r="C1078" s="9" t="n">
        <v>46324</v>
      </c>
      <c r="D1078" s="10" t="n">
        <v>0.9270833333333334</v>
      </c>
      <c r="E1078" s="36" t="n">
        <v>1</v>
      </c>
      <c r="F1078" s="36" t="n">
        <v>0</v>
      </c>
      <c r="G1078" s="36" t="n">
        <v>1</v>
      </c>
      <c r="H1078" s="36" t="n">
        <v>0</v>
      </c>
      <c r="I1078" s="36" t="n">
        <v>0</v>
      </c>
      <c r="J1078" s="36" t="n">
        <v>3</v>
      </c>
      <c r="K1078" s="12" t="n">
        <v>36</v>
      </c>
    </row>
    <row r="1079">
      <c r="A1079" s="33" t="n">
        <v>46321.60347222222</v>
      </c>
      <c r="B1079" s="33" t="n">
        <v>46321.62847222222</v>
      </c>
      <c r="C1079" s="13" t="n">
        <v>46324</v>
      </c>
      <c r="D1079" s="14" t="n">
        <v>0.96875</v>
      </c>
      <c r="E1079" s="37" t="n">
        <v>1</v>
      </c>
      <c r="F1079" s="37" t="n">
        <v>0</v>
      </c>
      <c r="G1079" s="37" t="n">
        <v>0</v>
      </c>
      <c r="H1079" s="37" t="n">
        <v>1</v>
      </c>
      <c r="I1079" s="37" t="n">
        <v>0</v>
      </c>
      <c r="J1079" s="37" t="n">
        <v>4</v>
      </c>
      <c r="K1079" s="16" t="n">
        <v>48</v>
      </c>
    </row>
    <row r="1080">
      <c r="A1080" s="30" t="n">
        <v>46321.60347222222</v>
      </c>
      <c r="B1080" s="30" t="n">
        <v>46321.62847222222</v>
      </c>
      <c r="C1080" s="9" t="n">
        <v>46324</v>
      </c>
      <c r="D1080" s="10" t="n">
        <v>0.9993055555555556</v>
      </c>
      <c r="E1080" s="36" t="n">
        <v>1</v>
      </c>
      <c r="F1080" s="36" t="n">
        <v>0</v>
      </c>
      <c r="G1080" s="36" t="n">
        <v>0</v>
      </c>
      <c r="H1080" s="36" t="n">
        <v>0</v>
      </c>
      <c r="I1080" s="36" t="n">
        <v>1</v>
      </c>
      <c r="J1080" s="36" t="n">
        <v>5</v>
      </c>
      <c r="K1080" s="12" t="n">
        <v>60</v>
      </c>
    </row>
    <row r="1081">
      <c r="A1081" s="33" t="n">
        <v>46321.60347222222</v>
      </c>
      <c r="B1081" s="33" t="n">
        <v>46321.62847222222</v>
      </c>
      <c r="C1081" s="13" t="n">
        <v>46325</v>
      </c>
      <c r="D1081" s="14" t="n">
        <v>0.9270833333333334</v>
      </c>
      <c r="E1081" s="37" t="n">
        <v>1</v>
      </c>
      <c r="F1081" s="37" t="n">
        <v>0</v>
      </c>
      <c r="G1081" s="37" t="n">
        <v>0</v>
      </c>
      <c r="H1081" s="37" t="n">
        <v>0</v>
      </c>
      <c r="I1081" s="37" t="n">
        <v>1</v>
      </c>
      <c r="J1081" s="37" t="n">
        <v>5</v>
      </c>
      <c r="K1081" s="16" t="n">
        <v>60</v>
      </c>
    </row>
    <row r="1082">
      <c r="A1082" s="30" t="n">
        <v>46321.60347222222</v>
      </c>
      <c r="B1082" s="30" t="n">
        <v>46321.62847222222</v>
      </c>
      <c r="C1082" s="9" t="n">
        <v>46326</v>
      </c>
      <c r="D1082" s="10" t="n">
        <v>0.9270833333333334</v>
      </c>
      <c r="E1082" s="36" t="n">
        <v>1</v>
      </c>
      <c r="F1082" s="36" t="n">
        <v>1</v>
      </c>
      <c r="G1082" s="36" t="n">
        <v>0</v>
      </c>
      <c r="H1082" s="36" t="n">
        <v>0</v>
      </c>
      <c r="I1082" s="36" t="n">
        <v>0</v>
      </c>
      <c r="J1082" s="36" t="n">
        <v>2</v>
      </c>
      <c r="K1082" s="12" t="n">
        <v>24</v>
      </c>
    </row>
    <row r="1083">
      <c r="A1083" s="33" t="n">
        <v>46321.62847222222</v>
      </c>
      <c r="B1083" s="33" t="n">
        <v>46321.65277777778</v>
      </c>
      <c r="C1083" s="13" t="n">
        <v>46324</v>
      </c>
      <c r="D1083" s="14" t="n">
        <v>0.9270833333333334</v>
      </c>
      <c r="E1083" s="37" t="n">
        <v>1</v>
      </c>
      <c r="F1083" s="37" t="n">
        <v>0</v>
      </c>
      <c r="G1083" s="37" t="n">
        <v>1</v>
      </c>
      <c r="H1083" s="37" t="n">
        <v>0</v>
      </c>
      <c r="I1083" s="37" t="n">
        <v>0</v>
      </c>
      <c r="J1083" s="37" t="n">
        <v>3</v>
      </c>
      <c r="K1083" s="16" t="n">
        <v>36</v>
      </c>
    </row>
    <row r="1084">
      <c r="A1084" s="30" t="n">
        <v>46321.62847222222</v>
      </c>
      <c r="B1084" s="30" t="n">
        <v>46321.65277777778</v>
      </c>
      <c r="C1084" s="9" t="n">
        <v>46325</v>
      </c>
      <c r="D1084" s="10" t="n">
        <v>0.8854166666666666</v>
      </c>
      <c r="E1084" s="36" t="n">
        <v>1</v>
      </c>
      <c r="F1084" s="36" t="n">
        <v>0</v>
      </c>
      <c r="G1084" s="36" t="n">
        <v>0</v>
      </c>
      <c r="H1084" s="36" t="n">
        <v>1</v>
      </c>
      <c r="I1084" s="36" t="n">
        <v>0</v>
      </c>
      <c r="J1084" s="36" t="n">
        <v>4</v>
      </c>
      <c r="K1084" s="12" t="n">
        <v>48</v>
      </c>
    </row>
    <row r="1085">
      <c r="A1085" s="33" t="n">
        <v>46321.62847222222</v>
      </c>
      <c r="B1085" s="33" t="n">
        <v>46321.65277777778</v>
      </c>
      <c r="C1085" s="13" t="n">
        <v>46326</v>
      </c>
      <c r="D1085" s="14" t="n">
        <v>0.8854166666666666</v>
      </c>
      <c r="E1085" s="37" t="n">
        <v>1</v>
      </c>
      <c r="F1085" s="37" t="n">
        <v>1</v>
      </c>
      <c r="G1085" s="37" t="n">
        <v>0</v>
      </c>
      <c r="H1085" s="37" t="n">
        <v>0</v>
      </c>
      <c r="I1085" s="37" t="n">
        <v>0</v>
      </c>
      <c r="J1085" s="37" t="n">
        <v>2</v>
      </c>
      <c r="K1085" s="16" t="n">
        <v>24</v>
      </c>
    </row>
    <row r="1086">
      <c r="A1086" s="30" t="n">
        <v>46321.62847222222</v>
      </c>
      <c r="B1086" s="30" t="n">
        <v>46321.65277777778</v>
      </c>
      <c r="C1086" s="9" t="n">
        <v>46326</v>
      </c>
      <c r="D1086" s="10" t="n">
        <v>0.9270833333333334</v>
      </c>
      <c r="E1086" s="36" t="n">
        <v>1</v>
      </c>
      <c r="F1086" s="36" t="n">
        <v>0</v>
      </c>
      <c r="G1086" s="36" t="n">
        <v>0</v>
      </c>
      <c r="H1086" s="36" t="n">
        <v>1</v>
      </c>
      <c r="I1086" s="36" t="n">
        <v>0</v>
      </c>
      <c r="J1086" s="36" t="n">
        <v>4</v>
      </c>
      <c r="K1086" s="12" t="n">
        <v>48</v>
      </c>
    </row>
    <row r="1087">
      <c r="A1087" s="33" t="n">
        <v>46321.62847222222</v>
      </c>
      <c r="B1087" s="33" t="n">
        <v>46321.65277777778</v>
      </c>
      <c r="C1087" s="13" t="n">
        <v>46326</v>
      </c>
      <c r="D1087" s="14" t="n">
        <v>0.96875</v>
      </c>
      <c r="E1087" s="37" t="n">
        <v>1</v>
      </c>
      <c r="F1087" s="37" t="n">
        <v>0</v>
      </c>
      <c r="G1087" s="37" t="n">
        <v>0</v>
      </c>
      <c r="H1087" s="37" t="n">
        <v>1</v>
      </c>
      <c r="I1087" s="37" t="n">
        <v>0</v>
      </c>
      <c r="J1087" s="37" t="n">
        <v>4</v>
      </c>
      <c r="K1087" s="16" t="n">
        <v>48</v>
      </c>
    </row>
    <row r="1088">
      <c r="A1088" s="30" t="n">
        <v>46321.62847222222</v>
      </c>
      <c r="B1088" s="30" t="n">
        <v>46321.65277777778</v>
      </c>
      <c r="C1088" s="9" t="n">
        <v>46327</v>
      </c>
      <c r="D1088" s="10" t="n">
        <v>0.84375</v>
      </c>
      <c r="E1088" s="36" t="n">
        <v>1</v>
      </c>
      <c r="F1088" s="36" t="n">
        <v>0</v>
      </c>
      <c r="G1088" s="36" t="n">
        <v>0</v>
      </c>
      <c r="H1088" s="36" t="n">
        <v>1</v>
      </c>
      <c r="I1088" s="36" t="n">
        <v>0</v>
      </c>
      <c r="J1088" s="36" t="n">
        <v>4</v>
      </c>
      <c r="K1088" s="12" t="n">
        <v>48</v>
      </c>
    </row>
    <row r="1089">
      <c r="A1089" s="33" t="n">
        <v>46321.62847222222</v>
      </c>
      <c r="B1089" s="33" t="n">
        <v>46321.65277777778</v>
      </c>
      <c r="C1089" s="13" t="n">
        <v>46327</v>
      </c>
      <c r="D1089" s="14" t="n">
        <v>0.8854166666666666</v>
      </c>
      <c r="E1089" s="37" t="n">
        <v>1</v>
      </c>
      <c r="F1089" s="37" t="n">
        <v>0</v>
      </c>
      <c r="G1089" s="37" t="n">
        <v>0</v>
      </c>
      <c r="H1089" s="37" t="n">
        <v>0</v>
      </c>
      <c r="I1089" s="37" t="n">
        <v>1</v>
      </c>
      <c r="J1089" s="37" t="n">
        <v>5</v>
      </c>
      <c r="K1089" s="16" t="n">
        <v>60</v>
      </c>
    </row>
    <row r="1090">
      <c r="A1090" s="30" t="n">
        <v>46321.65277777778</v>
      </c>
      <c r="B1090" s="30" t="n">
        <v>46321.675</v>
      </c>
      <c r="C1090" s="9" t="n">
        <v>46324</v>
      </c>
      <c r="D1090" s="10" t="n">
        <v>0.9270833333333334</v>
      </c>
      <c r="E1090" s="36" t="n">
        <v>1</v>
      </c>
      <c r="F1090" s="36" t="n">
        <v>0</v>
      </c>
      <c r="G1090" s="36" t="n">
        <v>0</v>
      </c>
      <c r="H1090" s="36" t="n">
        <v>0</v>
      </c>
      <c r="I1090" s="36" t="n">
        <v>1</v>
      </c>
      <c r="J1090" s="36" t="n">
        <v>5</v>
      </c>
      <c r="K1090" s="12" t="n">
        <v>60</v>
      </c>
    </row>
    <row r="1091">
      <c r="A1091" s="33" t="n">
        <v>46321.65277777778</v>
      </c>
      <c r="B1091" s="33" t="n">
        <v>46321.675</v>
      </c>
      <c r="C1091" s="13" t="n">
        <v>46325</v>
      </c>
      <c r="D1091" s="14" t="n">
        <v>0.9270833333333334</v>
      </c>
      <c r="E1091" s="37" t="n">
        <v>3</v>
      </c>
      <c r="F1091" s="37" t="n">
        <v>1</v>
      </c>
      <c r="G1091" s="37" t="n">
        <v>0</v>
      </c>
      <c r="H1091" s="37" t="n">
        <v>2</v>
      </c>
      <c r="I1091" s="37" t="n">
        <v>0</v>
      </c>
      <c r="J1091" s="37" t="n">
        <v>10</v>
      </c>
      <c r="K1091" s="16" t="n">
        <v>120</v>
      </c>
    </row>
    <row r="1092">
      <c r="A1092" s="30" t="n">
        <v>46321.65277777778</v>
      </c>
      <c r="B1092" s="30" t="n">
        <v>46321.675</v>
      </c>
      <c r="C1092" s="9" t="n">
        <v>46325</v>
      </c>
      <c r="D1092" s="10" t="n">
        <v>0.96875</v>
      </c>
      <c r="E1092" s="36" t="n">
        <v>3</v>
      </c>
      <c r="F1092" s="36" t="n">
        <v>2</v>
      </c>
      <c r="G1092" s="36" t="n">
        <v>0</v>
      </c>
      <c r="H1092" s="36" t="n">
        <v>1</v>
      </c>
      <c r="I1092" s="36" t="n">
        <v>0</v>
      </c>
      <c r="J1092" s="36" t="n">
        <v>8</v>
      </c>
      <c r="K1092" s="12" t="n">
        <v>96</v>
      </c>
    </row>
    <row r="1093">
      <c r="A1093" s="33" t="n">
        <v>46321.65277777778</v>
      </c>
      <c r="B1093" s="33" t="n">
        <v>46321.675</v>
      </c>
      <c r="C1093" s="13" t="n">
        <v>46326</v>
      </c>
      <c r="D1093" s="14" t="n">
        <v>0.9270833333333334</v>
      </c>
      <c r="E1093" s="37" t="n">
        <v>1</v>
      </c>
      <c r="F1093" s="37" t="n">
        <v>0</v>
      </c>
      <c r="G1093" s="37" t="n">
        <v>0</v>
      </c>
      <c r="H1093" s="37" t="n">
        <v>1</v>
      </c>
      <c r="I1093" s="37" t="n">
        <v>0</v>
      </c>
      <c r="J1093" s="37" t="n">
        <v>4</v>
      </c>
      <c r="K1093" s="16" t="n">
        <v>48</v>
      </c>
    </row>
    <row r="1094">
      <c r="A1094" s="30" t="n">
        <v>46321.675</v>
      </c>
      <c r="B1094" s="30" t="n">
        <v>46321.71666666667</v>
      </c>
      <c r="C1094" s="9" t="n">
        <v>46324</v>
      </c>
      <c r="D1094" s="10" t="n">
        <v>0.8854166666666666</v>
      </c>
      <c r="E1094" s="36" t="n">
        <v>2</v>
      </c>
      <c r="F1094" s="36" t="n">
        <v>1</v>
      </c>
      <c r="G1094" s="36" t="n">
        <v>0</v>
      </c>
      <c r="H1094" s="36" t="n">
        <v>1</v>
      </c>
      <c r="I1094" s="36" t="n">
        <v>0</v>
      </c>
      <c r="J1094" s="36" t="n">
        <v>6</v>
      </c>
      <c r="K1094" s="12" t="n">
        <v>72</v>
      </c>
    </row>
    <row r="1095">
      <c r="A1095" s="33" t="n">
        <v>46321.675</v>
      </c>
      <c r="B1095" s="33" t="n">
        <v>46321.71666666667</v>
      </c>
      <c r="C1095" s="13" t="n">
        <v>46324</v>
      </c>
      <c r="D1095" s="14" t="n">
        <v>0.9270833333333334</v>
      </c>
      <c r="E1095" s="37" t="n">
        <v>1</v>
      </c>
      <c r="F1095" s="37" t="n">
        <v>0</v>
      </c>
      <c r="G1095" s="37" t="n">
        <v>0</v>
      </c>
      <c r="H1095" s="37" t="n">
        <v>1</v>
      </c>
      <c r="I1095" s="37" t="n">
        <v>0</v>
      </c>
      <c r="J1095" s="37" t="n">
        <v>4</v>
      </c>
      <c r="K1095" s="16" t="n">
        <v>48</v>
      </c>
    </row>
    <row r="1096">
      <c r="A1096" s="30" t="n">
        <v>46321.675</v>
      </c>
      <c r="B1096" s="30" t="n">
        <v>46321.71666666667</v>
      </c>
      <c r="C1096" s="9" t="n">
        <v>46324</v>
      </c>
      <c r="D1096" s="10" t="n">
        <v>0.96875</v>
      </c>
      <c r="E1096" s="36" t="n">
        <v>3</v>
      </c>
      <c r="F1096" s="36" t="n">
        <v>0</v>
      </c>
      <c r="G1096" s="36" t="n">
        <v>0</v>
      </c>
      <c r="H1096" s="36" t="n">
        <v>2</v>
      </c>
      <c r="I1096" s="36" t="n">
        <v>1</v>
      </c>
      <c r="J1096" s="36" t="n">
        <v>13</v>
      </c>
      <c r="K1096" s="12" t="n">
        <v>156</v>
      </c>
    </row>
    <row r="1097">
      <c r="A1097" s="33" t="n">
        <v>46321.675</v>
      </c>
      <c r="B1097" s="33" t="n">
        <v>46321.71666666667</v>
      </c>
      <c r="C1097" s="13" t="n">
        <v>46325</v>
      </c>
      <c r="D1097" s="14" t="n">
        <v>0.9993055555555556</v>
      </c>
      <c r="E1097" s="37" t="n">
        <v>1</v>
      </c>
      <c r="F1097" s="37" t="n">
        <v>0</v>
      </c>
      <c r="G1097" s="37" t="n">
        <v>0</v>
      </c>
      <c r="H1097" s="37" t="n">
        <v>1</v>
      </c>
      <c r="I1097" s="37" t="n">
        <v>0</v>
      </c>
      <c r="J1097" s="37" t="n">
        <v>4</v>
      </c>
      <c r="K1097" s="16" t="n">
        <v>48</v>
      </c>
    </row>
    <row r="1098">
      <c r="A1098" s="30" t="n">
        <v>46321.675</v>
      </c>
      <c r="B1098" s="30" t="n">
        <v>46321.71666666667</v>
      </c>
      <c r="C1098" s="9" t="n">
        <v>46326</v>
      </c>
      <c r="D1098" s="10" t="n">
        <v>0.84375</v>
      </c>
      <c r="E1098" s="36" t="n">
        <v>2</v>
      </c>
      <c r="F1098" s="36" t="n">
        <v>2</v>
      </c>
      <c r="G1098" s="36" t="n">
        <v>0</v>
      </c>
      <c r="H1098" s="36" t="n">
        <v>0</v>
      </c>
      <c r="I1098" s="36" t="n">
        <v>0</v>
      </c>
      <c r="J1098" s="36" t="n">
        <v>4</v>
      </c>
      <c r="K1098" s="12" t="n">
        <v>48</v>
      </c>
    </row>
    <row r="1099">
      <c r="A1099" s="33" t="n">
        <v>46321.675</v>
      </c>
      <c r="B1099" s="33" t="n">
        <v>46321.71666666667</v>
      </c>
      <c r="C1099" s="13" t="n">
        <v>46326</v>
      </c>
      <c r="D1099" s="14" t="n">
        <v>0.8854166666666666</v>
      </c>
      <c r="E1099" s="37" t="n">
        <v>1</v>
      </c>
      <c r="F1099" s="37" t="n">
        <v>0</v>
      </c>
      <c r="G1099" s="37" t="n">
        <v>0</v>
      </c>
      <c r="H1099" s="37" t="n">
        <v>1</v>
      </c>
      <c r="I1099" s="37" t="n">
        <v>0</v>
      </c>
      <c r="J1099" s="37" t="n">
        <v>4</v>
      </c>
      <c r="K1099" s="16" t="n">
        <v>48</v>
      </c>
    </row>
    <row r="1100">
      <c r="A1100" s="30" t="n">
        <v>46321.675</v>
      </c>
      <c r="B1100" s="30" t="n">
        <v>46321.71666666667</v>
      </c>
      <c r="C1100" s="9" t="n">
        <v>46326</v>
      </c>
      <c r="D1100" s="10" t="n">
        <v>0.9270833333333334</v>
      </c>
      <c r="E1100" s="36" t="n">
        <v>2</v>
      </c>
      <c r="F1100" s="36" t="n">
        <v>1</v>
      </c>
      <c r="G1100" s="36" t="n">
        <v>0</v>
      </c>
      <c r="H1100" s="36" t="n">
        <v>1</v>
      </c>
      <c r="I1100" s="36" t="n">
        <v>0</v>
      </c>
      <c r="J1100" s="36" t="n">
        <v>6</v>
      </c>
      <c r="K1100" s="12" t="n">
        <v>72</v>
      </c>
    </row>
    <row r="1101">
      <c r="A1101" s="33" t="n">
        <v>46321.675</v>
      </c>
      <c r="B1101" s="33" t="n">
        <v>46321.71666666667</v>
      </c>
      <c r="C1101" s="13" t="n">
        <v>46326</v>
      </c>
      <c r="D1101" s="14" t="n">
        <v>0.96875</v>
      </c>
      <c r="E1101" s="37" t="n">
        <v>1</v>
      </c>
      <c r="F1101" s="37" t="n">
        <v>1</v>
      </c>
      <c r="G1101" s="37" t="n">
        <v>0</v>
      </c>
      <c r="H1101" s="37" t="n">
        <v>0</v>
      </c>
      <c r="I1101" s="37" t="n">
        <v>0</v>
      </c>
      <c r="J1101" s="37" t="n">
        <v>2</v>
      </c>
      <c r="K1101" s="16" t="n">
        <v>24</v>
      </c>
    </row>
    <row r="1102">
      <c r="A1102" s="30" t="n">
        <v>46321.675</v>
      </c>
      <c r="B1102" s="30" t="n">
        <v>46321.71666666667</v>
      </c>
      <c r="C1102" s="9" t="n">
        <v>46327</v>
      </c>
      <c r="D1102" s="10" t="n">
        <v>0.9270833333333334</v>
      </c>
      <c r="E1102" s="36" t="n">
        <v>1</v>
      </c>
      <c r="F1102" s="36" t="n">
        <v>1</v>
      </c>
      <c r="G1102" s="36" t="n">
        <v>0</v>
      </c>
      <c r="H1102" s="36" t="n">
        <v>0</v>
      </c>
      <c r="I1102" s="36" t="n">
        <v>0</v>
      </c>
      <c r="J1102" s="36" t="n">
        <v>2</v>
      </c>
      <c r="K1102" s="12" t="n">
        <v>24</v>
      </c>
    </row>
    <row r="1103">
      <c r="A1103" s="33" t="n">
        <v>46321.71666666667</v>
      </c>
      <c r="B1103" s="33" t="n">
        <v>46321.73819444444</v>
      </c>
      <c r="C1103" s="13" t="n">
        <v>46326</v>
      </c>
      <c r="D1103" s="14" t="n">
        <v>0.9993055555555556</v>
      </c>
      <c r="E1103" s="37" t="n">
        <v>2</v>
      </c>
      <c r="F1103" s="37" t="n">
        <v>0</v>
      </c>
      <c r="G1103" s="37" t="n">
        <v>0</v>
      </c>
      <c r="H1103" s="37" t="n">
        <v>2</v>
      </c>
      <c r="I1103" s="37" t="n">
        <v>0</v>
      </c>
      <c r="J1103" s="37" t="n">
        <v>8</v>
      </c>
      <c r="K1103" s="16" t="n">
        <v>96</v>
      </c>
    </row>
    <row r="1104">
      <c r="A1104" s="30" t="n">
        <v>46321.73819444444</v>
      </c>
      <c r="B1104" s="30" t="n">
        <v>46321.76597222222</v>
      </c>
      <c r="C1104" s="9" t="n">
        <v>46324</v>
      </c>
      <c r="D1104" s="10" t="n">
        <v>0.9270833333333334</v>
      </c>
      <c r="E1104" s="36" t="n">
        <v>2</v>
      </c>
      <c r="F1104" s="36" t="n">
        <v>1</v>
      </c>
      <c r="G1104" s="36" t="n">
        <v>0</v>
      </c>
      <c r="H1104" s="36" t="n">
        <v>1</v>
      </c>
      <c r="I1104" s="36" t="n">
        <v>0</v>
      </c>
      <c r="J1104" s="36" t="n">
        <v>6</v>
      </c>
      <c r="K1104" s="12" t="n">
        <v>72</v>
      </c>
    </row>
    <row r="1105">
      <c r="A1105" s="33" t="n">
        <v>46321.73819444444</v>
      </c>
      <c r="B1105" s="33" t="n">
        <v>46321.76597222222</v>
      </c>
      <c r="C1105" s="13" t="n">
        <v>46326</v>
      </c>
      <c r="D1105" s="14" t="n">
        <v>0.9270833333333334</v>
      </c>
      <c r="E1105" s="37" t="n">
        <v>1</v>
      </c>
      <c r="F1105" s="37" t="n">
        <v>1</v>
      </c>
      <c r="G1105" s="37" t="n">
        <v>0</v>
      </c>
      <c r="H1105" s="37" t="n">
        <v>0</v>
      </c>
      <c r="I1105" s="37" t="n">
        <v>0</v>
      </c>
      <c r="J1105" s="37" t="n">
        <v>2</v>
      </c>
      <c r="K1105" s="16" t="n">
        <v>24</v>
      </c>
    </row>
    <row r="1106">
      <c r="A1106" s="30" t="n">
        <v>46321.76597222222</v>
      </c>
      <c r="B1106" s="30" t="n">
        <v>46321.77222222222</v>
      </c>
      <c r="C1106" s="9" t="n">
        <v>46325</v>
      </c>
      <c r="D1106" s="10" t="n">
        <v>0.8854166666666666</v>
      </c>
      <c r="E1106" s="36" t="n">
        <v>1</v>
      </c>
      <c r="F1106" s="36" t="n">
        <v>1</v>
      </c>
      <c r="G1106" s="36" t="n">
        <v>0</v>
      </c>
      <c r="H1106" s="36" t="n">
        <v>0</v>
      </c>
      <c r="I1106" s="36" t="n">
        <v>0</v>
      </c>
      <c r="J1106" s="36" t="n">
        <v>2</v>
      </c>
      <c r="K1106" s="12" t="n">
        <v>24</v>
      </c>
    </row>
    <row r="1107">
      <c r="A1107" s="33" t="n">
        <v>46321.76597222222</v>
      </c>
      <c r="B1107" s="33" t="n">
        <v>46321.77222222222</v>
      </c>
      <c r="C1107" s="13" t="n">
        <v>46327</v>
      </c>
      <c r="D1107" s="14" t="n">
        <v>0.8854166666666666</v>
      </c>
      <c r="E1107" s="37" t="n">
        <v>1</v>
      </c>
      <c r="F1107" s="37" t="n">
        <v>0</v>
      </c>
      <c r="G1107" s="37" t="n">
        <v>0</v>
      </c>
      <c r="H1107" s="37" t="n">
        <v>1</v>
      </c>
      <c r="I1107" s="37" t="n">
        <v>0</v>
      </c>
      <c r="J1107" s="37" t="n">
        <v>4</v>
      </c>
      <c r="K1107" s="16" t="n">
        <v>48</v>
      </c>
    </row>
    <row r="1108">
      <c r="A1108" s="30" t="n">
        <v>46321.77361111111</v>
      </c>
      <c r="B1108" s="30" t="n">
        <v>46321.81388888889</v>
      </c>
      <c r="C1108" s="9" t="n">
        <v>46324</v>
      </c>
      <c r="D1108" s="10" t="n">
        <v>0.8854166666666666</v>
      </c>
      <c r="E1108" s="36" t="n">
        <v>1</v>
      </c>
      <c r="F1108" s="36" t="n">
        <v>1</v>
      </c>
      <c r="G1108" s="36" t="n">
        <v>0</v>
      </c>
      <c r="H1108" s="36" t="n">
        <v>0</v>
      </c>
      <c r="I1108" s="36" t="n">
        <v>0</v>
      </c>
      <c r="J1108" s="36" t="n">
        <v>2</v>
      </c>
      <c r="K1108" s="12" t="n">
        <v>24</v>
      </c>
    </row>
    <row r="1109">
      <c r="A1109" s="33" t="n">
        <v>46321.77361111111</v>
      </c>
      <c r="B1109" s="33" t="n">
        <v>46321.81388888889</v>
      </c>
      <c r="C1109" s="13" t="n">
        <v>46324</v>
      </c>
      <c r="D1109" s="14" t="n">
        <v>0.9993055555555556</v>
      </c>
      <c r="E1109" s="37" t="n">
        <v>2</v>
      </c>
      <c r="F1109" s="37" t="n">
        <v>1</v>
      </c>
      <c r="G1109" s="37" t="n">
        <v>0</v>
      </c>
      <c r="H1109" s="37" t="n">
        <v>1</v>
      </c>
      <c r="I1109" s="37" t="n">
        <v>0</v>
      </c>
      <c r="J1109" s="37" t="n">
        <v>6</v>
      </c>
      <c r="K1109" s="16" t="n">
        <v>72</v>
      </c>
    </row>
    <row r="1110">
      <c r="A1110" s="30" t="n">
        <v>46321.77361111111</v>
      </c>
      <c r="B1110" s="30" t="n">
        <v>46321.81388888889</v>
      </c>
      <c r="C1110" s="9" t="n">
        <v>46325</v>
      </c>
      <c r="D1110" s="10" t="n">
        <v>0.8854166666666666</v>
      </c>
      <c r="E1110" s="36" t="n">
        <v>1</v>
      </c>
      <c r="F1110" s="36" t="n">
        <v>0</v>
      </c>
      <c r="G1110" s="36" t="n">
        <v>0</v>
      </c>
      <c r="H1110" s="36" t="n">
        <v>0</v>
      </c>
      <c r="I1110" s="36" t="n">
        <v>1</v>
      </c>
      <c r="J1110" s="36" t="n">
        <v>5</v>
      </c>
      <c r="K1110" s="12" t="n">
        <v>60</v>
      </c>
    </row>
    <row r="1111">
      <c r="A1111" s="33" t="n">
        <v>46321.77361111111</v>
      </c>
      <c r="B1111" s="33" t="n">
        <v>46321.81388888889</v>
      </c>
      <c r="C1111" s="13" t="n">
        <v>46325</v>
      </c>
      <c r="D1111" s="14" t="n">
        <v>0.9270833333333334</v>
      </c>
      <c r="E1111" s="37" t="n">
        <v>3</v>
      </c>
      <c r="F1111" s="37" t="n">
        <v>0</v>
      </c>
      <c r="G1111" s="37" t="n">
        <v>0</v>
      </c>
      <c r="H1111" s="37" t="n">
        <v>2</v>
      </c>
      <c r="I1111" s="37" t="n">
        <v>1</v>
      </c>
      <c r="J1111" s="37" t="n">
        <v>13</v>
      </c>
      <c r="K1111" s="16" t="n">
        <v>156</v>
      </c>
    </row>
    <row r="1112">
      <c r="A1112" s="30" t="n">
        <v>46321.77361111111</v>
      </c>
      <c r="B1112" s="30" t="n">
        <v>46321.81388888889</v>
      </c>
      <c r="C1112" s="9" t="n">
        <v>46325</v>
      </c>
      <c r="D1112" s="10" t="n">
        <v>0.96875</v>
      </c>
      <c r="E1112" s="36" t="n">
        <v>1</v>
      </c>
      <c r="F1112" s="36" t="n">
        <v>0</v>
      </c>
      <c r="G1112" s="36" t="n">
        <v>0</v>
      </c>
      <c r="H1112" s="36" t="n">
        <v>1</v>
      </c>
      <c r="I1112" s="36" t="n">
        <v>0</v>
      </c>
      <c r="J1112" s="36" t="n">
        <v>4</v>
      </c>
      <c r="K1112" s="12" t="n">
        <v>48</v>
      </c>
    </row>
    <row r="1113">
      <c r="A1113" s="33" t="n">
        <v>46321.77361111111</v>
      </c>
      <c r="B1113" s="33" t="n">
        <v>46321.81388888889</v>
      </c>
      <c r="C1113" s="13" t="n">
        <v>46326</v>
      </c>
      <c r="D1113" s="14" t="n">
        <v>0.9270833333333334</v>
      </c>
      <c r="E1113" s="37" t="n">
        <v>1</v>
      </c>
      <c r="F1113" s="37" t="n">
        <v>1</v>
      </c>
      <c r="G1113" s="37" t="n">
        <v>0</v>
      </c>
      <c r="H1113" s="37" t="n">
        <v>0</v>
      </c>
      <c r="I1113" s="37" t="n">
        <v>0</v>
      </c>
      <c r="J1113" s="37" t="n">
        <v>2</v>
      </c>
      <c r="K1113" s="16" t="n">
        <v>24</v>
      </c>
    </row>
    <row r="1114">
      <c r="A1114" s="30" t="n">
        <v>46321.77361111111</v>
      </c>
      <c r="B1114" s="30" t="n">
        <v>46321.81388888889</v>
      </c>
      <c r="C1114" s="9" t="n">
        <v>46326</v>
      </c>
      <c r="D1114" s="10" t="n">
        <v>0.96875</v>
      </c>
      <c r="E1114" s="36" t="n">
        <v>3</v>
      </c>
      <c r="F1114" s="36" t="n">
        <v>3</v>
      </c>
      <c r="G1114" s="36" t="n">
        <v>0</v>
      </c>
      <c r="H1114" s="36" t="n">
        <v>0</v>
      </c>
      <c r="I1114" s="36" t="n">
        <v>0</v>
      </c>
      <c r="J1114" s="36" t="n">
        <v>6</v>
      </c>
      <c r="K1114" s="12" t="n">
        <v>72</v>
      </c>
    </row>
    <row r="1115">
      <c r="A1115" s="33" t="n">
        <v>46321.77361111111</v>
      </c>
      <c r="B1115" s="33" t="n">
        <v>46321.81388888889</v>
      </c>
      <c r="C1115" s="13" t="n">
        <v>46326</v>
      </c>
      <c r="D1115" s="14" t="n">
        <v>0.9993055555555556</v>
      </c>
      <c r="E1115" s="37" t="n">
        <v>2</v>
      </c>
      <c r="F1115" s="37" t="n">
        <v>1</v>
      </c>
      <c r="G1115" s="37" t="n">
        <v>0</v>
      </c>
      <c r="H1115" s="37" t="n">
        <v>1</v>
      </c>
      <c r="I1115" s="37" t="n">
        <v>0</v>
      </c>
      <c r="J1115" s="37" t="n">
        <v>6</v>
      </c>
      <c r="K1115" s="16" t="n">
        <v>72</v>
      </c>
    </row>
    <row r="1116">
      <c r="A1116" s="30" t="n">
        <v>46321.77361111111</v>
      </c>
      <c r="B1116" s="30" t="n">
        <v>46321.81388888889</v>
      </c>
      <c r="C1116" s="9" t="n">
        <v>46327</v>
      </c>
      <c r="D1116" s="10" t="n">
        <v>0.84375</v>
      </c>
      <c r="E1116" s="36" t="n">
        <v>2</v>
      </c>
      <c r="F1116" s="36" t="n">
        <v>1</v>
      </c>
      <c r="G1116" s="36" t="n">
        <v>0</v>
      </c>
      <c r="H1116" s="36" t="n">
        <v>1</v>
      </c>
      <c r="I1116" s="36" t="n">
        <v>0</v>
      </c>
      <c r="J1116" s="36" t="n">
        <v>6</v>
      </c>
      <c r="K1116" s="12" t="n">
        <v>72</v>
      </c>
    </row>
    <row r="1117">
      <c r="A1117" s="33" t="n">
        <v>46321.77361111111</v>
      </c>
      <c r="B1117" s="33" t="n">
        <v>46321.81388888889</v>
      </c>
      <c r="C1117" s="13" t="n">
        <v>46327</v>
      </c>
      <c r="D1117" s="14" t="n">
        <v>0.9270833333333334</v>
      </c>
      <c r="E1117" s="37" t="n">
        <v>1</v>
      </c>
      <c r="F1117" s="37" t="n">
        <v>1</v>
      </c>
      <c r="G1117" s="37" t="n">
        <v>0</v>
      </c>
      <c r="H1117" s="37" t="n">
        <v>0</v>
      </c>
      <c r="I1117" s="37" t="n">
        <v>0</v>
      </c>
      <c r="J1117" s="37" t="n">
        <v>2</v>
      </c>
      <c r="K1117" s="16" t="n">
        <v>24</v>
      </c>
    </row>
    <row r="1118">
      <c r="A1118" s="30" t="n">
        <v>46321.81388888889</v>
      </c>
      <c r="B1118" s="30" t="n">
        <v>46321.82152777778</v>
      </c>
      <c r="C1118" s="9" t="n">
        <v>46324</v>
      </c>
      <c r="D1118" s="10" t="n">
        <v>0.9270833333333334</v>
      </c>
      <c r="E1118" s="36" t="n">
        <v>2</v>
      </c>
      <c r="F1118" s="36" t="n">
        <v>1</v>
      </c>
      <c r="G1118" s="36" t="n">
        <v>0</v>
      </c>
      <c r="H1118" s="36" t="n">
        <v>0</v>
      </c>
      <c r="I1118" s="36" t="n">
        <v>1</v>
      </c>
      <c r="J1118" s="36" t="n">
        <v>7</v>
      </c>
      <c r="K1118" s="12" t="n">
        <v>84</v>
      </c>
    </row>
    <row r="1119">
      <c r="A1119" s="33" t="n">
        <v>46321.81388888889</v>
      </c>
      <c r="B1119" s="33" t="n">
        <v>46321.82152777778</v>
      </c>
      <c r="C1119" s="13" t="n">
        <v>46326</v>
      </c>
      <c r="D1119" s="14" t="n">
        <v>0.9270833333333334</v>
      </c>
      <c r="E1119" s="37" t="n">
        <v>1</v>
      </c>
      <c r="F1119" s="37" t="n">
        <v>1</v>
      </c>
      <c r="G1119" s="37" t="n">
        <v>0</v>
      </c>
      <c r="H1119" s="37" t="n">
        <v>0</v>
      </c>
      <c r="I1119" s="37" t="n">
        <v>0</v>
      </c>
      <c r="J1119" s="37" t="n">
        <v>2</v>
      </c>
      <c r="K1119" s="16" t="n">
        <v>24</v>
      </c>
    </row>
    <row r="1120">
      <c r="A1120" s="30" t="n">
        <v>46321.82152777778</v>
      </c>
      <c r="B1120" s="30" t="n">
        <v>46321.83958333333</v>
      </c>
      <c r="C1120" s="9" t="n">
        <v>46324</v>
      </c>
      <c r="D1120" s="10" t="n">
        <v>0.8854166666666666</v>
      </c>
      <c r="E1120" s="36" t="n">
        <v>1</v>
      </c>
      <c r="F1120" s="36" t="n">
        <v>0</v>
      </c>
      <c r="G1120" s="36" t="n">
        <v>1</v>
      </c>
      <c r="H1120" s="36" t="n">
        <v>0</v>
      </c>
      <c r="I1120" s="36" t="n">
        <v>0</v>
      </c>
      <c r="J1120" s="36" t="n">
        <v>3</v>
      </c>
      <c r="K1120" s="12" t="n">
        <v>36</v>
      </c>
    </row>
    <row r="1121">
      <c r="A1121" s="33" t="n">
        <v>46321.82152777778</v>
      </c>
      <c r="B1121" s="33" t="n">
        <v>46321.83958333333</v>
      </c>
      <c r="C1121" s="13" t="n">
        <v>46324</v>
      </c>
      <c r="D1121" s="14" t="n">
        <v>0.96875</v>
      </c>
      <c r="E1121" s="37" t="n">
        <v>2</v>
      </c>
      <c r="F1121" s="37" t="n">
        <v>1</v>
      </c>
      <c r="G1121" s="37" t="n">
        <v>0</v>
      </c>
      <c r="H1121" s="37" t="n">
        <v>1</v>
      </c>
      <c r="I1121" s="37" t="n">
        <v>0</v>
      </c>
      <c r="J1121" s="37" t="n">
        <v>6</v>
      </c>
      <c r="K1121" s="16" t="n">
        <v>72</v>
      </c>
    </row>
    <row r="1122">
      <c r="A1122" s="30" t="n">
        <v>46321.82152777778</v>
      </c>
      <c r="B1122" s="30" t="n">
        <v>46321.83958333333</v>
      </c>
      <c r="C1122" s="9" t="n">
        <v>46324</v>
      </c>
      <c r="D1122" s="10" t="n">
        <v>0.9993055555555556</v>
      </c>
      <c r="E1122" s="36" t="n">
        <v>1</v>
      </c>
      <c r="F1122" s="36" t="n">
        <v>1</v>
      </c>
      <c r="G1122" s="36" t="n">
        <v>0</v>
      </c>
      <c r="H1122" s="36" t="n">
        <v>0</v>
      </c>
      <c r="I1122" s="36" t="n">
        <v>0</v>
      </c>
      <c r="J1122" s="36" t="n">
        <v>2</v>
      </c>
      <c r="K1122" s="12" t="n">
        <v>24</v>
      </c>
    </row>
    <row r="1123">
      <c r="A1123" s="33" t="n">
        <v>46321.82152777778</v>
      </c>
      <c r="B1123" s="33" t="n">
        <v>46321.83958333333</v>
      </c>
      <c r="C1123" s="13" t="n">
        <v>46325</v>
      </c>
      <c r="D1123" s="14" t="n">
        <v>0.8854166666666666</v>
      </c>
      <c r="E1123" s="37" t="n">
        <v>1</v>
      </c>
      <c r="F1123" s="37" t="n">
        <v>1</v>
      </c>
      <c r="G1123" s="37" t="n">
        <v>0</v>
      </c>
      <c r="H1123" s="37" t="n">
        <v>0</v>
      </c>
      <c r="I1123" s="37" t="n">
        <v>0</v>
      </c>
      <c r="J1123" s="37" t="n">
        <v>2</v>
      </c>
      <c r="K1123" s="16" t="n">
        <v>24</v>
      </c>
    </row>
    <row r="1124">
      <c r="A1124" s="30" t="n">
        <v>46321.82152777778</v>
      </c>
      <c r="B1124" s="30" t="n">
        <v>46321.83958333333</v>
      </c>
      <c r="C1124" s="9" t="n">
        <v>46325</v>
      </c>
      <c r="D1124" s="10" t="n">
        <v>0.9993055555555556</v>
      </c>
      <c r="E1124" s="36" t="n">
        <v>1</v>
      </c>
      <c r="F1124" s="36" t="n">
        <v>1</v>
      </c>
      <c r="G1124" s="36" t="n">
        <v>0</v>
      </c>
      <c r="H1124" s="36" t="n">
        <v>0</v>
      </c>
      <c r="I1124" s="36" t="n">
        <v>0</v>
      </c>
      <c r="J1124" s="36" t="n">
        <v>2</v>
      </c>
      <c r="K1124" s="12" t="n">
        <v>24</v>
      </c>
    </row>
    <row r="1125">
      <c r="A1125" s="33" t="n">
        <v>46321.82152777778</v>
      </c>
      <c r="B1125" s="33" t="n">
        <v>46321.83958333333</v>
      </c>
      <c r="C1125" s="13" t="n">
        <v>46326</v>
      </c>
      <c r="D1125" s="14" t="n">
        <v>0.8854166666666666</v>
      </c>
      <c r="E1125" s="37" t="n">
        <v>1</v>
      </c>
      <c r="F1125" s="37" t="n">
        <v>1</v>
      </c>
      <c r="G1125" s="37" t="n">
        <v>0</v>
      </c>
      <c r="H1125" s="37" t="n">
        <v>0</v>
      </c>
      <c r="I1125" s="37" t="n">
        <v>0</v>
      </c>
      <c r="J1125" s="37" t="n">
        <v>2</v>
      </c>
      <c r="K1125" s="16" t="n">
        <v>24</v>
      </c>
    </row>
    <row r="1126">
      <c r="A1126" s="30" t="n">
        <v>46321.82152777778</v>
      </c>
      <c r="B1126" s="30" t="n">
        <v>46321.83958333333</v>
      </c>
      <c r="C1126" s="9" t="n">
        <v>46326</v>
      </c>
      <c r="D1126" s="10" t="n">
        <v>0.9270833333333334</v>
      </c>
      <c r="E1126" s="36" t="n">
        <v>4</v>
      </c>
      <c r="F1126" s="36" t="n">
        <v>2</v>
      </c>
      <c r="G1126" s="36" t="n">
        <v>0</v>
      </c>
      <c r="H1126" s="36" t="n">
        <v>2</v>
      </c>
      <c r="I1126" s="36" t="n">
        <v>0</v>
      </c>
      <c r="J1126" s="36" t="n">
        <v>12</v>
      </c>
      <c r="K1126" s="12" t="n">
        <v>144</v>
      </c>
    </row>
    <row r="1127">
      <c r="A1127" s="33" t="n">
        <v>46321.82152777778</v>
      </c>
      <c r="B1127" s="33" t="n">
        <v>46321.83958333333</v>
      </c>
      <c r="C1127" s="13" t="n">
        <v>46326</v>
      </c>
      <c r="D1127" s="14" t="n">
        <v>0.96875</v>
      </c>
      <c r="E1127" s="37" t="n">
        <v>4</v>
      </c>
      <c r="F1127" s="37" t="n">
        <v>3</v>
      </c>
      <c r="G1127" s="37" t="n">
        <v>0</v>
      </c>
      <c r="H1127" s="37" t="n">
        <v>1</v>
      </c>
      <c r="I1127" s="37" t="n">
        <v>0</v>
      </c>
      <c r="J1127" s="37" t="n">
        <v>10</v>
      </c>
      <c r="K1127" s="16" t="n">
        <v>120</v>
      </c>
    </row>
    <row r="1128">
      <c r="A1128" s="30" t="n">
        <v>46321.82152777778</v>
      </c>
      <c r="B1128" s="30" t="n">
        <v>46321.83958333333</v>
      </c>
      <c r="C1128" s="9" t="n">
        <v>46327</v>
      </c>
      <c r="D1128" s="10" t="n">
        <v>0.84375</v>
      </c>
      <c r="E1128" s="36" t="n">
        <v>1</v>
      </c>
      <c r="F1128" s="36" t="n">
        <v>1</v>
      </c>
      <c r="G1128" s="36" t="n">
        <v>0</v>
      </c>
      <c r="H1128" s="36" t="n">
        <v>0</v>
      </c>
      <c r="I1128" s="36" t="n">
        <v>0</v>
      </c>
      <c r="J1128" s="36" t="n">
        <v>2</v>
      </c>
      <c r="K1128" s="12" t="n">
        <v>24</v>
      </c>
    </row>
    <row r="1129">
      <c r="A1129" s="33" t="n">
        <v>46321.83958333333</v>
      </c>
      <c r="B1129" s="33" t="n">
        <v>46321.86180555556</v>
      </c>
      <c r="C1129" s="13" t="n">
        <v>46324</v>
      </c>
      <c r="D1129" s="14" t="n">
        <v>0.96875</v>
      </c>
      <c r="E1129" s="37" t="n">
        <v>2</v>
      </c>
      <c r="F1129" s="37" t="n">
        <v>1</v>
      </c>
      <c r="G1129" s="37" t="n">
        <v>0</v>
      </c>
      <c r="H1129" s="37" t="n">
        <v>0</v>
      </c>
      <c r="I1129" s="37" t="n">
        <v>1</v>
      </c>
      <c r="J1129" s="37" t="n">
        <v>7</v>
      </c>
      <c r="K1129" s="16" t="n">
        <v>84</v>
      </c>
    </row>
    <row r="1130">
      <c r="A1130" s="30" t="n">
        <v>46321.83958333333</v>
      </c>
      <c r="B1130" s="30" t="n">
        <v>46321.86180555556</v>
      </c>
      <c r="C1130" s="9" t="n">
        <v>46326</v>
      </c>
      <c r="D1130" s="10" t="n">
        <v>0.84375</v>
      </c>
      <c r="E1130" s="36" t="n">
        <v>2</v>
      </c>
      <c r="F1130" s="36" t="n">
        <v>0</v>
      </c>
      <c r="G1130" s="36" t="n">
        <v>0</v>
      </c>
      <c r="H1130" s="36" t="n">
        <v>1</v>
      </c>
      <c r="I1130" s="36" t="n">
        <v>1</v>
      </c>
      <c r="J1130" s="36" t="n">
        <v>9</v>
      </c>
      <c r="K1130" s="12" t="n">
        <v>108</v>
      </c>
    </row>
    <row r="1131">
      <c r="A1131" s="33" t="n">
        <v>46321.83958333333</v>
      </c>
      <c r="B1131" s="33" t="n">
        <v>46321.86180555556</v>
      </c>
      <c r="C1131" s="13" t="n">
        <v>46326</v>
      </c>
      <c r="D1131" s="14" t="n">
        <v>0.9270833333333334</v>
      </c>
      <c r="E1131" s="37" t="n">
        <v>1</v>
      </c>
      <c r="F1131" s="37" t="n">
        <v>0</v>
      </c>
      <c r="G1131" s="37" t="n">
        <v>1</v>
      </c>
      <c r="H1131" s="37" t="n">
        <v>0</v>
      </c>
      <c r="I1131" s="37" t="n">
        <v>0</v>
      </c>
      <c r="J1131" s="37" t="n">
        <v>3</v>
      </c>
      <c r="K1131" s="16" t="n">
        <v>36</v>
      </c>
    </row>
    <row r="1132">
      <c r="A1132" s="30" t="n">
        <v>46321.83958333333</v>
      </c>
      <c r="B1132" s="30" t="n">
        <v>46321.86180555556</v>
      </c>
      <c r="C1132" s="9" t="n">
        <v>46326</v>
      </c>
      <c r="D1132" s="10" t="n">
        <v>0.96875</v>
      </c>
      <c r="E1132" s="36" t="n">
        <v>3</v>
      </c>
      <c r="F1132" s="36" t="n">
        <v>2</v>
      </c>
      <c r="G1132" s="36" t="n">
        <v>0</v>
      </c>
      <c r="H1132" s="36" t="n">
        <v>1</v>
      </c>
      <c r="I1132" s="36" t="n">
        <v>0</v>
      </c>
      <c r="J1132" s="36" t="n">
        <v>8</v>
      </c>
      <c r="K1132" s="12" t="n">
        <v>96</v>
      </c>
    </row>
    <row r="1133">
      <c r="A1133" s="33" t="n">
        <v>46321.83958333333</v>
      </c>
      <c r="B1133" s="33" t="n">
        <v>46321.86180555556</v>
      </c>
      <c r="C1133" s="13" t="n">
        <v>46327</v>
      </c>
      <c r="D1133" s="14" t="n">
        <v>0.8854166666666666</v>
      </c>
      <c r="E1133" s="37" t="n">
        <v>1</v>
      </c>
      <c r="F1133" s="37" t="n">
        <v>1</v>
      </c>
      <c r="G1133" s="37" t="n">
        <v>0</v>
      </c>
      <c r="H1133" s="37" t="n">
        <v>0</v>
      </c>
      <c r="I1133" s="37" t="n">
        <v>0</v>
      </c>
      <c r="J1133" s="37" t="n">
        <v>2</v>
      </c>
      <c r="K1133" s="16" t="n">
        <v>24</v>
      </c>
    </row>
    <row r="1134">
      <c r="A1134" s="30" t="n">
        <v>46321.86180555556</v>
      </c>
      <c r="B1134" s="30" t="n">
        <v>46321.89444444444</v>
      </c>
      <c r="C1134" s="9" t="n">
        <v>46324</v>
      </c>
      <c r="D1134" s="10" t="n">
        <v>0.8854166666666666</v>
      </c>
      <c r="E1134" s="36" t="n">
        <v>5</v>
      </c>
      <c r="F1134" s="36" t="n">
        <v>0</v>
      </c>
      <c r="G1134" s="36" t="n">
        <v>4</v>
      </c>
      <c r="H1134" s="36" t="n">
        <v>0</v>
      </c>
      <c r="I1134" s="36" t="n">
        <v>1</v>
      </c>
      <c r="J1134" s="36" t="n">
        <v>17</v>
      </c>
      <c r="K1134" s="12" t="n">
        <v>204</v>
      </c>
    </row>
    <row r="1135">
      <c r="A1135" s="33" t="n">
        <v>46321.86180555556</v>
      </c>
      <c r="B1135" s="33" t="n">
        <v>46321.89444444444</v>
      </c>
      <c r="C1135" s="13" t="n">
        <v>46324</v>
      </c>
      <c r="D1135" s="14" t="n">
        <v>0.9270833333333334</v>
      </c>
      <c r="E1135" s="37" t="n">
        <v>2</v>
      </c>
      <c r="F1135" s="37" t="n">
        <v>1</v>
      </c>
      <c r="G1135" s="37" t="n">
        <v>0</v>
      </c>
      <c r="H1135" s="37" t="n">
        <v>0</v>
      </c>
      <c r="I1135" s="37" t="n">
        <v>1</v>
      </c>
      <c r="J1135" s="37" t="n">
        <v>7</v>
      </c>
      <c r="K1135" s="16" t="n">
        <v>84</v>
      </c>
    </row>
    <row r="1136">
      <c r="A1136" s="30" t="n">
        <v>46321.86180555556</v>
      </c>
      <c r="B1136" s="30" t="n">
        <v>46321.89444444444</v>
      </c>
      <c r="C1136" s="9" t="n">
        <v>46324</v>
      </c>
      <c r="D1136" s="10" t="n">
        <v>0.96875</v>
      </c>
      <c r="E1136" s="36" t="n">
        <v>2</v>
      </c>
      <c r="F1136" s="36" t="n">
        <v>0</v>
      </c>
      <c r="G1136" s="36" t="n">
        <v>0</v>
      </c>
      <c r="H1136" s="36" t="n">
        <v>0</v>
      </c>
      <c r="I1136" s="36" t="n">
        <v>2</v>
      </c>
      <c r="J1136" s="36" t="n">
        <v>10</v>
      </c>
      <c r="K1136" s="12" t="n">
        <v>120</v>
      </c>
    </row>
    <row r="1137">
      <c r="A1137" s="33" t="n">
        <v>46321.86180555556</v>
      </c>
      <c r="B1137" s="33" t="n">
        <v>46321.89444444444</v>
      </c>
      <c r="C1137" s="13" t="n">
        <v>46324</v>
      </c>
      <c r="D1137" s="14" t="n">
        <v>0.9993055555555556</v>
      </c>
      <c r="E1137" s="37" t="n">
        <v>1</v>
      </c>
      <c r="F1137" s="37" t="n">
        <v>0</v>
      </c>
      <c r="G1137" s="37" t="n">
        <v>0</v>
      </c>
      <c r="H1137" s="37" t="n">
        <v>0</v>
      </c>
      <c r="I1137" s="37" t="n">
        <v>1</v>
      </c>
      <c r="J1137" s="37" t="n">
        <v>5</v>
      </c>
      <c r="K1137" s="16" t="n">
        <v>60</v>
      </c>
    </row>
    <row r="1138">
      <c r="A1138" s="30" t="n">
        <v>46321.86180555556</v>
      </c>
      <c r="B1138" s="30" t="n">
        <v>46321.89444444444</v>
      </c>
      <c r="C1138" s="9" t="n">
        <v>46325</v>
      </c>
      <c r="D1138" s="10" t="n">
        <v>0.84375</v>
      </c>
      <c r="E1138" s="36" t="n">
        <v>1</v>
      </c>
      <c r="F1138" s="36" t="n">
        <v>1</v>
      </c>
      <c r="G1138" s="36" t="n">
        <v>0</v>
      </c>
      <c r="H1138" s="36" t="n">
        <v>0</v>
      </c>
      <c r="I1138" s="36" t="n">
        <v>0</v>
      </c>
      <c r="J1138" s="36" t="n">
        <v>2</v>
      </c>
      <c r="K1138" s="12" t="n">
        <v>24</v>
      </c>
    </row>
    <row r="1139">
      <c r="A1139" s="33" t="n">
        <v>46321.86180555556</v>
      </c>
      <c r="B1139" s="33" t="n">
        <v>46321.89444444444</v>
      </c>
      <c r="C1139" s="13" t="n">
        <v>46325</v>
      </c>
      <c r="D1139" s="14" t="n">
        <v>0.9270833333333334</v>
      </c>
      <c r="E1139" s="37" t="n">
        <v>1</v>
      </c>
      <c r="F1139" s="37" t="n">
        <v>1</v>
      </c>
      <c r="G1139" s="37" t="n">
        <v>0</v>
      </c>
      <c r="H1139" s="37" t="n">
        <v>0</v>
      </c>
      <c r="I1139" s="37" t="n">
        <v>0</v>
      </c>
      <c r="J1139" s="37" t="n">
        <v>2</v>
      </c>
      <c r="K1139" s="16" t="n">
        <v>24</v>
      </c>
    </row>
    <row r="1140">
      <c r="A1140" s="30" t="n">
        <v>46321.86180555556</v>
      </c>
      <c r="B1140" s="30" t="n">
        <v>46321.89444444444</v>
      </c>
      <c r="C1140" s="9" t="n">
        <v>46326</v>
      </c>
      <c r="D1140" s="10" t="n">
        <v>0.84375</v>
      </c>
      <c r="E1140" s="36" t="n">
        <v>1</v>
      </c>
      <c r="F1140" s="36" t="n">
        <v>1</v>
      </c>
      <c r="G1140" s="36" t="n">
        <v>0</v>
      </c>
      <c r="H1140" s="36" t="n">
        <v>0</v>
      </c>
      <c r="I1140" s="36" t="n">
        <v>0</v>
      </c>
      <c r="J1140" s="36" t="n">
        <v>2</v>
      </c>
      <c r="K1140" s="12" t="n">
        <v>24</v>
      </c>
    </row>
    <row r="1141">
      <c r="A1141" s="33" t="n">
        <v>46321.86180555556</v>
      </c>
      <c r="B1141" s="33" t="n">
        <v>46321.89444444444</v>
      </c>
      <c r="C1141" s="13" t="n">
        <v>46326</v>
      </c>
      <c r="D1141" s="14" t="n">
        <v>0.8854166666666666</v>
      </c>
      <c r="E1141" s="37" t="n">
        <v>2</v>
      </c>
      <c r="F1141" s="37" t="n">
        <v>2</v>
      </c>
      <c r="G1141" s="37" t="n">
        <v>0</v>
      </c>
      <c r="H1141" s="37" t="n">
        <v>0</v>
      </c>
      <c r="I1141" s="37" t="n">
        <v>0</v>
      </c>
      <c r="J1141" s="37" t="n">
        <v>4</v>
      </c>
      <c r="K1141" s="16" t="n">
        <v>48</v>
      </c>
    </row>
    <row r="1142">
      <c r="A1142" s="30" t="n">
        <v>46321.86180555556</v>
      </c>
      <c r="B1142" s="30" t="n">
        <v>46321.89444444444</v>
      </c>
      <c r="C1142" s="9" t="n">
        <v>46326</v>
      </c>
      <c r="D1142" s="10" t="n">
        <v>0.9993055555555556</v>
      </c>
      <c r="E1142" s="36" t="n">
        <v>5</v>
      </c>
      <c r="F1142" s="36" t="n">
        <v>1</v>
      </c>
      <c r="G1142" s="36" t="n">
        <v>0</v>
      </c>
      <c r="H1142" s="36" t="n">
        <v>4</v>
      </c>
      <c r="I1142" s="36" t="n">
        <v>0</v>
      </c>
      <c r="J1142" s="36" t="n">
        <v>18</v>
      </c>
      <c r="K1142" s="12" t="n">
        <v>216</v>
      </c>
    </row>
    <row r="1143">
      <c r="A1143" s="33" t="n">
        <v>46321.86180555556</v>
      </c>
      <c r="B1143" s="33" t="n">
        <v>46321.89444444444</v>
      </c>
      <c r="C1143" s="13" t="n">
        <v>46327</v>
      </c>
      <c r="D1143" s="14" t="n">
        <v>0.9270833333333334</v>
      </c>
      <c r="E1143" s="37" t="n">
        <v>2</v>
      </c>
      <c r="F1143" s="37" t="n">
        <v>1</v>
      </c>
      <c r="G1143" s="37" t="n">
        <v>0</v>
      </c>
      <c r="H1143" s="37" t="n">
        <v>1</v>
      </c>
      <c r="I1143" s="37" t="n">
        <v>0</v>
      </c>
      <c r="J1143" s="37" t="n">
        <v>6</v>
      </c>
      <c r="K1143" s="16" t="n">
        <v>72</v>
      </c>
    </row>
    <row r="1144">
      <c r="A1144" s="30" t="n">
        <v>46321.89444444444</v>
      </c>
      <c r="B1144" s="30" t="n">
        <v>46321.92777777778</v>
      </c>
      <c r="C1144" s="9" t="n">
        <v>46324</v>
      </c>
      <c r="D1144" s="10" t="n">
        <v>0.8854166666666666</v>
      </c>
      <c r="E1144" s="36" t="n">
        <v>4</v>
      </c>
      <c r="F1144" s="36" t="n">
        <v>3</v>
      </c>
      <c r="G1144" s="36" t="n">
        <v>0</v>
      </c>
      <c r="H1144" s="36" t="n">
        <v>1</v>
      </c>
      <c r="I1144" s="36" t="n">
        <v>0</v>
      </c>
      <c r="J1144" s="36" t="n">
        <v>10</v>
      </c>
      <c r="K1144" s="12" t="n">
        <v>120</v>
      </c>
    </row>
    <row r="1145">
      <c r="A1145" s="33" t="n">
        <v>46321.89444444444</v>
      </c>
      <c r="B1145" s="33" t="n">
        <v>46321.92777777778</v>
      </c>
      <c r="C1145" s="13" t="n">
        <v>46324</v>
      </c>
      <c r="D1145" s="14" t="n">
        <v>0.9270833333333334</v>
      </c>
      <c r="E1145" s="37" t="n">
        <v>1</v>
      </c>
      <c r="F1145" s="37" t="n">
        <v>0</v>
      </c>
      <c r="G1145" s="37" t="n">
        <v>0</v>
      </c>
      <c r="H1145" s="37" t="n">
        <v>1</v>
      </c>
      <c r="I1145" s="37" t="n">
        <v>0</v>
      </c>
      <c r="J1145" s="37" t="n">
        <v>4</v>
      </c>
      <c r="K1145" s="16" t="n">
        <v>48</v>
      </c>
    </row>
    <row r="1146">
      <c r="A1146" s="30" t="n">
        <v>46321.89444444444</v>
      </c>
      <c r="B1146" s="30" t="n">
        <v>46321.92777777778</v>
      </c>
      <c r="C1146" s="9" t="n">
        <v>46324</v>
      </c>
      <c r="D1146" s="10" t="n">
        <v>0.9993055555555556</v>
      </c>
      <c r="E1146" s="36" t="n">
        <v>2</v>
      </c>
      <c r="F1146" s="36" t="n">
        <v>0</v>
      </c>
      <c r="G1146" s="36" t="n">
        <v>0</v>
      </c>
      <c r="H1146" s="36" t="n">
        <v>2</v>
      </c>
      <c r="I1146" s="36" t="n">
        <v>0</v>
      </c>
      <c r="J1146" s="36" t="n">
        <v>8</v>
      </c>
      <c r="K1146" s="12" t="n">
        <v>96</v>
      </c>
    </row>
    <row r="1147">
      <c r="A1147" s="33" t="n">
        <v>46321.89444444444</v>
      </c>
      <c r="B1147" s="33" t="n">
        <v>46321.92777777778</v>
      </c>
      <c r="C1147" s="13" t="n">
        <v>46325</v>
      </c>
      <c r="D1147" s="14" t="n">
        <v>0.9270833333333334</v>
      </c>
      <c r="E1147" s="37" t="n">
        <v>3</v>
      </c>
      <c r="F1147" s="37" t="n">
        <v>3</v>
      </c>
      <c r="G1147" s="37" t="n">
        <v>0</v>
      </c>
      <c r="H1147" s="37" t="n">
        <v>0</v>
      </c>
      <c r="I1147" s="37" t="n">
        <v>0</v>
      </c>
      <c r="J1147" s="37" t="n">
        <v>6</v>
      </c>
      <c r="K1147" s="16" t="n">
        <v>72</v>
      </c>
    </row>
    <row r="1148">
      <c r="A1148" s="30" t="n">
        <v>46321.89444444444</v>
      </c>
      <c r="B1148" s="30" t="n">
        <v>46321.92777777778</v>
      </c>
      <c r="C1148" s="9" t="n">
        <v>46325</v>
      </c>
      <c r="D1148" s="10" t="n">
        <v>0.96875</v>
      </c>
      <c r="E1148" s="36" t="n">
        <v>1</v>
      </c>
      <c r="F1148" s="36" t="n">
        <v>0</v>
      </c>
      <c r="G1148" s="36" t="n">
        <v>0</v>
      </c>
      <c r="H1148" s="36" t="n">
        <v>1</v>
      </c>
      <c r="I1148" s="36" t="n">
        <v>0</v>
      </c>
      <c r="J1148" s="36" t="n">
        <v>4</v>
      </c>
      <c r="K1148" s="12" t="n">
        <v>48</v>
      </c>
    </row>
    <row r="1149">
      <c r="A1149" s="33" t="n">
        <v>46321.89444444444</v>
      </c>
      <c r="B1149" s="33" t="n">
        <v>46321.92777777778</v>
      </c>
      <c r="C1149" s="13" t="n">
        <v>46326</v>
      </c>
      <c r="D1149" s="14" t="n">
        <v>0.8854166666666666</v>
      </c>
      <c r="E1149" s="37" t="n">
        <v>2</v>
      </c>
      <c r="F1149" s="37" t="n">
        <v>0</v>
      </c>
      <c r="G1149" s="37" t="n">
        <v>1</v>
      </c>
      <c r="H1149" s="37" t="n">
        <v>1</v>
      </c>
      <c r="I1149" s="37" t="n">
        <v>0</v>
      </c>
      <c r="J1149" s="37" t="n">
        <v>7</v>
      </c>
      <c r="K1149" s="16" t="n">
        <v>84</v>
      </c>
    </row>
    <row r="1150">
      <c r="A1150" s="30" t="n">
        <v>46321.89444444444</v>
      </c>
      <c r="B1150" s="30" t="n">
        <v>46321.92777777778</v>
      </c>
      <c r="C1150" s="9" t="n">
        <v>46326</v>
      </c>
      <c r="D1150" s="10" t="n">
        <v>0.9993055555555556</v>
      </c>
      <c r="E1150" s="36" t="n">
        <v>3</v>
      </c>
      <c r="F1150" s="36" t="n">
        <v>2</v>
      </c>
      <c r="G1150" s="36" t="n">
        <v>0</v>
      </c>
      <c r="H1150" s="36" t="n">
        <v>1</v>
      </c>
      <c r="I1150" s="36" t="n">
        <v>0</v>
      </c>
      <c r="J1150" s="36" t="n">
        <v>8</v>
      </c>
      <c r="K1150" s="12" t="n">
        <v>96</v>
      </c>
    </row>
    <row r="1151">
      <c r="A1151" s="33" t="n">
        <v>46321.89444444444</v>
      </c>
      <c r="B1151" s="33" t="n">
        <v>46321.92777777778</v>
      </c>
      <c r="C1151" s="13" t="n">
        <v>46327</v>
      </c>
      <c r="D1151" s="14" t="n">
        <v>0.8854166666666666</v>
      </c>
      <c r="E1151" s="37" t="n">
        <v>1</v>
      </c>
      <c r="F1151" s="37" t="n">
        <v>1</v>
      </c>
      <c r="G1151" s="37" t="n">
        <v>0</v>
      </c>
      <c r="H1151" s="37" t="n">
        <v>0</v>
      </c>
      <c r="I1151" s="37" t="n">
        <v>0</v>
      </c>
      <c r="J1151" s="37" t="n">
        <v>2</v>
      </c>
      <c r="K1151" s="16" t="n">
        <v>24</v>
      </c>
    </row>
    <row r="1152">
      <c r="A1152" s="30" t="n">
        <v>46321.92777777778</v>
      </c>
      <c r="B1152" s="30" t="n">
        <v>46321.9375</v>
      </c>
      <c r="C1152" s="9" t="n">
        <v>46324</v>
      </c>
      <c r="D1152" s="10" t="n">
        <v>0.9270833333333334</v>
      </c>
      <c r="E1152" s="36" t="n">
        <v>1</v>
      </c>
      <c r="F1152" s="36" t="n">
        <v>0</v>
      </c>
      <c r="G1152" s="36" t="n">
        <v>0</v>
      </c>
      <c r="H1152" s="36" t="n">
        <v>1</v>
      </c>
      <c r="I1152" s="36" t="n">
        <v>0</v>
      </c>
      <c r="J1152" s="36" t="n">
        <v>4</v>
      </c>
      <c r="K1152" s="12" t="n">
        <v>48</v>
      </c>
    </row>
    <row r="1153">
      <c r="A1153" s="33" t="n">
        <v>46321.92777777778</v>
      </c>
      <c r="B1153" s="33" t="n">
        <v>46321.9375</v>
      </c>
      <c r="C1153" s="13" t="n">
        <v>46326</v>
      </c>
      <c r="D1153" s="14" t="n">
        <v>0.9993055555555556</v>
      </c>
      <c r="E1153" s="37" t="n">
        <v>1</v>
      </c>
      <c r="F1153" s="37" t="n">
        <v>0</v>
      </c>
      <c r="G1153" s="37" t="n">
        <v>0</v>
      </c>
      <c r="H1153" s="37" t="n">
        <v>1</v>
      </c>
      <c r="I1153" s="37" t="n">
        <v>0</v>
      </c>
      <c r="J1153" s="37" t="n">
        <v>4</v>
      </c>
      <c r="K1153" s="16" t="n">
        <v>48</v>
      </c>
    </row>
    <row r="1154">
      <c r="A1154" s="30" t="n">
        <v>46321.9375</v>
      </c>
      <c r="B1154" s="30" t="n">
        <v>46321.94861111111</v>
      </c>
      <c r="C1154" s="9" t="n">
        <v>46324</v>
      </c>
      <c r="D1154" s="10" t="n">
        <v>0.9270833333333334</v>
      </c>
      <c r="E1154" s="36" t="n">
        <v>1</v>
      </c>
      <c r="F1154" s="36" t="n">
        <v>0</v>
      </c>
      <c r="G1154" s="36" t="n">
        <v>0</v>
      </c>
      <c r="H1154" s="36" t="n">
        <v>0</v>
      </c>
      <c r="I1154" s="36" t="n">
        <v>1</v>
      </c>
      <c r="J1154" s="36" t="n">
        <v>5</v>
      </c>
      <c r="K1154" s="12" t="n">
        <v>60</v>
      </c>
    </row>
    <row r="1155">
      <c r="A1155" s="33" t="n">
        <v>46321.9375</v>
      </c>
      <c r="B1155" s="33" t="n">
        <v>46321.94861111111</v>
      </c>
      <c r="C1155" s="13" t="n">
        <v>46324</v>
      </c>
      <c r="D1155" s="14" t="n">
        <v>0.96875</v>
      </c>
      <c r="E1155" s="37" t="n">
        <v>1</v>
      </c>
      <c r="F1155" s="37" t="n">
        <v>0</v>
      </c>
      <c r="G1155" s="37" t="n">
        <v>0</v>
      </c>
      <c r="H1155" s="37" t="n">
        <v>1</v>
      </c>
      <c r="I1155" s="37" t="n">
        <v>0</v>
      </c>
      <c r="J1155" s="37" t="n">
        <v>4</v>
      </c>
      <c r="K1155" s="16" t="n">
        <v>48</v>
      </c>
    </row>
    <row r="1156">
      <c r="A1156" s="30" t="n">
        <v>46321.9375</v>
      </c>
      <c r="B1156" s="30" t="n">
        <v>46321.94861111111</v>
      </c>
      <c r="C1156" s="9" t="n">
        <v>46324</v>
      </c>
      <c r="D1156" s="10" t="n">
        <v>0.9993055555555556</v>
      </c>
      <c r="E1156" s="36" t="n">
        <v>2</v>
      </c>
      <c r="F1156" s="36" t="n">
        <v>1</v>
      </c>
      <c r="G1156" s="36" t="n">
        <v>0</v>
      </c>
      <c r="H1156" s="36" t="n">
        <v>1</v>
      </c>
      <c r="I1156" s="36" t="n">
        <v>0</v>
      </c>
      <c r="J1156" s="36" t="n">
        <v>6</v>
      </c>
      <c r="K1156" s="12" t="n">
        <v>72</v>
      </c>
    </row>
    <row r="1157">
      <c r="A1157" s="33" t="n">
        <v>46321.9375</v>
      </c>
      <c r="B1157" s="33" t="n">
        <v>46321.94861111111</v>
      </c>
      <c r="C1157" s="13" t="n">
        <v>46325</v>
      </c>
      <c r="D1157" s="14" t="n">
        <v>0.96875</v>
      </c>
      <c r="E1157" s="37" t="n">
        <v>1</v>
      </c>
      <c r="F1157" s="37" t="n">
        <v>0</v>
      </c>
      <c r="G1157" s="37" t="n">
        <v>0</v>
      </c>
      <c r="H1157" s="37" t="n">
        <v>1</v>
      </c>
      <c r="I1157" s="37" t="n">
        <v>0</v>
      </c>
      <c r="J1157" s="37" t="n">
        <v>4</v>
      </c>
      <c r="K1157" s="16" t="n">
        <v>48</v>
      </c>
    </row>
    <row r="1158">
      <c r="A1158" s="30" t="n">
        <v>46321.9375</v>
      </c>
      <c r="B1158" s="30" t="n">
        <v>46321.94861111111</v>
      </c>
      <c r="C1158" s="9" t="n">
        <v>46326</v>
      </c>
      <c r="D1158" s="10" t="n">
        <v>0.8854166666666666</v>
      </c>
      <c r="E1158" s="36" t="n">
        <v>2</v>
      </c>
      <c r="F1158" s="36" t="n">
        <v>1</v>
      </c>
      <c r="G1158" s="36" t="n">
        <v>0</v>
      </c>
      <c r="H1158" s="36" t="n">
        <v>1</v>
      </c>
      <c r="I1158" s="36" t="n">
        <v>0</v>
      </c>
      <c r="J1158" s="36" t="n">
        <v>6</v>
      </c>
      <c r="K1158" s="12" t="n">
        <v>72</v>
      </c>
    </row>
    <row r="1159">
      <c r="A1159" s="33" t="n">
        <v>46321.9375</v>
      </c>
      <c r="B1159" s="33" t="n">
        <v>46321.94861111111</v>
      </c>
      <c r="C1159" s="13" t="n">
        <v>46326</v>
      </c>
      <c r="D1159" s="14" t="n">
        <v>0.9993055555555556</v>
      </c>
      <c r="E1159" s="37" t="n">
        <v>1</v>
      </c>
      <c r="F1159" s="37" t="n">
        <v>1</v>
      </c>
      <c r="G1159" s="37" t="n">
        <v>0</v>
      </c>
      <c r="H1159" s="37" t="n">
        <v>0</v>
      </c>
      <c r="I1159" s="37" t="n">
        <v>0</v>
      </c>
      <c r="J1159" s="37" t="n">
        <v>2</v>
      </c>
      <c r="K1159" s="16" t="n">
        <v>24</v>
      </c>
    </row>
    <row r="1160">
      <c r="A1160" s="30" t="n">
        <v>46321.94861111111</v>
      </c>
      <c r="B1160" s="30" t="n">
        <v>46321.96736111111</v>
      </c>
      <c r="C1160" s="9" t="n">
        <v>46324</v>
      </c>
      <c r="D1160" s="10" t="n">
        <v>0.9270833333333334</v>
      </c>
      <c r="E1160" s="36" t="n">
        <v>4</v>
      </c>
      <c r="F1160" s="36" t="n">
        <v>0</v>
      </c>
      <c r="G1160" s="36" t="n">
        <v>0</v>
      </c>
      <c r="H1160" s="36" t="n">
        <v>3</v>
      </c>
      <c r="I1160" s="36" t="n">
        <v>1</v>
      </c>
      <c r="J1160" s="36" t="n">
        <v>17</v>
      </c>
      <c r="K1160" s="12" t="n">
        <v>204</v>
      </c>
    </row>
    <row r="1161">
      <c r="A1161" s="33" t="n">
        <v>46321.94861111111</v>
      </c>
      <c r="B1161" s="33" t="n">
        <v>46321.96736111111</v>
      </c>
      <c r="C1161" s="13" t="n">
        <v>46325</v>
      </c>
      <c r="D1161" s="14" t="n">
        <v>0.96875</v>
      </c>
      <c r="E1161" s="37" t="n">
        <v>1</v>
      </c>
      <c r="F1161" s="37" t="n">
        <v>0</v>
      </c>
      <c r="G1161" s="37" t="n">
        <v>0</v>
      </c>
      <c r="H1161" s="37" t="n">
        <v>1</v>
      </c>
      <c r="I1161" s="37" t="n">
        <v>0</v>
      </c>
      <c r="J1161" s="37" t="n">
        <v>4</v>
      </c>
      <c r="K1161" s="16" t="n">
        <v>48</v>
      </c>
    </row>
    <row r="1162">
      <c r="A1162" s="30" t="n">
        <v>46321.94861111111</v>
      </c>
      <c r="B1162" s="30" t="n">
        <v>46321.96736111111</v>
      </c>
      <c r="C1162" s="9" t="n">
        <v>46326</v>
      </c>
      <c r="D1162" s="10" t="n">
        <v>0.8854166666666666</v>
      </c>
      <c r="E1162" s="36" t="n">
        <v>1</v>
      </c>
      <c r="F1162" s="36" t="n">
        <v>0</v>
      </c>
      <c r="G1162" s="36" t="n">
        <v>0</v>
      </c>
      <c r="H1162" s="36" t="n">
        <v>1</v>
      </c>
      <c r="I1162" s="36" t="n">
        <v>0</v>
      </c>
      <c r="J1162" s="36" t="n">
        <v>4</v>
      </c>
      <c r="K1162" s="12" t="n">
        <v>48</v>
      </c>
    </row>
    <row r="1163">
      <c r="A1163" s="33" t="n">
        <v>46321.94861111111</v>
      </c>
      <c r="B1163" s="33" t="n">
        <v>46321.96736111111</v>
      </c>
      <c r="C1163" s="13" t="n">
        <v>46326</v>
      </c>
      <c r="D1163" s="14" t="n">
        <v>0.9993055555555556</v>
      </c>
      <c r="E1163" s="37" t="n">
        <v>2</v>
      </c>
      <c r="F1163" s="37" t="n">
        <v>2</v>
      </c>
      <c r="G1163" s="37" t="n">
        <v>0</v>
      </c>
      <c r="H1163" s="37" t="n">
        <v>0</v>
      </c>
      <c r="I1163" s="37" t="n">
        <v>0</v>
      </c>
      <c r="J1163" s="37" t="n">
        <v>4</v>
      </c>
      <c r="K1163" s="16" t="n">
        <v>48</v>
      </c>
    </row>
    <row r="1164">
      <c r="A1164" s="30" t="n">
        <v>46321.94861111111</v>
      </c>
      <c r="B1164" s="30" t="n">
        <v>46321.96736111111</v>
      </c>
      <c r="C1164" s="9" t="n">
        <v>46327</v>
      </c>
      <c r="D1164" s="10" t="n">
        <v>0.9270833333333334</v>
      </c>
      <c r="E1164" s="36" t="n">
        <v>1</v>
      </c>
      <c r="F1164" s="36" t="n">
        <v>1</v>
      </c>
      <c r="G1164" s="36" t="n">
        <v>0</v>
      </c>
      <c r="H1164" s="36" t="n">
        <v>0</v>
      </c>
      <c r="I1164" s="36" t="n">
        <v>0</v>
      </c>
      <c r="J1164" s="36" t="n">
        <v>2</v>
      </c>
      <c r="K1164" s="12" t="n">
        <v>24</v>
      </c>
    </row>
    <row r="1165">
      <c r="A1165" s="33" t="n">
        <v>46321.96736111111</v>
      </c>
      <c r="B1165" s="33" t="n">
        <v>46321.98333333333</v>
      </c>
      <c r="C1165" s="13" t="n">
        <v>46324</v>
      </c>
      <c r="D1165" s="14" t="n">
        <v>0.84375</v>
      </c>
      <c r="E1165" s="37" t="n">
        <v>1</v>
      </c>
      <c r="F1165" s="37" t="n">
        <v>1</v>
      </c>
      <c r="G1165" s="37" t="n">
        <v>0</v>
      </c>
      <c r="H1165" s="37" t="n">
        <v>0</v>
      </c>
      <c r="I1165" s="37" t="n">
        <v>0</v>
      </c>
      <c r="J1165" s="37" t="n">
        <v>2</v>
      </c>
      <c r="K1165" s="16" t="n">
        <v>24</v>
      </c>
    </row>
    <row r="1166">
      <c r="A1166" s="30" t="n">
        <v>46321.96736111111</v>
      </c>
      <c r="B1166" s="30" t="n">
        <v>46321.98333333333</v>
      </c>
      <c r="C1166" s="9" t="n">
        <v>46324</v>
      </c>
      <c r="D1166" s="10" t="n">
        <v>0.8854166666666666</v>
      </c>
      <c r="E1166" s="36" t="n">
        <v>2</v>
      </c>
      <c r="F1166" s="36" t="n">
        <v>1</v>
      </c>
      <c r="G1166" s="36" t="n">
        <v>1</v>
      </c>
      <c r="H1166" s="36" t="n">
        <v>0</v>
      </c>
      <c r="I1166" s="36" t="n">
        <v>0</v>
      </c>
      <c r="J1166" s="36" t="n">
        <v>5</v>
      </c>
      <c r="K1166" s="12" t="n">
        <v>60</v>
      </c>
    </row>
    <row r="1167">
      <c r="A1167" s="33" t="n">
        <v>46321.96736111111</v>
      </c>
      <c r="B1167" s="33" t="n">
        <v>46321.98333333333</v>
      </c>
      <c r="C1167" s="13" t="n">
        <v>46324</v>
      </c>
      <c r="D1167" s="14" t="n">
        <v>0.9270833333333334</v>
      </c>
      <c r="E1167" s="37" t="n">
        <v>1</v>
      </c>
      <c r="F1167" s="37" t="n">
        <v>0</v>
      </c>
      <c r="G1167" s="37" t="n">
        <v>1</v>
      </c>
      <c r="H1167" s="37" t="n">
        <v>0</v>
      </c>
      <c r="I1167" s="37" t="n">
        <v>0</v>
      </c>
      <c r="J1167" s="37" t="n">
        <v>3</v>
      </c>
      <c r="K1167" s="16" t="n">
        <v>36</v>
      </c>
    </row>
    <row r="1168">
      <c r="A1168" s="30" t="n">
        <v>46321.96736111111</v>
      </c>
      <c r="B1168" s="30" t="n">
        <v>46321.98333333333</v>
      </c>
      <c r="C1168" s="9" t="n">
        <v>46326</v>
      </c>
      <c r="D1168" s="10" t="n">
        <v>0.84375</v>
      </c>
      <c r="E1168" s="36" t="n">
        <v>1</v>
      </c>
      <c r="F1168" s="36" t="n">
        <v>0</v>
      </c>
      <c r="G1168" s="36" t="n">
        <v>0</v>
      </c>
      <c r="H1168" s="36" t="n">
        <v>1</v>
      </c>
      <c r="I1168" s="36" t="n">
        <v>0</v>
      </c>
      <c r="J1168" s="36" t="n">
        <v>4</v>
      </c>
      <c r="K1168" s="12" t="n">
        <v>48</v>
      </c>
    </row>
    <row r="1169">
      <c r="A1169" s="33" t="n">
        <v>46321.96736111111</v>
      </c>
      <c r="B1169" s="33" t="n">
        <v>46321.98333333333</v>
      </c>
      <c r="C1169" s="13" t="n">
        <v>46326</v>
      </c>
      <c r="D1169" s="14" t="n">
        <v>0.8854166666666666</v>
      </c>
      <c r="E1169" s="37" t="n">
        <v>2</v>
      </c>
      <c r="F1169" s="37" t="n">
        <v>1</v>
      </c>
      <c r="G1169" s="37" t="n">
        <v>0</v>
      </c>
      <c r="H1169" s="37" t="n">
        <v>1</v>
      </c>
      <c r="I1169" s="37" t="n">
        <v>0</v>
      </c>
      <c r="J1169" s="37" t="n">
        <v>6</v>
      </c>
      <c r="K1169" s="16" t="n">
        <v>72</v>
      </c>
    </row>
    <row r="1170">
      <c r="A1170" s="30" t="n">
        <v>46321.96736111111</v>
      </c>
      <c r="B1170" s="30" t="n">
        <v>46321.98333333333</v>
      </c>
      <c r="C1170" s="9" t="n">
        <v>46326</v>
      </c>
      <c r="D1170" s="10" t="n">
        <v>0.9993055555555556</v>
      </c>
      <c r="E1170" s="36" t="n">
        <v>5</v>
      </c>
      <c r="F1170" s="36" t="n">
        <v>0</v>
      </c>
      <c r="G1170" s="36" t="n">
        <v>0</v>
      </c>
      <c r="H1170" s="36" t="n">
        <v>4</v>
      </c>
      <c r="I1170" s="36" t="n">
        <v>1</v>
      </c>
      <c r="J1170" s="36" t="n">
        <v>21</v>
      </c>
      <c r="K1170" s="12" t="n">
        <v>252</v>
      </c>
    </row>
    <row r="1171">
      <c r="A1171" s="33" t="n">
        <v>46321.98333333333</v>
      </c>
      <c r="B1171" s="33" t="n">
        <v>46322.00902777778</v>
      </c>
      <c r="C1171" s="13" t="n">
        <v>46324</v>
      </c>
      <c r="D1171" s="14" t="n">
        <v>0.84375</v>
      </c>
      <c r="E1171" s="37" t="n">
        <v>1</v>
      </c>
      <c r="F1171" s="37" t="n">
        <v>1</v>
      </c>
      <c r="G1171" s="37" t="n">
        <v>0</v>
      </c>
      <c r="H1171" s="37" t="n">
        <v>0</v>
      </c>
      <c r="I1171" s="37" t="n">
        <v>0</v>
      </c>
      <c r="J1171" s="37" t="n">
        <v>2</v>
      </c>
      <c r="K1171" s="16" t="n">
        <v>24</v>
      </c>
    </row>
    <row r="1172">
      <c r="A1172" s="30" t="n">
        <v>46321.98333333333</v>
      </c>
      <c r="B1172" s="30" t="n">
        <v>46322.00902777778</v>
      </c>
      <c r="C1172" s="9" t="n">
        <v>46325</v>
      </c>
      <c r="D1172" s="10" t="n">
        <v>0.96875</v>
      </c>
      <c r="E1172" s="36" t="n">
        <v>1</v>
      </c>
      <c r="F1172" s="36" t="n">
        <v>0</v>
      </c>
      <c r="G1172" s="36" t="n">
        <v>0</v>
      </c>
      <c r="H1172" s="36" t="n">
        <v>1</v>
      </c>
      <c r="I1172" s="36" t="n">
        <v>0</v>
      </c>
      <c r="J1172" s="36" t="n">
        <v>4</v>
      </c>
      <c r="K1172" s="12" t="n">
        <v>48</v>
      </c>
    </row>
    <row r="1173">
      <c r="A1173" s="33" t="n">
        <v>46321.98333333333</v>
      </c>
      <c r="B1173" s="33" t="n">
        <v>46322.00902777778</v>
      </c>
      <c r="C1173" s="13" t="n">
        <v>46326</v>
      </c>
      <c r="D1173" s="14" t="n">
        <v>0.8854166666666666</v>
      </c>
      <c r="E1173" s="37" t="n">
        <v>1</v>
      </c>
      <c r="F1173" s="37" t="n">
        <v>0</v>
      </c>
      <c r="G1173" s="37" t="n">
        <v>0</v>
      </c>
      <c r="H1173" s="37" t="n">
        <v>1</v>
      </c>
      <c r="I1173" s="37" t="n">
        <v>0</v>
      </c>
      <c r="J1173" s="37" t="n">
        <v>4</v>
      </c>
      <c r="K1173" s="16" t="n">
        <v>48</v>
      </c>
    </row>
    <row r="1174">
      <c r="A1174" s="30" t="n">
        <v>46322.00902777778</v>
      </c>
      <c r="B1174" s="30" t="n">
        <v>46322.01736111111</v>
      </c>
      <c r="C1174" s="9" t="n">
        <v>46324</v>
      </c>
      <c r="D1174" s="10" t="n">
        <v>0.9270833333333334</v>
      </c>
      <c r="E1174" s="36" t="n">
        <v>2</v>
      </c>
      <c r="F1174" s="36" t="n">
        <v>1</v>
      </c>
      <c r="G1174" s="36" t="n">
        <v>0</v>
      </c>
      <c r="H1174" s="36" t="n">
        <v>0</v>
      </c>
      <c r="I1174" s="36" t="n">
        <v>1</v>
      </c>
      <c r="J1174" s="36" t="n">
        <v>7</v>
      </c>
      <c r="K1174" s="12" t="n">
        <v>84</v>
      </c>
    </row>
    <row r="1175">
      <c r="A1175" s="33" t="n">
        <v>46322.00902777778</v>
      </c>
      <c r="B1175" s="33" t="n">
        <v>46322.01736111111</v>
      </c>
      <c r="C1175" s="13" t="n">
        <v>46325</v>
      </c>
      <c r="D1175" s="14" t="n">
        <v>0.9270833333333334</v>
      </c>
      <c r="E1175" s="37" t="n">
        <v>1</v>
      </c>
      <c r="F1175" s="37" t="n">
        <v>1</v>
      </c>
      <c r="G1175" s="37" t="n">
        <v>0</v>
      </c>
      <c r="H1175" s="37" t="n">
        <v>0</v>
      </c>
      <c r="I1175" s="37" t="n">
        <v>0</v>
      </c>
      <c r="J1175" s="37" t="n">
        <v>2</v>
      </c>
      <c r="K1175" s="16" t="n">
        <v>24</v>
      </c>
    </row>
    <row r="1176">
      <c r="A1176" s="30" t="n">
        <v>46322.01736111111</v>
      </c>
      <c r="B1176" s="30" t="n">
        <v>46322.04027777778</v>
      </c>
      <c r="C1176" s="9" t="n">
        <v>46324</v>
      </c>
      <c r="D1176" s="10" t="n">
        <v>0.9993055555555556</v>
      </c>
      <c r="E1176" s="36" t="n">
        <v>1</v>
      </c>
      <c r="F1176" s="36" t="n">
        <v>1</v>
      </c>
      <c r="G1176" s="36" t="n">
        <v>0</v>
      </c>
      <c r="H1176" s="36" t="n">
        <v>0</v>
      </c>
      <c r="I1176" s="36" t="n">
        <v>0</v>
      </c>
      <c r="J1176" s="36" t="n">
        <v>2</v>
      </c>
      <c r="K1176" s="12" t="n">
        <v>24</v>
      </c>
    </row>
    <row r="1177">
      <c r="A1177" s="33" t="n">
        <v>46322.01736111111</v>
      </c>
      <c r="B1177" s="33" t="n">
        <v>46322.04027777778</v>
      </c>
      <c r="C1177" s="13" t="n">
        <v>46325</v>
      </c>
      <c r="D1177" s="14" t="n">
        <v>0.9270833333333334</v>
      </c>
      <c r="E1177" s="37" t="n">
        <v>1</v>
      </c>
      <c r="F1177" s="37" t="n">
        <v>0</v>
      </c>
      <c r="G1177" s="37" t="n">
        <v>0</v>
      </c>
      <c r="H1177" s="37" t="n">
        <v>1</v>
      </c>
      <c r="I1177" s="37" t="n">
        <v>0</v>
      </c>
      <c r="J1177" s="37" t="n">
        <v>4</v>
      </c>
      <c r="K1177" s="16" t="n">
        <v>48</v>
      </c>
    </row>
    <row r="1178">
      <c r="A1178" s="30" t="n">
        <v>46322.01736111111</v>
      </c>
      <c r="B1178" s="30" t="n">
        <v>46322.04027777778</v>
      </c>
      <c r="C1178" s="9" t="n">
        <v>46325</v>
      </c>
      <c r="D1178" s="10" t="n">
        <v>0.96875</v>
      </c>
      <c r="E1178" s="36" t="n">
        <v>1</v>
      </c>
      <c r="F1178" s="36" t="n">
        <v>1</v>
      </c>
      <c r="G1178" s="36" t="n">
        <v>0</v>
      </c>
      <c r="H1178" s="36" t="n">
        <v>0</v>
      </c>
      <c r="I1178" s="36" t="n">
        <v>0</v>
      </c>
      <c r="J1178" s="36" t="n">
        <v>2</v>
      </c>
      <c r="K1178" s="12" t="n">
        <v>24</v>
      </c>
    </row>
    <row r="1179">
      <c r="A1179" s="33" t="n">
        <v>46322.01736111111</v>
      </c>
      <c r="B1179" s="33" t="n">
        <v>46322.04027777778</v>
      </c>
      <c r="C1179" s="13" t="n">
        <v>46326</v>
      </c>
      <c r="D1179" s="14" t="n">
        <v>0.8854166666666666</v>
      </c>
      <c r="E1179" s="37" t="n">
        <v>2</v>
      </c>
      <c r="F1179" s="37" t="n">
        <v>0</v>
      </c>
      <c r="G1179" s="37" t="n">
        <v>0</v>
      </c>
      <c r="H1179" s="37" t="n">
        <v>2</v>
      </c>
      <c r="I1179" s="37" t="n">
        <v>0</v>
      </c>
      <c r="J1179" s="37" t="n">
        <v>8</v>
      </c>
      <c r="K1179" s="16" t="n">
        <v>96</v>
      </c>
    </row>
    <row r="1180">
      <c r="A1180" s="30" t="n">
        <v>46322.04027777778</v>
      </c>
      <c r="B1180" s="30" t="n">
        <v>46322.06388888889</v>
      </c>
      <c r="C1180" s="9" t="n">
        <v>46324</v>
      </c>
      <c r="D1180" s="10" t="n">
        <v>0.96875</v>
      </c>
      <c r="E1180" s="36" t="n">
        <v>1</v>
      </c>
      <c r="F1180" s="36" t="n">
        <v>0</v>
      </c>
      <c r="G1180" s="36" t="n">
        <v>0</v>
      </c>
      <c r="H1180" s="36" t="n">
        <v>1</v>
      </c>
      <c r="I1180" s="36" t="n">
        <v>0</v>
      </c>
      <c r="J1180" s="36" t="n">
        <v>4</v>
      </c>
      <c r="K1180" s="12" t="n">
        <v>48</v>
      </c>
    </row>
    <row r="1181">
      <c r="A1181" s="33" t="n">
        <v>46322.11458333334</v>
      </c>
      <c r="B1181" s="33" t="n">
        <v>46322.14444444444</v>
      </c>
      <c r="C1181" s="13" t="n">
        <v>46326</v>
      </c>
      <c r="D1181" s="14" t="n">
        <v>0.9993055555555556</v>
      </c>
      <c r="E1181" s="37" t="n">
        <v>1</v>
      </c>
      <c r="F1181" s="37" t="n">
        <v>1</v>
      </c>
      <c r="G1181" s="37" t="n">
        <v>0</v>
      </c>
      <c r="H1181" s="37" t="n">
        <v>0</v>
      </c>
      <c r="I1181" s="37" t="n">
        <v>0</v>
      </c>
      <c r="J1181" s="37" t="n">
        <v>2</v>
      </c>
      <c r="K1181" s="16" t="n">
        <v>24</v>
      </c>
    </row>
    <row r="1182">
      <c r="A1182" s="30" t="n">
        <v>46322.1875</v>
      </c>
      <c r="B1182" s="30" t="n">
        <v>46322.22916666666</v>
      </c>
      <c r="C1182" s="9" t="n">
        <v>46324</v>
      </c>
      <c r="D1182" s="10" t="n">
        <v>0.9270833333333334</v>
      </c>
      <c r="E1182" s="36" t="n">
        <v>1</v>
      </c>
      <c r="F1182" s="36" t="n">
        <v>0</v>
      </c>
      <c r="G1182" s="36" t="n">
        <v>0</v>
      </c>
      <c r="H1182" s="36" t="n">
        <v>0</v>
      </c>
      <c r="I1182" s="36" t="n">
        <v>1</v>
      </c>
      <c r="J1182" s="36" t="n">
        <v>5</v>
      </c>
      <c r="K1182" s="12" t="n">
        <v>60</v>
      </c>
    </row>
    <row r="1183">
      <c r="A1183" s="33" t="n">
        <v>46322.31666666667</v>
      </c>
      <c r="B1183" s="33" t="n">
        <v>46322.34166666667</v>
      </c>
      <c r="C1183" s="13" t="n">
        <v>46327</v>
      </c>
      <c r="D1183" s="14" t="n">
        <v>0.9270833333333334</v>
      </c>
      <c r="E1183" s="37" t="n">
        <v>1</v>
      </c>
      <c r="F1183" s="37" t="n">
        <v>0</v>
      </c>
      <c r="G1183" s="37" t="n">
        <v>0</v>
      </c>
      <c r="H1183" s="37" t="n">
        <v>1</v>
      </c>
      <c r="I1183" s="37" t="n">
        <v>0</v>
      </c>
      <c r="J1183" s="37" t="n">
        <v>4</v>
      </c>
      <c r="K1183" s="16" t="n">
        <v>48</v>
      </c>
    </row>
    <row r="1184">
      <c r="A1184" s="30" t="n">
        <v>46322.35347222222</v>
      </c>
      <c r="B1184" s="30" t="n">
        <v>46322.35763888889</v>
      </c>
      <c r="C1184" s="9" t="n">
        <v>46324</v>
      </c>
      <c r="D1184" s="10" t="n">
        <v>0.9270833333333334</v>
      </c>
      <c r="E1184" s="36" t="n">
        <v>1</v>
      </c>
      <c r="F1184" s="36" t="n">
        <v>1</v>
      </c>
      <c r="G1184" s="36" t="n">
        <v>0</v>
      </c>
      <c r="H1184" s="36" t="n">
        <v>0</v>
      </c>
      <c r="I1184" s="36" t="n">
        <v>0</v>
      </c>
      <c r="J1184" s="36" t="n">
        <v>2</v>
      </c>
      <c r="K1184" s="12" t="n">
        <v>24</v>
      </c>
    </row>
    <row r="1185">
      <c r="A1185" s="33" t="n">
        <v>46322.3625</v>
      </c>
      <c r="B1185" s="33" t="n">
        <v>46322.4</v>
      </c>
      <c r="C1185" s="13" t="n">
        <v>46324</v>
      </c>
      <c r="D1185" s="14" t="n">
        <v>0.96875</v>
      </c>
      <c r="E1185" s="37" t="n">
        <v>1</v>
      </c>
      <c r="F1185" s="37" t="n">
        <v>1</v>
      </c>
      <c r="G1185" s="37" t="n">
        <v>0</v>
      </c>
      <c r="H1185" s="37" t="n">
        <v>0</v>
      </c>
      <c r="I1185" s="37" t="n">
        <v>0</v>
      </c>
      <c r="J1185" s="37" t="n">
        <v>2</v>
      </c>
      <c r="K1185" s="16" t="n">
        <v>24</v>
      </c>
    </row>
    <row r="1186">
      <c r="A1186" s="30" t="n">
        <v>46322.3625</v>
      </c>
      <c r="B1186" s="30" t="n">
        <v>46322.4</v>
      </c>
      <c r="C1186" s="9" t="n">
        <v>46325</v>
      </c>
      <c r="D1186" s="10" t="n">
        <v>0.9270833333333334</v>
      </c>
      <c r="E1186" s="36" t="n">
        <v>1</v>
      </c>
      <c r="F1186" s="36" t="n">
        <v>1</v>
      </c>
      <c r="G1186" s="36" t="n">
        <v>0</v>
      </c>
      <c r="H1186" s="36" t="n">
        <v>0</v>
      </c>
      <c r="I1186" s="36" t="n">
        <v>0</v>
      </c>
      <c r="J1186" s="36" t="n">
        <v>2</v>
      </c>
      <c r="K1186" s="12" t="n">
        <v>24</v>
      </c>
    </row>
    <row r="1187">
      <c r="A1187" s="33" t="n">
        <v>46322.3625</v>
      </c>
      <c r="B1187" s="33" t="n">
        <v>46322.4</v>
      </c>
      <c r="C1187" s="13" t="n">
        <v>46325</v>
      </c>
      <c r="D1187" s="14" t="n">
        <v>0.96875</v>
      </c>
      <c r="E1187" s="37" t="n">
        <v>1</v>
      </c>
      <c r="F1187" s="37" t="n">
        <v>0</v>
      </c>
      <c r="G1187" s="37" t="n">
        <v>0</v>
      </c>
      <c r="H1187" s="37" t="n">
        <v>0</v>
      </c>
      <c r="I1187" s="37" t="n">
        <v>1</v>
      </c>
      <c r="J1187" s="37" t="n">
        <v>5</v>
      </c>
      <c r="K1187" s="16" t="n">
        <v>60</v>
      </c>
    </row>
    <row r="1188">
      <c r="A1188" s="30" t="n">
        <v>46322.3625</v>
      </c>
      <c r="B1188" s="30" t="n">
        <v>46322.4</v>
      </c>
      <c r="C1188" s="9" t="n">
        <v>46326</v>
      </c>
      <c r="D1188" s="10" t="n">
        <v>0.84375</v>
      </c>
      <c r="E1188" s="36" t="n">
        <v>1</v>
      </c>
      <c r="F1188" s="36" t="n">
        <v>1</v>
      </c>
      <c r="G1188" s="36" t="n">
        <v>0</v>
      </c>
      <c r="H1188" s="36" t="n">
        <v>0</v>
      </c>
      <c r="I1188" s="36" t="n">
        <v>0</v>
      </c>
      <c r="J1188" s="36" t="n">
        <v>2</v>
      </c>
      <c r="K1188" s="12" t="n">
        <v>24</v>
      </c>
    </row>
    <row r="1189">
      <c r="A1189" s="33" t="n">
        <v>46322.3625</v>
      </c>
      <c r="B1189" s="33" t="n">
        <v>46322.4</v>
      </c>
      <c r="C1189" s="13" t="n">
        <v>46326</v>
      </c>
      <c r="D1189" s="14" t="n">
        <v>0.9993055555555556</v>
      </c>
      <c r="E1189" s="37" t="n">
        <v>1</v>
      </c>
      <c r="F1189" s="37" t="n">
        <v>0</v>
      </c>
      <c r="G1189" s="37" t="n">
        <v>0</v>
      </c>
      <c r="H1189" s="37" t="n">
        <v>1</v>
      </c>
      <c r="I1189" s="37" t="n">
        <v>0</v>
      </c>
      <c r="J1189" s="37" t="n">
        <v>4</v>
      </c>
      <c r="K1189" s="16" t="n">
        <v>48</v>
      </c>
    </row>
    <row r="1190">
      <c r="A1190" s="30" t="n">
        <v>46322.4</v>
      </c>
      <c r="B1190" s="30" t="n">
        <v>46322.44027777778</v>
      </c>
      <c r="C1190" s="9" t="n">
        <v>46325</v>
      </c>
      <c r="D1190" s="10" t="n">
        <v>0.84375</v>
      </c>
      <c r="E1190" s="36" t="n">
        <v>1</v>
      </c>
      <c r="F1190" s="36" t="n">
        <v>1</v>
      </c>
      <c r="G1190" s="36" t="n">
        <v>0</v>
      </c>
      <c r="H1190" s="36" t="n">
        <v>0</v>
      </c>
      <c r="I1190" s="36" t="n">
        <v>0</v>
      </c>
      <c r="J1190" s="36" t="n">
        <v>2</v>
      </c>
      <c r="K1190" s="12" t="n">
        <v>24</v>
      </c>
    </row>
    <row r="1191">
      <c r="A1191" s="33" t="n">
        <v>46322.4</v>
      </c>
      <c r="B1191" s="33" t="n">
        <v>46322.44027777778</v>
      </c>
      <c r="C1191" s="13" t="n">
        <v>46325</v>
      </c>
      <c r="D1191" s="14" t="n">
        <v>0.9270833333333334</v>
      </c>
      <c r="E1191" s="37" t="n">
        <v>1</v>
      </c>
      <c r="F1191" s="37" t="n">
        <v>0</v>
      </c>
      <c r="G1191" s="37" t="n">
        <v>0</v>
      </c>
      <c r="H1191" s="37" t="n">
        <v>1</v>
      </c>
      <c r="I1191" s="37" t="n">
        <v>0</v>
      </c>
      <c r="J1191" s="37" t="n">
        <v>4</v>
      </c>
      <c r="K1191" s="16" t="n">
        <v>48</v>
      </c>
    </row>
    <row r="1192">
      <c r="A1192" s="30" t="n">
        <v>46322.4</v>
      </c>
      <c r="B1192" s="30" t="n">
        <v>46322.44027777778</v>
      </c>
      <c r="C1192" s="9" t="n">
        <v>46325</v>
      </c>
      <c r="D1192" s="10" t="n">
        <v>0.9993055555555556</v>
      </c>
      <c r="E1192" s="36" t="n">
        <v>1</v>
      </c>
      <c r="F1192" s="36" t="n">
        <v>0</v>
      </c>
      <c r="G1192" s="36" t="n">
        <v>0</v>
      </c>
      <c r="H1192" s="36" t="n">
        <v>0</v>
      </c>
      <c r="I1192" s="36" t="n">
        <v>1</v>
      </c>
      <c r="J1192" s="36" t="n">
        <v>5</v>
      </c>
      <c r="K1192" s="12" t="n">
        <v>60</v>
      </c>
    </row>
    <row r="1193">
      <c r="A1193" s="33" t="n">
        <v>46322.4</v>
      </c>
      <c r="B1193" s="33" t="n">
        <v>46322.44027777778</v>
      </c>
      <c r="C1193" s="13" t="n">
        <v>46326</v>
      </c>
      <c r="D1193" s="14" t="n">
        <v>0.84375</v>
      </c>
      <c r="E1193" s="37" t="n">
        <v>1</v>
      </c>
      <c r="F1193" s="37" t="n">
        <v>0</v>
      </c>
      <c r="G1193" s="37" t="n">
        <v>0</v>
      </c>
      <c r="H1193" s="37" t="n">
        <v>1</v>
      </c>
      <c r="I1193" s="37" t="n">
        <v>0</v>
      </c>
      <c r="J1193" s="37" t="n">
        <v>4</v>
      </c>
      <c r="K1193" s="16" t="n">
        <v>48</v>
      </c>
    </row>
    <row r="1194">
      <c r="A1194" s="30" t="n">
        <v>46322.4</v>
      </c>
      <c r="B1194" s="30" t="n">
        <v>46322.44027777778</v>
      </c>
      <c r="C1194" s="9" t="n">
        <v>46326</v>
      </c>
      <c r="D1194" s="10" t="n">
        <v>0.8854166666666666</v>
      </c>
      <c r="E1194" s="36" t="n">
        <v>1</v>
      </c>
      <c r="F1194" s="36" t="n">
        <v>1</v>
      </c>
      <c r="G1194" s="36" t="n">
        <v>0</v>
      </c>
      <c r="H1194" s="36" t="n">
        <v>0</v>
      </c>
      <c r="I1194" s="36" t="n">
        <v>0</v>
      </c>
      <c r="J1194" s="36" t="n">
        <v>2</v>
      </c>
      <c r="K1194" s="12" t="n">
        <v>24</v>
      </c>
    </row>
    <row r="1195">
      <c r="A1195" s="33" t="n">
        <v>46322.4</v>
      </c>
      <c r="B1195" s="33" t="n">
        <v>46322.44027777778</v>
      </c>
      <c r="C1195" s="13" t="n">
        <v>46326</v>
      </c>
      <c r="D1195" s="14" t="n">
        <v>0.9993055555555556</v>
      </c>
      <c r="E1195" s="37" t="n">
        <v>2</v>
      </c>
      <c r="F1195" s="37" t="n">
        <v>1</v>
      </c>
      <c r="G1195" s="37" t="n">
        <v>0</v>
      </c>
      <c r="H1195" s="37" t="n">
        <v>1</v>
      </c>
      <c r="I1195" s="37" t="n">
        <v>0</v>
      </c>
      <c r="J1195" s="37" t="n">
        <v>6</v>
      </c>
      <c r="K1195" s="16" t="n">
        <v>72</v>
      </c>
    </row>
    <row r="1196">
      <c r="A1196" s="30" t="n">
        <v>46322.44027777778</v>
      </c>
      <c r="B1196" s="30" t="n">
        <v>46322.47847222222</v>
      </c>
      <c r="C1196" s="9" t="n">
        <v>46324</v>
      </c>
      <c r="D1196" s="10" t="n">
        <v>0.8854166666666666</v>
      </c>
      <c r="E1196" s="36" t="n">
        <v>2</v>
      </c>
      <c r="F1196" s="36" t="n">
        <v>1</v>
      </c>
      <c r="G1196" s="36" t="n">
        <v>0</v>
      </c>
      <c r="H1196" s="36" t="n">
        <v>1</v>
      </c>
      <c r="I1196" s="36" t="n">
        <v>0</v>
      </c>
      <c r="J1196" s="36" t="n">
        <v>6</v>
      </c>
      <c r="K1196" s="12" t="n">
        <v>72</v>
      </c>
    </row>
    <row r="1197">
      <c r="A1197" s="33" t="n">
        <v>46322.44027777778</v>
      </c>
      <c r="B1197" s="33" t="n">
        <v>46322.47847222222</v>
      </c>
      <c r="C1197" s="13" t="n">
        <v>46324</v>
      </c>
      <c r="D1197" s="14" t="n">
        <v>0.9993055555555556</v>
      </c>
      <c r="E1197" s="37" t="n">
        <v>-1</v>
      </c>
      <c r="F1197" s="37" t="n">
        <v>0</v>
      </c>
      <c r="G1197" s="37" t="n">
        <v>0</v>
      </c>
      <c r="H1197" s="37" t="n">
        <v>-1</v>
      </c>
      <c r="I1197" s="37" t="n">
        <v>0</v>
      </c>
      <c r="J1197" s="37" t="n">
        <v>-4</v>
      </c>
      <c r="K1197" s="16" t="n">
        <v>-48</v>
      </c>
    </row>
    <row r="1198">
      <c r="A1198" s="30" t="n">
        <v>46322.44027777778</v>
      </c>
      <c r="B1198" s="30" t="n">
        <v>46322.47847222222</v>
      </c>
      <c r="C1198" s="9" t="n">
        <v>46325</v>
      </c>
      <c r="D1198" s="10" t="n">
        <v>0.8854166666666666</v>
      </c>
      <c r="E1198" s="36" t="n">
        <v>1</v>
      </c>
      <c r="F1198" s="36" t="n">
        <v>0</v>
      </c>
      <c r="G1198" s="36" t="n">
        <v>1</v>
      </c>
      <c r="H1198" s="36" t="n">
        <v>0</v>
      </c>
      <c r="I1198" s="36" t="n">
        <v>0</v>
      </c>
      <c r="J1198" s="36" t="n">
        <v>3</v>
      </c>
      <c r="K1198" s="12" t="n">
        <v>36</v>
      </c>
    </row>
    <row r="1199">
      <c r="A1199" s="33" t="n">
        <v>46322.44027777778</v>
      </c>
      <c r="B1199" s="33" t="n">
        <v>46322.47847222222</v>
      </c>
      <c r="C1199" s="13" t="n">
        <v>46325</v>
      </c>
      <c r="D1199" s="14" t="n">
        <v>0.9270833333333334</v>
      </c>
      <c r="E1199" s="37" t="n">
        <v>1</v>
      </c>
      <c r="F1199" s="37" t="n">
        <v>0</v>
      </c>
      <c r="G1199" s="37" t="n">
        <v>0</v>
      </c>
      <c r="H1199" s="37" t="n">
        <v>1</v>
      </c>
      <c r="I1199" s="37" t="n">
        <v>0</v>
      </c>
      <c r="J1199" s="37" t="n">
        <v>4</v>
      </c>
      <c r="K1199" s="16" t="n">
        <v>48</v>
      </c>
    </row>
    <row r="1200">
      <c r="A1200" s="30" t="n">
        <v>46322.44027777778</v>
      </c>
      <c r="B1200" s="30" t="n">
        <v>46322.47847222222</v>
      </c>
      <c r="C1200" s="9" t="n">
        <v>46326</v>
      </c>
      <c r="D1200" s="10" t="n">
        <v>0.9993055555555556</v>
      </c>
      <c r="E1200" s="36" t="n">
        <v>3</v>
      </c>
      <c r="F1200" s="36" t="n">
        <v>0</v>
      </c>
      <c r="G1200" s="36" t="n">
        <v>0</v>
      </c>
      <c r="H1200" s="36" t="n">
        <v>3</v>
      </c>
      <c r="I1200" s="36" t="n">
        <v>0</v>
      </c>
      <c r="J1200" s="36" t="n">
        <v>12</v>
      </c>
      <c r="K1200" s="12" t="n">
        <v>144</v>
      </c>
    </row>
    <row r="1201">
      <c r="A1201" s="33" t="n">
        <v>46322.44027777778</v>
      </c>
      <c r="B1201" s="33" t="n">
        <v>46322.47847222222</v>
      </c>
      <c r="C1201" s="13" t="n">
        <v>46327</v>
      </c>
      <c r="D1201" s="14" t="n">
        <v>0.9270833333333334</v>
      </c>
      <c r="E1201" s="37" t="n">
        <v>1</v>
      </c>
      <c r="F1201" s="37" t="n">
        <v>0</v>
      </c>
      <c r="G1201" s="37" t="n">
        <v>0</v>
      </c>
      <c r="H1201" s="37" t="n">
        <v>1</v>
      </c>
      <c r="I1201" s="37" t="n">
        <v>0</v>
      </c>
      <c r="J1201" s="37" t="n">
        <v>4</v>
      </c>
      <c r="K1201" s="16" t="n">
        <v>48</v>
      </c>
    </row>
    <row r="1202">
      <c r="A1202" s="30" t="n">
        <v>46322.47847222222</v>
      </c>
      <c r="B1202" s="30" t="n">
        <v>46322.48125</v>
      </c>
      <c r="C1202" s="9" t="n">
        <v>46325</v>
      </c>
      <c r="D1202" s="10" t="n">
        <v>0.8854166666666666</v>
      </c>
      <c r="E1202" s="36" t="n">
        <v>1</v>
      </c>
      <c r="F1202" s="36" t="n">
        <v>0</v>
      </c>
      <c r="G1202" s="36" t="n">
        <v>0</v>
      </c>
      <c r="H1202" s="36" t="n">
        <v>1</v>
      </c>
      <c r="I1202" s="36" t="n">
        <v>0</v>
      </c>
      <c r="J1202" s="36" t="n">
        <v>4</v>
      </c>
      <c r="K1202" s="12" t="n">
        <v>48</v>
      </c>
    </row>
  </sheetData>
  <autoFilter ref="A1:K120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43</v>
      </c>
      <c r="H4" s="11" t="n">
        <v>147</v>
      </c>
      <c r="I4" s="12" t="n">
        <v>1764</v>
      </c>
      <c r="K4" s="38" t="inlineStr">
        <is>
          <t>Lunedì</t>
        </is>
      </c>
      <c r="L4" s="11" t="n">
        <v>352</v>
      </c>
      <c r="M4" s="11" t="n">
        <v>1092</v>
      </c>
      <c r="N4" s="12" t="n">
        <v>13104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24</v>
      </c>
      <c r="H5" s="11" t="n">
        <v>73</v>
      </c>
      <c r="I5" s="12" t="n">
        <v>876</v>
      </c>
      <c r="K5" s="38" t="inlineStr">
        <is>
          <t>Martedì</t>
        </is>
      </c>
      <c r="L5" s="11" t="n">
        <v>131</v>
      </c>
      <c r="M5" s="11" t="n">
        <v>398</v>
      </c>
      <c r="N5" s="12" t="n">
        <v>4776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3</v>
      </c>
      <c r="H6" s="11" t="n">
        <v>8</v>
      </c>
      <c r="I6" s="12" t="n">
        <v>96</v>
      </c>
      <c r="K6" s="38" t="inlineStr">
        <is>
          <t>Mercoledì</t>
        </is>
      </c>
      <c r="L6" s="11" t="n">
        <v>92</v>
      </c>
      <c r="M6" s="11" t="n">
        <v>265</v>
      </c>
      <c r="N6" s="12" t="n">
        <v>3180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6</v>
      </c>
      <c r="H7" s="11" t="n">
        <v>17</v>
      </c>
      <c r="I7" s="12" t="n">
        <v>204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206</v>
      </c>
      <c r="M8" s="11" t="n">
        <v>626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1</v>
      </c>
      <c r="H9" s="11" t="n">
        <v>5</v>
      </c>
      <c r="I9" s="12" t="n">
        <v>60</v>
      </c>
      <c r="K9" s="38" t="inlineStr">
        <is>
          <t>Sabato</t>
        </is>
      </c>
      <c r="L9" s="11" t="n">
        <v>313</v>
      </c>
      <c r="M9" s="11" t="n">
        <v>959</v>
      </c>
      <c r="N9" s="12" t="n">
        <v>11520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4</v>
      </c>
      <c r="H10" s="11" t="n">
        <v>14</v>
      </c>
      <c r="I10" s="12" t="n">
        <v>168</v>
      </c>
      <c r="K10" s="38" t="inlineStr">
        <is>
          <t>Domenica</t>
        </is>
      </c>
      <c r="L10" s="11" t="n">
        <v>480</v>
      </c>
      <c r="M10" s="11" t="n">
        <v>1524</v>
      </c>
      <c r="N10" s="12" t="n">
        <v>18297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8</v>
      </c>
      <c r="H11" s="11" t="n">
        <v>28</v>
      </c>
      <c r="I11" s="12" t="n">
        <v>336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15</v>
      </c>
      <c r="H12" s="11" t="n">
        <v>40</v>
      </c>
      <c r="I12" s="12" t="n">
        <v>480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33</v>
      </c>
      <c r="H13" s="11" t="n">
        <v>101</v>
      </c>
      <c r="I13" s="12" t="n">
        <v>1212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54</v>
      </c>
      <c r="H14" s="11" t="n">
        <v>167</v>
      </c>
      <c r="I14" s="12" t="n">
        <v>2004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67</v>
      </c>
      <c r="H15" s="11" t="n">
        <v>206</v>
      </c>
      <c r="I15" s="12" t="n">
        <v>2472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63</v>
      </c>
      <c r="H16" s="11" t="n">
        <v>192</v>
      </c>
      <c r="I16" s="12" t="n">
        <v>2304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91</v>
      </c>
      <c r="H17" s="11" t="n">
        <v>264</v>
      </c>
      <c r="I17" s="12" t="n">
        <v>3168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111</v>
      </c>
      <c r="H18" s="11" t="n">
        <v>354</v>
      </c>
      <c r="I18" s="12" t="n">
        <v>4248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98</v>
      </c>
      <c r="H19" s="11" t="n">
        <v>318</v>
      </c>
      <c r="I19" s="12" t="n">
        <v>3816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139</v>
      </c>
      <c r="H20" s="11" t="n">
        <v>440</v>
      </c>
      <c r="I20" s="12" t="n">
        <v>5280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93</v>
      </c>
      <c r="H21" s="11" t="n">
        <v>265</v>
      </c>
      <c r="I21" s="12" t="n">
        <v>3180</v>
      </c>
    </row>
    <row r="22">
      <c r="A22" s="9" t="n">
        <v>46318</v>
      </c>
      <c r="B22" s="11" t="n">
        <v>142</v>
      </c>
      <c r="C22" s="11" t="n">
        <v>424</v>
      </c>
      <c r="D22" s="12" t="n">
        <v>5103</v>
      </c>
      <c r="F22" s="38" t="inlineStr">
        <is>
          <t>18:00-19:00</t>
        </is>
      </c>
      <c r="G22" s="11" t="n">
        <v>161</v>
      </c>
      <c r="H22" s="11" t="n">
        <v>490</v>
      </c>
      <c r="I22" s="12" t="n">
        <v>5880</v>
      </c>
    </row>
    <row r="23">
      <c r="A23" s="9" t="n">
        <v>46319</v>
      </c>
      <c r="B23" s="11" t="n">
        <v>256</v>
      </c>
      <c r="C23" s="11" t="n">
        <v>792</v>
      </c>
      <c r="D23" s="12" t="n">
        <v>9516</v>
      </c>
      <c r="F23" s="38" t="inlineStr">
        <is>
          <t>19:00-20:00</t>
        </is>
      </c>
      <c r="G23" s="11" t="n">
        <v>164</v>
      </c>
      <c r="H23" s="11" t="n">
        <v>495</v>
      </c>
      <c r="I23" s="12" t="n">
        <v>5940</v>
      </c>
    </row>
    <row r="24">
      <c r="A24" s="9" t="n">
        <v>46320</v>
      </c>
      <c r="B24" s="11" t="n">
        <v>403</v>
      </c>
      <c r="C24" s="11" t="n">
        <v>1275</v>
      </c>
      <c r="D24" s="12" t="n">
        <v>15309</v>
      </c>
      <c r="F24" s="38" t="inlineStr">
        <is>
          <t>20:00-21:00</t>
        </is>
      </c>
      <c r="G24" s="11" t="n">
        <v>96</v>
      </c>
      <c r="H24" s="11" t="n">
        <v>285</v>
      </c>
      <c r="I24" s="12" t="n">
        <v>3426</v>
      </c>
    </row>
    <row r="25">
      <c r="A25" s="9" t="n">
        <v>46321</v>
      </c>
      <c r="B25" s="11" t="n">
        <v>225</v>
      </c>
      <c r="C25" s="11" t="n">
        <v>719</v>
      </c>
      <c r="D25" s="12" t="n">
        <v>8628</v>
      </c>
      <c r="F25" s="38" t="inlineStr">
        <is>
          <t>21:00-22:00</t>
        </is>
      </c>
      <c r="G25" s="11" t="n">
        <v>174</v>
      </c>
      <c r="H25" s="11" t="n">
        <v>534</v>
      </c>
      <c r="I25" s="12" t="n">
        <v>6417</v>
      </c>
    </row>
    <row r="26">
      <c r="A26" s="9" t="n">
        <v>46322</v>
      </c>
      <c r="B26" s="11" t="n">
        <v>33</v>
      </c>
      <c r="C26" s="11" t="n">
        <v>109</v>
      </c>
      <c r="D26" s="12" t="n">
        <v>1308</v>
      </c>
      <c r="F26" s="38" t="inlineStr">
        <is>
          <t>22:00-23:00</t>
        </is>
      </c>
      <c r="G26" s="11" t="n">
        <v>154</v>
      </c>
      <c r="H26" s="11" t="n">
        <v>479</v>
      </c>
      <c r="I26" s="12" t="n">
        <v>5760</v>
      </c>
    </row>
    <row r="27">
      <c r="F27" s="38" t="inlineStr">
        <is>
          <t>23:00-00:00</t>
        </is>
      </c>
      <c r="G27" s="11" t="n">
        <v>68</v>
      </c>
      <c r="H27" s="11" t="n">
        <v>236</v>
      </c>
      <c r="I27" s="12" t="n">
        <v>2841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2026-10-27T10:33:38Z</dcterms:created>
  <dcterms:modified xsi:type="dcterms:W3CDTF">2026-10-27T10:33:38Z</dcterms:modified>
</cp:coreProperties>
</file>