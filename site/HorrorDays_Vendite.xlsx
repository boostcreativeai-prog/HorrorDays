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'Storico'!$A$1:$G$446</definedName>
    <definedName name="_xlnm._FilterDatabase" localSheetId="8" hidden="1">'Registro vendite'!$A$1:$K$378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'Storico'!$H$2:$H$446</f>
            </numRef>
          </cat>
          <val>
            <numRef>
              <f>'Storico'!$C$2:$C$446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vendite'!$A$4:$A$17</f>
            </numRef>
          </cat>
          <val>
            <numRef>
              <f>'Picchi vendite'!$B$4:$B$17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MAX(Storico!A2:A446)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11</v>
      </c>
      <c r="I6" s="11" t="n">
        <v>1</v>
      </c>
      <c r="J6" s="12" t="n">
        <v>528</v>
      </c>
      <c r="K6" s="12" t="n">
        <v>0</v>
      </c>
      <c r="L6" s="12" t="n">
        <v>480.04</v>
      </c>
      <c r="M6" s="12" t="n">
        <v>47.96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7</v>
      </c>
      <c r="I7" s="15" t="n">
        <v>0</v>
      </c>
      <c r="J7" s="16" t="n">
        <v>252</v>
      </c>
      <c r="K7" s="16" t="n">
        <v>0</v>
      </c>
      <c r="L7" s="16" t="n">
        <v>229.11</v>
      </c>
      <c r="M7" s="16" t="n">
        <v>22.89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3</v>
      </c>
      <c r="I8" s="11" t="n">
        <v>0</v>
      </c>
      <c r="J8" s="12" t="n">
        <v>180</v>
      </c>
      <c r="K8" s="12" t="n">
        <v>0</v>
      </c>
      <c r="L8" s="12" t="n">
        <v>163.65</v>
      </c>
      <c r="M8" s="12" t="n">
        <v>16.35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5</v>
      </c>
      <c r="I12" s="11" t="n">
        <v>0</v>
      </c>
      <c r="J12" s="12" t="n">
        <v>300</v>
      </c>
      <c r="K12" s="12" t="n">
        <v>0</v>
      </c>
      <c r="L12" s="12" t="n">
        <v>272.75</v>
      </c>
      <c r="M12" s="12" t="n">
        <v>27.25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13</v>
      </c>
      <c r="I13" s="15" t="n">
        <v>0</v>
      </c>
      <c r="J13" s="16" t="n">
        <v>312</v>
      </c>
      <c r="K13" s="16" t="n">
        <v>0</v>
      </c>
      <c r="L13" s="16" t="n">
        <v>283.66</v>
      </c>
      <c r="M13" s="16" t="n">
        <v>28.34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9</v>
      </c>
      <c r="I28" s="11" t="n">
        <v>1</v>
      </c>
      <c r="J28" s="12" t="n">
        <v>216</v>
      </c>
      <c r="K28" s="12" t="n">
        <v>0</v>
      </c>
      <c r="L28" s="12" t="n">
        <v>196.38</v>
      </c>
      <c r="M28" s="12" t="n">
        <v>19.62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4</v>
      </c>
      <c r="I29" s="15" t="n">
        <v>0</v>
      </c>
      <c r="J29" s="16" t="n">
        <v>192</v>
      </c>
      <c r="K29" s="16" t="n">
        <v>0</v>
      </c>
      <c r="L29" s="16" t="n">
        <v>174.56</v>
      </c>
      <c r="M29" s="16" t="n">
        <v>17.44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13</v>
      </c>
      <c r="I32" s="11" t="n">
        <v>0</v>
      </c>
      <c r="J32" s="12" t="n">
        <v>312</v>
      </c>
      <c r="K32" s="12" t="n">
        <v>0</v>
      </c>
      <c r="L32" s="12" t="n">
        <v>283.66</v>
      </c>
      <c r="M32" s="12" t="n">
        <v>28.34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4</v>
      </c>
      <c r="I37" s="15" t="n">
        <v>0</v>
      </c>
      <c r="J37" s="16" t="n">
        <v>192</v>
      </c>
      <c r="K37" s="16" t="n">
        <v>0</v>
      </c>
      <c r="L37" s="16" t="n">
        <v>174.56</v>
      </c>
      <c r="M37" s="16" t="n">
        <v>17.44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8</v>
      </c>
      <c r="I45" s="15" t="n">
        <v>0</v>
      </c>
      <c r="J45" s="16" t="n">
        <v>192</v>
      </c>
      <c r="K45" s="16" t="n">
        <v>0</v>
      </c>
      <c r="L45" s="16" t="n">
        <v>174.56</v>
      </c>
      <c r="M45" s="16" t="n">
        <v>17.44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6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2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3</v>
      </c>
      <c r="I53" s="15" t="n">
        <v>0</v>
      </c>
      <c r="J53" s="16" t="n">
        <v>72</v>
      </c>
      <c r="K53" s="16" t="n">
        <v>0</v>
      </c>
      <c r="L53" s="16" t="n">
        <v>65.45999999999999</v>
      </c>
      <c r="M53" s="16" t="n">
        <v>6.54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20261029_2015</t>
        </is>
      </c>
      <c r="B54" s="9" t="n">
        <v>46324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2</v>
      </c>
      <c r="I55" s="15" t="n">
        <v>0</v>
      </c>
      <c r="J55" s="16" t="n">
        <v>120</v>
      </c>
      <c r="K55" s="16" t="n">
        <v>0</v>
      </c>
      <c r="L55" s="16" t="n">
        <v>109.1</v>
      </c>
      <c r="M55" s="16" t="n">
        <v>10.9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20261029_2115</t>
        </is>
      </c>
      <c r="B57" s="13" t="n">
        <v>46324</v>
      </c>
      <c r="C57" s="14" t="n">
        <v>0.8854166666666666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1</v>
      </c>
      <c r="I57" s="15" t="n">
        <v>0</v>
      </c>
      <c r="J57" s="16" t="n">
        <v>60</v>
      </c>
      <c r="K57" s="16" t="n">
        <v>0</v>
      </c>
      <c r="L57" s="16" t="n">
        <v>54.55</v>
      </c>
      <c r="M57" s="16" t="n">
        <v>5.45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20261029_2215</t>
        </is>
      </c>
      <c r="B59" s="13" t="n">
        <v>46324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5</v>
      </c>
      <c r="I59" s="15" t="n">
        <v>0</v>
      </c>
      <c r="J59" s="16" t="n">
        <v>240</v>
      </c>
      <c r="K59" s="16" t="n">
        <v>0</v>
      </c>
      <c r="L59" s="16" t="n">
        <v>218.2</v>
      </c>
      <c r="M59" s="16" t="n">
        <v>21.8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2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1</v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I5</t>
        </is>
      </c>
      <c r="F64" s="22">
        <f>IFERROR(INDEX(Tariffe!$B$2:$B$200,MATCH(E64,Tariffe!$A$2:$A$200,0)),"DA DEFINIRE")</f>
        <v/>
      </c>
      <c r="G64" s="12" t="n">
        <v>60</v>
      </c>
      <c r="H64" s="11" t="n">
        <v>4</v>
      </c>
      <c r="I64" s="11" t="n">
        <v>0</v>
      </c>
      <c r="J64" s="12" t="n">
        <v>240</v>
      </c>
      <c r="K64" s="12" t="n">
        <v>0</v>
      </c>
      <c r="L64" s="12" t="n">
        <v>218.2</v>
      </c>
      <c r="M64" s="12" t="n">
        <v>21.8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3</v>
      </c>
      <c r="I65" s="15" t="n">
        <v>0</v>
      </c>
      <c r="J65" s="16" t="n">
        <v>72</v>
      </c>
      <c r="K65" s="16" t="n">
        <v>0</v>
      </c>
      <c r="L65" s="16" t="n">
        <v>65.45999999999999</v>
      </c>
      <c r="M65" s="16" t="n">
        <v>6.54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20261029_2359</t>
        </is>
      </c>
      <c r="B66" s="9" t="n">
        <v>46324</v>
      </c>
      <c r="C66" s="10" t="n">
        <v>0.9993055555555556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2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20261030_2015</t>
        </is>
      </c>
      <c r="B67" s="13" t="n">
        <v>46325</v>
      </c>
      <c r="C67" s="14" t="n">
        <v>0.84375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1</v>
      </c>
      <c r="I68" s="11" t="n">
        <v>0</v>
      </c>
      <c r="J68" s="12" t="n">
        <v>24</v>
      </c>
      <c r="K68" s="12" t="n">
        <v>0</v>
      </c>
      <c r="L68" s="12" t="n">
        <v>21.82</v>
      </c>
      <c r="M68" s="12" t="n">
        <v>2.18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20261030_2115</t>
        </is>
      </c>
      <c r="B69" s="13" t="n">
        <v>46325</v>
      </c>
      <c r="C69" s="14" t="n">
        <v>0.8854166666666666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20261030_2215</t>
        </is>
      </c>
      <c r="B71" s="13" t="n">
        <v>46325</v>
      </c>
      <c r="C71" s="14" t="n">
        <v>0.9270833333333334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7</v>
      </c>
      <c r="I71" s="15" t="n">
        <v>0</v>
      </c>
      <c r="J71" s="16" t="n">
        <v>336</v>
      </c>
      <c r="K71" s="16" t="n">
        <v>0</v>
      </c>
      <c r="L71" s="16" t="n">
        <v>305.48</v>
      </c>
      <c r="M71" s="16" t="n">
        <v>30.52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6</v>
      </c>
      <c r="I72" s="11" t="n">
        <v>3</v>
      </c>
      <c r="J72" s="12" t="n">
        <v>144</v>
      </c>
      <c r="K72" s="12" t="n">
        <v>0</v>
      </c>
      <c r="L72" s="12" t="n">
        <v>130.92</v>
      </c>
      <c r="M72" s="12" t="n">
        <v>13.08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20261030_2315</t>
        </is>
      </c>
      <c r="B73" s="13" t="n">
        <v>46325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20261030_2359</t>
        </is>
      </c>
      <c r="B76" s="9" t="n">
        <v>46325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I5</t>
        </is>
      </c>
      <c r="F77" s="23">
        <f>IFERROR(INDEX(Tariffe!$B$2:$B$200,MATCH(E77,Tariffe!$A$2:$A$200,0)),"DA DEFINIRE")</f>
        <v/>
      </c>
      <c r="G77" s="16" t="n">
        <v>60</v>
      </c>
      <c r="H77" s="15" t="n">
        <v>1</v>
      </c>
      <c r="I77" s="15" t="n">
        <v>0</v>
      </c>
      <c r="J77" s="16" t="n">
        <v>60</v>
      </c>
      <c r="K77" s="16" t="n">
        <v>0</v>
      </c>
      <c r="L77" s="16" t="n">
        <v>54.55</v>
      </c>
      <c r="M77" s="16" t="n">
        <v>5.45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6</v>
      </c>
      <c r="I78" s="11" t="n">
        <v>0</v>
      </c>
      <c r="J78" s="12" t="n">
        <v>144</v>
      </c>
      <c r="K78" s="12" t="n">
        <v>0</v>
      </c>
      <c r="L78" s="12" t="n">
        <v>130.92</v>
      </c>
      <c r="M78" s="12" t="n">
        <v>13.08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20261031_2015</t>
        </is>
      </c>
      <c r="B79" s="13" t="n">
        <v>46326</v>
      </c>
      <c r="C79" s="14" t="n">
        <v>0.84375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1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3</v>
      </c>
      <c r="I80" s="11" t="n">
        <v>2</v>
      </c>
      <c r="J80" s="12" t="n">
        <v>180</v>
      </c>
      <c r="K80" s="12" t="n">
        <v>0</v>
      </c>
      <c r="L80" s="12" t="n">
        <v>163.65</v>
      </c>
      <c r="M80" s="12" t="n">
        <v>16.35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1</v>
      </c>
      <c r="I81" s="15" t="n">
        <v>0</v>
      </c>
      <c r="J81" s="16" t="n">
        <v>24</v>
      </c>
      <c r="K81" s="16" t="n">
        <v>0</v>
      </c>
      <c r="L81" s="16" t="n">
        <v>21.82</v>
      </c>
      <c r="M81" s="16" t="n">
        <v>2.18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20261031_2115</t>
        </is>
      </c>
      <c r="B82" s="9" t="n">
        <v>46326</v>
      </c>
      <c r="C82" s="10" t="n">
        <v>0.8854166666666666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6</v>
      </c>
      <c r="I82" s="11" t="n">
        <v>0</v>
      </c>
      <c r="J82" s="12" t="n">
        <v>288</v>
      </c>
      <c r="K82" s="12" t="n">
        <v>0</v>
      </c>
      <c r="L82" s="12" t="n">
        <v>261.84</v>
      </c>
      <c r="M82" s="12" t="n">
        <v>26.16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5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20261031_2215</t>
        </is>
      </c>
      <c r="B85" s="13" t="n">
        <v>46326</v>
      </c>
      <c r="C85" s="14" t="n">
        <v>0.9270833333333334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1</v>
      </c>
      <c r="I86" s="11" t="n">
        <v>0</v>
      </c>
      <c r="J86" s="12" t="n">
        <v>36</v>
      </c>
      <c r="K86" s="12" t="n">
        <v>0</v>
      </c>
      <c r="L86" s="12" t="n">
        <v>32.73</v>
      </c>
      <c r="M86" s="12" t="n">
        <v>3.27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14</v>
      </c>
      <c r="I87" s="15" t="n">
        <v>0</v>
      </c>
      <c r="J87" s="16" t="n">
        <v>336</v>
      </c>
      <c r="K87" s="16" t="n">
        <v>0</v>
      </c>
      <c r="L87" s="16" t="n">
        <v>305.48</v>
      </c>
      <c r="M87" s="16" t="n">
        <v>30.52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20261031_2315</t>
        </is>
      </c>
      <c r="B88" s="9" t="n">
        <v>46326</v>
      </c>
      <c r="C88" s="10" t="n">
        <v>0.96875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14</v>
      </c>
      <c r="I88" s="11" t="n">
        <v>0</v>
      </c>
      <c r="J88" s="12" t="n">
        <v>672</v>
      </c>
      <c r="K88" s="12" t="n">
        <v>0</v>
      </c>
      <c r="L88" s="12" t="n">
        <v>610.96</v>
      </c>
      <c r="M88" s="12" t="n">
        <v>61.04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12</v>
      </c>
      <c r="I90" s="11" t="n">
        <v>0</v>
      </c>
      <c r="J90" s="12" t="n">
        <v>288</v>
      </c>
      <c r="K90" s="12" t="n">
        <v>0</v>
      </c>
      <c r="L90" s="12" t="n">
        <v>261.84</v>
      </c>
      <c r="M90" s="12" t="n">
        <v>26.16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20261031_2359</t>
        </is>
      </c>
      <c r="B91" s="13" t="n">
        <v>46326</v>
      </c>
      <c r="C91" s="14" t="n">
        <v>0.9993055555555556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6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I5</t>
        </is>
      </c>
      <c r="F92" s="22">
        <f>IFERROR(INDEX(Tariffe!$B$2:$B$200,MATCH(E92,Tariffe!$A$2:$A$200,0)),"DA DEFINIRE")</f>
        <v/>
      </c>
      <c r="G92" s="12" t="n">
        <v>60</v>
      </c>
      <c r="H92" s="11" t="n">
        <v>1</v>
      </c>
      <c r="I92" s="11" t="n">
        <v>0</v>
      </c>
      <c r="J92" s="12" t="n">
        <v>60</v>
      </c>
      <c r="K92" s="12" t="n">
        <v>0</v>
      </c>
      <c r="L92" s="12" t="n">
        <v>54.55</v>
      </c>
      <c r="M92" s="12" t="n">
        <v>5.45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5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20261101_2015</t>
        </is>
      </c>
      <c r="B94" s="9" t="n">
        <v>46327</v>
      </c>
      <c r="C94" s="10" t="n">
        <v>0.84375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</v>
      </c>
      <c r="I94" s="11" t="n">
        <v>0</v>
      </c>
      <c r="J94" s="12" t="n">
        <v>48</v>
      </c>
      <c r="K94" s="12" t="n">
        <v>0</v>
      </c>
      <c r="L94" s="12" t="n">
        <v>43.64</v>
      </c>
      <c r="M94" s="12" t="n">
        <v>4.36</v>
      </c>
      <c r="N94" s="22" t="inlineStr">
        <is>
          <t>11/2026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20261101_2115</t>
        </is>
      </c>
      <c r="B95" s="13" t="n">
        <v>46327</v>
      </c>
      <c r="C95" s="14" t="n">
        <v>0.8854166666666666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20261101_2215</t>
        </is>
      </c>
      <c r="B96" s="9" t="n">
        <v>46327</v>
      </c>
      <c r="C96" s="10" t="n">
        <v>0.9270833333333334</v>
      </c>
      <c r="D96" s="22" t="inlineStr">
        <is>
          <t>UN Unico</t>
        </is>
      </c>
      <c r="E96" s="22" t="inlineStr">
        <is>
          <t>I5</t>
        </is>
      </c>
      <c r="F96" s="22">
        <f>IFERROR(INDEX(Tariffe!$B$2:$B$200,MATCH(E96,Tariffe!$A$2:$A$200,0)),"DA DEFINIRE")</f>
        <v/>
      </c>
      <c r="G96" s="12" t="n">
        <v>60</v>
      </c>
      <c r="H96" s="11" t="n">
        <v>1</v>
      </c>
      <c r="I96" s="11" t="n">
        <v>0</v>
      </c>
      <c r="J96" s="12" t="n">
        <v>60</v>
      </c>
      <c r="K96" s="12" t="n">
        <v>0</v>
      </c>
      <c r="L96" s="12" t="n">
        <v>54.55</v>
      </c>
      <c r="M96" s="12" t="n">
        <v>5.45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20261101_2215</t>
        </is>
      </c>
      <c r="B97" s="13" t="n">
        <v>46327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4</v>
      </c>
      <c r="I97" s="15" t="n">
        <v>0</v>
      </c>
      <c r="J97" s="16" t="n">
        <v>96</v>
      </c>
      <c r="K97" s="16" t="n">
        <v>0</v>
      </c>
      <c r="L97" s="16" t="n">
        <v>87.28</v>
      </c>
      <c r="M97" s="16" t="n">
        <v>8.720000000000001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20261101_2315</t>
        </is>
      </c>
      <c r="B98" s="9" t="n">
        <v>46327</v>
      </c>
      <c r="C98" s="10" t="n">
        <v>0.96875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20261101_2359</t>
        </is>
      </c>
      <c r="B99" s="13" t="n">
        <v>46327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</sheetData>
  <autoFilter ref="A1:P9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</sheetData>
  <autoFilter ref="A1:G44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</sheetData>
  <autoFilter ref="A1:K37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66</v>
      </c>
      <c r="M10" s="11" t="n">
        <v>214</v>
      </c>
      <c r="N10" s="12" t="n">
        <v>2568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7</v>
      </c>
      <c r="H13" s="11" t="n">
        <v>26</v>
      </c>
      <c r="I13" s="12" t="n">
        <v>312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16</v>
      </c>
      <c r="H14" s="11" t="n">
        <v>54</v>
      </c>
      <c r="I14" s="12" t="n">
        <v>648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23</v>
      </c>
      <c r="H16" s="11" t="n">
        <v>61</v>
      </c>
      <c r="I16" s="12" t="n">
        <v>732</v>
      </c>
    </row>
    <row r="17">
      <c r="A17" s="9" t="n">
        <v>46313</v>
      </c>
      <c r="B17" s="11" t="n">
        <v>45</v>
      </c>
      <c r="C17" s="11" t="n">
        <v>151</v>
      </c>
      <c r="D17" s="12" t="n">
        <v>1812</v>
      </c>
      <c r="F17" s="38" t="inlineStr">
        <is>
          <t>13:00-14:00</t>
        </is>
      </c>
      <c r="G17" s="11" t="n">
        <v>17</v>
      </c>
      <c r="H17" s="11" t="n">
        <v>45</v>
      </c>
      <c r="I17" s="12" t="n">
        <v>540</v>
      </c>
    </row>
    <row r="18">
      <c r="F18" s="38" t="inlineStr">
        <is>
          <t>14:00-15:00</t>
        </is>
      </c>
      <c r="G18" s="11" t="n">
        <v>24</v>
      </c>
      <c r="H18" s="11" t="n">
        <v>75</v>
      </c>
      <c r="I18" s="12" t="n">
        <v>900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39</v>
      </c>
      <c r="H25" s="11" t="n">
        <v>115</v>
      </c>
      <c r="I25" s="12" t="n">
        <v>1380</v>
      </c>
    </row>
    <row r="26">
      <c r="F26" s="38" t="inlineStr">
        <is>
          <t>22:00-23:00</t>
        </is>
      </c>
      <c r="G26" s="11" t="n">
        <v>55</v>
      </c>
      <c r="H26" s="11" t="n">
        <v>155</v>
      </c>
      <c r="I26" s="12" t="n">
        <v>1860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2026-10-18T19:20:14Z</dcterms:created>
  <dcterms:modified xsi:type="dcterms:W3CDTF">2026-10-18T19:20:14Z</dcterms:modified>
</cp:coreProperties>
</file>