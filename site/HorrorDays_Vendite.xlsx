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'Storico'!$A$1:$G$475</definedName>
    <definedName name="_xlnm._FilterDatabase" localSheetId="8" hidden="1">'Registro vendite'!$A$1:$K$443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'Storico'!$H$2:$H$475</f>
            </numRef>
          </cat>
          <val>
            <numRef>
              <f>'Storico'!$C$2:$C$475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MAX(Storico!A2:A475)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14</v>
      </c>
      <c r="I6" s="11" t="n">
        <v>1</v>
      </c>
      <c r="J6" s="12" t="n">
        <v>672</v>
      </c>
      <c r="K6" s="12" t="n">
        <v>0</v>
      </c>
      <c r="L6" s="12" t="n">
        <v>610.96</v>
      </c>
      <c r="M6" s="12" t="n">
        <v>61.04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8</v>
      </c>
      <c r="I12" s="11" t="n">
        <v>0</v>
      </c>
      <c r="J12" s="12" t="n">
        <v>480</v>
      </c>
      <c r="K12" s="12" t="n">
        <v>0</v>
      </c>
      <c r="L12" s="12" t="n">
        <v>436.4</v>
      </c>
      <c r="M12" s="12" t="n">
        <v>43.6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16</v>
      </c>
      <c r="I13" s="15" t="n">
        <v>0</v>
      </c>
      <c r="J13" s="16" t="n">
        <v>384</v>
      </c>
      <c r="K13" s="16" t="n">
        <v>0</v>
      </c>
      <c r="L13" s="16" t="n">
        <v>349.12</v>
      </c>
      <c r="M13" s="16" t="n">
        <v>34.88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5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5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20261030_2359</t>
        </is>
      </c>
      <c r="B81" s="13" t="n">
        <v>46325</v>
      </c>
      <c r="C81" s="14" t="n">
        <v>0.9993055555555556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6</v>
      </c>
      <c r="I83" s="15" t="n">
        <v>0</v>
      </c>
      <c r="J83" s="16" t="n">
        <v>144</v>
      </c>
      <c r="K83" s="16" t="n">
        <v>0</v>
      </c>
      <c r="L83" s="16" t="n">
        <v>130.92</v>
      </c>
      <c r="M83" s="16" t="n">
        <v>13.08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20261031_2015</t>
        </is>
      </c>
      <c r="B84" s="9" t="n">
        <v>46326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2</v>
      </c>
      <c r="I84" s="11" t="n">
        <v>0</v>
      </c>
      <c r="J84" s="12" t="n">
        <v>96</v>
      </c>
      <c r="K84" s="12" t="n">
        <v>0</v>
      </c>
      <c r="L84" s="12" t="n">
        <v>87.28</v>
      </c>
      <c r="M84" s="12" t="n">
        <v>8.720000000000001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3</v>
      </c>
      <c r="I85" s="15" t="n">
        <v>2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1</v>
      </c>
      <c r="I86" s="11" t="n">
        <v>0</v>
      </c>
      <c r="J86" s="12" t="n">
        <v>24</v>
      </c>
      <c r="K86" s="12" t="n">
        <v>0</v>
      </c>
      <c r="L86" s="12" t="n">
        <v>21.82</v>
      </c>
      <c r="M86" s="12" t="n">
        <v>2.18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20261031_2115</t>
        </is>
      </c>
      <c r="B87" s="13" t="n">
        <v>46326</v>
      </c>
      <c r="C87" s="14" t="n">
        <v>0.8854166666666666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6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2</v>
      </c>
      <c r="I88" s="11" t="n">
        <v>0</v>
      </c>
      <c r="J88" s="12" t="n">
        <v>120</v>
      </c>
      <c r="K88" s="12" t="n">
        <v>0</v>
      </c>
      <c r="L88" s="12" t="n">
        <v>109.1</v>
      </c>
      <c r="M88" s="12" t="n">
        <v>10.9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5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20261031_2215</t>
        </is>
      </c>
      <c r="B90" s="9" t="n">
        <v>46326</v>
      </c>
      <c r="C90" s="10" t="n">
        <v>0.9270833333333334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5</v>
      </c>
      <c r="I90" s="11" t="n">
        <v>3</v>
      </c>
      <c r="J90" s="12" t="n">
        <v>240</v>
      </c>
      <c r="K90" s="12" t="n">
        <v>0</v>
      </c>
      <c r="L90" s="12" t="n">
        <v>218.2</v>
      </c>
      <c r="M90" s="12" t="n">
        <v>21.8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I2</t>
        </is>
      </c>
      <c r="F91" s="23">
        <f>IFERROR(INDEX(Tariffe!$B$2:$B$200,MATCH(E91,Tariffe!$A$2:$A$200,0)),"DA DEFINIRE")</f>
        <v/>
      </c>
      <c r="G91" s="16" t="n">
        <v>36</v>
      </c>
      <c r="H91" s="15" t="n">
        <v>2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17</v>
      </c>
      <c r="I92" s="11" t="n">
        <v>0</v>
      </c>
      <c r="J92" s="12" t="n">
        <v>408</v>
      </c>
      <c r="K92" s="12" t="n">
        <v>0</v>
      </c>
      <c r="L92" s="12" t="n">
        <v>370.94</v>
      </c>
      <c r="M92" s="12" t="n">
        <v>37.06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20261031_2315</t>
        </is>
      </c>
      <c r="B93" s="13" t="n">
        <v>46326</v>
      </c>
      <c r="C93" s="14" t="n">
        <v>0.96875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15</v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13</v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20261031_2359</t>
        </is>
      </c>
      <c r="B96" s="9" t="n">
        <v>46326</v>
      </c>
      <c r="C96" s="10" t="n">
        <v>0.9993055555555556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6</v>
      </c>
      <c r="I96" s="11" t="n">
        <v>0</v>
      </c>
      <c r="J96" s="12" t="n">
        <v>288</v>
      </c>
      <c r="K96" s="12" t="n">
        <v>0</v>
      </c>
      <c r="L96" s="12" t="n">
        <v>261.84</v>
      </c>
      <c r="M96" s="12" t="n">
        <v>26.16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1</v>
      </c>
      <c r="I97" s="15" t="n">
        <v>0</v>
      </c>
      <c r="J97" s="16" t="n">
        <v>60</v>
      </c>
      <c r="K97" s="16" t="n">
        <v>0</v>
      </c>
      <c r="L97" s="16" t="n">
        <v>54.55</v>
      </c>
      <c r="M97" s="16" t="n">
        <v>5.45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5</v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20261101_2015</t>
        </is>
      </c>
      <c r="B99" s="13" t="n">
        <v>46327</v>
      </c>
      <c r="C99" s="14" t="n">
        <v>0.84375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</v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20261101_2115</t>
        </is>
      </c>
      <c r="B100" s="9" t="n">
        <v>46327</v>
      </c>
      <c r="C100" s="10" t="n">
        <v>0.8854166666666666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</v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20261101_2115</t>
        </is>
      </c>
      <c r="B101" s="13" t="n">
        <v>46327</v>
      </c>
      <c r="C101" s="14" t="n">
        <v>0.8854166666666666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3</v>
      </c>
      <c r="I101" s="15" t="n">
        <v>0</v>
      </c>
      <c r="J101" s="16" t="n">
        <v>72</v>
      </c>
      <c r="K101" s="16" t="n">
        <v>0</v>
      </c>
      <c r="L101" s="16" t="n">
        <v>65.45999999999999</v>
      </c>
      <c r="M101" s="16" t="n">
        <v>6.54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20261101_2215</t>
        </is>
      </c>
      <c r="B102" s="9" t="n">
        <v>46327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20261101_2215</t>
        </is>
      </c>
      <c r="B103" s="13" t="n">
        <v>46327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1</v>
      </c>
      <c r="I103" s="15" t="n">
        <v>0</v>
      </c>
      <c r="J103" s="16" t="n">
        <v>60</v>
      </c>
      <c r="K103" s="16" t="n">
        <v>0</v>
      </c>
      <c r="L103" s="16" t="n">
        <v>54.55</v>
      </c>
      <c r="M103" s="16" t="n">
        <v>5.45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20261101_2215</t>
        </is>
      </c>
      <c r="B104" s="9" t="n">
        <v>46327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4</v>
      </c>
      <c r="I104" s="11" t="n">
        <v>0</v>
      </c>
      <c r="J104" s="12" t="n">
        <v>96</v>
      </c>
      <c r="K104" s="12" t="n">
        <v>0</v>
      </c>
      <c r="L104" s="12" t="n">
        <v>87.28</v>
      </c>
      <c r="M104" s="12" t="n">
        <v>8.720000000000001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20261101_2315</t>
        </is>
      </c>
      <c r="B105" s="13" t="n">
        <v>46327</v>
      </c>
      <c r="C105" s="14" t="n">
        <v>0.96875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20261101_2359</t>
        </is>
      </c>
      <c r="B106" s="9" t="n">
        <v>46327</v>
      </c>
      <c r="C106" s="10" t="n">
        <v>0.9993055555555556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1</v>
      </c>
      <c r="I106" s="11" t="n">
        <v>0</v>
      </c>
      <c r="J106" s="12" t="n">
        <v>60</v>
      </c>
      <c r="K106" s="12" t="n">
        <v>0</v>
      </c>
      <c r="L106" s="12" t="n">
        <v>54.55</v>
      </c>
      <c r="M106" s="12" t="n">
        <v>5.45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</sheetData>
  <autoFilter ref="A1:P10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</sheetData>
  <autoFilter ref="A1:G47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</sheetData>
  <autoFilter ref="A1:K44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111</v>
      </c>
      <c r="M4" s="11" t="n">
        <v>318</v>
      </c>
      <c r="N4" s="12" t="n">
        <v>3816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62</v>
      </c>
      <c r="C18" s="11" t="n">
        <v>183</v>
      </c>
      <c r="D18" s="12" t="n">
        <v>2196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2026-10-19T19:30:24Z</dcterms:created>
  <dcterms:modified xsi:type="dcterms:W3CDTF">2026-10-19T19:30:24Z</dcterms:modified>
</cp:coreProperties>
</file>