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Spettacoli" sheetId="3" state="visible" r:id="rId3"/>
    <sheet name="Vendite" sheetId="4" state="visible" r:id="rId4"/>
    <sheet name="Per tariffa" sheetId="5" state="visible" r:id="rId5"/>
    <sheet name="Per serata" sheetId="6" state="visible" r:id="rId6"/>
    <sheet name="Storico" sheetId="7" state="visible" r:id="rId7"/>
  </sheets>
  <definedNames>
    <definedName name="_xlnm._FilterDatabase" localSheetId="1" hidden="1">'Tariffe'!$A$1:$D$3</definedName>
    <definedName name="_xlnm._FilterDatabase" localSheetId="2" hidden="1">'Spettacoli'!$A$1:$M$36</definedName>
    <definedName name="_xlnm._FilterDatabase" localSheetId="3" hidden="1">'Vendite'!$A$1:$N$10</definedName>
    <definedName name="_xlnm._FilterDatabase" localSheetId="4" hidden="1">'Per tariffa'!$A$1:$E$3</definedName>
    <definedName name="_xlnm._FilterDatabase" localSheetId="5" hidden="1">'Per serata'!$A$1:$I$8</definedName>
    <definedName name="_xlnm._FilterDatabase" localSheetId="6" hidden="1">'Storico'!$A$1:$E$6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49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10" fontId="8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3" fontId="3" fillId="0" borderId="1" pivotButton="0" quotePrefix="0" xfId="0"/>
    <xf numFmtId="3" fontId="3" fillId="3" borderId="1" pivotButton="0" quotePrefix="0" xfId="0"/>
    <xf numFmtId="0" fontId="4" fillId="0" borderId="2" pivotButton="0" quotePrefix="0" xfId="0"/>
    <xf numFmtId="3" fontId="4" fillId="0" borderId="2" pivotButton="0" quotePrefix="0" xfId="0"/>
    <xf numFmtId="167" fontId="4" fillId="0" borderId="2" pivotButton="0" quotePrefix="0" xfId="0"/>
    <xf numFmtId="168" fontId="4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Incasso per serata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 serata'!D1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serata'!$J$2:$J$8</f>
            </numRef>
          </cat>
          <val>
            <numRef>
              <f>'Per serata'!$D$2:$D$8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Incasso per tariffa</a:t>
            </a:r>
          </a:p>
        </rich>
      </tx>
    </title>
    <plotArea>
      <pieChart>
        <varyColors val="1"/>
        <ser>
          <idx val="0"/>
          <order val="0"/>
          <tx>
            <strRef>
              <f>'Per tariffa'!D1</f>
            </strRef>
          </tx>
          <spPr>
            <a:ln>
              <a:prstDash val="solid"/>
            </a:ln>
          </spPr>
          <cat>
            <numRef>
              <f>'Per tariffa'!$B$2:$B$3</f>
            </numRef>
          </cat>
          <val>
            <numRef>
              <f>'Per tariffa'!$D$2:$D$3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(incasso cumulato)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'Storico'!$F$2:$F$6</f>
            </numRef>
          </cat>
          <val>
            <numRef>
              <f>'Storico'!$C$2:$C$6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N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</t>
        </is>
      </c>
    </row>
    <row r="4">
      <c r="K4" s="3" t="inlineStr">
        <is>
          <t>Top 5 spettacoli per biglietti venduti</t>
        </is>
      </c>
    </row>
    <row r="5">
      <c r="B5" s="4" t="inlineStr">
        <is>
          <t>Incasso lordo totale</t>
        </is>
      </c>
      <c r="C5" s="5" t="n"/>
      <c r="E5" s="4" t="inlineStr">
        <is>
          <t>Biglietti venduti</t>
        </is>
      </c>
      <c r="F5" s="5" t="n"/>
      <c r="H5" s="4" t="inlineStr">
        <is>
          <t>Spettacoli con vendite / totali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Biglietti</t>
        </is>
      </c>
      <c r="N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9">
        <f>COUNTIF(Spettacoli!L2:L36,"Venduto")&amp;" / "&amp;COUNTA(Spettacoli!A2:A36)</f>
        <v/>
      </c>
      <c r="I6" s="5" t="n"/>
      <c r="K6" s="10">
        <f>INDEX(Spettacoli!$B$2:$B$36,MATCH(LARGE(Spettacoli!$M$2:$M$36,1),Spettacoli!$M$2:$M$36,0))</f>
        <v/>
      </c>
      <c r="L6" s="11">
        <f>INDEX(Spettacoli!$D$2:$D$36,MATCH(LARGE(Spettacoli!$M$2:$M$36,1),Spettacoli!$M$2:$M$36,0))</f>
        <v/>
      </c>
      <c r="M6" s="12">
        <f>INDEX(Spettacoli!$F$2:$F$36,MATCH(LARGE(Spettacoli!$M$2:$M$36,1),Spettacoli!$M$2:$M$36,0))</f>
        <v/>
      </c>
      <c r="N6" s="13">
        <f>INDEX(Spettacoli!$H$2:$H$36,MATCH(LARGE(Spettacoli!$M$2:$M$36,1),Spettacoli!$M$2:$M$36,0))</f>
        <v/>
      </c>
    </row>
    <row r="7">
      <c r="K7" s="14">
        <f>INDEX(Spettacoli!$B$2:$B$36,MATCH(LARGE(Spettacoli!$M$2:$M$36,2),Spettacoli!$M$2:$M$36,0))</f>
        <v/>
      </c>
      <c r="L7" s="15">
        <f>INDEX(Spettacoli!$D$2:$D$36,MATCH(LARGE(Spettacoli!$M$2:$M$36,2),Spettacoli!$M$2:$M$36,0))</f>
        <v/>
      </c>
      <c r="M7" s="16">
        <f>INDEX(Spettacoli!$F$2:$F$36,MATCH(LARGE(Spettacoli!$M$2:$M$36,2),Spettacoli!$M$2:$M$36,0))</f>
        <v/>
      </c>
      <c r="N7" s="17">
        <f>INDEX(Spettacoli!$H$2:$H$36,MATCH(LARGE(Spettacoli!$M$2:$M$36,2),Spettacoli!$M$2:$M$36,0))</f>
        <v/>
      </c>
    </row>
    <row r="8">
      <c r="B8" s="4" t="inlineStr">
        <is>
          <t>Prezzo medio</t>
        </is>
      </c>
      <c r="C8" s="5" t="n"/>
      <c r="E8" s="4" t="inlineStr">
        <is>
          <t>Occupazione media</t>
        </is>
      </c>
      <c r="F8" s="5" t="n"/>
      <c r="H8" s="4" t="inlineStr">
        <is>
          <t>Ultimo aggiornamento</t>
        </is>
      </c>
      <c r="I8" s="5" t="n"/>
      <c r="K8" s="10">
        <f>INDEX(Spettacoli!$B$2:$B$36,MATCH(LARGE(Spettacoli!$M$2:$M$36,3),Spettacoli!$M$2:$M$36,0))</f>
        <v/>
      </c>
      <c r="L8" s="11">
        <f>INDEX(Spettacoli!$D$2:$D$36,MATCH(LARGE(Spettacoli!$M$2:$M$36,3),Spettacoli!$M$2:$M$36,0))</f>
        <v/>
      </c>
      <c r="M8" s="12">
        <f>INDEX(Spettacoli!$F$2:$F$36,MATCH(LARGE(Spettacoli!$M$2:$M$36,3),Spettacoli!$M$2:$M$36,0))</f>
        <v/>
      </c>
      <c r="N8" s="13">
        <f>INDEX(Spettacoli!$H$2:$H$36,MATCH(LARGE(Spettacoli!$M$2:$M$36,3),Spettacoli!$M$2:$M$36,0))</f>
        <v/>
      </c>
    </row>
    <row r="9" ht="26" customHeight="1">
      <c r="B9" s="7">
        <f>IF(SUM(Vendite!$H$2:$H$1000)&gt;0,SUM(Vendite!$J$2:$J$1000)/SUM(Vendite!$H$2:$H$1000),0)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MAX(Storico!A2:A6)</f>
        <v/>
      </c>
      <c r="I9" s="5" t="n"/>
      <c r="K9" s="14">
        <f>INDEX(Spettacoli!$B$2:$B$36,MATCH(LARGE(Spettacoli!$M$2:$M$36,4),Spettacoli!$M$2:$M$36,0))</f>
        <v/>
      </c>
      <c r="L9" s="15">
        <f>INDEX(Spettacoli!$D$2:$D$36,MATCH(LARGE(Spettacoli!$M$2:$M$36,4),Spettacoli!$M$2:$M$36,0))</f>
        <v/>
      </c>
      <c r="M9" s="16">
        <f>INDEX(Spettacoli!$F$2:$F$36,MATCH(LARGE(Spettacoli!$M$2:$M$36,4),Spettacoli!$M$2:$M$36,0))</f>
        <v/>
      </c>
      <c r="N9" s="17">
        <f>INDEX(Spettacoli!$H$2:$H$36,MATCH(LARGE(Spettacoli!$M$2:$M$36,4),Spettacoli!$M$2:$M$36,0))</f>
        <v/>
      </c>
    </row>
    <row r="10">
      <c r="K10" s="10">
        <f>INDEX(Spettacoli!$B$2:$B$36,MATCH(LARGE(Spettacoli!$M$2:$M$36,5),Spettacoli!$M$2:$M$36,0))</f>
        <v/>
      </c>
      <c r="L10" s="11">
        <f>INDEX(Spettacoli!$D$2:$D$36,MATCH(LARGE(Spettacoli!$M$2:$M$36,5),Spettacoli!$M$2:$M$36,0))</f>
        <v/>
      </c>
      <c r="M10" s="12">
        <f>INDEX(Spettacoli!$F$2:$F$36,MATCH(LARGE(Spettacoli!$M$2:$M$36,5),Spettacoli!$M$2:$M$36,0))</f>
        <v/>
      </c>
      <c r="N10" s="13">
        <f>INDEX(Spettacoli!$H$2:$H$36,MATCH(LARGE(Spettacoli!$M$2:$M$36,5),Spettacoli!$M$2:$M$36,0))</f>
        <v/>
      </c>
    </row>
  </sheetData>
  <mergeCells count="12">
    <mergeCell ref="E9:F9"/>
    <mergeCell ref="B6:C6"/>
    <mergeCell ref="E6:F6"/>
    <mergeCell ref="H6:I6"/>
    <mergeCell ref="B5:C5"/>
    <mergeCell ref="H9:I9"/>
    <mergeCell ref="E5:F5"/>
    <mergeCell ref="H5:I5"/>
    <mergeCell ref="H8:I8"/>
    <mergeCell ref="B9:C9"/>
    <mergeCell ref="B8:C8"/>
    <mergeCell ref="E8:F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Tipologia (Intero/Ridotto/Omaggio)</t>
        </is>
      </c>
      <c r="D1" s="20" t="inlineStr">
        <is>
          <t>Persone per titolo</t>
        </is>
      </c>
    </row>
    <row r="2">
      <c r="A2" s="21" t="inlineStr">
        <is>
          <t>I1</t>
        </is>
      </c>
      <c r="B2" s="21" t="inlineStr">
        <is>
          <t>Tariffa 48 €</t>
        </is>
      </c>
      <c r="C2" s="21" t="inlineStr">
        <is>
          <t>Intero</t>
        </is>
      </c>
      <c r="D2" s="21" t="n"/>
    </row>
    <row r="3">
      <c r="A3" s="22" t="inlineStr">
        <is>
          <t>I8</t>
        </is>
      </c>
      <c r="B3" s="22" t="inlineStr">
        <is>
          <t>Tariffa 24 €</t>
        </is>
      </c>
      <c r="C3" s="22" t="inlineStr">
        <is>
          <t>Intero</t>
        </is>
      </c>
      <c r="D3" s="22" t="n"/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0" customWidth="1" min="5" max="5"/>
    <col width="12" customWidth="1" min="6" max="6"/>
    <col width="10" customWidth="1" min="7" max="7"/>
    <col width="13" customWidth="1" min="8" max="8"/>
    <col width="14" customWidth="1" min="9" max="9"/>
    <col width="11" customWidth="1" min="10" max="10"/>
    <col width="12" customWidth="1" min="11" max="11"/>
    <col width="14" customWidth="1" min="12" max="12"/>
    <col hidden="1" width="10" customWidth="1" min="13" max="13"/>
  </cols>
  <sheetData>
    <row r="1" ht="30" customHeight="1">
      <c r="A1" s="20" t="inlineStr">
        <is>
          <t>ID</t>
        </is>
      </c>
      <c r="B1" s="20" t="inlineStr">
        <is>
          <t>Data</t>
        </is>
      </c>
      <c r="C1" s="20" t="inlineStr">
        <is>
          <t>Giorno settimana</t>
        </is>
      </c>
      <c r="D1" s="20" t="inlineStr">
        <is>
          <t>Ora</t>
        </is>
      </c>
      <c r="E1" s="20" t="inlineStr">
        <is>
          <t>Capienza</t>
        </is>
      </c>
      <c r="F1" s="20" t="inlineStr">
        <is>
          <t>Biglietti emessi</t>
        </is>
      </c>
      <c r="G1" s="20" t="inlineStr">
        <is>
          <t>Annullati</t>
        </is>
      </c>
      <c r="H1" s="20" t="inlineStr">
        <is>
          <t>Incasso lordo</t>
        </is>
      </c>
      <c r="I1" s="20" t="inlineStr">
        <is>
          <t>Imponibile IVA</t>
        </is>
      </c>
      <c r="J1" s="20" t="inlineStr">
        <is>
          <t>IVA</t>
        </is>
      </c>
      <c r="K1" s="20" t="inlineStr">
        <is>
          <t>Occupazione %</t>
        </is>
      </c>
      <c r="L1" s="20" t="inlineStr">
        <is>
          <t>Stato</t>
        </is>
      </c>
      <c r="M1" s="20" t="inlineStr">
        <is>
          <t>Chiave ordinamento</t>
        </is>
      </c>
    </row>
    <row r="2">
      <c r="A2" s="21" t="inlineStr">
        <is>
          <t>20261023_2015</t>
        </is>
      </c>
      <c r="B2" s="10" t="n">
        <v>46318</v>
      </c>
      <c r="C2" s="21">
        <f>CHOOSE(WEEKDAY(B2,2),"Lunedì","Martedì","Mercoledì","Giovedì","Venerdì","Sabato","Domenica")</f>
        <v/>
      </c>
      <c r="D2" s="11" t="n">
        <v>0.84375</v>
      </c>
      <c r="E2" s="12" t="n">
        <v>200</v>
      </c>
      <c r="F2" s="12">
        <f>SUMIF(Vendite!$A$2:$A$1000,A2,Vendite!$H$2:$H$1000)</f>
        <v/>
      </c>
      <c r="G2" s="12">
        <f>SUMIF(Vendite!$A$2:$A$1000,A2,Vendite!$I$2:$I$1000)</f>
        <v/>
      </c>
      <c r="H2" s="13">
        <f>SUMIF(Vendite!$A$2:$A$1000,A2,Vendite!$J$2:$J$1000)</f>
        <v/>
      </c>
      <c r="I2" s="13">
        <f>SUMIF(Vendite!$A$2:$A$1000,A2,Vendite!$L$2:$L$1000)</f>
        <v/>
      </c>
      <c r="J2" s="13">
        <f>SUMIF(Vendite!$A$2:$A$1000,A2,Vendite!$M$2:$M$1000)</f>
        <v/>
      </c>
      <c r="K2" s="23">
        <f>IF(E2&gt;0,F2/E2,0)</f>
        <v/>
      </c>
      <c r="L2" s="21">
        <f>IF(F2&gt;0,"Venduto","Zero vendite")</f>
        <v/>
      </c>
      <c r="M2" s="21">
        <f>F2+H2/100000+(1000-ROW())/100000000</f>
        <v/>
      </c>
    </row>
    <row r="3">
      <c r="A3" s="22" t="inlineStr">
        <is>
          <t>20261023_2115</t>
        </is>
      </c>
      <c r="B3" s="14" t="n">
        <v>46318</v>
      </c>
      <c r="C3" s="22">
        <f>CHOOSE(WEEKDAY(B3,2),"Lunedì","Martedì","Mercoledì","Giovedì","Venerdì","Sabato","Domenica")</f>
        <v/>
      </c>
      <c r="D3" s="15" t="n">
        <v>0.8854166666666666</v>
      </c>
      <c r="E3" s="16" t="n">
        <v>200</v>
      </c>
      <c r="F3" s="16">
        <f>SUMIF(Vendite!$A$2:$A$1000,A3,Vendite!$H$2:$H$1000)</f>
        <v/>
      </c>
      <c r="G3" s="16">
        <f>SUMIF(Vendite!$A$2:$A$1000,A3,Vendite!$I$2:$I$1000)</f>
        <v/>
      </c>
      <c r="H3" s="17">
        <f>SUMIF(Vendite!$A$2:$A$1000,A3,Vendite!$J$2:$J$1000)</f>
        <v/>
      </c>
      <c r="I3" s="17">
        <f>SUMIF(Vendite!$A$2:$A$1000,A3,Vendite!$L$2:$L$1000)</f>
        <v/>
      </c>
      <c r="J3" s="17">
        <f>SUMIF(Vendite!$A$2:$A$1000,A3,Vendite!$M$2:$M$1000)</f>
        <v/>
      </c>
      <c r="K3" s="24">
        <f>IF(E3&gt;0,F3/E3,0)</f>
        <v/>
      </c>
      <c r="L3" s="22">
        <f>IF(F3&gt;0,"Venduto","Zero vendite")</f>
        <v/>
      </c>
      <c r="M3" s="22">
        <f>F3+H3/100000+(1000-ROW())/100000000</f>
        <v/>
      </c>
    </row>
    <row r="4">
      <c r="A4" s="21" t="inlineStr">
        <is>
          <t>20261023_2215</t>
        </is>
      </c>
      <c r="B4" s="10" t="n">
        <v>46318</v>
      </c>
      <c r="C4" s="21">
        <f>CHOOSE(WEEKDAY(B4,2),"Lunedì","Martedì","Mercoledì","Giovedì","Venerdì","Sabato","Domenica")</f>
        <v/>
      </c>
      <c r="D4" s="11" t="n">
        <v>0.9270833333333334</v>
      </c>
      <c r="E4" s="12" t="n">
        <v>200</v>
      </c>
      <c r="F4" s="12">
        <f>SUMIF(Vendite!$A$2:$A$1000,A4,Vendite!$H$2:$H$1000)</f>
        <v/>
      </c>
      <c r="G4" s="12">
        <f>SUMIF(Vendite!$A$2:$A$1000,A4,Vendite!$I$2:$I$1000)</f>
        <v/>
      </c>
      <c r="H4" s="13">
        <f>SUMIF(Vendite!$A$2:$A$1000,A4,Vendite!$J$2:$J$1000)</f>
        <v/>
      </c>
      <c r="I4" s="13">
        <f>SUMIF(Vendite!$A$2:$A$1000,A4,Vendite!$L$2:$L$1000)</f>
        <v/>
      </c>
      <c r="J4" s="13">
        <f>SUMIF(Vendite!$A$2:$A$1000,A4,Vendite!$M$2:$M$1000)</f>
        <v/>
      </c>
      <c r="K4" s="23">
        <f>IF(E4&gt;0,F4/E4,0)</f>
        <v/>
      </c>
      <c r="L4" s="21">
        <f>IF(F4&gt;0,"Venduto","Zero vendite")</f>
        <v/>
      </c>
      <c r="M4" s="21">
        <f>F4+H4/100000+(1000-ROW())/100000000</f>
        <v/>
      </c>
    </row>
    <row r="5">
      <c r="A5" s="22" t="inlineStr">
        <is>
          <t>20261023_2315</t>
        </is>
      </c>
      <c r="B5" s="14" t="n">
        <v>46318</v>
      </c>
      <c r="C5" s="22">
        <f>CHOOSE(WEEKDAY(B5,2),"Lunedì","Martedì","Mercoledì","Giovedì","Venerdì","Sabato","Domenica")</f>
        <v/>
      </c>
      <c r="D5" s="15" t="n">
        <v>0.96875</v>
      </c>
      <c r="E5" s="16" t="n">
        <v>200</v>
      </c>
      <c r="F5" s="16">
        <f>SUMIF(Vendite!$A$2:$A$1000,A5,Vendite!$H$2:$H$1000)</f>
        <v/>
      </c>
      <c r="G5" s="16">
        <f>SUMIF(Vendite!$A$2:$A$1000,A5,Vendite!$I$2:$I$1000)</f>
        <v/>
      </c>
      <c r="H5" s="17">
        <f>SUMIF(Vendite!$A$2:$A$1000,A5,Vendite!$J$2:$J$1000)</f>
        <v/>
      </c>
      <c r="I5" s="17">
        <f>SUMIF(Vendite!$A$2:$A$1000,A5,Vendite!$L$2:$L$1000)</f>
        <v/>
      </c>
      <c r="J5" s="17">
        <f>SUMIF(Vendite!$A$2:$A$1000,A5,Vendite!$M$2:$M$1000)</f>
        <v/>
      </c>
      <c r="K5" s="24">
        <f>IF(E5&gt;0,F5/E5,0)</f>
        <v/>
      </c>
      <c r="L5" s="22">
        <f>IF(F5&gt;0,"Venduto","Zero vendite")</f>
        <v/>
      </c>
      <c r="M5" s="22">
        <f>F5+H5/100000+(1000-ROW())/100000000</f>
        <v/>
      </c>
    </row>
    <row r="6">
      <c r="A6" s="21" t="inlineStr">
        <is>
          <t>20261023_2358</t>
        </is>
      </c>
      <c r="B6" s="10" t="n">
        <v>46318</v>
      </c>
      <c r="C6" s="21">
        <f>CHOOSE(WEEKDAY(B6,2),"Lunedì","Martedì","Mercoledì","Giovedì","Venerdì","Sabato","Domenica")</f>
        <v/>
      </c>
      <c r="D6" s="11" t="n">
        <v>0.9986111111111111</v>
      </c>
      <c r="E6" s="25" t="n">
        <v>200</v>
      </c>
      <c r="F6" s="12">
        <f>SUMIF(Vendite!$A$2:$A$1000,A6,Vendite!$H$2:$H$1000)</f>
        <v/>
      </c>
      <c r="G6" s="12">
        <f>SUMIF(Vendite!$A$2:$A$1000,A6,Vendite!$I$2:$I$1000)</f>
        <v/>
      </c>
      <c r="H6" s="13">
        <f>SUMIF(Vendite!$A$2:$A$1000,A6,Vendite!$J$2:$J$1000)</f>
        <v/>
      </c>
      <c r="I6" s="13">
        <f>SUMIF(Vendite!$A$2:$A$1000,A6,Vendite!$L$2:$L$1000)</f>
        <v/>
      </c>
      <c r="J6" s="13">
        <f>SUMIF(Vendite!$A$2:$A$1000,A6,Vendite!$M$2:$M$1000)</f>
        <v/>
      </c>
      <c r="K6" s="23">
        <f>IF(E6&gt;0,F6/E6,0)</f>
        <v/>
      </c>
      <c r="L6" s="21">
        <f>IF(F6&gt;0,"Venduto","Zero vendite")</f>
        <v/>
      </c>
      <c r="M6" s="21">
        <f>F6+H6/100000+(1000-ROW())/100000000</f>
        <v/>
      </c>
    </row>
    <row r="7">
      <c r="A7" s="22" t="inlineStr">
        <is>
          <t>20261024_2015</t>
        </is>
      </c>
      <c r="B7" s="14" t="n">
        <v>46319</v>
      </c>
      <c r="C7" s="22">
        <f>CHOOSE(WEEKDAY(B7,2),"Lunedì","Martedì","Mercoledì","Giovedì","Venerdì","Sabato","Domenica")</f>
        <v/>
      </c>
      <c r="D7" s="15" t="n">
        <v>0.84375</v>
      </c>
      <c r="E7" s="26" t="n">
        <v>200</v>
      </c>
      <c r="F7" s="16">
        <f>SUMIF(Vendite!$A$2:$A$1000,A7,Vendite!$H$2:$H$1000)</f>
        <v/>
      </c>
      <c r="G7" s="16">
        <f>SUMIF(Vendite!$A$2:$A$1000,A7,Vendite!$I$2:$I$1000)</f>
        <v/>
      </c>
      <c r="H7" s="17">
        <f>SUMIF(Vendite!$A$2:$A$1000,A7,Vendite!$J$2:$J$1000)</f>
        <v/>
      </c>
      <c r="I7" s="17">
        <f>SUMIF(Vendite!$A$2:$A$1000,A7,Vendite!$L$2:$L$1000)</f>
        <v/>
      </c>
      <c r="J7" s="17">
        <f>SUMIF(Vendite!$A$2:$A$1000,A7,Vendite!$M$2:$M$1000)</f>
        <v/>
      </c>
      <c r="K7" s="24">
        <f>IF(E7&gt;0,F7/E7,0)</f>
        <v/>
      </c>
      <c r="L7" s="22">
        <f>IF(F7&gt;0,"Venduto","Zero vendite")</f>
        <v/>
      </c>
      <c r="M7" s="22">
        <f>F7+H7/100000+(1000-ROW())/100000000</f>
        <v/>
      </c>
    </row>
    <row r="8">
      <c r="A8" s="21" t="inlineStr">
        <is>
          <t>20261024_2115</t>
        </is>
      </c>
      <c r="B8" s="10" t="n">
        <v>46319</v>
      </c>
      <c r="C8" s="21">
        <f>CHOOSE(WEEKDAY(B8,2),"Lunedì","Martedì","Mercoledì","Giovedì","Venerdì","Sabato","Domenica")</f>
        <v/>
      </c>
      <c r="D8" s="11" t="n">
        <v>0.8854166666666666</v>
      </c>
      <c r="E8" s="25" t="n">
        <v>200</v>
      </c>
      <c r="F8" s="12">
        <f>SUMIF(Vendite!$A$2:$A$1000,A8,Vendite!$H$2:$H$1000)</f>
        <v/>
      </c>
      <c r="G8" s="12">
        <f>SUMIF(Vendite!$A$2:$A$1000,A8,Vendite!$I$2:$I$1000)</f>
        <v/>
      </c>
      <c r="H8" s="13">
        <f>SUMIF(Vendite!$A$2:$A$1000,A8,Vendite!$J$2:$J$1000)</f>
        <v/>
      </c>
      <c r="I8" s="13">
        <f>SUMIF(Vendite!$A$2:$A$1000,A8,Vendite!$L$2:$L$1000)</f>
        <v/>
      </c>
      <c r="J8" s="13">
        <f>SUMIF(Vendite!$A$2:$A$1000,A8,Vendite!$M$2:$M$1000)</f>
        <v/>
      </c>
      <c r="K8" s="23">
        <f>IF(E8&gt;0,F8/E8,0)</f>
        <v/>
      </c>
      <c r="L8" s="21">
        <f>IF(F8&gt;0,"Venduto","Zero vendite")</f>
        <v/>
      </c>
      <c r="M8" s="21">
        <f>F8+H8/100000+(1000-ROW())/100000000</f>
        <v/>
      </c>
    </row>
    <row r="9">
      <c r="A9" s="22" t="inlineStr">
        <is>
          <t>20261024_2215</t>
        </is>
      </c>
      <c r="B9" s="14" t="n">
        <v>46319</v>
      </c>
      <c r="C9" s="22">
        <f>CHOOSE(WEEKDAY(B9,2),"Lunedì","Martedì","Mercoledì","Giovedì","Venerdì","Sabato","Domenica")</f>
        <v/>
      </c>
      <c r="D9" s="15" t="n">
        <v>0.9270833333333334</v>
      </c>
      <c r="E9" s="26" t="n">
        <v>200</v>
      </c>
      <c r="F9" s="16">
        <f>SUMIF(Vendite!$A$2:$A$1000,A9,Vendite!$H$2:$H$1000)</f>
        <v/>
      </c>
      <c r="G9" s="16">
        <f>SUMIF(Vendite!$A$2:$A$1000,A9,Vendite!$I$2:$I$1000)</f>
        <v/>
      </c>
      <c r="H9" s="17">
        <f>SUMIF(Vendite!$A$2:$A$1000,A9,Vendite!$J$2:$J$1000)</f>
        <v/>
      </c>
      <c r="I9" s="17">
        <f>SUMIF(Vendite!$A$2:$A$1000,A9,Vendite!$L$2:$L$1000)</f>
        <v/>
      </c>
      <c r="J9" s="17">
        <f>SUMIF(Vendite!$A$2:$A$1000,A9,Vendite!$M$2:$M$1000)</f>
        <v/>
      </c>
      <c r="K9" s="24">
        <f>IF(E9&gt;0,F9/E9,0)</f>
        <v/>
      </c>
      <c r="L9" s="22">
        <f>IF(F9&gt;0,"Venduto","Zero vendite")</f>
        <v/>
      </c>
      <c r="M9" s="22">
        <f>F9+H9/100000+(1000-ROW())/100000000</f>
        <v/>
      </c>
    </row>
    <row r="10">
      <c r="A10" s="21" t="inlineStr">
        <is>
          <t>20261024_2315</t>
        </is>
      </c>
      <c r="B10" s="10" t="n">
        <v>46319</v>
      </c>
      <c r="C10" s="21">
        <f>CHOOSE(WEEKDAY(B10,2),"Lunedì","Martedì","Mercoledì","Giovedì","Venerdì","Sabato","Domenica")</f>
        <v/>
      </c>
      <c r="D10" s="11" t="n">
        <v>0.96875</v>
      </c>
      <c r="E10" s="25" t="n">
        <v>200</v>
      </c>
      <c r="F10" s="12">
        <f>SUMIF(Vendite!$A$2:$A$1000,A10,Vendite!$H$2:$H$1000)</f>
        <v/>
      </c>
      <c r="G10" s="12">
        <f>SUMIF(Vendite!$A$2:$A$1000,A10,Vendite!$I$2:$I$1000)</f>
        <v/>
      </c>
      <c r="H10" s="13">
        <f>SUMIF(Vendite!$A$2:$A$1000,A10,Vendite!$J$2:$J$1000)</f>
        <v/>
      </c>
      <c r="I10" s="13">
        <f>SUMIF(Vendite!$A$2:$A$1000,A10,Vendite!$L$2:$L$1000)</f>
        <v/>
      </c>
      <c r="J10" s="13">
        <f>SUMIF(Vendite!$A$2:$A$1000,A10,Vendite!$M$2:$M$1000)</f>
        <v/>
      </c>
      <c r="K10" s="23">
        <f>IF(E10&gt;0,F10/E10,0)</f>
        <v/>
      </c>
      <c r="L10" s="21">
        <f>IF(F10&gt;0,"Venduto","Zero vendite")</f>
        <v/>
      </c>
      <c r="M10" s="21">
        <f>F10+H10/100000+(1000-ROW())/100000000</f>
        <v/>
      </c>
    </row>
    <row r="11">
      <c r="A11" s="22" t="inlineStr">
        <is>
          <t>20261024_2359</t>
        </is>
      </c>
      <c r="B11" s="14" t="n">
        <v>46319</v>
      </c>
      <c r="C11" s="22">
        <f>CHOOSE(WEEKDAY(B11,2),"Lunedì","Martedì","Mercoledì","Giovedì","Venerdì","Sabato","Domenica")</f>
        <v/>
      </c>
      <c r="D11" s="15" t="n">
        <v>0.9993055555555556</v>
      </c>
      <c r="E11" s="26" t="n">
        <v>200</v>
      </c>
      <c r="F11" s="16">
        <f>SUMIF(Vendite!$A$2:$A$1000,A11,Vendite!$H$2:$H$1000)</f>
        <v/>
      </c>
      <c r="G11" s="16">
        <f>SUMIF(Vendite!$A$2:$A$1000,A11,Vendite!$I$2:$I$1000)</f>
        <v/>
      </c>
      <c r="H11" s="17">
        <f>SUMIF(Vendite!$A$2:$A$1000,A11,Vendite!$J$2:$J$1000)</f>
        <v/>
      </c>
      <c r="I11" s="17">
        <f>SUMIF(Vendite!$A$2:$A$1000,A11,Vendite!$L$2:$L$1000)</f>
        <v/>
      </c>
      <c r="J11" s="17">
        <f>SUMIF(Vendite!$A$2:$A$1000,A11,Vendite!$M$2:$M$1000)</f>
        <v/>
      </c>
      <c r="K11" s="24">
        <f>IF(E11&gt;0,F11/E11,0)</f>
        <v/>
      </c>
      <c r="L11" s="22">
        <f>IF(F11&gt;0,"Venduto","Zero vendite")</f>
        <v/>
      </c>
      <c r="M11" s="22">
        <f>F11+H11/100000+(1000-ROW())/100000000</f>
        <v/>
      </c>
    </row>
    <row r="12">
      <c r="A12" s="21" t="inlineStr">
        <is>
          <t>20261025_2015</t>
        </is>
      </c>
      <c r="B12" s="10" t="n">
        <v>46320</v>
      </c>
      <c r="C12" s="21">
        <f>CHOOSE(WEEKDAY(B12,2),"Lunedì","Martedì","Mercoledì","Giovedì","Venerdì","Sabato","Domenica")</f>
        <v/>
      </c>
      <c r="D12" s="11" t="n">
        <v>0.84375</v>
      </c>
      <c r="E12" s="25" t="n">
        <v>200</v>
      </c>
      <c r="F12" s="12">
        <f>SUMIF(Vendite!$A$2:$A$1000,A12,Vendite!$H$2:$H$1000)</f>
        <v/>
      </c>
      <c r="G12" s="12">
        <f>SUMIF(Vendite!$A$2:$A$1000,A12,Vendite!$I$2:$I$1000)</f>
        <v/>
      </c>
      <c r="H12" s="13">
        <f>SUMIF(Vendite!$A$2:$A$1000,A12,Vendite!$J$2:$J$1000)</f>
        <v/>
      </c>
      <c r="I12" s="13">
        <f>SUMIF(Vendite!$A$2:$A$1000,A12,Vendite!$L$2:$L$1000)</f>
        <v/>
      </c>
      <c r="J12" s="13">
        <f>SUMIF(Vendite!$A$2:$A$1000,A12,Vendite!$M$2:$M$1000)</f>
        <v/>
      </c>
      <c r="K12" s="23">
        <f>IF(E12&gt;0,F12/E12,0)</f>
        <v/>
      </c>
      <c r="L12" s="21">
        <f>IF(F12&gt;0,"Venduto","Zero vendite")</f>
        <v/>
      </c>
      <c r="M12" s="21">
        <f>F12+H12/100000+(1000-ROW())/100000000</f>
        <v/>
      </c>
    </row>
    <row r="13">
      <c r="A13" s="22" t="inlineStr">
        <is>
          <t>20261025_2115</t>
        </is>
      </c>
      <c r="B13" s="14" t="n">
        <v>46320</v>
      </c>
      <c r="C13" s="22">
        <f>CHOOSE(WEEKDAY(B13,2),"Lunedì","Martedì","Mercoledì","Giovedì","Venerdì","Sabato","Domenica")</f>
        <v/>
      </c>
      <c r="D13" s="15" t="n">
        <v>0.8854166666666666</v>
      </c>
      <c r="E13" s="16" t="n">
        <v>200</v>
      </c>
      <c r="F13" s="16">
        <f>SUMIF(Vendite!$A$2:$A$1000,A13,Vendite!$H$2:$H$1000)</f>
        <v/>
      </c>
      <c r="G13" s="16">
        <f>SUMIF(Vendite!$A$2:$A$1000,A13,Vendite!$I$2:$I$1000)</f>
        <v/>
      </c>
      <c r="H13" s="17">
        <f>SUMIF(Vendite!$A$2:$A$1000,A13,Vendite!$J$2:$J$1000)</f>
        <v/>
      </c>
      <c r="I13" s="17">
        <f>SUMIF(Vendite!$A$2:$A$1000,A13,Vendite!$L$2:$L$1000)</f>
        <v/>
      </c>
      <c r="J13" s="17">
        <f>SUMIF(Vendite!$A$2:$A$1000,A13,Vendite!$M$2:$M$1000)</f>
        <v/>
      </c>
      <c r="K13" s="24">
        <f>IF(E13&gt;0,F13/E13,0)</f>
        <v/>
      </c>
      <c r="L13" s="22">
        <f>IF(F13&gt;0,"Venduto","Zero vendite")</f>
        <v/>
      </c>
      <c r="M13" s="22">
        <f>F13+H13/100000+(1000-ROW())/100000000</f>
        <v/>
      </c>
    </row>
    <row r="14">
      <c r="A14" s="21" t="inlineStr">
        <is>
          <t>20261025_2215</t>
        </is>
      </c>
      <c r="B14" s="10" t="n">
        <v>46320</v>
      </c>
      <c r="C14" s="21">
        <f>CHOOSE(WEEKDAY(B14,2),"Lunedì","Martedì","Mercoledì","Giovedì","Venerdì","Sabato","Domenica")</f>
        <v/>
      </c>
      <c r="D14" s="11" t="n">
        <v>0.9270833333333334</v>
      </c>
      <c r="E14" s="12" t="n">
        <v>200</v>
      </c>
      <c r="F14" s="12">
        <f>SUMIF(Vendite!$A$2:$A$1000,A14,Vendite!$H$2:$H$1000)</f>
        <v/>
      </c>
      <c r="G14" s="12">
        <f>SUMIF(Vendite!$A$2:$A$1000,A14,Vendite!$I$2:$I$1000)</f>
        <v/>
      </c>
      <c r="H14" s="13">
        <f>SUMIF(Vendite!$A$2:$A$1000,A14,Vendite!$J$2:$J$1000)</f>
        <v/>
      </c>
      <c r="I14" s="13">
        <f>SUMIF(Vendite!$A$2:$A$1000,A14,Vendite!$L$2:$L$1000)</f>
        <v/>
      </c>
      <c r="J14" s="13">
        <f>SUMIF(Vendite!$A$2:$A$1000,A14,Vendite!$M$2:$M$1000)</f>
        <v/>
      </c>
      <c r="K14" s="23">
        <f>IF(E14&gt;0,F14/E14,0)</f>
        <v/>
      </c>
      <c r="L14" s="21">
        <f>IF(F14&gt;0,"Venduto","Zero vendite")</f>
        <v/>
      </c>
      <c r="M14" s="21">
        <f>F14+H14/100000+(1000-ROW())/100000000</f>
        <v/>
      </c>
    </row>
    <row r="15">
      <c r="A15" s="22" t="inlineStr">
        <is>
          <t>20261025_2315</t>
        </is>
      </c>
      <c r="B15" s="14" t="n">
        <v>46320</v>
      </c>
      <c r="C15" s="22">
        <f>CHOOSE(WEEKDAY(B15,2),"Lunedì","Martedì","Mercoledì","Giovedì","Venerdì","Sabato","Domenica")</f>
        <v/>
      </c>
      <c r="D15" s="15" t="n">
        <v>0.96875</v>
      </c>
      <c r="E15" s="26" t="n">
        <v>200</v>
      </c>
      <c r="F15" s="16">
        <f>SUMIF(Vendite!$A$2:$A$1000,A15,Vendite!$H$2:$H$1000)</f>
        <v/>
      </c>
      <c r="G15" s="16">
        <f>SUMIF(Vendite!$A$2:$A$1000,A15,Vendite!$I$2:$I$1000)</f>
        <v/>
      </c>
      <c r="H15" s="17">
        <f>SUMIF(Vendite!$A$2:$A$1000,A15,Vendite!$J$2:$J$1000)</f>
        <v/>
      </c>
      <c r="I15" s="17">
        <f>SUMIF(Vendite!$A$2:$A$1000,A15,Vendite!$L$2:$L$1000)</f>
        <v/>
      </c>
      <c r="J15" s="17">
        <f>SUMIF(Vendite!$A$2:$A$1000,A15,Vendite!$M$2:$M$1000)</f>
        <v/>
      </c>
      <c r="K15" s="24">
        <f>IF(E15&gt;0,F15/E15,0)</f>
        <v/>
      </c>
      <c r="L15" s="22">
        <f>IF(F15&gt;0,"Venduto","Zero vendite")</f>
        <v/>
      </c>
      <c r="M15" s="22">
        <f>F15+H15/100000+(1000-ROW())/100000000</f>
        <v/>
      </c>
    </row>
    <row r="16">
      <c r="A16" s="21" t="inlineStr">
        <is>
          <t>20261025_2359</t>
        </is>
      </c>
      <c r="B16" s="10" t="n">
        <v>46320</v>
      </c>
      <c r="C16" s="21">
        <f>CHOOSE(WEEKDAY(B16,2),"Lunedì","Martedì","Mercoledì","Giovedì","Venerdì","Sabato","Domenica")</f>
        <v/>
      </c>
      <c r="D16" s="11" t="n">
        <v>0.9993055555555556</v>
      </c>
      <c r="E16" s="25" t="n">
        <v>200</v>
      </c>
      <c r="F16" s="12">
        <f>SUMIF(Vendite!$A$2:$A$1000,A16,Vendite!$H$2:$H$1000)</f>
        <v/>
      </c>
      <c r="G16" s="12">
        <f>SUMIF(Vendite!$A$2:$A$1000,A16,Vendite!$I$2:$I$1000)</f>
        <v/>
      </c>
      <c r="H16" s="13">
        <f>SUMIF(Vendite!$A$2:$A$1000,A16,Vendite!$J$2:$J$1000)</f>
        <v/>
      </c>
      <c r="I16" s="13">
        <f>SUMIF(Vendite!$A$2:$A$1000,A16,Vendite!$L$2:$L$1000)</f>
        <v/>
      </c>
      <c r="J16" s="13">
        <f>SUMIF(Vendite!$A$2:$A$1000,A16,Vendite!$M$2:$M$1000)</f>
        <v/>
      </c>
      <c r="K16" s="23">
        <f>IF(E16&gt;0,F16/E16,0)</f>
        <v/>
      </c>
      <c r="L16" s="21">
        <f>IF(F16&gt;0,"Venduto","Zero vendite")</f>
        <v/>
      </c>
      <c r="M16" s="21">
        <f>F16+H16/100000+(1000-ROW())/100000000</f>
        <v/>
      </c>
    </row>
    <row r="17">
      <c r="A17" s="22" t="inlineStr">
        <is>
          <t>20261029_2015</t>
        </is>
      </c>
      <c r="B17" s="14" t="n">
        <v>46324</v>
      </c>
      <c r="C17" s="22">
        <f>CHOOSE(WEEKDAY(B17,2),"Lunedì","Martedì","Mercoledì","Giovedì","Venerdì","Sabato","Domenica")</f>
        <v/>
      </c>
      <c r="D17" s="15" t="n">
        <v>0.84375</v>
      </c>
      <c r="E17" s="26" t="n">
        <v>200</v>
      </c>
      <c r="F17" s="16">
        <f>SUMIF(Vendite!$A$2:$A$1000,A17,Vendite!$H$2:$H$1000)</f>
        <v/>
      </c>
      <c r="G17" s="16">
        <f>SUMIF(Vendite!$A$2:$A$1000,A17,Vendite!$I$2:$I$1000)</f>
        <v/>
      </c>
      <c r="H17" s="17">
        <f>SUMIF(Vendite!$A$2:$A$1000,A17,Vendite!$J$2:$J$1000)</f>
        <v/>
      </c>
      <c r="I17" s="17">
        <f>SUMIF(Vendite!$A$2:$A$1000,A17,Vendite!$L$2:$L$1000)</f>
        <v/>
      </c>
      <c r="J17" s="17">
        <f>SUMIF(Vendite!$A$2:$A$1000,A17,Vendite!$M$2:$M$1000)</f>
        <v/>
      </c>
      <c r="K17" s="24">
        <f>IF(E17&gt;0,F17/E17,0)</f>
        <v/>
      </c>
      <c r="L17" s="22">
        <f>IF(F17&gt;0,"Venduto","Zero vendite")</f>
        <v/>
      </c>
      <c r="M17" s="22">
        <f>F17+H17/100000+(1000-ROW())/100000000</f>
        <v/>
      </c>
    </row>
    <row r="18">
      <c r="A18" s="21" t="inlineStr">
        <is>
          <t>20261029_2115</t>
        </is>
      </c>
      <c r="B18" s="10" t="n">
        <v>46324</v>
      </c>
      <c r="C18" s="21">
        <f>CHOOSE(WEEKDAY(B18,2),"Lunedì","Martedì","Mercoledì","Giovedì","Venerdì","Sabato","Domenica")</f>
        <v/>
      </c>
      <c r="D18" s="11" t="n">
        <v>0.8854166666666666</v>
      </c>
      <c r="E18" s="25" t="n">
        <v>200</v>
      </c>
      <c r="F18" s="12">
        <f>SUMIF(Vendite!$A$2:$A$1000,A18,Vendite!$H$2:$H$1000)</f>
        <v/>
      </c>
      <c r="G18" s="12">
        <f>SUMIF(Vendite!$A$2:$A$1000,A18,Vendite!$I$2:$I$1000)</f>
        <v/>
      </c>
      <c r="H18" s="13">
        <f>SUMIF(Vendite!$A$2:$A$1000,A18,Vendite!$J$2:$J$1000)</f>
        <v/>
      </c>
      <c r="I18" s="13">
        <f>SUMIF(Vendite!$A$2:$A$1000,A18,Vendite!$L$2:$L$1000)</f>
        <v/>
      </c>
      <c r="J18" s="13">
        <f>SUMIF(Vendite!$A$2:$A$1000,A18,Vendite!$M$2:$M$1000)</f>
        <v/>
      </c>
      <c r="K18" s="23">
        <f>IF(E18&gt;0,F18/E18,0)</f>
        <v/>
      </c>
      <c r="L18" s="21">
        <f>IF(F18&gt;0,"Venduto","Zero vendite")</f>
        <v/>
      </c>
      <c r="M18" s="21">
        <f>F18+H18/100000+(1000-ROW())/100000000</f>
        <v/>
      </c>
    </row>
    <row r="19">
      <c r="A19" s="22" t="inlineStr">
        <is>
          <t>20261029_2215</t>
        </is>
      </c>
      <c r="B19" s="14" t="n">
        <v>46324</v>
      </c>
      <c r="C19" s="22">
        <f>CHOOSE(WEEKDAY(B19,2),"Lunedì","Martedì","Mercoledì","Giovedì","Venerdì","Sabato","Domenica")</f>
        <v/>
      </c>
      <c r="D19" s="15" t="n">
        <v>0.9270833333333334</v>
      </c>
      <c r="E19" s="16" t="n">
        <v>200</v>
      </c>
      <c r="F19" s="16">
        <f>SUMIF(Vendite!$A$2:$A$1000,A19,Vendite!$H$2:$H$1000)</f>
        <v/>
      </c>
      <c r="G19" s="16">
        <f>SUMIF(Vendite!$A$2:$A$1000,A19,Vendite!$I$2:$I$1000)</f>
        <v/>
      </c>
      <c r="H19" s="17">
        <f>SUMIF(Vendite!$A$2:$A$1000,A19,Vendite!$J$2:$J$1000)</f>
        <v/>
      </c>
      <c r="I19" s="17">
        <f>SUMIF(Vendite!$A$2:$A$1000,A19,Vendite!$L$2:$L$1000)</f>
        <v/>
      </c>
      <c r="J19" s="17">
        <f>SUMIF(Vendite!$A$2:$A$1000,A19,Vendite!$M$2:$M$1000)</f>
        <v/>
      </c>
      <c r="K19" s="24">
        <f>IF(E19&gt;0,F19/E19,0)</f>
        <v/>
      </c>
      <c r="L19" s="22">
        <f>IF(F19&gt;0,"Venduto","Zero vendite")</f>
        <v/>
      </c>
      <c r="M19" s="22">
        <f>F19+H19/100000+(1000-ROW())/100000000</f>
        <v/>
      </c>
    </row>
    <row r="20">
      <c r="A20" s="21" t="inlineStr">
        <is>
          <t>20261029_2315</t>
        </is>
      </c>
      <c r="B20" s="10" t="n">
        <v>46324</v>
      </c>
      <c r="C20" s="21">
        <f>CHOOSE(WEEKDAY(B20,2),"Lunedì","Martedì","Mercoledì","Giovedì","Venerdì","Sabato","Domenica")</f>
        <v/>
      </c>
      <c r="D20" s="11" t="n">
        <v>0.96875</v>
      </c>
      <c r="E20" s="25" t="n">
        <v>200</v>
      </c>
      <c r="F20" s="12">
        <f>SUMIF(Vendite!$A$2:$A$1000,A20,Vendite!$H$2:$H$1000)</f>
        <v/>
      </c>
      <c r="G20" s="12">
        <f>SUMIF(Vendite!$A$2:$A$1000,A20,Vendite!$I$2:$I$1000)</f>
        <v/>
      </c>
      <c r="H20" s="13">
        <f>SUMIF(Vendite!$A$2:$A$1000,A20,Vendite!$J$2:$J$1000)</f>
        <v/>
      </c>
      <c r="I20" s="13">
        <f>SUMIF(Vendite!$A$2:$A$1000,A20,Vendite!$L$2:$L$1000)</f>
        <v/>
      </c>
      <c r="J20" s="13">
        <f>SUMIF(Vendite!$A$2:$A$1000,A20,Vendite!$M$2:$M$1000)</f>
        <v/>
      </c>
      <c r="K20" s="23">
        <f>IF(E20&gt;0,F20/E20,0)</f>
        <v/>
      </c>
      <c r="L20" s="21">
        <f>IF(F20&gt;0,"Venduto","Zero vendite")</f>
        <v/>
      </c>
      <c r="M20" s="21">
        <f>F20+H20/100000+(1000-ROW())/100000000</f>
        <v/>
      </c>
    </row>
    <row r="21">
      <c r="A21" s="22" t="inlineStr">
        <is>
          <t>20261029_2359</t>
        </is>
      </c>
      <c r="B21" s="14" t="n">
        <v>46324</v>
      </c>
      <c r="C21" s="22">
        <f>CHOOSE(WEEKDAY(B21,2),"Lunedì","Martedì","Mercoledì","Giovedì","Venerdì","Sabato","Domenica")</f>
        <v/>
      </c>
      <c r="D21" s="15" t="n">
        <v>0.9993055555555556</v>
      </c>
      <c r="E21" s="16" t="n">
        <v>200</v>
      </c>
      <c r="F21" s="16">
        <f>SUMIF(Vendite!$A$2:$A$1000,A21,Vendite!$H$2:$H$1000)</f>
        <v/>
      </c>
      <c r="G21" s="16">
        <f>SUMIF(Vendite!$A$2:$A$1000,A21,Vendite!$I$2:$I$1000)</f>
        <v/>
      </c>
      <c r="H21" s="17">
        <f>SUMIF(Vendite!$A$2:$A$1000,A21,Vendite!$J$2:$J$1000)</f>
        <v/>
      </c>
      <c r="I21" s="17">
        <f>SUMIF(Vendite!$A$2:$A$1000,A21,Vendite!$L$2:$L$1000)</f>
        <v/>
      </c>
      <c r="J21" s="17">
        <f>SUMIF(Vendite!$A$2:$A$1000,A21,Vendite!$M$2:$M$1000)</f>
        <v/>
      </c>
      <c r="K21" s="24">
        <f>IF(E21&gt;0,F21/E21,0)</f>
        <v/>
      </c>
      <c r="L21" s="22">
        <f>IF(F21&gt;0,"Venduto","Zero vendite")</f>
        <v/>
      </c>
      <c r="M21" s="22">
        <f>F21+H21/100000+(1000-ROW())/100000000</f>
        <v/>
      </c>
    </row>
    <row r="22">
      <c r="A22" s="21" t="inlineStr">
        <is>
          <t>20261030_2015</t>
        </is>
      </c>
      <c r="B22" s="10" t="n">
        <v>46325</v>
      </c>
      <c r="C22" s="21">
        <f>CHOOSE(WEEKDAY(B22,2),"Lunedì","Martedì","Mercoledì","Giovedì","Venerdì","Sabato","Domenica")</f>
        <v/>
      </c>
      <c r="D22" s="11" t="n">
        <v>0.84375</v>
      </c>
      <c r="E22" s="25" t="n">
        <v>200</v>
      </c>
      <c r="F22" s="12">
        <f>SUMIF(Vendite!$A$2:$A$1000,A22,Vendite!$H$2:$H$1000)</f>
        <v/>
      </c>
      <c r="G22" s="12">
        <f>SUMIF(Vendite!$A$2:$A$1000,A22,Vendite!$I$2:$I$1000)</f>
        <v/>
      </c>
      <c r="H22" s="13">
        <f>SUMIF(Vendite!$A$2:$A$1000,A22,Vendite!$J$2:$J$1000)</f>
        <v/>
      </c>
      <c r="I22" s="13">
        <f>SUMIF(Vendite!$A$2:$A$1000,A22,Vendite!$L$2:$L$1000)</f>
        <v/>
      </c>
      <c r="J22" s="13">
        <f>SUMIF(Vendite!$A$2:$A$1000,A22,Vendite!$M$2:$M$1000)</f>
        <v/>
      </c>
      <c r="K22" s="23">
        <f>IF(E22&gt;0,F22/E22,0)</f>
        <v/>
      </c>
      <c r="L22" s="21">
        <f>IF(F22&gt;0,"Venduto","Zero vendite")</f>
        <v/>
      </c>
      <c r="M22" s="21">
        <f>F22+H22/100000+(1000-ROW())/100000000</f>
        <v/>
      </c>
    </row>
    <row r="23">
      <c r="A23" s="22" t="inlineStr">
        <is>
          <t>20261030_2115</t>
        </is>
      </c>
      <c r="B23" s="14" t="n">
        <v>46325</v>
      </c>
      <c r="C23" s="22">
        <f>CHOOSE(WEEKDAY(B23,2),"Lunedì","Martedì","Mercoledì","Giovedì","Venerdì","Sabato","Domenica")</f>
        <v/>
      </c>
      <c r="D23" s="15" t="n">
        <v>0.8854166666666666</v>
      </c>
      <c r="E23" s="26" t="n">
        <v>200</v>
      </c>
      <c r="F23" s="16">
        <f>SUMIF(Vendite!$A$2:$A$1000,A23,Vendite!$H$2:$H$1000)</f>
        <v/>
      </c>
      <c r="G23" s="16">
        <f>SUMIF(Vendite!$A$2:$A$1000,A23,Vendite!$I$2:$I$1000)</f>
        <v/>
      </c>
      <c r="H23" s="17">
        <f>SUMIF(Vendite!$A$2:$A$1000,A23,Vendite!$J$2:$J$1000)</f>
        <v/>
      </c>
      <c r="I23" s="17">
        <f>SUMIF(Vendite!$A$2:$A$1000,A23,Vendite!$L$2:$L$1000)</f>
        <v/>
      </c>
      <c r="J23" s="17">
        <f>SUMIF(Vendite!$A$2:$A$1000,A23,Vendite!$M$2:$M$1000)</f>
        <v/>
      </c>
      <c r="K23" s="24">
        <f>IF(E23&gt;0,F23/E23,0)</f>
        <v/>
      </c>
      <c r="L23" s="22">
        <f>IF(F23&gt;0,"Venduto","Zero vendite")</f>
        <v/>
      </c>
      <c r="M23" s="22">
        <f>F23+H23/100000+(1000-ROW())/100000000</f>
        <v/>
      </c>
    </row>
    <row r="24">
      <c r="A24" s="21" t="inlineStr">
        <is>
          <t>20261030_2215</t>
        </is>
      </c>
      <c r="B24" s="10" t="n">
        <v>46325</v>
      </c>
      <c r="C24" s="21">
        <f>CHOOSE(WEEKDAY(B24,2),"Lunedì","Martedì","Mercoledì","Giovedì","Venerdì","Sabato","Domenica")</f>
        <v/>
      </c>
      <c r="D24" s="11" t="n">
        <v>0.9270833333333334</v>
      </c>
      <c r="E24" s="25" t="n">
        <v>200</v>
      </c>
      <c r="F24" s="12">
        <f>SUMIF(Vendite!$A$2:$A$1000,A24,Vendite!$H$2:$H$1000)</f>
        <v/>
      </c>
      <c r="G24" s="12">
        <f>SUMIF(Vendite!$A$2:$A$1000,A24,Vendite!$I$2:$I$1000)</f>
        <v/>
      </c>
      <c r="H24" s="13">
        <f>SUMIF(Vendite!$A$2:$A$1000,A24,Vendite!$J$2:$J$1000)</f>
        <v/>
      </c>
      <c r="I24" s="13">
        <f>SUMIF(Vendite!$A$2:$A$1000,A24,Vendite!$L$2:$L$1000)</f>
        <v/>
      </c>
      <c r="J24" s="13">
        <f>SUMIF(Vendite!$A$2:$A$1000,A24,Vendite!$M$2:$M$1000)</f>
        <v/>
      </c>
      <c r="K24" s="23">
        <f>IF(E24&gt;0,F24/E24,0)</f>
        <v/>
      </c>
      <c r="L24" s="21">
        <f>IF(F24&gt;0,"Venduto","Zero vendite")</f>
        <v/>
      </c>
      <c r="M24" s="21">
        <f>F24+H24/100000+(1000-ROW())/100000000</f>
        <v/>
      </c>
    </row>
    <row r="25">
      <c r="A25" s="22" t="inlineStr">
        <is>
          <t>20261030_2315</t>
        </is>
      </c>
      <c r="B25" s="14" t="n">
        <v>46325</v>
      </c>
      <c r="C25" s="22">
        <f>CHOOSE(WEEKDAY(B25,2),"Lunedì","Martedì","Mercoledì","Giovedì","Venerdì","Sabato","Domenica")</f>
        <v/>
      </c>
      <c r="D25" s="15" t="n">
        <v>0.96875</v>
      </c>
      <c r="E25" s="16" t="n">
        <v>200</v>
      </c>
      <c r="F25" s="16">
        <f>SUMIF(Vendite!$A$2:$A$1000,A25,Vendite!$H$2:$H$1000)</f>
        <v/>
      </c>
      <c r="G25" s="16">
        <f>SUMIF(Vendite!$A$2:$A$1000,A25,Vendite!$I$2:$I$1000)</f>
        <v/>
      </c>
      <c r="H25" s="17">
        <f>SUMIF(Vendite!$A$2:$A$1000,A25,Vendite!$J$2:$J$1000)</f>
        <v/>
      </c>
      <c r="I25" s="17">
        <f>SUMIF(Vendite!$A$2:$A$1000,A25,Vendite!$L$2:$L$1000)</f>
        <v/>
      </c>
      <c r="J25" s="17">
        <f>SUMIF(Vendite!$A$2:$A$1000,A25,Vendite!$M$2:$M$1000)</f>
        <v/>
      </c>
      <c r="K25" s="24">
        <f>IF(E25&gt;0,F25/E25,0)</f>
        <v/>
      </c>
      <c r="L25" s="22">
        <f>IF(F25&gt;0,"Venduto","Zero vendite")</f>
        <v/>
      </c>
      <c r="M25" s="22">
        <f>F25+H25/100000+(1000-ROW())/100000000</f>
        <v/>
      </c>
    </row>
    <row r="26">
      <c r="A26" s="21" t="inlineStr">
        <is>
          <t>20261030_2359</t>
        </is>
      </c>
      <c r="B26" s="10" t="n">
        <v>46325</v>
      </c>
      <c r="C26" s="21">
        <f>CHOOSE(WEEKDAY(B26,2),"Lunedì","Martedì","Mercoledì","Giovedì","Venerdì","Sabato","Domenica")</f>
        <v/>
      </c>
      <c r="D26" s="11" t="n">
        <v>0.9993055555555556</v>
      </c>
      <c r="E26" s="25" t="n">
        <v>200</v>
      </c>
      <c r="F26" s="12">
        <f>SUMIF(Vendite!$A$2:$A$1000,A26,Vendite!$H$2:$H$1000)</f>
        <v/>
      </c>
      <c r="G26" s="12">
        <f>SUMIF(Vendite!$A$2:$A$1000,A26,Vendite!$I$2:$I$1000)</f>
        <v/>
      </c>
      <c r="H26" s="13">
        <f>SUMIF(Vendite!$A$2:$A$1000,A26,Vendite!$J$2:$J$1000)</f>
        <v/>
      </c>
      <c r="I26" s="13">
        <f>SUMIF(Vendite!$A$2:$A$1000,A26,Vendite!$L$2:$L$1000)</f>
        <v/>
      </c>
      <c r="J26" s="13">
        <f>SUMIF(Vendite!$A$2:$A$1000,A26,Vendite!$M$2:$M$1000)</f>
        <v/>
      </c>
      <c r="K26" s="23">
        <f>IF(E26&gt;0,F26/E26,0)</f>
        <v/>
      </c>
      <c r="L26" s="21">
        <f>IF(F26&gt;0,"Venduto","Zero vendite")</f>
        <v/>
      </c>
      <c r="M26" s="21">
        <f>F26+H26/100000+(1000-ROW())/100000000</f>
        <v/>
      </c>
    </row>
    <row r="27">
      <c r="A27" s="22" t="inlineStr">
        <is>
          <t>20261031_2015</t>
        </is>
      </c>
      <c r="B27" s="14" t="n">
        <v>46326</v>
      </c>
      <c r="C27" s="22">
        <f>CHOOSE(WEEKDAY(B27,2),"Lunedì","Martedì","Mercoledì","Giovedì","Venerdì","Sabato","Domenica")</f>
        <v/>
      </c>
      <c r="D27" s="15" t="n">
        <v>0.84375</v>
      </c>
      <c r="E27" s="26" t="n">
        <v>200</v>
      </c>
      <c r="F27" s="16">
        <f>SUMIF(Vendite!$A$2:$A$1000,A27,Vendite!$H$2:$H$1000)</f>
        <v/>
      </c>
      <c r="G27" s="16">
        <f>SUMIF(Vendite!$A$2:$A$1000,A27,Vendite!$I$2:$I$1000)</f>
        <v/>
      </c>
      <c r="H27" s="17">
        <f>SUMIF(Vendite!$A$2:$A$1000,A27,Vendite!$J$2:$J$1000)</f>
        <v/>
      </c>
      <c r="I27" s="17">
        <f>SUMIF(Vendite!$A$2:$A$1000,A27,Vendite!$L$2:$L$1000)</f>
        <v/>
      </c>
      <c r="J27" s="17">
        <f>SUMIF(Vendite!$A$2:$A$1000,A27,Vendite!$M$2:$M$1000)</f>
        <v/>
      </c>
      <c r="K27" s="24">
        <f>IF(E27&gt;0,F27/E27,0)</f>
        <v/>
      </c>
      <c r="L27" s="22">
        <f>IF(F27&gt;0,"Venduto","Zero vendite")</f>
        <v/>
      </c>
      <c r="M27" s="22">
        <f>F27+H27/100000+(1000-ROW())/100000000</f>
        <v/>
      </c>
    </row>
    <row r="28">
      <c r="A28" s="21" t="inlineStr">
        <is>
          <t>20261031_2115</t>
        </is>
      </c>
      <c r="B28" s="10" t="n">
        <v>46326</v>
      </c>
      <c r="C28" s="21">
        <f>CHOOSE(WEEKDAY(B28,2),"Lunedì","Martedì","Mercoledì","Giovedì","Venerdì","Sabato","Domenica")</f>
        <v/>
      </c>
      <c r="D28" s="11" t="n">
        <v>0.8854166666666666</v>
      </c>
      <c r="E28" s="25" t="n">
        <v>200</v>
      </c>
      <c r="F28" s="12">
        <f>SUMIF(Vendite!$A$2:$A$1000,A28,Vendite!$H$2:$H$1000)</f>
        <v/>
      </c>
      <c r="G28" s="12">
        <f>SUMIF(Vendite!$A$2:$A$1000,A28,Vendite!$I$2:$I$1000)</f>
        <v/>
      </c>
      <c r="H28" s="13">
        <f>SUMIF(Vendite!$A$2:$A$1000,A28,Vendite!$J$2:$J$1000)</f>
        <v/>
      </c>
      <c r="I28" s="13">
        <f>SUMIF(Vendite!$A$2:$A$1000,A28,Vendite!$L$2:$L$1000)</f>
        <v/>
      </c>
      <c r="J28" s="13">
        <f>SUMIF(Vendite!$A$2:$A$1000,A28,Vendite!$M$2:$M$1000)</f>
        <v/>
      </c>
      <c r="K28" s="23">
        <f>IF(E28&gt;0,F28/E28,0)</f>
        <v/>
      </c>
      <c r="L28" s="21">
        <f>IF(F28&gt;0,"Venduto","Zero vendite")</f>
        <v/>
      </c>
      <c r="M28" s="21">
        <f>F28+H28/100000+(1000-ROW())/100000000</f>
        <v/>
      </c>
    </row>
    <row r="29">
      <c r="A29" s="22" t="inlineStr">
        <is>
          <t>20261031_2215</t>
        </is>
      </c>
      <c r="B29" s="14" t="n">
        <v>46326</v>
      </c>
      <c r="C29" s="22">
        <f>CHOOSE(WEEKDAY(B29,2),"Lunedì","Martedì","Mercoledì","Giovedì","Venerdì","Sabato","Domenica")</f>
        <v/>
      </c>
      <c r="D29" s="15" t="n">
        <v>0.9270833333333334</v>
      </c>
      <c r="E29" s="26" t="n">
        <v>200</v>
      </c>
      <c r="F29" s="16">
        <f>SUMIF(Vendite!$A$2:$A$1000,A29,Vendite!$H$2:$H$1000)</f>
        <v/>
      </c>
      <c r="G29" s="16">
        <f>SUMIF(Vendite!$A$2:$A$1000,A29,Vendite!$I$2:$I$1000)</f>
        <v/>
      </c>
      <c r="H29" s="17">
        <f>SUMIF(Vendite!$A$2:$A$1000,A29,Vendite!$J$2:$J$1000)</f>
        <v/>
      </c>
      <c r="I29" s="17">
        <f>SUMIF(Vendite!$A$2:$A$1000,A29,Vendite!$L$2:$L$1000)</f>
        <v/>
      </c>
      <c r="J29" s="17">
        <f>SUMIF(Vendite!$A$2:$A$1000,A29,Vendite!$M$2:$M$1000)</f>
        <v/>
      </c>
      <c r="K29" s="24">
        <f>IF(E29&gt;0,F29/E29,0)</f>
        <v/>
      </c>
      <c r="L29" s="22">
        <f>IF(F29&gt;0,"Venduto","Zero vendite")</f>
        <v/>
      </c>
      <c r="M29" s="22">
        <f>F29+H29/100000+(1000-ROW())/100000000</f>
        <v/>
      </c>
    </row>
    <row r="30">
      <c r="A30" s="21" t="inlineStr">
        <is>
          <t>20261031_2315</t>
        </is>
      </c>
      <c r="B30" s="10" t="n">
        <v>46326</v>
      </c>
      <c r="C30" s="21">
        <f>CHOOSE(WEEKDAY(B30,2),"Lunedì","Martedì","Mercoledì","Giovedì","Venerdì","Sabato","Domenica")</f>
        <v/>
      </c>
      <c r="D30" s="11" t="n">
        <v>0.96875</v>
      </c>
      <c r="E30" s="25" t="n">
        <v>200</v>
      </c>
      <c r="F30" s="12">
        <f>SUMIF(Vendite!$A$2:$A$1000,A30,Vendite!$H$2:$H$1000)</f>
        <v/>
      </c>
      <c r="G30" s="12">
        <f>SUMIF(Vendite!$A$2:$A$1000,A30,Vendite!$I$2:$I$1000)</f>
        <v/>
      </c>
      <c r="H30" s="13">
        <f>SUMIF(Vendite!$A$2:$A$1000,A30,Vendite!$J$2:$J$1000)</f>
        <v/>
      </c>
      <c r="I30" s="13">
        <f>SUMIF(Vendite!$A$2:$A$1000,A30,Vendite!$L$2:$L$1000)</f>
        <v/>
      </c>
      <c r="J30" s="13">
        <f>SUMIF(Vendite!$A$2:$A$1000,A30,Vendite!$M$2:$M$1000)</f>
        <v/>
      </c>
      <c r="K30" s="23">
        <f>IF(E30&gt;0,F30/E30,0)</f>
        <v/>
      </c>
      <c r="L30" s="21">
        <f>IF(F30&gt;0,"Venduto","Zero vendite")</f>
        <v/>
      </c>
      <c r="M30" s="21">
        <f>F30+H30/100000+(1000-ROW())/100000000</f>
        <v/>
      </c>
    </row>
    <row r="31">
      <c r="A31" s="22" t="inlineStr">
        <is>
          <t>20261031_2359</t>
        </is>
      </c>
      <c r="B31" s="14" t="n">
        <v>46326</v>
      </c>
      <c r="C31" s="22">
        <f>CHOOSE(WEEKDAY(B31,2),"Lunedì","Martedì","Mercoledì","Giovedì","Venerdì","Sabato","Domenica")</f>
        <v/>
      </c>
      <c r="D31" s="15" t="n">
        <v>0.9993055555555556</v>
      </c>
      <c r="E31" s="26" t="n">
        <v>200</v>
      </c>
      <c r="F31" s="16">
        <f>SUMIF(Vendite!$A$2:$A$1000,A31,Vendite!$H$2:$H$1000)</f>
        <v/>
      </c>
      <c r="G31" s="16">
        <f>SUMIF(Vendite!$A$2:$A$1000,A31,Vendite!$I$2:$I$1000)</f>
        <v/>
      </c>
      <c r="H31" s="17">
        <f>SUMIF(Vendite!$A$2:$A$1000,A31,Vendite!$J$2:$J$1000)</f>
        <v/>
      </c>
      <c r="I31" s="17">
        <f>SUMIF(Vendite!$A$2:$A$1000,A31,Vendite!$L$2:$L$1000)</f>
        <v/>
      </c>
      <c r="J31" s="17">
        <f>SUMIF(Vendite!$A$2:$A$1000,A31,Vendite!$M$2:$M$1000)</f>
        <v/>
      </c>
      <c r="K31" s="24">
        <f>IF(E31&gt;0,F31/E31,0)</f>
        <v/>
      </c>
      <c r="L31" s="22">
        <f>IF(F31&gt;0,"Venduto","Zero vendite")</f>
        <v/>
      </c>
      <c r="M31" s="22">
        <f>F31+H31/100000+(1000-ROW())/100000000</f>
        <v/>
      </c>
    </row>
    <row r="32">
      <c r="A32" s="21" t="inlineStr">
        <is>
          <t>20261101_2015</t>
        </is>
      </c>
      <c r="B32" s="10" t="n">
        <v>46327</v>
      </c>
      <c r="C32" s="21">
        <f>CHOOSE(WEEKDAY(B32,2),"Lunedì","Martedì","Mercoledì","Giovedì","Venerdì","Sabato","Domenica")</f>
        <v/>
      </c>
      <c r="D32" s="11" t="n">
        <v>0.84375</v>
      </c>
      <c r="E32" s="25" t="n">
        <v>200</v>
      </c>
      <c r="F32" s="12">
        <f>SUMIF(Vendite!$A$2:$A$1000,A32,Vendite!$H$2:$H$1000)</f>
        <v/>
      </c>
      <c r="G32" s="12">
        <f>SUMIF(Vendite!$A$2:$A$1000,A32,Vendite!$I$2:$I$1000)</f>
        <v/>
      </c>
      <c r="H32" s="13">
        <f>SUMIF(Vendite!$A$2:$A$1000,A32,Vendite!$J$2:$J$1000)</f>
        <v/>
      </c>
      <c r="I32" s="13">
        <f>SUMIF(Vendite!$A$2:$A$1000,A32,Vendite!$L$2:$L$1000)</f>
        <v/>
      </c>
      <c r="J32" s="13">
        <f>SUMIF(Vendite!$A$2:$A$1000,A32,Vendite!$M$2:$M$1000)</f>
        <v/>
      </c>
      <c r="K32" s="23">
        <f>IF(E32&gt;0,F32/E32,0)</f>
        <v/>
      </c>
      <c r="L32" s="21">
        <f>IF(F32&gt;0,"Venduto","Zero vendite")</f>
        <v/>
      </c>
      <c r="M32" s="21">
        <f>F32+H32/100000+(1000-ROW())/100000000</f>
        <v/>
      </c>
    </row>
    <row r="33">
      <c r="A33" s="22" t="inlineStr">
        <is>
          <t>20261101_2115</t>
        </is>
      </c>
      <c r="B33" s="14" t="n">
        <v>46327</v>
      </c>
      <c r="C33" s="22">
        <f>CHOOSE(WEEKDAY(B33,2),"Lunedì","Martedì","Mercoledì","Giovedì","Venerdì","Sabato","Domenica")</f>
        <v/>
      </c>
      <c r="D33" s="15" t="n">
        <v>0.8854166666666666</v>
      </c>
      <c r="E33" s="26" t="n">
        <v>200</v>
      </c>
      <c r="F33" s="16">
        <f>SUMIF(Vendite!$A$2:$A$1000,A33,Vendite!$H$2:$H$1000)</f>
        <v/>
      </c>
      <c r="G33" s="16">
        <f>SUMIF(Vendite!$A$2:$A$1000,A33,Vendite!$I$2:$I$1000)</f>
        <v/>
      </c>
      <c r="H33" s="17">
        <f>SUMIF(Vendite!$A$2:$A$1000,A33,Vendite!$J$2:$J$1000)</f>
        <v/>
      </c>
      <c r="I33" s="17">
        <f>SUMIF(Vendite!$A$2:$A$1000,A33,Vendite!$L$2:$L$1000)</f>
        <v/>
      </c>
      <c r="J33" s="17">
        <f>SUMIF(Vendite!$A$2:$A$1000,A33,Vendite!$M$2:$M$1000)</f>
        <v/>
      </c>
      <c r="K33" s="24">
        <f>IF(E33&gt;0,F33/E33,0)</f>
        <v/>
      </c>
      <c r="L33" s="22">
        <f>IF(F33&gt;0,"Venduto","Zero vendite")</f>
        <v/>
      </c>
      <c r="M33" s="22">
        <f>F33+H33/100000+(1000-ROW())/100000000</f>
        <v/>
      </c>
    </row>
    <row r="34">
      <c r="A34" s="21" t="inlineStr">
        <is>
          <t>20261101_2215</t>
        </is>
      </c>
      <c r="B34" s="10" t="n">
        <v>46327</v>
      </c>
      <c r="C34" s="21">
        <f>CHOOSE(WEEKDAY(B34,2),"Lunedì","Martedì","Mercoledì","Giovedì","Venerdì","Sabato","Domenica")</f>
        <v/>
      </c>
      <c r="D34" s="11" t="n">
        <v>0.9270833333333334</v>
      </c>
      <c r="E34" s="25" t="n">
        <v>200</v>
      </c>
      <c r="F34" s="12">
        <f>SUMIF(Vendite!$A$2:$A$1000,A34,Vendite!$H$2:$H$1000)</f>
        <v/>
      </c>
      <c r="G34" s="12">
        <f>SUMIF(Vendite!$A$2:$A$1000,A34,Vendite!$I$2:$I$1000)</f>
        <v/>
      </c>
      <c r="H34" s="13">
        <f>SUMIF(Vendite!$A$2:$A$1000,A34,Vendite!$J$2:$J$1000)</f>
        <v/>
      </c>
      <c r="I34" s="13">
        <f>SUMIF(Vendite!$A$2:$A$1000,A34,Vendite!$L$2:$L$1000)</f>
        <v/>
      </c>
      <c r="J34" s="13">
        <f>SUMIF(Vendite!$A$2:$A$1000,A34,Vendite!$M$2:$M$1000)</f>
        <v/>
      </c>
      <c r="K34" s="23">
        <f>IF(E34&gt;0,F34/E34,0)</f>
        <v/>
      </c>
      <c r="L34" s="21">
        <f>IF(F34&gt;0,"Venduto","Zero vendite")</f>
        <v/>
      </c>
      <c r="M34" s="21">
        <f>F34+H34/100000+(1000-ROW())/100000000</f>
        <v/>
      </c>
    </row>
    <row r="35">
      <c r="A35" s="22" t="inlineStr">
        <is>
          <t>20261101_2315</t>
        </is>
      </c>
      <c r="B35" s="14" t="n">
        <v>46327</v>
      </c>
      <c r="C35" s="22">
        <f>CHOOSE(WEEKDAY(B35,2),"Lunedì","Martedì","Mercoledì","Giovedì","Venerdì","Sabato","Domenica")</f>
        <v/>
      </c>
      <c r="D35" s="15" t="n">
        <v>0.96875</v>
      </c>
      <c r="E35" s="26" t="n">
        <v>200</v>
      </c>
      <c r="F35" s="16">
        <f>SUMIF(Vendite!$A$2:$A$1000,A35,Vendite!$H$2:$H$1000)</f>
        <v/>
      </c>
      <c r="G35" s="16">
        <f>SUMIF(Vendite!$A$2:$A$1000,A35,Vendite!$I$2:$I$1000)</f>
        <v/>
      </c>
      <c r="H35" s="17">
        <f>SUMIF(Vendite!$A$2:$A$1000,A35,Vendite!$J$2:$J$1000)</f>
        <v/>
      </c>
      <c r="I35" s="17">
        <f>SUMIF(Vendite!$A$2:$A$1000,A35,Vendite!$L$2:$L$1000)</f>
        <v/>
      </c>
      <c r="J35" s="17">
        <f>SUMIF(Vendite!$A$2:$A$1000,A35,Vendite!$M$2:$M$1000)</f>
        <v/>
      </c>
      <c r="K35" s="24">
        <f>IF(E35&gt;0,F35/E35,0)</f>
        <v/>
      </c>
      <c r="L35" s="22">
        <f>IF(F35&gt;0,"Venduto","Zero vendite")</f>
        <v/>
      </c>
      <c r="M35" s="22">
        <f>F35+H35/100000+(1000-ROW())/100000000</f>
        <v/>
      </c>
    </row>
    <row r="36">
      <c r="A36" s="21" t="inlineStr">
        <is>
          <t>20261101_2359</t>
        </is>
      </c>
      <c r="B36" s="10" t="n">
        <v>46327</v>
      </c>
      <c r="C36" s="21">
        <f>CHOOSE(WEEKDAY(B36,2),"Lunedì","Martedì","Mercoledì","Giovedì","Venerdì","Sabato","Domenica")</f>
        <v/>
      </c>
      <c r="D36" s="11" t="n">
        <v>0.9993055555555556</v>
      </c>
      <c r="E36" s="25" t="n">
        <v>200</v>
      </c>
      <c r="F36" s="12">
        <f>SUMIF(Vendite!$A$2:$A$1000,A36,Vendite!$H$2:$H$1000)</f>
        <v/>
      </c>
      <c r="G36" s="12">
        <f>SUMIF(Vendite!$A$2:$A$1000,A36,Vendite!$I$2:$I$1000)</f>
        <v/>
      </c>
      <c r="H36" s="13">
        <f>SUMIF(Vendite!$A$2:$A$1000,A36,Vendite!$J$2:$J$1000)</f>
        <v/>
      </c>
      <c r="I36" s="13">
        <f>SUMIF(Vendite!$A$2:$A$1000,A36,Vendite!$L$2:$L$1000)</f>
        <v/>
      </c>
      <c r="J36" s="13">
        <f>SUMIF(Vendite!$A$2:$A$1000,A36,Vendite!$M$2:$M$1000)</f>
        <v/>
      </c>
      <c r="K36" s="23">
        <f>IF(E36&gt;0,F36/E36,0)</f>
        <v/>
      </c>
      <c r="L36" s="21">
        <f>IF(F36&gt;0,"Venduto","Zero vendite")</f>
        <v/>
      </c>
      <c r="M36" s="21">
        <f>F36+H36/100000+(1000-ROW())/100000000</f>
        <v/>
      </c>
    </row>
  </sheetData>
  <autoFilter ref="A1:M36"/>
  <conditionalFormatting sqref="L2:L36">
    <cfRule type="expression" priority="1" dxfId="0">
      <formula>L2="Venduto"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0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</cols>
  <sheetData>
    <row r="1" ht="30" customHeight="1">
      <c r="A1" s="20" t="inlineStr">
        <is>
          <t>ID spettacolo</t>
        </is>
      </c>
      <c r="B1" s="20" t="inlineStr">
        <is>
          <t>Data</t>
        </is>
      </c>
      <c r="C1" s="20" t="inlineStr">
        <is>
          <t>Ora</t>
        </is>
      </c>
      <c r="D1" s="20" t="inlineStr">
        <is>
          <t>Settore</t>
        </is>
      </c>
      <c r="E1" s="20" t="inlineStr">
        <is>
          <t>Codice titolo</t>
        </is>
      </c>
      <c r="F1" s="20" t="inlineStr">
        <is>
          <t>Descrizione tariffa</t>
        </is>
      </c>
      <c r="G1" s="20" t="inlineStr">
        <is>
          <t>Prezzo unitario</t>
        </is>
      </c>
      <c r="H1" s="20" t="inlineStr">
        <is>
          <t>N° emessi</t>
        </is>
      </c>
      <c r="I1" s="20" t="inlineStr">
        <is>
          <t>N° annullati</t>
        </is>
      </c>
      <c r="J1" s="20" t="inlineStr">
        <is>
          <t>Incasso lordo</t>
        </is>
      </c>
      <c r="K1" s="20" t="inlineStr">
        <is>
          <t>Prevendita</t>
        </is>
      </c>
      <c r="L1" s="20" t="inlineStr">
        <is>
          <t>Imponibile IVA</t>
        </is>
      </c>
      <c r="M1" s="20" t="inlineStr">
        <is>
          <t>IVA</t>
        </is>
      </c>
      <c r="N1" s="20" t="inlineStr">
        <is>
          <t>Mese C1 di origine</t>
        </is>
      </c>
    </row>
    <row r="2">
      <c r="A2" s="21" t="inlineStr">
        <is>
          <t>20261023_2015</t>
        </is>
      </c>
      <c r="B2" s="10" t="n">
        <v>46318</v>
      </c>
      <c r="C2" s="11" t="n">
        <v>0.84375</v>
      </c>
      <c r="D2" s="21" t="inlineStr">
        <is>
          <t>UN Unico</t>
        </is>
      </c>
      <c r="E2" s="21" t="inlineStr">
        <is>
          <t>I8</t>
        </is>
      </c>
      <c r="F2" s="21">
        <f>IFERROR(INDEX(Tariffe!$B$2:$B$200,MATCH(E2,Tariffe!$A$2:$A$200,0)),"DA DEFINIRE")</f>
        <v/>
      </c>
      <c r="G2" s="13" t="n">
        <v>24</v>
      </c>
      <c r="H2" s="12" t="n">
        <v>1</v>
      </c>
      <c r="I2" s="12" t="n">
        <v>0</v>
      </c>
      <c r="J2" s="13" t="n">
        <v>24</v>
      </c>
      <c r="K2" s="13" t="n">
        <v>0</v>
      </c>
      <c r="L2" s="13" t="n">
        <v>21.82</v>
      </c>
      <c r="M2" s="13" t="n">
        <v>2.18</v>
      </c>
      <c r="N2" s="21" t="inlineStr">
        <is>
          <t>10/2026</t>
        </is>
      </c>
    </row>
    <row r="3">
      <c r="A3" s="22" t="inlineStr">
        <is>
          <t>20261023_2115</t>
        </is>
      </c>
      <c r="B3" s="14" t="n">
        <v>46318</v>
      </c>
      <c r="C3" s="15" t="n">
        <v>0.8854166666666666</v>
      </c>
      <c r="D3" s="22" t="inlineStr">
        <is>
          <t>UN Unico</t>
        </is>
      </c>
      <c r="E3" s="22" t="inlineStr">
        <is>
          <t>I1</t>
        </is>
      </c>
      <c r="F3" s="22">
        <f>IFERROR(INDEX(Tariffe!$B$2:$B$200,MATCH(E3,Tariffe!$A$2:$A$200,0)),"DA DEFINIRE")</f>
        <v/>
      </c>
      <c r="G3" s="17" t="n">
        <v>48</v>
      </c>
      <c r="H3" s="16" t="n">
        <v>1</v>
      </c>
      <c r="I3" s="16" t="n">
        <v>0</v>
      </c>
      <c r="J3" s="17" t="n">
        <v>48</v>
      </c>
      <c r="K3" s="17" t="n">
        <v>0</v>
      </c>
      <c r="L3" s="17" t="n">
        <v>43.64</v>
      </c>
      <c r="M3" s="17" t="n">
        <v>4.36</v>
      </c>
      <c r="N3" s="22" t="inlineStr">
        <is>
          <t>10/2026</t>
        </is>
      </c>
    </row>
    <row r="4">
      <c r="A4" s="21" t="inlineStr">
        <is>
          <t>20261023_2215</t>
        </is>
      </c>
      <c r="B4" s="10" t="n">
        <v>46318</v>
      </c>
      <c r="C4" s="11" t="n">
        <v>0.9270833333333334</v>
      </c>
      <c r="D4" s="21" t="inlineStr">
        <is>
          <t>UN Unico</t>
        </is>
      </c>
      <c r="E4" s="21" t="inlineStr">
        <is>
          <t>I8</t>
        </is>
      </c>
      <c r="F4" s="21">
        <f>IFERROR(INDEX(Tariffe!$B$2:$B$200,MATCH(E4,Tariffe!$A$2:$A$200,0)),"DA DEFINIRE")</f>
        <v/>
      </c>
      <c r="G4" s="13" t="n">
        <v>24</v>
      </c>
      <c r="H4" s="12" t="n">
        <v>1</v>
      </c>
      <c r="I4" s="12" t="n">
        <v>0</v>
      </c>
      <c r="J4" s="13" t="n">
        <v>24</v>
      </c>
      <c r="K4" s="13" t="n">
        <v>0</v>
      </c>
      <c r="L4" s="13" t="n">
        <v>21.82</v>
      </c>
      <c r="M4" s="13" t="n">
        <v>2.18</v>
      </c>
      <c r="N4" s="21" t="inlineStr">
        <is>
          <t>10/2026</t>
        </is>
      </c>
    </row>
    <row r="5">
      <c r="A5" s="22" t="inlineStr">
        <is>
          <t>20261023_2315</t>
        </is>
      </c>
      <c r="B5" s="14" t="n">
        <v>46318</v>
      </c>
      <c r="C5" s="15" t="n">
        <v>0.96875</v>
      </c>
      <c r="D5" s="22" t="inlineStr">
        <is>
          <t>UN Unico</t>
        </is>
      </c>
      <c r="E5" s="22" t="inlineStr">
        <is>
          <t>I8</t>
        </is>
      </c>
      <c r="F5" s="22">
        <f>IFERROR(INDEX(Tariffe!$B$2:$B$200,MATCH(E5,Tariffe!$A$2:$A$200,0)),"DA DEFINIRE")</f>
        <v/>
      </c>
      <c r="G5" s="17" t="n">
        <v>24</v>
      </c>
      <c r="H5" s="16" t="n">
        <v>2</v>
      </c>
      <c r="I5" s="16" t="n">
        <v>0</v>
      </c>
      <c r="J5" s="17" t="n">
        <v>48</v>
      </c>
      <c r="K5" s="17" t="n">
        <v>0</v>
      </c>
      <c r="L5" s="17" t="n">
        <v>43.64</v>
      </c>
      <c r="M5" s="17" t="n">
        <v>4.36</v>
      </c>
      <c r="N5" s="22" t="inlineStr">
        <is>
          <t>10/2026</t>
        </is>
      </c>
    </row>
    <row r="6">
      <c r="A6" s="21" t="inlineStr">
        <is>
          <t>20261025_2115</t>
        </is>
      </c>
      <c r="B6" s="10" t="n">
        <v>46320</v>
      </c>
      <c r="C6" s="11" t="n">
        <v>0.8854166666666666</v>
      </c>
      <c r="D6" s="21" t="inlineStr">
        <is>
          <t>UN Unico</t>
        </is>
      </c>
      <c r="E6" s="21" t="inlineStr">
        <is>
          <t>I8</t>
        </is>
      </c>
      <c r="F6" s="21">
        <f>IFERROR(INDEX(Tariffe!$B$2:$B$200,MATCH(E6,Tariffe!$A$2:$A$200,0)),"DA DEFINIRE")</f>
        <v/>
      </c>
      <c r="G6" s="13" t="n">
        <v>24</v>
      </c>
      <c r="H6" s="12" t="n">
        <v>1</v>
      </c>
      <c r="I6" s="12" t="n">
        <v>0</v>
      </c>
      <c r="J6" s="13" t="n">
        <v>24</v>
      </c>
      <c r="K6" s="13" t="n">
        <v>0</v>
      </c>
      <c r="L6" s="13" t="n">
        <v>21.82</v>
      </c>
      <c r="M6" s="13" t="n">
        <v>2.18</v>
      </c>
      <c r="N6" s="21" t="inlineStr">
        <is>
          <t>10/2026</t>
        </is>
      </c>
    </row>
    <row r="7">
      <c r="A7" s="22" t="inlineStr">
        <is>
          <t>20261025_2215</t>
        </is>
      </c>
      <c r="B7" s="14" t="n">
        <v>46320</v>
      </c>
      <c r="C7" s="15" t="n">
        <v>0.9270833333333334</v>
      </c>
      <c r="D7" s="22" t="inlineStr">
        <is>
          <t>UN Unico</t>
        </is>
      </c>
      <c r="E7" s="22" t="inlineStr">
        <is>
          <t>I8</t>
        </is>
      </c>
      <c r="F7" s="22">
        <f>IFERROR(INDEX(Tariffe!$B$2:$B$200,MATCH(E7,Tariffe!$A$2:$A$200,0)),"DA DEFINIRE")</f>
        <v/>
      </c>
      <c r="G7" s="17" t="n">
        <v>24</v>
      </c>
      <c r="H7" s="16" t="n">
        <v>1</v>
      </c>
      <c r="I7" s="16" t="n">
        <v>0</v>
      </c>
      <c r="J7" s="17" t="n">
        <v>24</v>
      </c>
      <c r="K7" s="17" t="n">
        <v>0</v>
      </c>
      <c r="L7" s="17" t="n">
        <v>21.82</v>
      </c>
      <c r="M7" s="17" t="n">
        <v>2.18</v>
      </c>
      <c r="N7" s="22" t="inlineStr">
        <is>
          <t>10/2026</t>
        </is>
      </c>
    </row>
    <row r="8">
      <c r="A8" s="21" t="inlineStr">
        <is>
          <t>20261029_2215</t>
        </is>
      </c>
      <c r="B8" s="10" t="n">
        <v>46324</v>
      </c>
      <c r="C8" s="11" t="n">
        <v>0.9270833333333334</v>
      </c>
      <c r="D8" s="21" t="inlineStr">
        <is>
          <t>UN Unico</t>
        </is>
      </c>
      <c r="E8" s="21" t="inlineStr">
        <is>
          <t>I1</t>
        </is>
      </c>
      <c r="F8" s="21">
        <f>IFERROR(INDEX(Tariffe!$B$2:$B$200,MATCH(E8,Tariffe!$A$2:$A$200,0)),"DA DEFINIRE")</f>
        <v/>
      </c>
      <c r="G8" s="13" t="n">
        <v>48</v>
      </c>
      <c r="H8" s="12" t="n">
        <v>1</v>
      </c>
      <c r="I8" s="12" t="n">
        <v>0</v>
      </c>
      <c r="J8" s="13" t="n">
        <v>48</v>
      </c>
      <c r="K8" s="13" t="n">
        <v>0</v>
      </c>
      <c r="L8" s="13" t="n">
        <v>43.64</v>
      </c>
      <c r="M8" s="13" t="n">
        <v>4.36</v>
      </c>
      <c r="N8" s="21" t="inlineStr">
        <is>
          <t>10/2026</t>
        </is>
      </c>
    </row>
    <row r="9">
      <c r="A9" s="22" t="inlineStr">
        <is>
          <t>20261029_2359</t>
        </is>
      </c>
      <c r="B9" s="14" t="n">
        <v>46324</v>
      </c>
      <c r="C9" s="15" t="n">
        <v>0.9993055555555556</v>
      </c>
      <c r="D9" s="22" t="inlineStr">
        <is>
          <t>UN Unico</t>
        </is>
      </c>
      <c r="E9" s="22" t="inlineStr">
        <is>
          <t>I8</t>
        </is>
      </c>
      <c r="F9" s="22">
        <f>IFERROR(INDEX(Tariffe!$B$2:$B$200,MATCH(E9,Tariffe!$A$2:$A$200,0)),"DA DEFINIRE")</f>
        <v/>
      </c>
      <c r="G9" s="17" t="n">
        <v>24</v>
      </c>
      <c r="H9" s="16" t="n">
        <v>1</v>
      </c>
      <c r="I9" s="16" t="n">
        <v>0</v>
      </c>
      <c r="J9" s="17" t="n">
        <v>24</v>
      </c>
      <c r="K9" s="17" t="n">
        <v>0</v>
      </c>
      <c r="L9" s="17" t="n">
        <v>21.82</v>
      </c>
      <c r="M9" s="17" t="n">
        <v>2.18</v>
      </c>
      <c r="N9" s="22" t="inlineStr">
        <is>
          <t>10/2026</t>
        </is>
      </c>
    </row>
    <row r="10">
      <c r="A10" s="21" t="inlineStr">
        <is>
          <t>20261030_2315</t>
        </is>
      </c>
      <c r="B10" s="10" t="n">
        <v>46325</v>
      </c>
      <c r="C10" s="11" t="n">
        <v>0.96875</v>
      </c>
      <c r="D10" s="21" t="inlineStr">
        <is>
          <t>UN Unico</t>
        </is>
      </c>
      <c r="E10" s="21" t="inlineStr">
        <is>
          <t>I1</t>
        </is>
      </c>
      <c r="F10" s="21">
        <f>IFERROR(INDEX(Tariffe!$B$2:$B$200,MATCH(E10,Tariffe!$A$2:$A$200,0)),"DA DEFINIRE")</f>
        <v/>
      </c>
      <c r="G10" s="13" t="n">
        <v>48</v>
      </c>
      <c r="H10" s="12" t="n">
        <v>2</v>
      </c>
      <c r="I10" s="12" t="n">
        <v>0</v>
      </c>
      <c r="J10" s="13" t="n">
        <v>96</v>
      </c>
      <c r="K10" s="13" t="n">
        <v>0</v>
      </c>
      <c r="L10" s="13" t="n">
        <v>87.28</v>
      </c>
      <c r="M10" s="13" t="n">
        <v>8.720000000000001</v>
      </c>
      <c r="N10" s="21" t="inlineStr">
        <is>
          <t>10/2026</t>
        </is>
      </c>
    </row>
  </sheetData>
  <autoFilter ref="A1:N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3" customWidth="1" min="3" max="3"/>
    <col width="14" customWidth="1" min="4" max="4"/>
    <col width="18" customWidth="1" min="5" max="5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N° biglietti</t>
        </is>
      </c>
      <c r="D1" s="20" t="inlineStr">
        <is>
          <t>Incasso</t>
        </is>
      </c>
      <c r="E1" s="20" t="inlineStr">
        <is>
          <t>% sull'incasso totale</t>
        </is>
      </c>
    </row>
    <row r="2">
      <c r="A2" s="21">
        <f>Tariffe!A2</f>
        <v/>
      </c>
      <c r="B2" s="21">
        <f>Tariffe!B2</f>
        <v/>
      </c>
      <c r="C2" s="12">
        <f>SUMIF(Vendite!$E$2:$E$1000,A2,Vendite!$H$2:$H$1000)</f>
        <v/>
      </c>
      <c r="D2" s="13">
        <f>SUMIF(Vendite!$E$2:$E$1000,A2,Vendite!$J$2:$J$1000)</f>
        <v/>
      </c>
      <c r="E2" s="23">
        <f>IF(SUM($D$2:$D$3)&gt;0,D2/SUM($D$2:$D$3),0)</f>
        <v/>
      </c>
    </row>
    <row r="3">
      <c r="A3" s="22">
        <f>Tariffe!A3</f>
        <v/>
      </c>
      <c r="B3" s="22">
        <f>Tariffe!B3</f>
        <v/>
      </c>
      <c r="C3" s="16">
        <f>SUMIF(Vendite!$E$2:$E$1000,A3,Vendite!$H$2:$H$1000)</f>
        <v/>
      </c>
      <c r="D3" s="17">
        <f>SUMIF(Vendite!$E$2:$E$1000,A3,Vendite!$J$2:$J$1000)</f>
        <v/>
      </c>
      <c r="E3" s="24">
        <f>IF(SUM($D$2:$D$3)&gt;0,D3/SUM($D$2:$D$3),0)</f>
        <v/>
      </c>
    </row>
    <row r="4">
      <c r="A4" s="27" t="inlineStr">
        <is>
          <t>Totale</t>
        </is>
      </c>
      <c r="B4" s="27" t="n"/>
      <c r="C4" s="28">
        <f>SUM(C2:C3)</f>
        <v/>
      </c>
      <c r="D4" s="29">
        <f>SUM(D2:D3)</f>
        <v/>
      </c>
      <c r="E4" s="30">
        <f>SUM(E2:E3)</f>
        <v/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 ht="30" customHeight="1">
      <c r="A1" s="20" t="inlineStr">
        <is>
          <t>Data</t>
        </is>
      </c>
      <c r="B1" s="20" t="inlineStr">
        <is>
          <t>Giorno</t>
        </is>
      </c>
      <c r="C1" s="20" t="inlineStr">
        <is>
          <t>Biglietti totali</t>
        </is>
      </c>
      <c r="D1" s="20" t="inlineStr">
        <is>
          <t>Incasso totale</t>
        </is>
      </c>
      <c r="E1" s="20" t="inlineStr">
        <is>
          <t>20:15</t>
        </is>
      </c>
      <c r="F1" s="20" t="inlineStr">
        <is>
          <t>21:15</t>
        </is>
      </c>
      <c r="G1" s="20" t="inlineStr">
        <is>
          <t>22:15</t>
        </is>
      </c>
      <c r="H1" s="20" t="inlineStr">
        <is>
          <t>23:15</t>
        </is>
      </c>
      <c r="I1" s="20" t="inlineStr">
        <is>
          <t>23:59</t>
        </is>
      </c>
      <c r="J1" t="inlineStr">
        <is>
          <t>Etichetta grafico</t>
        </is>
      </c>
    </row>
    <row r="2">
      <c r="A2" s="10" t="n">
        <v>46318</v>
      </c>
      <c r="B2" s="21">
        <f>CHOOSE(WEEKDAY(A2,2),"Lunedì","Martedì","Mercoledì","Giovedì","Venerdì","Sabato","Domenica")</f>
        <v/>
      </c>
      <c r="C2" s="12">
        <f>SUM(E2:I2)</f>
        <v/>
      </c>
      <c r="D2" s="13">
        <f>SUMIF(Vendite!$B$2:$B$1000,A2,Vendite!$J$2:$J$1000)</f>
        <v/>
      </c>
      <c r="E2" s="12">
        <f>SUMIFS(Vendite!$H$2:$H$1000,Vendite!$B$2:$B$1000,A2,Vendite!$C$2:$C$1000,"&gt;="&amp;TIMEVALUE("20:00"),Vendite!$C$2:$C$1000,"&lt;"&amp;TIMEVALUE("21:00"))</f>
        <v/>
      </c>
      <c r="F2" s="12">
        <f>SUMIFS(Vendite!$H$2:$H$1000,Vendite!$B$2:$B$1000,A2,Vendite!$C$2:$C$1000,"&gt;="&amp;TIMEVALUE("21:00"),Vendite!$C$2:$C$1000,"&lt;"&amp;TIMEVALUE("22:00"))</f>
        <v/>
      </c>
      <c r="G2" s="12">
        <f>SUMIFS(Vendite!$H$2:$H$1000,Vendite!$B$2:$B$1000,A2,Vendite!$C$2:$C$1000,"&gt;="&amp;TIMEVALUE("22:00"),Vendite!$C$2:$C$1000,"&lt;"&amp;TIMEVALUE("23:00"))</f>
        <v/>
      </c>
      <c r="H2" s="12">
        <f>SUMIFS(Vendite!$H$2:$H$1000,Vendite!$B$2:$B$1000,A2,Vendite!$C$2:$C$1000,"&gt;="&amp;TIMEVALUE("23:00"),Vendite!$C$2:$C$1000,"&lt;"&amp;TIMEVALUE("23:30"))</f>
        <v/>
      </c>
      <c r="I2" s="12">
        <f>SUMIFS(Vendite!$H$2:$H$1000,Vendite!$B$2:$B$1000,A2,Vendite!$C$2:$C$1000,"&gt;="&amp;TIMEVALUE("23:30"))</f>
        <v/>
      </c>
      <c r="J2">
        <f>TEXT(A2,"DD/MM")</f>
        <v/>
      </c>
    </row>
    <row r="3">
      <c r="A3" s="14" t="n">
        <v>46319</v>
      </c>
      <c r="B3" s="22">
        <f>CHOOSE(WEEKDAY(A3,2),"Lunedì","Martedì","Mercoledì","Giovedì","Venerdì","Sabato","Domenica")</f>
        <v/>
      </c>
      <c r="C3" s="16">
        <f>SUM(E3:I3)</f>
        <v/>
      </c>
      <c r="D3" s="17">
        <f>SUMIF(Vendite!$B$2:$B$1000,A3,Vendite!$J$2:$J$1000)</f>
        <v/>
      </c>
      <c r="E3" s="16">
        <f>SUMIFS(Vendite!$H$2:$H$1000,Vendite!$B$2:$B$1000,A3,Vendite!$C$2:$C$1000,"&gt;="&amp;TIMEVALUE("20:00"),Vendite!$C$2:$C$1000,"&lt;"&amp;TIMEVALUE("21:00"))</f>
        <v/>
      </c>
      <c r="F3" s="16">
        <f>SUMIFS(Vendite!$H$2:$H$1000,Vendite!$B$2:$B$1000,A3,Vendite!$C$2:$C$1000,"&gt;="&amp;TIMEVALUE("21:00"),Vendite!$C$2:$C$1000,"&lt;"&amp;TIMEVALUE("22:00"))</f>
        <v/>
      </c>
      <c r="G3" s="16">
        <f>SUMIFS(Vendite!$H$2:$H$1000,Vendite!$B$2:$B$1000,A3,Vendite!$C$2:$C$1000,"&gt;="&amp;TIMEVALUE("22:00"),Vendite!$C$2:$C$1000,"&lt;"&amp;TIMEVALUE("23:00"))</f>
        <v/>
      </c>
      <c r="H3" s="16">
        <f>SUMIFS(Vendite!$H$2:$H$1000,Vendite!$B$2:$B$1000,A3,Vendite!$C$2:$C$1000,"&gt;="&amp;TIMEVALUE("23:00"),Vendite!$C$2:$C$1000,"&lt;"&amp;TIMEVALUE("23:30"))</f>
        <v/>
      </c>
      <c r="I3" s="16">
        <f>SUMIFS(Vendite!$H$2:$H$1000,Vendite!$B$2:$B$1000,A3,Vendite!$C$2:$C$1000,"&gt;="&amp;TIMEVALUE("23:30"))</f>
        <v/>
      </c>
      <c r="J3">
        <f>TEXT(A3,"DD/MM")</f>
        <v/>
      </c>
    </row>
    <row r="4">
      <c r="A4" s="10" t="n">
        <v>46320</v>
      </c>
      <c r="B4" s="21">
        <f>CHOOSE(WEEKDAY(A4,2),"Lunedì","Martedì","Mercoledì","Giovedì","Venerdì","Sabato","Domenica")</f>
        <v/>
      </c>
      <c r="C4" s="12">
        <f>SUM(E4:I4)</f>
        <v/>
      </c>
      <c r="D4" s="13">
        <f>SUMIF(Vendite!$B$2:$B$1000,A4,Vendite!$J$2:$J$1000)</f>
        <v/>
      </c>
      <c r="E4" s="12">
        <f>SUMIFS(Vendite!$H$2:$H$1000,Vendite!$B$2:$B$1000,A4,Vendite!$C$2:$C$1000,"&gt;="&amp;TIMEVALUE("20:00"),Vendite!$C$2:$C$1000,"&lt;"&amp;TIMEVALUE("21:00"))</f>
        <v/>
      </c>
      <c r="F4" s="12">
        <f>SUMIFS(Vendite!$H$2:$H$1000,Vendite!$B$2:$B$1000,A4,Vendite!$C$2:$C$1000,"&gt;="&amp;TIMEVALUE("21:00"),Vendite!$C$2:$C$1000,"&lt;"&amp;TIMEVALUE("22:00"))</f>
        <v/>
      </c>
      <c r="G4" s="12">
        <f>SUMIFS(Vendite!$H$2:$H$1000,Vendite!$B$2:$B$1000,A4,Vendite!$C$2:$C$1000,"&gt;="&amp;TIMEVALUE("22:00"),Vendite!$C$2:$C$1000,"&lt;"&amp;TIMEVALUE("23:00"))</f>
        <v/>
      </c>
      <c r="H4" s="12">
        <f>SUMIFS(Vendite!$H$2:$H$1000,Vendite!$B$2:$B$1000,A4,Vendite!$C$2:$C$1000,"&gt;="&amp;TIMEVALUE("23:00"),Vendite!$C$2:$C$1000,"&lt;"&amp;TIMEVALUE("23:30"))</f>
        <v/>
      </c>
      <c r="I4" s="12">
        <f>SUMIFS(Vendite!$H$2:$H$1000,Vendite!$B$2:$B$1000,A4,Vendite!$C$2:$C$1000,"&gt;="&amp;TIMEVALUE("23:30"))</f>
        <v/>
      </c>
      <c r="J4">
        <f>TEXT(A4,"DD/MM")</f>
        <v/>
      </c>
    </row>
    <row r="5">
      <c r="A5" s="14" t="n">
        <v>46324</v>
      </c>
      <c r="B5" s="22">
        <f>CHOOSE(WEEKDAY(A5,2),"Lunedì","Martedì","Mercoledì","Giovedì","Venerdì","Sabato","Domenica")</f>
        <v/>
      </c>
      <c r="C5" s="16">
        <f>SUM(E5:I5)</f>
        <v/>
      </c>
      <c r="D5" s="17">
        <f>SUMIF(Vendite!$B$2:$B$1000,A5,Vendite!$J$2:$J$1000)</f>
        <v/>
      </c>
      <c r="E5" s="16">
        <f>SUMIFS(Vendite!$H$2:$H$1000,Vendite!$B$2:$B$1000,A5,Vendite!$C$2:$C$1000,"&gt;="&amp;TIMEVALUE("20:00"),Vendite!$C$2:$C$1000,"&lt;"&amp;TIMEVALUE("21:00"))</f>
        <v/>
      </c>
      <c r="F5" s="16">
        <f>SUMIFS(Vendite!$H$2:$H$1000,Vendite!$B$2:$B$1000,A5,Vendite!$C$2:$C$1000,"&gt;="&amp;TIMEVALUE("21:00"),Vendite!$C$2:$C$1000,"&lt;"&amp;TIMEVALUE("22:00"))</f>
        <v/>
      </c>
      <c r="G5" s="16">
        <f>SUMIFS(Vendite!$H$2:$H$1000,Vendite!$B$2:$B$1000,A5,Vendite!$C$2:$C$1000,"&gt;="&amp;TIMEVALUE("22:00"),Vendite!$C$2:$C$1000,"&lt;"&amp;TIMEVALUE("23:00"))</f>
        <v/>
      </c>
      <c r="H5" s="16">
        <f>SUMIFS(Vendite!$H$2:$H$1000,Vendite!$B$2:$B$1000,A5,Vendite!$C$2:$C$1000,"&gt;="&amp;TIMEVALUE("23:00"),Vendite!$C$2:$C$1000,"&lt;"&amp;TIMEVALUE("23:30"))</f>
        <v/>
      </c>
      <c r="I5" s="16">
        <f>SUMIFS(Vendite!$H$2:$H$1000,Vendite!$B$2:$B$1000,A5,Vendite!$C$2:$C$1000,"&gt;="&amp;TIMEVALUE("23:30"))</f>
        <v/>
      </c>
      <c r="J5">
        <f>TEXT(A5,"DD/MM")</f>
        <v/>
      </c>
    </row>
    <row r="6">
      <c r="A6" s="10" t="n">
        <v>46325</v>
      </c>
      <c r="B6" s="21">
        <f>CHOOSE(WEEKDAY(A6,2),"Lunedì","Martedì","Mercoledì","Giovedì","Venerdì","Sabato","Domenica")</f>
        <v/>
      </c>
      <c r="C6" s="12">
        <f>SUM(E6:I6)</f>
        <v/>
      </c>
      <c r="D6" s="13">
        <f>SUMIF(Vendite!$B$2:$B$1000,A6,Vendite!$J$2:$J$1000)</f>
        <v/>
      </c>
      <c r="E6" s="12">
        <f>SUMIFS(Vendite!$H$2:$H$1000,Vendite!$B$2:$B$1000,A6,Vendite!$C$2:$C$1000,"&gt;="&amp;TIMEVALUE("20:00"),Vendite!$C$2:$C$1000,"&lt;"&amp;TIMEVALUE("21:00"))</f>
        <v/>
      </c>
      <c r="F6" s="12">
        <f>SUMIFS(Vendite!$H$2:$H$1000,Vendite!$B$2:$B$1000,A6,Vendite!$C$2:$C$1000,"&gt;="&amp;TIMEVALUE("21:00"),Vendite!$C$2:$C$1000,"&lt;"&amp;TIMEVALUE("22:00"))</f>
        <v/>
      </c>
      <c r="G6" s="12">
        <f>SUMIFS(Vendite!$H$2:$H$1000,Vendite!$B$2:$B$1000,A6,Vendite!$C$2:$C$1000,"&gt;="&amp;TIMEVALUE("22:00"),Vendite!$C$2:$C$1000,"&lt;"&amp;TIMEVALUE("23:00"))</f>
        <v/>
      </c>
      <c r="H6" s="12">
        <f>SUMIFS(Vendite!$H$2:$H$1000,Vendite!$B$2:$B$1000,A6,Vendite!$C$2:$C$1000,"&gt;="&amp;TIMEVALUE("23:00"),Vendite!$C$2:$C$1000,"&lt;"&amp;TIMEVALUE("23:30"))</f>
        <v/>
      </c>
      <c r="I6" s="12">
        <f>SUMIFS(Vendite!$H$2:$H$1000,Vendite!$B$2:$B$1000,A6,Vendite!$C$2:$C$1000,"&gt;="&amp;TIMEVALUE("23:30"))</f>
        <v/>
      </c>
      <c r="J6">
        <f>TEXT(A6,"DD/MM")</f>
        <v/>
      </c>
    </row>
    <row r="7">
      <c r="A7" s="14" t="n">
        <v>46326</v>
      </c>
      <c r="B7" s="22">
        <f>CHOOSE(WEEKDAY(A7,2),"Lunedì","Martedì","Mercoledì","Giovedì","Venerdì","Sabato","Domenica")</f>
        <v/>
      </c>
      <c r="C7" s="16">
        <f>SUM(E7:I7)</f>
        <v/>
      </c>
      <c r="D7" s="17">
        <f>SUMIF(Vendite!$B$2:$B$1000,A7,Vendite!$J$2:$J$1000)</f>
        <v/>
      </c>
      <c r="E7" s="16">
        <f>SUMIFS(Vendite!$H$2:$H$1000,Vendite!$B$2:$B$1000,A7,Vendite!$C$2:$C$1000,"&gt;="&amp;TIMEVALUE("20:00"),Vendite!$C$2:$C$1000,"&lt;"&amp;TIMEVALUE("21:00"))</f>
        <v/>
      </c>
      <c r="F7" s="16">
        <f>SUMIFS(Vendite!$H$2:$H$1000,Vendite!$B$2:$B$1000,A7,Vendite!$C$2:$C$1000,"&gt;="&amp;TIMEVALUE("21:00"),Vendite!$C$2:$C$1000,"&lt;"&amp;TIMEVALUE("22:00"))</f>
        <v/>
      </c>
      <c r="G7" s="16">
        <f>SUMIFS(Vendite!$H$2:$H$1000,Vendite!$B$2:$B$1000,A7,Vendite!$C$2:$C$1000,"&gt;="&amp;TIMEVALUE("22:00"),Vendite!$C$2:$C$1000,"&lt;"&amp;TIMEVALUE("23:00"))</f>
        <v/>
      </c>
      <c r="H7" s="16">
        <f>SUMIFS(Vendite!$H$2:$H$1000,Vendite!$B$2:$B$1000,A7,Vendite!$C$2:$C$1000,"&gt;="&amp;TIMEVALUE("23:00"),Vendite!$C$2:$C$1000,"&lt;"&amp;TIMEVALUE("23:30"))</f>
        <v/>
      </c>
      <c r="I7" s="16">
        <f>SUMIFS(Vendite!$H$2:$H$1000,Vendite!$B$2:$B$1000,A7,Vendite!$C$2:$C$1000,"&gt;="&amp;TIMEVALUE("23:30"))</f>
        <v/>
      </c>
      <c r="J7">
        <f>TEXT(A7,"DD/MM")</f>
        <v/>
      </c>
    </row>
    <row r="8">
      <c r="A8" s="10" t="n">
        <v>46327</v>
      </c>
      <c r="B8" s="21">
        <f>CHOOSE(WEEKDAY(A8,2),"Lunedì","Martedì","Mercoledì","Giovedì","Venerdì","Sabato","Domenica")</f>
        <v/>
      </c>
      <c r="C8" s="12">
        <f>SUM(E8:I8)</f>
        <v/>
      </c>
      <c r="D8" s="13">
        <f>SUMIF(Vendite!$B$2:$B$1000,A8,Vendite!$J$2:$J$1000)</f>
        <v/>
      </c>
      <c r="E8" s="12">
        <f>SUMIFS(Vendite!$H$2:$H$1000,Vendite!$B$2:$B$1000,A8,Vendite!$C$2:$C$1000,"&gt;="&amp;TIMEVALUE("20:00"),Vendite!$C$2:$C$1000,"&lt;"&amp;TIMEVALUE("21:00"))</f>
        <v/>
      </c>
      <c r="F8" s="12">
        <f>SUMIFS(Vendite!$H$2:$H$1000,Vendite!$B$2:$B$1000,A8,Vendite!$C$2:$C$1000,"&gt;="&amp;TIMEVALUE("21:00"),Vendite!$C$2:$C$1000,"&lt;"&amp;TIMEVALUE("22:00"))</f>
        <v/>
      </c>
      <c r="G8" s="12">
        <f>SUMIFS(Vendite!$H$2:$H$1000,Vendite!$B$2:$B$1000,A8,Vendite!$C$2:$C$1000,"&gt;="&amp;TIMEVALUE("22:00"),Vendite!$C$2:$C$1000,"&lt;"&amp;TIMEVALUE("23:00"))</f>
        <v/>
      </c>
      <c r="H8" s="12">
        <f>SUMIFS(Vendite!$H$2:$H$1000,Vendite!$B$2:$B$1000,A8,Vendite!$C$2:$C$1000,"&gt;="&amp;TIMEVALUE("23:00"),Vendite!$C$2:$C$1000,"&lt;"&amp;TIMEVALUE("23:30"))</f>
        <v/>
      </c>
      <c r="I8" s="12">
        <f>SUMIFS(Vendite!$H$2:$H$1000,Vendite!$B$2:$B$1000,A8,Vendite!$C$2:$C$1000,"&gt;="&amp;TIMEVALUE("23:30"))</f>
        <v/>
      </c>
      <c r="J8">
        <f>TEXT(A8,"DD/MM")</f>
        <v/>
      </c>
    </row>
  </sheetData>
  <autoFilter ref="A1:I8"/>
  <conditionalFormatting sqref="E2:I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20" t="inlineStr">
        <is>
          <t>Data estrazione</t>
        </is>
      </c>
      <c r="B1" s="20" t="inlineStr">
        <is>
          <t>Biglietti totali</t>
        </is>
      </c>
      <c r="C1" s="20" t="inlineStr">
        <is>
          <t>Incasso totale</t>
        </is>
      </c>
      <c r="D1" s="20" t="inlineStr">
        <is>
          <t>Delta biglietti</t>
        </is>
      </c>
      <c r="E1" s="20" t="inlineStr">
        <is>
          <t>Delta incasso</t>
        </is>
      </c>
      <c r="F1" t="inlineStr">
        <is>
          <t>Etichetta grafico</t>
        </is>
      </c>
    </row>
    <row r="2">
      <c r="A2" s="31" t="n">
        <v>46300.66319444445</v>
      </c>
      <c r="B2" s="12" t="n">
        <v>4</v>
      </c>
      <c r="C2" s="13" t="n">
        <v>120</v>
      </c>
      <c r="D2" s="32" t="inlineStr">
        <is>
          <t>n.d.</t>
        </is>
      </c>
      <c r="E2" s="33" t="inlineStr">
        <is>
          <t>n.d.</t>
        </is>
      </c>
      <c r="F2">
        <f>TEXT(A2,"DD/MM HH:MM")</f>
        <v/>
      </c>
    </row>
    <row r="3">
      <c r="A3" s="34" t="n">
        <v>46300.73819444444</v>
      </c>
      <c r="B3" s="16" t="n">
        <v>10</v>
      </c>
      <c r="C3" s="17" t="n">
        <v>312</v>
      </c>
      <c r="D3" s="35">
        <f>B3-B2</f>
        <v/>
      </c>
      <c r="E3" s="36">
        <f>C3-C2</f>
        <v/>
      </c>
      <c r="F3">
        <f>TEXT(A3,"DD/MM HH:MM")</f>
        <v/>
      </c>
    </row>
    <row r="4">
      <c r="A4" s="31" t="n">
        <v>46300.76388888889</v>
      </c>
      <c r="B4" s="12" t="n">
        <v>10</v>
      </c>
      <c r="C4" s="13" t="n">
        <v>312</v>
      </c>
      <c r="D4" s="32">
        <f>B4-B3</f>
        <v/>
      </c>
      <c r="E4" s="33">
        <f>C4-C3</f>
        <v/>
      </c>
      <c r="F4">
        <f>TEXT(A4,"DD/MM HH:MM")</f>
        <v/>
      </c>
    </row>
    <row r="5">
      <c r="A5" s="34" t="n">
        <v>46300.76527777778</v>
      </c>
      <c r="B5" s="16" t="n">
        <v>11</v>
      </c>
      <c r="C5" s="17" t="n">
        <v>360</v>
      </c>
      <c r="D5" s="35">
        <f>B5-B4</f>
        <v/>
      </c>
      <c r="E5" s="36">
        <f>C5-C4</f>
        <v/>
      </c>
      <c r="F5">
        <f>TEXT(A5,"DD/MM HH:MM")</f>
        <v/>
      </c>
    </row>
    <row r="6">
      <c r="A6" s="31" t="n">
        <v>46300.76666666667</v>
      </c>
      <c r="B6" s="12" t="n">
        <v>11</v>
      </c>
      <c r="C6" s="13" t="n">
        <v>360</v>
      </c>
      <c r="D6" s="32">
        <f>B6-B5</f>
        <v/>
      </c>
      <c r="E6" s="33">
        <f>C6-C5</f>
        <v/>
      </c>
      <c r="F6">
        <f>TEXT(A6,"DD/MM HH:MM")</f>
        <v/>
      </c>
    </row>
  </sheetData>
  <autoFilter ref="A1:E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2026-10-05T16:24:31Z</dcterms:created>
  <dcterms:modified xsi:type="dcterms:W3CDTF">2026-10-05T16:24:31Z</dcterms:modified>
</cp:coreProperties>
</file>