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'Vendite'!$A$1:$P$58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'Storico'!$A$1:$G$134</definedName>
    <definedName name="_xlnm._FilterDatabase" localSheetId="8" hidden="1">'Registro vendite'!$A$1:$K$106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'Storico'!$H$2:$H$134</f>
            </numRef>
          </cat>
          <val>
            <numRef>
              <f>'Storico'!$C$2:$C$134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vendite'!$A$4:$A$7</f>
            </numRef>
          </cat>
          <val>
            <numRef>
              <f>'Picchi vendite'!$B$4:$B$7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MAX(Storico!A2:A134)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4</v>
      </c>
      <c r="I3" s="15" t="n">
        <v>0</v>
      </c>
      <c r="J3" s="16" t="n">
        <v>192</v>
      </c>
      <c r="K3" s="16" t="n">
        <v>0</v>
      </c>
      <c r="L3" s="16" t="n">
        <v>174.56</v>
      </c>
      <c r="M3" s="16" t="n">
        <v>17.44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4</v>
      </c>
      <c r="I5" s="15" t="n">
        <v>0</v>
      </c>
      <c r="J5" s="16" t="n">
        <v>96</v>
      </c>
      <c r="K5" s="16" t="n">
        <v>0</v>
      </c>
      <c r="L5" s="16" t="n">
        <v>87.28</v>
      </c>
      <c r="M5" s="16" t="n">
        <v>8.720000000000001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6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1</v>
      </c>
      <c r="I8" s="11" t="n">
        <v>0</v>
      </c>
      <c r="J8" s="12" t="n">
        <v>60</v>
      </c>
      <c r="K8" s="12" t="n">
        <v>0</v>
      </c>
      <c r="L8" s="12" t="n">
        <v>54.55</v>
      </c>
      <c r="M8" s="12" t="n">
        <v>5.45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5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</v>
      </c>
      <c r="I10" s="11" t="n">
        <v>1</v>
      </c>
      <c r="J10" s="12" t="n">
        <v>48</v>
      </c>
      <c r="K10" s="12" t="n">
        <v>0</v>
      </c>
      <c r="L10" s="12" t="n">
        <v>43.64</v>
      </c>
      <c r="M10" s="12" t="n">
        <v>4.36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3</v>
      </c>
      <c r="I11" s="15" t="n">
        <v>0</v>
      </c>
      <c r="J11" s="16" t="n">
        <v>108</v>
      </c>
      <c r="K11" s="16" t="n">
        <v>0</v>
      </c>
      <c r="L11" s="16" t="n">
        <v>98.19</v>
      </c>
      <c r="M11" s="16" t="n">
        <v>9.81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1</v>
      </c>
      <c r="I12" s="11" t="n">
        <v>0</v>
      </c>
      <c r="J12" s="12" t="n">
        <v>60</v>
      </c>
      <c r="K12" s="12" t="n">
        <v>0</v>
      </c>
      <c r="L12" s="12" t="n">
        <v>54.55</v>
      </c>
      <c r="M12" s="12" t="n">
        <v>5.45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7</v>
      </c>
      <c r="I13" s="15" t="n">
        <v>0</v>
      </c>
      <c r="J13" s="16" t="n">
        <v>168</v>
      </c>
      <c r="K13" s="16" t="n">
        <v>0</v>
      </c>
      <c r="L13" s="16" t="n">
        <v>152.74</v>
      </c>
      <c r="M13" s="16" t="n">
        <v>15.26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1</v>
      </c>
      <c r="I14" s="11" t="n">
        <v>0</v>
      </c>
      <c r="J14" s="12" t="n">
        <v>48</v>
      </c>
      <c r="K14" s="12" t="n">
        <v>0</v>
      </c>
      <c r="L14" s="12" t="n">
        <v>43.64</v>
      </c>
      <c r="M14" s="12" t="n">
        <v>4.36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2</v>
      </c>
      <c r="I15" s="15" t="n">
        <v>0</v>
      </c>
      <c r="J15" s="16" t="n">
        <v>72</v>
      </c>
      <c r="K15" s="16" t="n">
        <v>0</v>
      </c>
      <c r="L15" s="16" t="n">
        <v>65.45999999999999</v>
      </c>
      <c r="M15" s="16" t="n">
        <v>6.54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3</v>
      </c>
      <c r="I16" s="11" t="n">
        <v>0</v>
      </c>
      <c r="J16" s="12" t="n">
        <v>72</v>
      </c>
      <c r="K16" s="12" t="n">
        <v>0</v>
      </c>
      <c r="L16" s="12" t="n">
        <v>65.45999999999999</v>
      </c>
      <c r="M16" s="12" t="n">
        <v>6.54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20261024_2015</t>
        </is>
      </c>
      <c r="B17" s="13" t="n">
        <v>46319</v>
      </c>
      <c r="C17" s="14" t="n">
        <v>0.84375</v>
      </c>
      <c r="D17" s="23" t="inlineStr">
        <is>
          <t>UN Unico</t>
        </is>
      </c>
      <c r="E17" s="23" t="inlineStr">
        <is>
          <t>I1</t>
        </is>
      </c>
      <c r="F17" s="23">
        <f>IFERROR(INDEX(Tariffe!$B$2:$B$200,MATCH(E17,Tariffe!$A$2:$A$200,0)),"DA DEFINIRE")</f>
        <v/>
      </c>
      <c r="G17" s="16" t="n">
        <v>48</v>
      </c>
      <c r="H17" s="15" t="n">
        <v>1</v>
      </c>
      <c r="I17" s="15" t="n">
        <v>0</v>
      </c>
      <c r="J17" s="16" t="n">
        <v>48</v>
      </c>
      <c r="K17" s="16" t="n">
        <v>0</v>
      </c>
      <c r="L17" s="16" t="n">
        <v>43.64</v>
      </c>
      <c r="M17" s="16" t="n">
        <v>4.36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1</v>
      </c>
      <c r="I18" s="11" t="n">
        <v>0</v>
      </c>
      <c r="J18" s="12" t="n">
        <v>24</v>
      </c>
      <c r="K18" s="12" t="n">
        <v>0</v>
      </c>
      <c r="L18" s="12" t="n">
        <v>21.82</v>
      </c>
      <c r="M18" s="12" t="n">
        <v>2.18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20261024_2115</t>
        </is>
      </c>
      <c r="B19" s="13" t="n">
        <v>46319</v>
      </c>
      <c r="C19" s="14" t="n">
        <v>0.8854166666666666</v>
      </c>
      <c r="D19" s="23" t="inlineStr">
        <is>
          <t>UN Unico</t>
        </is>
      </c>
      <c r="E19" s="23" t="inlineStr">
        <is>
          <t>I5</t>
        </is>
      </c>
      <c r="F19" s="23">
        <f>IFERROR(INDEX(Tariffe!$B$2:$B$200,MATCH(E19,Tariffe!$A$2:$A$200,0)),"DA DEFINIRE")</f>
        <v/>
      </c>
      <c r="G19" s="16" t="n">
        <v>60</v>
      </c>
      <c r="H19" s="15" t="n">
        <v>1</v>
      </c>
      <c r="I19" s="15" t="n">
        <v>0</v>
      </c>
      <c r="J19" s="16" t="n">
        <v>60</v>
      </c>
      <c r="K19" s="16" t="n">
        <v>0</v>
      </c>
      <c r="L19" s="16" t="n">
        <v>54.55</v>
      </c>
      <c r="M19" s="16" t="n">
        <v>5.45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I8</t>
        </is>
      </c>
      <c r="F20" s="22">
        <f>IFERROR(INDEX(Tariffe!$B$2:$B$200,MATCH(E20,Tariffe!$A$2:$A$200,0)),"DA DEFINIRE")</f>
        <v/>
      </c>
      <c r="G20" s="12" t="n">
        <v>24</v>
      </c>
      <c r="H20" s="11" t="n">
        <v>3</v>
      </c>
      <c r="I20" s="11" t="n">
        <v>0</v>
      </c>
      <c r="J20" s="12" t="n">
        <v>72</v>
      </c>
      <c r="K20" s="12" t="n">
        <v>0</v>
      </c>
      <c r="L20" s="12" t="n">
        <v>65.45999999999999</v>
      </c>
      <c r="M20" s="12" t="n">
        <v>6.54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I1</t>
        </is>
      </c>
      <c r="F21" s="23">
        <f>IFERROR(INDEX(Tariffe!$B$2:$B$200,MATCH(E21,Tariffe!$A$2:$A$200,0)),"DA DEFINIRE")</f>
        <v/>
      </c>
      <c r="G21" s="16" t="n">
        <v>48</v>
      </c>
      <c r="H21" s="15" t="n">
        <v>3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20261024_2215</t>
        </is>
      </c>
      <c r="B22" s="9" t="n">
        <v>46319</v>
      </c>
      <c r="C22" s="10" t="n">
        <v>0.9270833333333334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20261024_2215</t>
        </is>
      </c>
      <c r="B23" s="13" t="n">
        <v>46319</v>
      </c>
      <c r="C23" s="14" t="n">
        <v>0.9270833333333334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6</v>
      </c>
      <c r="I23" s="15" t="n">
        <v>0</v>
      </c>
      <c r="J23" s="16" t="n">
        <v>144</v>
      </c>
      <c r="K23" s="16" t="n">
        <v>0</v>
      </c>
      <c r="L23" s="16" t="n">
        <v>130.92</v>
      </c>
      <c r="M23" s="16" t="n">
        <v>13.08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20261024_2315</t>
        </is>
      </c>
      <c r="B24" s="9" t="n">
        <v>46319</v>
      </c>
      <c r="C24" s="10" t="n">
        <v>0.96875</v>
      </c>
      <c r="D24" s="22" t="inlineStr">
        <is>
          <t>UN Unico</t>
        </is>
      </c>
      <c r="E24" s="22" t="inlineStr">
        <is>
          <t>I2</t>
        </is>
      </c>
      <c r="F24" s="22">
        <f>IFERROR(INDEX(Tariffe!$B$2:$B$200,MATCH(E24,Tariffe!$A$2:$A$200,0)),"DA DEFINIRE")</f>
        <v/>
      </c>
      <c r="G24" s="12" t="n">
        <v>36</v>
      </c>
      <c r="H24" s="11" t="n">
        <v>1</v>
      </c>
      <c r="I24" s="11" t="n">
        <v>0</v>
      </c>
      <c r="J24" s="12" t="n">
        <v>36</v>
      </c>
      <c r="K24" s="12" t="n">
        <v>0</v>
      </c>
      <c r="L24" s="12" t="n">
        <v>32.73</v>
      </c>
      <c r="M24" s="12" t="n">
        <v>3.27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20261024_2315</t>
        </is>
      </c>
      <c r="B25" s="13" t="n">
        <v>46319</v>
      </c>
      <c r="C25" s="14" t="n">
        <v>0.96875</v>
      </c>
      <c r="D25" s="23" t="inlineStr">
        <is>
          <t>UN Unico</t>
        </is>
      </c>
      <c r="E25" s="23" t="inlineStr">
        <is>
          <t>I5</t>
        </is>
      </c>
      <c r="F25" s="23">
        <f>IFERROR(INDEX(Tariffe!$B$2:$B$200,MATCH(E25,Tariffe!$A$2:$A$200,0)),"DA DEFINIRE")</f>
        <v/>
      </c>
      <c r="G25" s="16" t="n">
        <v>60</v>
      </c>
      <c r="H25" s="15" t="n">
        <v>2</v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20261024_2315</t>
        </is>
      </c>
      <c r="B26" s="9" t="n">
        <v>46319</v>
      </c>
      <c r="C26" s="10" t="n">
        <v>0.96875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2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20261024_2359</t>
        </is>
      </c>
      <c r="B27" s="13" t="n">
        <v>46319</v>
      </c>
      <c r="C27" s="14" t="n">
        <v>0.9993055555555556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1</v>
      </c>
      <c r="I27" s="15" t="n">
        <v>0</v>
      </c>
      <c r="J27" s="16" t="n">
        <v>48</v>
      </c>
      <c r="K27" s="16" t="n">
        <v>0</v>
      </c>
      <c r="L27" s="16" t="n">
        <v>43.64</v>
      </c>
      <c r="M27" s="16" t="n">
        <v>4.36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20261024_2359</t>
        </is>
      </c>
      <c r="B28" s="9" t="n">
        <v>46319</v>
      </c>
      <c r="C28" s="10" t="n">
        <v>0.9993055555555556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2</v>
      </c>
      <c r="I28" s="11" t="n">
        <v>0</v>
      </c>
      <c r="J28" s="12" t="n">
        <v>48</v>
      </c>
      <c r="K28" s="12" t="n">
        <v>0</v>
      </c>
      <c r="L28" s="12" t="n">
        <v>43.64</v>
      </c>
      <c r="M28" s="12" t="n">
        <v>4.36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20261025_2015</t>
        </is>
      </c>
      <c r="B29" s="13" t="n">
        <v>46320</v>
      </c>
      <c r="C29" s="14" t="n">
        <v>0.84375</v>
      </c>
      <c r="D29" s="23" t="inlineStr">
        <is>
          <t>UN Unico</t>
        </is>
      </c>
      <c r="E29" s="23" t="inlineStr">
        <is>
          <t>I1</t>
        </is>
      </c>
      <c r="F29" s="23">
        <f>IFERROR(INDEX(Tariffe!$B$2:$B$200,MATCH(E29,Tariffe!$A$2:$A$200,0)),"DA DEFINIRE")</f>
        <v/>
      </c>
      <c r="G29" s="16" t="n">
        <v>48</v>
      </c>
      <c r="H29" s="15" t="n">
        <v>1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20261025_2015</t>
        </is>
      </c>
      <c r="B30" s="9" t="n">
        <v>46320</v>
      </c>
      <c r="C30" s="10" t="n">
        <v>0.84375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20261025_2115</t>
        </is>
      </c>
      <c r="B31" s="13" t="n">
        <v>46320</v>
      </c>
      <c r="C31" s="14" t="n">
        <v>0.8854166666666666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2</v>
      </c>
      <c r="I31" s="15" t="n">
        <v>0</v>
      </c>
      <c r="J31" s="16" t="n">
        <v>96</v>
      </c>
      <c r="K31" s="16" t="n">
        <v>0</v>
      </c>
      <c r="L31" s="16" t="n">
        <v>87.28</v>
      </c>
      <c r="M31" s="16" t="n">
        <v>8.720000000000001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20261025_2115</t>
        </is>
      </c>
      <c r="B32" s="9" t="n">
        <v>46320</v>
      </c>
      <c r="C32" s="10" t="n">
        <v>0.8854166666666666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1</v>
      </c>
      <c r="I32" s="11" t="n">
        <v>0</v>
      </c>
      <c r="J32" s="12" t="n">
        <v>24</v>
      </c>
      <c r="K32" s="12" t="n">
        <v>0</v>
      </c>
      <c r="L32" s="12" t="n">
        <v>21.82</v>
      </c>
      <c r="M32" s="12" t="n">
        <v>2.18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20261025_2215</t>
        </is>
      </c>
      <c r="B33" s="13" t="n">
        <v>46320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2</v>
      </c>
      <c r="I33" s="15" t="n">
        <v>0</v>
      </c>
      <c r="J33" s="16" t="n">
        <v>48</v>
      </c>
      <c r="K33" s="16" t="n">
        <v>0</v>
      </c>
      <c r="L33" s="16" t="n">
        <v>43.64</v>
      </c>
      <c r="M33" s="16" t="n">
        <v>4.36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20261025_2315</t>
        </is>
      </c>
      <c r="B34" s="9" t="n">
        <v>46320</v>
      </c>
      <c r="C34" s="10" t="n">
        <v>0.96875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1</v>
      </c>
      <c r="I34" s="11" t="n">
        <v>0</v>
      </c>
      <c r="J34" s="12" t="n">
        <v>24</v>
      </c>
      <c r="K34" s="12" t="n">
        <v>0</v>
      </c>
      <c r="L34" s="12" t="n">
        <v>21.82</v>
      </c>
      <c r="M34" s="12" t="n">
        <v>2.18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20261025_2359</t>
        </is>
      </c>
      <c r="B35" s="13" t="n">
        <v>46320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20261029_2015</t>
        </is>
      </c>
      <c r="B36" s="9" t="n">
        <v>46324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20261029_2015</t>
        </is>
      </c>
      <c r="B37" s="13" t="n">
        <v>46324</v>
      </c>
      <c r="C37" s="14" t="n">
        <v>0.84375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20261029_2215</t>
        </is>
      </c>
      <c r="B38" s="9" t="n">
        <v>46324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3</v>
      </c>
      <c r="I38" s="11" t="n">
        <v>0</v>
      </c>
      <c r="J38" s="12" t="n">
        <v>144</v>
      </c>
      <c r="K38" s="12" t="n">
        <v>0</v>
      </c>
      <c r="L38" s="12" t="n">
        <v>130.92</v>
      </c>
      <c r="M38" s="12" t="n">
        <v>13.08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20261029_2215</t>
        </is>
      </c>
      <c r="B39" s="13" t="n">
        <v>46324</v>
      </c>
      <c r="C39" s="14" t="n">
        <v>0.9270833333333334</v>
      </c>
      <c r="D39" s="23" t="inlineStr">
        <is>
          <t>UN Unico</t>
        </is>
      </c>
      <c r="E39" s="23" t="inlineStr">
        <is>
          <t>I2</t>
        </is>
      </c>
      <c r="F39" s="23">
        <f>IFERROR(INDEX(Tariffe!$B$2:$B$200,MATCH(E39,Tariffe!$A$2:$A$200,0)),"DA DEFINIRE")</f>
        <v/>
      </c>
      <c r="G39" s="16" t="n">
        <v>36</v>
      </c>
      <c r="H39" s="15" t="n">
        <v>1</v>
      </c>
      <c r="I39" s="15" t="n">
        <v>0</v>
      </c>
      <c r="J39" s="16" t="n">
        <v>36</v>
      </c>
      <c r="K39" s="16" t="n">
        <v>0</v>
      </c>
      <c r="L39" s="16" t="n">
        <v>32.73</v>
      </c>
      <c r="M39" s="16" t="n">
        <v>3.27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20261029_2215</t>
        </is>
      </c>
      <c r="B40" s="9" t="n">
        <v>46324</v>
      </c>
      <c r="C40" s="10" t="n">
        <v>0.9270833333333334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4</v>
      </c>
      <c r="I40" s="11" t="n">
        <v>0</v>
      </c>
      <c r="J40" s="12" t="n">
        <v>96</v>
      </c>
      <c r="K40" s="12" t="n">
        <v>0</v>
      </c>
      <c r="L40" s="12" t="n">
        <v>87.28</v>
      </c>
      <c r="M40" s="12" t="n">
        <v>8.720000000000001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20261029_2315</t>
        </is>
      </c>
      <c r="B41" s="13" t="n">
        <v>46324</v>
      </c>
      <c r="C41" s="14" t="n">
        <v>0.96875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2</v>
      </c>
      <c r="I41" s="15" t="n">
        <v>0</v>
      </c>
      <c r="J41" s="16" t="n">
        <v>96</v>
      </c>
      <c r="K41" s="16" t="n">
        <v>0</v>
      </c>
      <c r="L41" s="16" t="n">
        <v>87.28</v>
      </c>
      <c r="M41" s="16" t="n">
        <v>8.720000000000001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20261029_2315</t>
        </is>
      </c>
      <c r="B42" s="9" t="n">
        <v>46324</v>
      </c>
      <c r="C42" s="10" t="n">
        <v>0.96875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20261029_2359</t>
        </is>
      </c>
      <c r="B43" s="13" t="n">
        <v>46324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20261030_2015</t>
        </is>
      </c>
      <c r="B44" s="9" t="n">
        <v>46325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20261030_2115</t>
        </is>
      </c>
      <c r="B45" s="13" t="n">
        <v>46325</v>
      </c>
      <c r="C45" s="14" t="n">
        <v>0.8854166666666666</v>
      </c>
      <c r="D45" s="23" t="inlineStr">
        <is>
          <t>UN Unico</t>
        </is>
      </c>
      <c r="E45" s="23" t="inlineStr">
        <is>
          <t>I8</t>
        </is>
      </c>
      <c r="F45" s="23">
        <f>IFERROR(INDEX(Tariffe!$B$2:$B$200,MATCH(E45,Tariffe!$A$2:$A$200,0)),"DA DEFINIRE")</f>
        <v/>
      </c>
      <c r="G45" s="16" t="n">
        <v>24</v>
      </c>
      <c r="H45" s="15" t="n">
        <v>1</v>
      </c>
      <c r="I45" s="15" t="n">
        <v>0</v>
      </c>
      <c r="J45" s="16" t="n">
        <v>24</v>
      </c>
      <c r="K45" s="16" t="n">
        <v>0</v>
      </c>
      <c r="L45" s="16" t="n">
        <v>21.82</v>
      </c>
      <c r="M45" s="16" t="n">
        <v>2.18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20261030_2215</t>
        </is>
      </c>
      <c r="B46" s="9" t="n">
        <v>46325</v>
      </c>
      <c r="C46" s="10" t="n">
        <v>0.9270833333333334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20261030_2315</t>
        </is>
      </c>
      <c r="B47" s="13" t="n">
        <v>46325</v>
      </c>
      <c r="C47" s="14" t="n">
        <v>0.96875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3</v>
      </c>
      <c r="I47" s="15" t="n">
        <v>0</v>
      </c>
      <c r="J47" s="16" t="n">
        <v>144</v>
      </c>
      <c r="K47" s="16" t="n">
        <v>0</v>
      </c>
      <c r="L47" s="16" t="n">
        <v>130.92</v>
      </c>
      <c r="M47" s="16" t="n">
        <v>13.08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20261030_2315</t>
        </is>
      </c>
      <c r="B48" s="9" t="n">
        <v>46325</v>
      </c>
      <c r="C48" s="10" t="n">
        <v>0.96875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20261030_2359</t>
        </is>
      </c>
      <c r="B49" s="13" t="n">
        <v>46325</v>
      </c>
      <c r="C49" s="14" t="n">
        <v>0.9993055555555556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2</v>
      </c>
      <c r="I49" s="15" t="n">
        <v>0</v>
      </c>
      <c r="J49" s="16" t="n">
        <v>48</v>
      </c>
      <c r="K49" s="16" t="n">
        <v>0</v>
      </c>
      <c r="L49" s="16" t="n">
        <v>43.64</v>
      </c>
      <c r="M49" s="16" t="n">
        <v>4.36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20261031_2015</t>
        </is>
      </c>
      <c r="B50" s="9" t="n">
        <v>46326</v>
      </c>
      <c r="C50" s="10" t="n">
        <v>0.84375</v>
      </c>
      <c r="D50" s="22" t="inlineStr">
        <is>
          <t>UN Unico</t>
        </is>
      </c>
      <c r="E50" s="22" t="inlineStr">
        <is>
          <t>I5</t>
        </is>
      </c>
      <c r="F50" s="22">
        <f>IFERROR(INDEX(Tariffe!$B$2:$B$200,MATCH(E50,Tariffe!$A$2:$A$200,0)),"DA DEFINIRE")</f>
        <v/>
      </c>
      <c r="G50" s="12" t="n">
        <v>60</v>
      </c>
      <c r="H50" s="11" t="n">
        <v>1</v>
      </c>
      <c r="I50" s="11" t="n">
        <v>0</v>
      </c>
      <c r="J50" s="12" t="n">
        <v>60</v>
      </c>
      <c r="K50" s="12" t="n">
        <v>0</v>
      </c>
      <c r="L50" s="12" t="n">
        <v>54.55</v>
      </c>
      <c r="M50" s="12" t="n">
        <v>5.45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20261031_2015</t>
        </is>
      </c>
      <c r="B51" s="13" t="n">
        <v>46326</v>
      </c>
      <c r="C51" s="14" t="n">
        <v>0.84375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1</v>
      </c>
      <c r="I51" s="15" t="n">
        <v>0</v>
      </c>
      <c r="J51" s="16" t="n">
        <v>24</v>
      </c>
      <c r="K51" s="16" t="n">
        <v>0</v>
      </c>
      <c r="L51" s="16" t="n">
        <v>21.82</v>
      </c>
      <c r="M51" s="16" t="n">
        <v>2.18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20261031_2115</t>
        </is>
      </c>
      <c r="B52" s="9" t="n">
        <v>46326</v>
      </c>
      <c r="C52" s="10" t="n">
        <v>0.8854166666666666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1</v>
      </c>
      <c r="I52" s="11" t="n">
        <v>0</v>
      </c>
      <c r="J52" s="12" t="n">
        <v>48</v>
      </c>
      <c r="K52" s="12" t="n">
        <v>0</v>
      </c>
      <c r="L52" s="12" t="n">
        <v>43.64</v>
      </c>
      <c r="M52" s="12" t="n">
        <v>4.36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20261031_2115</t>
        </is>
      </c>
      <c r="B53" s="13" t="n">
        <v>46326</v>
      </c>
      <c r="C53" s="14" t="n">
        <v>0.8854166666666666</v>
      </c>
      <c r="D53" s="23" t="inlineStr">
        <is>
          <t>UN Unico</t>
        </is>
      </c>
      <c r="E53" s="23" t="inlineStr">
        <is>
          <t>I8</t>
        </is>
      </c>
      <c r="F53" s="23">
        <f>IFERROR(INDEX(Tariffe!$B$2:$B$200,MATCH(E53,Tariffe!$A$2:$A$200,0)),"DA DEFINIRE")</f>
        <v/>
      </c>
      <c r="G53" s="16" t="n">
        <v>24</v>
      </c>
      <c r="H53" s="15" t="n">
        <v>1</v>
      </c>
      <c r="I53" s="15" t="n">
        <v>0</v>
      </c>
      <c r="J53" s="16" t="n">
        <v>24</v>
      </c>
      <c r="K53" s="16" t="n">
        <v>0</v>
      </c>
      <c r="L53" s="16" t="n">
        <v>21.82</v>
      </c>
      <c r="M53" s="16" t="n">
        <v>2.18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20261031_2215</t>
        </is>
      </c>
      <c r="B54" s="9" t="n">
        <v>46326</v>
      </c>
      <c r="C54" s="10" t="n">
        <v>0.9270833333333334</v>
      </c>
      <c r="D54" s="22" t="inlineStr">
        <is>
          <t>UN Unico</t>
        </is>
      </c>
      <c r="E54" s="22" t="inlineStr">
        <is>
          <t>I1</t>
        </is>
      </c>
      <c r="F54" s="22">
        <f>IFERROR(INDEX(Tariffe!$B$2:$B$200,MATCH(E54,Tariffe!$A$2:$A$200,0)),"DA DEFINIRE")</f>
        <v/>
      </c>
      <c r="G54" s="12" t="n">
        <v>48</v>
      </c>
      <c r="H54" s="11" t="n">
        <v>2</v>
      </c>
      <c r="I54" s="11" t="n">
        <v>0</v>
      </c>
      <c r="J54" s="12" t="n">
        <v>96</v>
      </c>
      <c r="K54" s="12" t="n">
        <v>0</v>
      </c>
      <c r="L54" s="12" t="n">
        <v>87.28</v>
      </c>
      <c r="M54" s="12" t="n">
        <v>8.720000000000001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20261031_2315</t>
        </is>
      </c>
      <c r="B55" s="13" t="n">
        <v>46326</v>
      </c>
      <c r="C55" s="14" t="n">
        <v>0.96875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2</v>
      </c>
      <c r="I55" s="15" t="n">
        <v>0</v>
      </c>
      <c r="J55" s="16" t="n">
        <v>96</v>
      </c>
      <c r="K55" s="16" t="n">
        <v>0</v>
      </c>
      <c r="L55" s="16" t="n">
        <v>87.28</v>
      </c>
      <c r="M55" s="16" t="n">
        <v>8.720000000000001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20261031_2315</t>
        </is>
      </c>
      <c r="B56" s="9" t="n">
        <v>46326</v>
      </c>
      <c r="C56" s="10" t="n">
        <v>0.96875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20261031_2359</t>
        </is>
      </c>
      <c r="B57" s="13" t="n">
        <v>46326</v>
      </c>
      <c r="C57" s="14" t="n">
        <v>0.9993055555555556</v>
      </c>
      <c r="D57" s="23" t="inlineStr">
        <is>
          <t>UN Unico</t>
        </is>
      </c>
      <c r="E57" s="23" t="inlineStr">
        <is>
          <t>I8</t>
        </is>
      </c>
      <c r="F57" s="23">
        <f>IFERROR(INDEX(Tariffe!$B$2:$B$200,MATCH(E57,Tariffe!$A$2:$A$200,0)),"DA DEFINIRE")</f>
        <v/>
      </c>
      <c r="G57" s="16" t="n">
        <v>24</v>
      </c>
      <c r="H57" s="15" t="n">
        <v>1</v>
      </c>
      <c r="I57" s="15" t="n">
        <v>0</v>
      </c>
      <c r="J57" s="16" t="n">
        <v>24</v>
      </c>
      <c r="K57" s="16" t="n">
        <v>0</v>
      </c>
      <c r="L57" s="16" t="n">
        <v>21.82</v>
      </c>
      <c r="M57" s="16" t="n">
        <v>2.18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20261101_2015</t>
        </is>
      </c>
      <c r="B58" s="9" t="n">
        <v>46327</v>
      </c>
      <c r="C58" s="10" t="n">
        <v>0.84375</v>
      </c>
      <c r="D58" s="22" t="inlineStr">
        <is>
          <t>UN Unico</t>
        </is>
      </c>
      <c r="E58" s="22" t="inlineStr">
        <is>
          <t>I1</t>
        </is>
      </c>
      <c r="F58" s="22">
        <f>IFERROR(INDEX(Tariffe!$B$2:$B$200,MATCH(E58,Tariffe!$A$2:$A$200,0)),"DA DEFINIRE")</f>
        <v/>
      </c>
      <c r="G58" s="12" t="n">
        <v>48</v>
      </c>
      <c r="H58" s="11" t="n">
        <v>1</v>
      </c>
      <c r="I58" s="11" t="n">
        <v>0</v>
      </c>
      <c r="J58" s="12" t="n">
        <v>48</v>
      </c>
      <c r="K58" s="12" t="n">
        <v>0</v>
      </c>
      <c r="L58" s="12" t="n">
        <v>43.64</v>
      </c>
      <c r="M58" s="12" t="n">
        <v>4.36</v>
      </c>
      <c r="N58" s="22" t="inlineStr">
        <is>
          <t>11/2026</t>
        </is>
      </c>
      <c r="O58" s="11">
        <f>IFERROR(INDEX(Tariffe!$D$2:$D$200,MATCH(E58,Tariffe!$A$2:$A$200,0))*1,0)</f>
        <v/>
      </c>
      <c r="P58" s="11">
        <f>H58*O58</f>
        <v/>
      </c>
    </row>
  </sheetData>
  <autoFilter ref="A1:P58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</sheetData>
  <autoFilter ref="A1:G134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0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</sheetData>
  <autoFilter ref="A1:K106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1</v>
      </c>
      <c r="H11" s="11" t="n">
        <v>2</v>
      </c>
      <c r="I11" s="12" t="n">
        <v>24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5</v>
      </c>
      <c r="H13" s="11" t="n">
        <v>16</v>
      </c>
      <c r="I13" s="12" t="n">
        <v>192</v>
      </c>
    </row>
    <row r="14">
      <c r="F14" s="38" t="inlineStr">
        <is>
          <t>10:00-11:00</t>
        </is>
      </c>
      <c r="G14" s="11" t="n">
        <v>3</v>
      </c>
      <c r="H14" s="11" t="n">
        <v>13</v>
      </c>
      <c r="I14" s="12" t="n">
        <v>156</v>
      </c>
    </row>
    <row r="15">
      <c r="F15" s="38" t="inlineStr">
        <is>
          <t>11:00-12:00</t>
        </is>
      </c>
      <c r="G15" s="11" t="n">
        <v>5</v>
      </c>
      <c r="H15" s="11" t="n">
        <v>17</v>
      </c>
      <c r="I15" s="12" t="n">
        <v>204</v>
      </c>
    </row>
    <row r="16">
      <c r="F16" s="38" t="inlineStr">
        <is>
          <t>12:00-13:00</t>
        </is>
      </c>
      <c r="G16" s="11" t="n">
        <v>7</v>
      </c>
      <c r="H16" s="11" t="n">
        <v>19</v>
      </c>
      <c r="I16" s="12" t="n">
        <v>228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2</v>
      </c>
      <c r="H18" s="11" t="n">
        <v>7</v>
      </c>
      <c r="I18" s="12" t="n">
        <v>84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5</v>
      </c>
      <c r="H21" s="11" t="n">
        <v>17</v>
      </c>
      <c r="I21" s="12" t="n">
        <v>204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6</v>
      </c>
      <c r="H23" s="11" t="n">
        <v>22</v>
      </c>
      <c r="I23" s="12" t="n">
        <v>264</v>
      </c>
    </row>
    <row r="24">
      <c r="F24" s="38" t="inlineStr">
        <is>
          <t>20:00-21:00</t>
        </is>
      </c>
      <c r="G24" s="11" t="n">
        <v>11</v>
      </c>
      <c r="H24" s="11" t="n">
        <v>30</v>
      </c>
      <c r="I24" s="12" t="n">
        <v>360</v>
      </c>
    </row>
    <row r="25">
      <c r="F25" s="38" t="inlineStr">
        <is>
          <t>21:00-22:00</t>
        </is>
      </c>
      <c r="G25" s="11" t="n">
        <v>12</v>
      </c>
      <c r="H25" s="11" t="n">
        <v>38</v>
      </c>
      <c r="I25" s="12" t="n">
        <v>456</v>
      </c>
    </row>
    <row r="26">
      <c r="F26" s="38" t="inlineStr">
        <is>
          <t>22:00-23:00</t>
        </is>
      </c>
      <c r="G26" s="11" t="n">
        <v>22</v>
      </c>
      <c r="H26" s="11" t="n">
        <v>59</v>
      </c>
      <c r="I26" s="12" t="n">
        <v>708</v>
      </c>
    </row>
    <row r="27">
      <c r="F27" s="38" t="inlineStr">
        <is>
          <t>23:00-00:00</t>
        </is>
      </c>
      <c r="G27" s="11" t="n">
        <v>7</v>
      </c>
      <c r="H27" s="11" t="n">
        <v>21</v>
      </c>
      <c r="I27" s="12" t="n">
        <v>252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2026-10-08T21:49:29Z</dcterms:created>
  <dcterms:modified xsi:type="dcterms:W3CDTF">2026-10-08T21:49:30Z</dcterms:modified>
</cp:coreProperties>
</file>