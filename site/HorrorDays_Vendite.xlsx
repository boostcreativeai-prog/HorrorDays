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'Storico'!$A$1:$G$613</definedName>
    <definedName name="_xlnm._FilterDatabase" localSheetId="8" hidden="1">'Registro vendite'!$A$1:$K$677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'Storico'!$H$2:$H$613</f>
            </numRef>
          </cat>
          <val>
            <numRef>
              <f>'Storico'!$C$2:$C$613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9</v>
      </c>
      <c r="I30" s="11" t="n">
        <v>0</v>
      </c>
      <c r="J30" s="12" t="n">
        <v>432</v>
      </c>
      <c r="K30" s="12" t="n">
        <v>0</v>
      </c>
      <c r="L30" s="12" t="n">
        <v>392.76</v>
      </c>
      <c r="M30" s="12" t="n">
        <v>39.24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31</v>
      </c>
      <c r="I33" s="15" t="n">
        <v>0</v>
      </c>
      <c r="J33" s="16" t="n">
        <v>744</v>
      </c>
      <c r="K33" s="16" t="n">
        <v>0</v>
      </c>
      <c r="L33" s="16" t="n">
        <v>676.42</v>
      </c>
      <c r="M33" s="16" t="n">
        <v>67.58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24</v>
      </c>
      <c r="I37" s="15" t="n">
        <v>0</v>
      </c>
      <c r="J37" s="16" t="n">
        <v>576</v>
      </c>
      <c r="K37" s="16" t="n">
        <v>0</v>
      </c>
      <c r="L37" s="16" t="n">
        <v>523.6799999999999</v>
      </c>
      <c r="M37" s="16" t="n">
        <v>52.32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15</v>
      </c>
      <c r="I38" s="11" t="n">
        <v>0</v>
      </c>
      <c r="J38" s="12" t="n">
        <v>720</v>
      </c>
      <c r="K38" s="12" t="n">
        <v>0</v>
      </c>
      <c r="L38" s="12" t="n">
        <v>654.6</v>
      </c>
      <c r="M38" s="12" t="n">
        <v>65.40000000000001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4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13</v>
      </c>
      <c r="I48" s="11" t="n">
        <v>0</v>
      </c>
      <c r="J48" s="12" t="n">
        <v>312</v>
      </c>
      <c r="K48" s="12" t="n">
        <v>0</v>
      </c>
      <c r="L48" s="12" t="n">
        <v>283.66</v>
      </c>
      <c r="M48" s="12" t="n">
        <v>28.34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2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13</v>
      </c>
      <c r="I52" s="11" t="n">
        <v>0</v>
      </c>
      <c r="J52" s="12" t="n">
        <v>312</v>
      </c>
      <c r="K52" s="12" t="n">
        <v>0</v>
      </c>
      <c r="L52" s="12" t="n">
        <v>283.66</v>
      </c>
      <c r="M52" s="12" t="n">
        <v>28.34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8</v>
      </c>
      <c r="I53" s="15" t="n">
        <v>0</v>
      </c>
      <c r="J53" s="16" t="n">
        <v>384</v>
      </c>
      <c r="K53" s="16" t="n">
        <v>0</v>
      </c>
      <c r="L53" s="16" t="n">
        <v>349.12</v>
      </c>
      <c r="M53" s="16" t="n">
        <v>34.88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4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3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7</v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4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13</v>
      </c>
      <c r="I67" s="15" t="n">
        <v>0</v>
      </c>
      <c r="J67" s="16" t="n">
        <v>312</v>
      </c>
      <c r="K67" s="16" t="n">
        <v>0</v>
      </c>
      <c r="L67" s="16" t="n">
        <v>283.66</v>
      </c>
      <c r="M67" s="16" t="n">
        <v>28.34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6</v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4</v>
      </c>
      <c r="I70" s="11" t="n">
        <v>0</v>
      </c>
      <c r="J70" s="12" t="n">
        <v>240</v>
      </c>
      <c r="K70" s="12" t="n">
        <v>0</v>
      </c>
      <c r="L70" s="12" t="n">
        <v>218.2</v>
      </c>
      <c r="M70" s="12" t="n">
        <v>21.8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20261029_2359</t>
        </is>
      </c>
      <c r="B73" s="13" t="n">
        <v>46324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3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20261030_2015</t>
        </is>
      </c>
      <c r="B75" s="13" t="n">
        <v>46325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20261030_2115</t>
        </is>
      </c>
      <c r="B77" s="13" t="n">
        <v>46325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2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10</v>
      </c>
      <c r="I80" s="11" t="n">
        <v>3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20261030_2359</t>
        </is>
      </c>
      <c r="B87" s="13" t="n">
        <v>46325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4</v>
      </c>
      <c r="I88" s="11" t="n">
        <v>0</v>
      </c>
      <c r="J88" s="12" t="n">
        <v>192</v>
      </c>
      <c r="K88" s="12" t="n">
        <v>0</v>
      </c>
      <c r="L88" s="12" t="n">
        <v>174.56</v>
      </c>
      <c r="M88" s="12" t="n">
        <v>17.44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I2</t>
        </is>
      </c>
      <c r="F89" s="23">
        <f>IFERROR(INDEX(Tariffe!$B$2:$B$200,MATCH(E89,Tariffe!$A$2:$A$200,0)),"DA DEFINIRE")</f>
        <v/>
      </c>
      <c r="G89" s="16" t="n">
        <v>36</v>
      </c>
      <c r="H89" s="15" t="n">
        <v>1</v>
      </c>
      <c r="I89" s="15" t="n">
        <v>0</v>
      </c>
      <c r="J89" s="16" t="n">
        <v>36</v>
      </c>
      <c r="K89" s="16" t="n">
        <v>0</v>
      </c>
      <c r="L89" s="16" t="n">
        <v>32.73</v>
      </c>
      <c r="M89" s="16" t="n">
        <v>3.27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3</v>
      </c>
      <c r="I90" s="11" t="n">
        <v>2</v>
      </c>
      <c r="J90" s="12" t="n">
        <v>180</v>
      </c>
      <c r="K90" s="12" t="n">
        <v>0</v>
      </c>
      <c r="L90" s="12" t="n">
        <v>163.65</v>
      </c>
      <c r="M90" s="12" t="n">
        <v>16.35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2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9</v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2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6</v>
      </c>
      <c r="I95" s="15" t="n">
        <v>0</v>
      </c>
      <c r="J95" s="16" t="n">
        <v>144</v>
      </c>
      <c r="K95" s="16" t="n">
        <v>0</v>
      </c>
      <c r="L95" s="16" t="n">
        <v>130.92</v>
      </c>
      <c r="M95" s="16" t="n">
        <v>13.08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7</v>
      </c>
      <c r="I96" s="11" t="n">
        <v>3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3</v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20261031_2215</t>
        </is>
      </c>
      <c r="B98" s="9" t="n">
        <v>46326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21</v>
      </c>
      <c r="I98" s="11" t="n">
        <v>0</v>
      </c>
      <c r="J98" s="12" t="n">
        <v>504</v>
      </c>
      <c r="K98" s="12" t="n">
        <v>0</v>
      </c>
      <c r="L98" s="12" t="n">
        <v>458.22</v>
      </c>
      <c r="M98" s="12" t="n">
        <v>45.78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17</v>
      </c>
      <c r="I99" s="15" t="n">
        <v>0</v>
      </c>
      <c r="J99" s="16" t="n">
        <v>816</v>
      </c>
      <c r="K99" s="16" t="n">
        <v>0</v>
      </c>
      <c r="L99" s="16" t="n">
        <v>741.88</v>
      </c>
      <c r="M99" s="16" t="n">
        <v>74.12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2</v>
      </c>
      <c r="I100" s="11" t="n">
        <v>0</v>
      </c>
      <c r="J100" s="12" t="n">
        <v>72</v>
      </c>
      <c r="K100" s="12" t="n">
        <v>0</v>
      </c>
      <c r="L100" s="12" t="n">
        <v>65.45999999999999</v>
      </c>
      <c r="M100" s="12" t="n">
        <v>6.54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3</v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17</v>
      </c>
      <c r="I102" s="11" t="n">
        <v>0</v>
      </c>
      <c r="J102" s="12" t="n">
        <v>408</v>
      </c>
      <c r="K102" s="12" t="n">
        <v>0</v>
      </c>
      <c r="L102" s="12" t="n">
        <v>370.94</v>
      </c>
      <c r="M102" s="12" t="n">
        <v>37.06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13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2</v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7</v>
      </c>
      <c r="I106" s="11" t="n">
        <v>0</v>
      </c>
      <c r="J106" s="12" t="n">
        <v>168</v>
      </c>
      <c r="K106" s="12" t="n">
        <v>0</v>
      </c>
      <c r="L106" s="12" t="n">
        <v>152.74</v>
      </c>
      <c r="M106" s="12" t="n">
        <v>15.26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2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20261101_2015</t>
        </is>
      </c>
      <c r="B109" s="13" t="n">
        <v>46327</v>
      </c>
      <c r="C109" s="14" t="n">
        <v>0.84375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2</v>
      </c>
      <c r="I109" s="15" t="n">
        <v>0</v>
      </c>
      <c r="J109" s="16" t="n">
        <v>48</v>
      </c>
      <c r="K109" s="16" t="n">
        <v>0</v>
      </c>
      <c r="L109" s="16" t="n">
        <v>43.64</v>
      </c>
      <c r="M109" s="16" t="n">
        <v>4.36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3</v>
      </c>
      <c r="I110" s="11" t="n">
        <v>0</v>
      </c>
      <c r="J110" s="12" t="n">
        <v>144</v>
      </c>
      <c r="K110" s="12" t="n">
        <v>0</v>
      </c>
      <c r="L110" s="12" t="n">
        <v>130.92</v>
      </c>
      <c r="M110" s="12" t="n">
        <v>13.08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2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20261101_2115</t>
        </is>
      </c>
      <c r="B112" s="9" t="n">
        <v>46327</v>
      </c>
      <c r="C112" s="10" t="n">
        <v>0.8854166666666666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3</v>
      </c>
      <c r="I112" s="11" t="n">
        <v>0</v>
      </c>
      <c r="J112" s="12" t="n">
        <v>72</v>
      </c>
      <c r="K112" s="12" t="n">
        <v>0</v>
      </c>
      <c r="L112" s="12" t="n">
        <v>65.45999999999999</v>
      </c>
      <c r="M112" s="12" t="n">
        <v>6.54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20261101_2215</t>
        </is>
      </c>
      <c r="B115" s="13" t="n">
        <v>46327</v>
      </c>
      <c r="C115" s="14" t="n">
        <v>0.9270833333333334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4</v>
      </c>
      <c r="I115" s="15" t="n">
        <v>0</v>
      </c>
      <c r="J115" s="16" t="n">
        <v>96</v>
      </c>
      <c r="K115" s="16" t="n">
        <v>0</v>
      </c>
      <c r="L115" s="16" t="n">
        <v>87.28</v>
      </c>
      <c r="M115" s="16" t="n">
        <v>8.720000000000001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20261101_2315</t>
        </is>
      </c>
      <c r="B117" s="13" t="n">
        <v>46327</v>
      </c>
      <c r="C117" s="14" t="n">
        <v>0.96875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2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20261101_2359</t>
        </is>
      </c>
      <c r="B119" s="13" t="n">
        <v>46327</v>
      </c>
      <c r="C119" s="14" t="n">
        <v>0.9993055555555556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1</v>
      </c>
      <c r="I119" s="15" t="n">
        <v>0</v>
      </c>
      <c r="J119" s="16" t="n">
        <v>24</v>
      </c>
      <c r="K119" s="16" t="n">
        <v>0</v>
      </c>
      <c r="L119" s="16" t="n">
        <v>21.82</v>
      </c>
      <c r="M119" s="16" t="n">
        <v>2.18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20261102_2215</t>
        </is>
      </c>
      <c r="B120" s="9" t="n">
        <v>46328</v>
      </c>
      <c r="C120" s="10" t="n">
        <v>0.9270833333333334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3</v>
      </c>
      <c r="I120" s="11" t="n">
        <v>0</v>
      </c>
      <c r="J120" s="12" t="n">
        <v>45</v>
      </c>
      <c r="K120" s="12" t="n">
        <v>0</v>
      </c>
      <c r="L120" s="12" t="n">
        <v>40.92</v>
      </c>
      <c r="M120" s="12" t="n">
        <v>4.08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20261102_2315</t>
        </is>
      </c>
      <c r="B121" s="13" t="n">
        <v>46328</v>
      </c>
      <c r="C121" s="14" t="n">
        <v>0.96875</v>
      </c>
      <c r="D121" s="23" t="inlineStr">
        <is>
          <t>UN Unico</t>
        </is>
      </c>
      <c r="E121" s="23" t="inlineStr">
        <is>
          <t>I1</t>
        </is>
      </c>
      <c r="F121" s="23">
        <f>IFERROR(INDEX(Tariffe!$B$2:$B$200,MATCH(E121,Tariffe!$A$2:$A$200,0)),"DA DEFINIRE")</f>
        <v/>
      </c>
      <c r="G121" s="16" t="n">
        <v>15</v>
      </c>
      <c r="H121" s="15" t="n">
        <v>2</v>
      </c>
      <c r="I121" s="15" t="n">
        <v>0</v>
      </c>
      <c r="J121" s="16" t="n">
        <v>30</v>
      </c>
      <c r="K121" s="16" t="n">
        <v>0</v>
      </c>
      <c r="L121" s="16" t="n">
        <v>27.28</v>
      </c>
      <c r="M121" s="16" t="n">
        <v>2.72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</sheetData>
  <autoFilter ref="A1:P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</sheetData>
  <autoFilter ref="A1:G6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</sheetData>
  <autoFilter ref="A1:K6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95</v>
      </c>
      <c r="M9" s="11" t="n">
        <v>288</v>
      </c>
      <c r="N9" s="12" t="n">
        <v>3456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29</v>
      </c>
      <c r="H17" s="11" t="n">
        <v>83</v>
      </c>
      <c r="I17" s="12" t="n">
        <v>996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38</v>
      </c>
      <c r="C23" s="11" t="n">
        <v>121</v>
      </c>
      <c r="D23" s="12" t="n">
        <v>1452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2026-10-24T11:20:35Z</dcterms:created>
  <dcterms:modified xsi:type="dcterms:W3CDTF">2026-10-24T11:20:36Z</dcterms:modified>
</cp:coreProperties>
</file>