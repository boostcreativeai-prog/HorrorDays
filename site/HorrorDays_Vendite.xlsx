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'Storico'!$A$1:$G$473</definedName>
    <definedName name="_xlnm._FilterDatabase" localSheetId="8" hidden="1">'Registro vendite'!$A$1:$K$431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'Storico'!$H$2:$H$473</f>
            </numRef>
          </cat>
          <val>
            <numRef>
              <f>'Storico'!$C$2:$C$473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9</v>
      </c>
      <c r="I5" s="15" t="n">
        <v>0</v>
      </c>
      <c r="J5" s="16" t="n">
        <v>216</v>
      </c>
      <c r="K5" s="16" t="n">
        <v>0</v>
      </c>
      <c r="L5" s="16" t="n">
        <v>196.38</v>
      </c>
      <c r="M5" s="16" t="n">
        <v>19.62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14</v>
      </c>
      <c r="I6" s="11" t="n">
        <v>1</v>
      </c>
      <c r="J6" s="12" t="n">
        <v>672</v>
      </c>
      <c r="K6" s="12" t="n">
        <v>0</v>
      </c>
      <c r="L6" s="12" t="n">
        <v>610.96</v>
      </c>
      <c r="M6" s="12" t="n">
        <v>61.04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8</v>
      </c>
      <c r="I12" s="11" t="n">
        <v>0</v>
      </c>
      <c r="J12" s="12" t="n">
        <v>480</v>
      </c>
      <c r="K12" s="12" t="n">
        <v>0</v>
      </c>
      <c r="L12" s="12" t="n">
        <v>436.4</v>
      </c>
      <c r="M12" s="12" t="n">
        <v>43.6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15</v>
      </c>
      <c r="I13" s="15" t="n">
        <v>0</v>
      </c>
      <c r="J13" s="16" t="n">
        <v>360</v>
      </c>
      <c r="K13" s="16" t="n">
        <v>0</v>
      </c>
      <c r="L13" s="16" t="n">
        <v>327.3</v>
      </c>
      <c r="M13" s="16" t="n">
        <v>32.7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17</v>
      </c>
      <c r="I17" s="15" t="n">
        <v>0</v>
      </c>
      <c r="J17" s="16" t="n">
        <v>408</v>
      </c>
      <c r="K17" s="16" t="n">
        <v>0</v>
      </c>
      <c r="L17" s="16" t="n">
        <v>370.94</v>
      </c>
      <c r="M17" s="16" t="n">
        <v>37.06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1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8</v>
      </c>
      <c r="I39" s="15" t="n">
        <v>0</v>
      </c>
      <c r="J39" s="16" t="n">
        <v>192</v>
      </c>
      <c r="K39" s="16" t="n">
        <v>0</v>
      </c>
      <c r="L39" s="16" t="n">
        <v>174.56</v>
      </c>
      <c r="M39" s="16" t="n">
        <v>17.44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2</v>
      </c>
      <c r="I41" s="15" t="n">
        <v>0</v>
      </c>
      <c r="J41" s="16" t="n">
        <v>72</v>
      </c>
      <c r="K41" s="16" t="n">
        <v>0</v>
      </c>
      <c r="L41" s="16" t="n">
        <v>65.45999999999999</v>
      </c>
      <c r="M41" s="16" t="n">
        <v>6.54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5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5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4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8</v>
      </c>
      <c r="I76" s="11" t="n">
        <v>3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20261030_2315</t>
        </is>
      </c>
      <c r="B77" s="13" t="n">
        <v>46325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20261030_2359</t>
        </is>
      </c>
      <c r="B80" s="9" t="n">
        <v>46325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</v>
      </c>
      <c r="I80" s="11" t="n">
        <v>0</v>
      </c>
      <c r="J80" s="12" t="n">
        <v>48</v>
      </c>
      <c r="K80" s="12" t="n">
        <v>0</v>
      </c>
      <c r="L80" s="12" t="n">
        <v>43.64</v>
      </c>
      <c r="M80" s="12" t="n">
        <v>4.36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20261030_2359</t>
        </is>
      </c>
      <c r="B81" s="13" t="n">
        <v>46325</v>
      </c>
      <c r="C81" s="14" t="n">
        <v>0.9993055555555556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6</v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20261031_2015</t>
        </is>
      </c>
      <c r="B83" s="13" t="n">
        <v>46326</v>
      </c>
      <c r="C83" s="14" t="n">
        <v>0.84375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2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20261031_2015</t>
        </is>
      </c>
      <c r="B84" s="9" t="n">
        <v>46326</v>
      </c>
      <c r="C84" s="10" t="n">
        <v>0.84375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3</v>
      </c>
      <c r="I84" s="11" t="n">
        <v>2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</v>
      </c>
      <c r="I85" s="15" t="n">
        <v>0</v>
      </c>
      <c r="J85" s="16" t="n">
        <v>24</v>
      </c>
      <c r="K85" s="16" t="n">
        <v>0</v>
      </c>
      <c r="L85" s="16" t="n">
        <v>21.82</v>
      </c>
      <c r="M85" s="16" t="n">
        <v>2.18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20261031_2115</t>
        </is>
      </c>
      <c r="B86" s="9" t="n">
        <v>46326</v>
      </c>
      <c r="C86" s="10" t="n">
        <v>0.8854166666666666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6</v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20261031_2115</t>
        </is>
      </c>
      <c r="B87" s="13" t="n">
        <v>46326</v>
      </c>
      <c r="C87" s="14" t="n">
        <v>0.8854166666666666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2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5</v>
      </c>
      <c r="I88" s="11" t="n">
        <v>0</v>
      </c>
      <c r="J88" s="12" t="n">
        <v>120</v>
      </c>
      <c r="K88" s="12" t="n">
        <v>0</v>
      </c>
      <c r="L88" s="12" t="n">
        <v>109.1</v>
      </c>
      <c r="M88" s="12" t="n">
        <v>10.9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20261031_2215</t>
        </is>
      </c>
      <c r="B89" s="13" t="n">
        <v>46326</v>
      </c>
      <c r="C89" s="14" t="n">
        <v>0.9270833333333334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5</v>
      </c>
      <c r="I89" s="15" t="n">
        <v>3</v>
      </c>
      <c r="J89" s="16" t="n">
        <v>240</v>
      </c>
      <c r="K89" s="16" t="n">
        <v>0</v>
      </c>
      <c r="L89" s="16" t="n">
        <v>218.2</v>
      </c>
      <c r="M89" s="16" t="n">
        <v>21.8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20261031_2215</t>
        </is>
      </c>
      <c r="B90" s="9" t="n">
        <v>46326</v>
      </c>
      <c r="C90" s="10" t="n">
        <v>0.9270833333333334</v>
      </c>
      <c r="D90" s="22" t="inlineStr">
        <is>
          <t>UN Unico</t>
        </is>
      </c>
      <c r="E90" s="22" t="inlineStr">
        <is>
          <t>I2</t>
        </is>
      </c>
      <c r="F90" s="22">
        <f>IFERROR(INDEX(Tariffe!$B$2:$B$200,MATCH(E90,Tariffe!$A$2:$A$200,0)),"DA DEFINIRE")</f>
        <v/>
      </c>
      <c r="G90" s="12" t="n">
        <v>36</v>
      </c>
      <c r="H90" s="11" t="n">
        <v>2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17</v>
      </c>
      <c r="I91" s="15" t="n">
        <v>0</v>
      </c>
      <c r="J91" s="16" t="n">
        <v>408</v>
      </c>
      <c r="K91" s="16" t="n">
        <v>0</v>
      </c>
      <c r="L91" s="16" t="n">
        <v>370.94</v>
      </c>
      <c r="M91" s="16" t="n">
        <v>37.06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20261031_2315</t>
        </is>
      </c>
      <c r="B92" s="9" t="n">
        <v>46326</v>
      </c>
      <c r="C92" s="10" t="n">
        <v>0.96875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14</v>
      </c>
      <c r="I92" s="11" t="n">
        <v>0</v>
      </c>
      <c r="J92" s="12" t="n">
        <v>672</v>
      </c>
      <c r="K92" s="12" t="n">
        <v>0</v>
      </c>
      <c r="L92" s="12" t="n">
        <v>610.96</v>
      </c>
      <c r="M92" s="12" t="n">
        <v>61.04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20261031_2315</t>
        </is>
      </c>
      <c r="B93" s="13" t="n">
        <v>46326</v>
      </c>
      <c r="C93" s="14" t="n">
        <v>0.96875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13</v>
      </c>
      <c r="I94" s="11" t="n">
        <v>0</v>
      </c>
      <c r="J94" s="12" t="n">
        <v>312</v>
      </c>
      <c r="K94" s="12" t="n">
        <v>0</v>
      </c>
      <c r="L94" s="12" t="n">
        <v>283.66</v>
      </c>
      <c r="M94" s="12" t="n">
        <v>28.34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20261031_2359</t>
        </is>
      </c>
      <c r="B95" s="13" t="n">
        <v>46326</v>
      </c>
      <c r="C95" s="14" t="n">
        <v>0.9993055555555556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20261031_2359</t>
        </is>
      </c>
      <c r="B96" s="9" t="n">
        <v>46326</v>
      </c>
      <c r="C96" s="10" t="n">
        <v>0.9993055555555556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5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20261101_2015</t>
        </is>
      </c>
      <c r="B98" s="9" t="n">
        <v>46327</v>
      </c>
      <c r="C98" s="10" t="n">
        <v>0.84375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</v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20261101_2115</t>
        </is>
      </c>
      <c r="B99" s="13" t="n">
        <v>46327</v>
      </c>
      <c r="C99" s="14" t="n">
        <v>0.8854166666666666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</v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20261101_2115</t>
        </is>
      </c>
      <c r="B100" s="9" t="n">
        <v>46327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3</v>
      </c>
      <c r="I100" s="11" t="n">
        <v>0</v>
      </c>
      <c r="J100" s="12" t="n">
        <v>72</v>
      </c>
      <c r="K100" s="12" t="n">
        <v>0</v>
      </c>
      <c r="L100" s="12" t="n">
        <v>65.45999999999999</v>
      </c>
      <c r="M100" s="12" t="n">
        <v>6.54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20261101_2215</t>
        </is>
      </c>
      <c r="B101" s="13" t="n">
        <v>46327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20261101_2215</t>
        </is>
      </c>
      <c r="B102" s="9" t="n">
        <v>46327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1</v>
      </c>
      <c r="I102" s="11" t="n">
        <v>0</v>
      </c>
      <c r="J102" s="12" t="n">
        <v>60</v>
      </c>
      <c r="K102" s="12" t="n">
        <v>0</v>
      </c>
      <c r="L102" s="12" t="n">
        <v>54.55</v>
      </c>
      <c r="M102" s="12" t="n">
        <v>5.45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20261101_2215</t>
        </is>
      </c>
      <c r="B103" s="13" t="n">
        <v>46327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4</v>
      </c>
      <c r="I103" s="15" t="n">
        <v>0</v>
      </c>
      <c r="J103" s="16" t="n">
        <v>96</v>
      </c>
      <c r="K103" s="16" t="n">
        <v>0</v>
      </c>
      <c r="L103" s="16" t="n">
        <v>87.28</v>
      </c>
      <c r="M103" s="16" t="n">
        <v>8.720000000000001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20261101_2315</t>
        </is>
      </c>
      <c r="B104" s="9" t="n">
        <v>46327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20261101_2359</t>
        </is>
      </c>
      <c r="B105" s="13" t="n">
        <v>46327</v>
      </c>
      <c r="C105" s="14" t="n">
        <v>0.9993055555555556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</sheetData>
  <autoFilter ref="A1:P1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</sheetData>
  <autoFilter ref="A1:G4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</sheetData>
  <autoFilter ref="A1:K4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98</v>
      </c>
      <c r="M4" s="11" t="n">
        <v>280</v>
      </c>
      <c r="N4" s="12" t="n">
        <v>3360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49</v>
      </c>
      <c r="C18" s="11" t="n">
        <v>145</v>
      </c>
      <c r="D18" s="12" t="n">
        <v>1740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2026-10-19T17:27:24Z</dcterms:created>
  <dcterms:modified xsi:type="dcterms:W3CDTF">2026-10-19T17:27:24Z</dcterms:modified>
</cp:coreProperties>
</file>