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'Vendite'!$A$1:$P$130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'Storico'!$A$1:$G$657</definedName>
    <definedName name="_xlnm._FilterDatabase" localSheetId="8" hidden="1">'Registro vendite'!$A$1:$K$842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'Storico'!$H$2:$H$657</f>
            </numRef>
          </cat>
          <val>
            <numRef>
              <f>'Storico'!$C$2:$C$657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MAX(Storico!A2:A657)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9</v>
      </c>
      <c r="I42" s="11" t="n">
        <v>0</v>
      </c>
      <c r="J42" s="12" t="n">
        <v>432</v>
      </c>
      <c r="K42" s="12" t="n">
        <v>0</v>
      </c>
      <c r="L42" s="12" t="n">
        <v>392.76</v>
      </c>
      <c r="M42" s="12" t="n">
        <v>39.24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5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5</v>
      </c>
      <c r="I44" s="11" t="n">
        <v>0</v>
      </c>
      <c r="J44" s="12" t="n">
        <v>300</v>
      </c>
      <c r="K44" s="12" t="n">
        <v>0</v>
      </c>
      <c r="L44" s="12" t="n">
        <v>272.75</v>
      </c>
      <c r="M44" s="12" t="n">
        <v>27.25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17</v>
      </c>
      <c r="I45" s="15" t="n">
        <v>0</v>
      </c>
      <c r="J45" s="16" t="n">
        <v>408</v>
      </c>
      <c r="K45" s="16" t="n">
        <v>0</v>
      </c>
      <c r="L45" s="16" t="n">
        <v>370.94</v>
      </c>
      <c r="M45" s="16" t="n">
        <v>37.06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19</v>
      </c>
      <c r="I46" s="11" t="n">
        <v>0</v>
      </c>
      <c r="J46" s="12" t="n">
        <v>912</v>
      </c>
      <c r="K46" s="12" t="n">
        <v>0</v>
      </c>
      <c r="L46" s="12" t="n">
        <v>829.16</v>
      </c>
      <c r="M46" s="12" t="n">
        <v>82.84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3</v>
      </c>
      <c r="I47" s="15" t="n">
        <v>0</v>
      </c>
      <c r="J47" s="16" t="n">
        <v>108</v>
      </c>
      <c r="K47" s="16" t="n">
        <v>0</v>
      </c>
      <c r="L47" s="16" t="n">
        <v>98.19</v>
      </c>
      <c r="M47" s="16" t="n">
        <v>9.81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8</v>
      </c>
      <c r="I48" s="11" t="n">
        <v>0</v>
      </c>
      <c r="J48" s="12" t="n">
        <v>480</v>
      </c>
      <c r="K48" s="12" t="n">
        <v>0</v>
      </c>
      <c r="L48" s="12" t="n">
        <v>436.4</v>
      </c>
      <c r="M48" s="12" t="n">
        <v>43.6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23</v>
      </c>
      <c r="I49" s="15" t="n">
        <v>0</v>
      </c>
      <c r="J49" s="16" t="n">
        <v>552</v>
      </c>
      <c r="K49" s="16" t="n">
        <v>0</v>
      </c>
      <c r="L49" s="16" t="n">
        <v>501.86</v>
      </c>
      <c r="M49" s="16" t="n">
        <v>50.14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15</v>
      </c>
      <c r="I50" s="11" t="n">
        <v>0</v>
      </c>
      <c r="J50" s="12" t="n">
        <v>720</v>
      </c>
      <c r="K50" s="12" t="n">
        <v>0</v>
      </c>
      <c r="L50" s="12" t="n">
        <v>654.6</v>
      </c>
      <c r="M50" s="12" t="n">
        <v>65.40000000000001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3</v>
      </c>
      <c r="I52" s="11" t="n">
        <v>0</v>
      </c>
      <c r="J52" s="12" t="n">
        <v>180</v>
      </c>
      <c r="K52" s="12" t="n">
        <v>0</v>
      </c>
      <c r="L52" s="12" t="n">
        <v>163.65</v>
      </c>
      <c r="M52" s="12" t="n">
        <v>16.35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22</v>
      </c>
      <c r="I53" s="15" t="n">
        <v>0</v>
      </c>
      <c r="J53" s="16" t="n">
        <v>528</v>
      </c>
      <c r="K53" s="16" t="n">
        <v>0</v>
      </c>
      <c r="L53" s="16" t="n">
        <v>480.04</v>
      </c>
      <c r="M53" s="16" t="n">
        <v>47.96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15</v>
      </c>
      <c r="I54" s="11" t="n">
        <v>0</v>
      </c>
      <c r="J54" s="12" t="n">
        <v>720</v>
      </c>
      <c r="K54" s="12" t="n">
        <v>0</v>
      </c>
      <c r="L54" s="12" t="n">
        <v>654.6</v>
      </c>
      <c r="M54" s="12" t="n">
        <v>65.40000000000001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2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11</v>
      </c>
      <c r="I57" s="15" t="n">
        <v>0</v>
      </c>
      <c r="J57" s="16" t="n">
        <v>264</v>
      </c>
      <c r="K57" s="16" t="n">
        <v>0</v>
      </c>
      <c r="L57" s="16" t="n">
        <v>240.02</v>
      </c>
      <c r="M57" s="16" t="n">
        <v>23.98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1</v>
      </c>
      <c r="I59" s="15" t="n">
        <v>0</v>
      </c>
      <c r="J59" s="16" t="n">
        <v>36</v>
      </c>
      <c r="K59" s="16" t="n">
        <v>0</v>
      </c>
      <c r="L59" s="16" t="n">
        <v>32.73</v>
      </c>
      <c r="M59" s="16" t="n">
        <v>3.27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2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2</v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2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9</v>
      </c>
      <c r="I69" s="15" t="n">
        <v>0</v>
      </c>
      <c r="J69" s="16" t="n">
        <v>432</v>
      </c>
      <c r="K69" s="16" t="n">
        <v>0</v>
      </c>
      <c r="L69" s="16" t="n">
        <v>392.76</v>
      </c>
      <c r="M69" s="16" t="n">
        <v>39.24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4</v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15</v>
      </c>
      <c r="I71" s="15" t="n">
        <v>0</v>
      </c>
      <c r="J71" s="16" t="n">
        <v>360</v>
      </c>
      <c r="K71" s="16" t="n">
        <v>0</v>
      </c>
      <c r="L71" s="16" t="n">
        <v>327.3</v>
      </c>
      <c r="M71" s="16" t="n">
        <v>32.7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6</v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</t>
        </is>
      </c>
      <c r="F73" s="23">
        <f>IFERROR(INDEX(Tariffe!$B$2:$B$200,MATCH(E73,Tariffe!$A$2:$A$200,0)),"DA DEFINIRE")</f>
        <v/>
      </c>
      <c r="G73" s="16" t="n">
        <v>36</v>
      </c>
      <c r="H73" s="15" t="n">
        <v>2</v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4</v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8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3</v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2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12</v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</t>
        </is>
      </c>
      <c r="F83" s="23">
        <f>IFERROR(INDEX(Tariffe!$B$2:$B$200,MATCH(E83,Tariffe!$A$2:$A$200,0)),"DA DEFINIRE")</f>
        <v/>
      </c>
      <c r="G83" s="16" t="n">
        <v>36</v>
      </c>
      <c r="H83" s="15" t="n">
        <v>2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2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10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2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7</v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8</v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1</v>
      </c>
      <c r="I94" s="11" t="n">
        <v>0</v>
      </c>
      <c r="J94" s="12" t="n">
        <v>36</v>
      </c>
      <c r="K94" s="12" t="n">
        <v>0</v>
      </c>
      <c r="L94" s="12" t="n">
        <v>32.73</v>
      </c>
      <c r="M94" s="12" t="n">
        <v>3.27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3</v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3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10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4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2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9</v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11</v>
      </c>
      <c r="I101" s="15" t="n">
        <v>3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3</v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</t>
        </is>
      </c>
      <c r="F103" s="23">
        <f>IFERROR(INDEX(Tariffe!$B$2:$B$200,MATCH(E103,Tariffe!$A$2:$A$200,0)),"DA DEFINIRE")</f>
        <v/>
      </c>
      <c r="G103" s="16" t="n">
        <v>60</v>
      </c>
      <c r="H103" s="15" t="n">
        <v>2</v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</t>
        </is>
      </c>
      <c r="F104" s="22">
        <f>IFERROR(INDEX(Tariffe!$B$2:$B$200,MATCH(E104,Tariffe!$A$2:$A$200,0)),"DA DEFINIRE")</f>
        <v/>
      </c>
      <c r="G104" s="12" t="n">
        <v>24</v>
      </c>
      <c r="H104" s="11" t="n">
        <v>26</v>
      </c>
      <c r="I104" s="11" t="n">
        <v>0</v>
      </c>
      <c r="J104" s="12" t="n">
        <v>624</v>
      </c>
      <c r="K104" s="12" t="n">
        <v>0</v>
      </c>
      <c r="L104" s="12" t="n">
        <v>567.3200000000001</v>
      </c>
      <c r="M104" s="12" t="n">
        <v>56.68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23</v>
      </c>
      <c r="I105" s="15" t="n">
        <v>0</v>
      </c>
      <c r="J105" s="16" t="n">
        <v>1104</v>
      </c>
      <c r="K105" s="16" t="n">
        <v>0</v>
      </c>
      <c r="L105" s="16" t="n">
        <v>1003.72</v>
      </c>
      <c r="M105" s="16" t="n">
        <v>100.28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2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3</v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19</v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15</v>
      </c>
      <c r="I109" s="15" t="n">
        <v>0</v>
      </c>
      <c r="J109" s="16" t="n">
        <v>720</v>
      </c>
      <c r="K109" s="16" t="n">
        <v>0</v>
      </c>
      <c r="L109" s="16" t="n">
        <v>654.6</v>
      </c>
      <c r="M109" s="16" t="n">
        <v>65.40000000000001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2</v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11</v>
      </c>
      <c r="I112" s="11" t="n">
        <v>0</v>
      </c>
      <c r="J112" s="12" t="n">
        <v>264</v>
      </c>
      <c r="K112" s="12" t="n">
        <v>0</v>
      </c>
      <c r="L112" s="12" t="n">
        <v>240.02</v>
      </c>
      <c r="M112" s="12" t="n">
        <v>23.98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</t>
        </is>
      </c>
      <c r="F113" s="23">
        <f>IFERROR(INDEX(Tariffe!$B$2:$B$200,MATCH(E113,Tariffe!$A$2:$A$200,0)),"DA DEFINIRE")</f>
        <v/>
      </c>
      <c r="G113" s="16" t="n">
        <v>48</v>
      </c>
      <c r="H113" s="15" t="n">
        <v>2</v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1</v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2</v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</t>
        </is>
      </c>
      <c r="F116" s="22">
        <f>IFERROR(INDEX(Tariffe!$B$2:$B$200,MATCH(E116,Tariffe!$A$2:$A$200,0)),"DA DEFINIRE")</f>
        <v/>
      </c>
      <c r="G116" s="12" t="n">
        <v>48</v>
      </c>
      <c r="H116" s="11" t="n">
        <v>4</v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4</v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4</v>
      </c>
      <c r="I118" s="11" t="n">
        <v>0</v>
      </c>
      <c r="J118" s="12" t="n">
        <v>96</v>
      </c>
      <c r="K118" s="12" t="n">
        <v>0</v>
      </c>
      <c r="L118" s="12" t="n">
        <v>87.28</v>
      </c>
      <c r="M118" s="12" t="n">
        <v>8.720000000000001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48</v>
      </c>
      <c r="H119" s="15" t="n">
        <v>1</v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2</v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</t>
        </is>
      </c>
      <c r="F121" s="23">
        <f>IFERROR(INDEX(Tariffe!$B$2:$B$200,MATCH(E121,Tariffe!$A$2:$A$200,0)),"DA DEFINIRE")</f>
        <v/>
      </c>
      <c r="G121" s="16" t="n">
        <v>60</v>
      </c>
      <c r="H121" s="15" t="n">
        <v>1</v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4</v>
      </c>
      <c r="I122" s="11" t="n">
        <v>0</v>
      </c>
      <c r="J122" s="12" t="n">
        <v>96</v>
      </c>
      <c r="K122" s="12" t="n">
        <v>0</v>
      </c>
      <c r="L122" s="12" t="n">
        <v>87.28</v>
      </c>
      <c r="M122" s="12" t="n">
        <v>8.720000000000001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</t>
        </is>
      </c>
      <c r="F123" s="23">
        <f>IFERROR(INDEX(Tariffe!$B$2:$B$200,MATCH(E123,Tariffe!$A$2:$A$200,0)),"DA DEFINIRE")</f>
        <v/>
      </c>
      <c r="G123" s="16" t="n">
        <v>36</v>
      </c>
      <c r="H123" s="15" t="n">
        <v>1</v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2</v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</t>
        </is>
      </c>
      <c r="F125" s="23">
        <f>IFERROR(INDEX(Tariffe!$B$2:$B$200,MATCH(E125,Tariffe!$A$2:$A$200,0)),"DA DEFINIRE")</f>
        <v/>
      </c>
      <c r="G125" s="16" t="n">
        <v>60</v>
      </c>
      <c r="H125" s="15" t="n">
        <v>1</v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</t>
        </is>
      </c>
      <c r="F126" s="22">
        <f>IFERROR(INDEX(Tariffe!$B$2:$B$200,MATCH(E126,Tariffe!$A$2:$A$200,0)),"DA DEFINIRE")</f>
        <v/>
      </c>
      <c r="G126" s="12" t="n">
        <v>24</v>
      </c>
      <c r="H126" s="11" t="n">
        <v>1</v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2</v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3</v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</t>
        </is>
      </c>
      <c r="F129" s="23">
        <f>IFERROR(INDEX(Tariffe!$B$2:$B$200,MATCH(E129,Tariffe!$A$2:$A$200,0)),"DA DEFINIRE")</f>
        <v/>
      </c>
      <c r="G129" s="16" t="n">
        <v>15</v>
      </c>
      <c r="H129" s="15" t="n">
        <v>3</v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H129*O129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</t>
        </is>
      </c>
      <c r="F130" s="22">
        <f>IFERROR(INDEX(Tariffe!$B$2:$B$200,MATCH(E130,Tariffe!$A$2:$A$200,0)),"DA DEFINIRE")</f>
        <v/>
      </c>
      <c r="G130" s="12" t="n">
        <v>15</v>
      </c>
      <c r="H130" s="11" t="n">
        <v>1</v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H130*O130</f>
        <v/>
      </c>
    </row>
  </sheetData>
  <autoFilter ref="A1:P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1041</v>
      </c>
      <c r="C647" s="15" t="n">
        <v>3149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1041</v>
      </c>
      <c r="C648" s="11" t="n">
        <v>3149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1043</v>
      </c>
      <c r="C649" s="15" t="n">
        <v>3157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1045</v>
      </c>
      <c r="C650" s="11" t="n">
        <v>3161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1048</v>
      </c>
      <c r="C651" s="15" t="n">
        <v>3171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1055</v>
      </c>
      <c r="C652" s="11" t="n">
        <v>3187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1055</v>
      </c>
      <c r="C653" s="15" t="n">
        <v>3187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1061</v>
      </c>
      <c r="C654" s="11" t="n">
        <v>3207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1067</v>
      </c>
      <c r="C655" s="15" t="n">
        <v>3227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1072</v>
      </c>
      <c r="C656" s="11" t="n">
        <v>3248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1086</v>
      </c>
      <c r="C657" s="15" t="n">
        <v>3297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</sheetData>
  <autoFilter ref="A1:G65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</sheetData>
  <autoFilter ref="A1:K84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137</v>
      </c>
      <c r="M10" s="11" t="n">
        <v>443</v>
      </c>
      <c r="N10" s="12" t="n">
        <v>5316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60</v>
      </c>
      <c r="C24" s="11" t="n">
        <v>194</v>
      </c>
      <c r="D24" s="12" t="n">
        <v>2328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2026-10-25T11:53:21Z</dcterms:created>
  <dcterms:modified xsi:type="dcterms:W3CDTF">2026-10-25T11:53:22Z</dcterms:modified>
</cp:coreProperties>
</file>