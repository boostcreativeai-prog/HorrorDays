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'Storico'!$A$1:$G$220</definedName>
    <definedName name="_xlnm._FilterDatabase" localSheetId="8" hidden="1">'Registro vendite'!$A$1:$K$155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'Storico'!$H$2:$H$220</f>
            </numRef>
          </cat>
          <val>
            <numRef>
              <f>'Storico'!$C$2:$C$220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8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20261030_2015</t>
        </is>
      </c>
      <c r="B48" s="9" t="n">
        <v>46325</v>
      </c>
      <c r="C48" s="10" t="n">
        <v>0.84375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20261030_2115</t>
        </is>
      </c>
      <c r="B49" s="13" t="n">
        <v>46325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20261030_2215</t>
        </is>
      </c>
      <c r="B51" s="13" t="n">
        <v>46325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3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3</v>
      </c>
      <c r="I52" s="11" t="n">
        <v>0</v>
      </c>
      <c r="J52" s="12" t="n">
        <v>144</v>
      </c>
      <c r="K52" s="12" t="n">
        <v>0</v>
      </c>
      <c r="L52" s="12" t="n">
        <v>130.92</v>
      </c>
      <c r="M52" s="12" t="n">
        <v>13.08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20261030_2315</t>
        </is>
      </c>
      <c r="B54" s="9" t="n">
        <v>46325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2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20261030_2359</t>
        </is>
      </c>
      <c r="B55" s="13" t="n">
        <v>46325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4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20261031_2015</t>
        </is>
      </c>
      <c r="B57" s="13" t="n">
        <v>46326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20261031_2115</t>
        </is>
      </c>
      <c r="B59" s="13" t="n">
        <v>46326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20261031_2215</t>
        </is>
      </c>
      <c r="B61" s="13" t="n">
        <v>46326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4</v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20261031_2315</t>
        </is>
      </c>
      <c r="B63" s="13" t="n">
        <v>46326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3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20261031_2359</t>
        </is>
      </c>
      <c r="B65" s="13" t="n">
        <v>46326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20261101_2015</t>
        </is>
      </c>
      <c r="B66" s="9" t="n">
        <v>46327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20261101_2115</t>
        </is>
      </c>
      <c r="B67" s="13" t="n">
        <v>46327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11/2026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20261101_2215</t>
        </is>
      </c>
      <c r="B68" s="9" t="n">
        <v>46327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11/2026</t>
        </is>
      </c>
      <c r="O68" s="11">
        <f>IFERROR(INDEX(Tariffe!$D$2:$D$200,MATCH(E68,Tariffe!$A$2:$A$200,0))*1,0)</f>
        <v/>
      </c>
      <c r="P68" s="11">
        <f>H68*O68</f>
        <v/>
      </c>
    </row>
  </sheetData>
  <autoFilter ref="A1:P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</sheetData>
  <autoFilter ref="A1:G2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</sheetData>
  <autoFilter ref="A1:K15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9</v>
      </c>
      <c r="C10" s="11" t="n">
        <v>20</v>
      </c>
      <c r="D10" s="12" t="n">
        <v>240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9</v>
      </c>
      <c r="M10" s="11" t="n">
        <v>20</v>
      </c>
      <c r="N10" s="12" t="n">
        <v>240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2026-10-11T14:00:08Z</dcterms:created>
  <dcterms:modified xsi:type="dcterms:W3CDTF">2026-10-11T14:00:09Z</dcterms:modified>
</cp:coreProperties>
</file>