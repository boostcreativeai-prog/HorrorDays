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'Vendite'!$A$1:$P$118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'Storico'!$A$1:$G$579</definedName>
    <definedName name="_xlnm._FilterDatabase" localSheetId="8" hidden="1">'Registro vendite'!$A$1:$K$580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'Storico'!$H$2:$H$579</f>
            </numRef>
          </cat>
          <val>
            <numRef>
              <f>'Storico'!$C$2:$C$579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vendite'!$A$4:$A$22</f>
            </numRef>
          </cat>
          <val>
            <numRef>
              <f>'Picchi vendite'!$B$4:$B$22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MAX(Storico!A2:A579)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14</v>
      </c>
      <c r="I5" s="15" t="n">
        <v>0</v>
      </c>
      <c r="J5" s="16" t="n">
        <v>336</v>
      </c>
      <c r="K5" s="16" t="n">
        <v>0</v>
      </c>
      <c r="L5" s="16" t="n">
        <v>305.48</v>
      </c>
      <c r="M5" s="16" t="n">
        <v>30.52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20</v>
      </c>
      <c r="I6" s="11" t="n">
        <v>2</v>
      </c>
      <c r="J6" s="12" t="n">
        <v>960</v>
      </c>
      <c r="K6" s="12" t="n">
        <v>0</v>
      </c>
      <c r="L6" s="12" t="n">
        <v>872.8</v>
      </c>
      <c r="M6" s="12" t="n">
        <v>87.2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21</v>
      </c>
      <c r="I10" s="11" t="n">
        <v>0</v>
      </c>
      <c r="J10" s="12" t="n">
        <v>1008</v>
      </c>
      <c r="K10" s="12" t="n">
        <v>0</v>
      </c>
      <c r="L10" s="12" t="n">
        <v>916.4400000000001</v>
      </c>
      <c r="M10" s="12" t="n">
        <v>91.56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6</v>
      </c>
      <c r="I11" s="15" t="n">
        <v>0</v>
      </c>
      <c r="J11" s="16" t="n">
        <v>216</v>
      </c>
      <c r="K11" s="16" t="n">
        <v>0</v>
      </c>
      <c r="L11" s="16" t="n">
        <v>196.38</v>
      </c>
      <c r="M11" s="16" t="n">
        <v>19.62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30</v>
      </c>
      <c r="I13" s="15" t="n">
        <v>0</v>
      </c>
      <c r="J13" s="16" t="n">
        <v>720</v>
      </c>
      <c r="K13" s="16" t="n">
        <v>0</v>
      </c>
      <c r="L13" s="16" t="n">
        <v>654.6</v>
      </c>
      <c r="M13" s="16" t="n">
        <v>65.40000000000001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10</v>
      </c>
      <c r="I14" s="11" t="n">
        <v>1</v>
      </c>
      <c r="J14" s="12" t="n">
        <v>480</v>
      </c>
      <c r="K14" s="12" t="n">
        <v>0</v>
      </c>
      <c r="L14" s="12" t="n">
        <v>436.4</v>
      </c>
      <c r="M14" s="12" t="n">
        <v>43.6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4</v>
      </c>
      <c r="I16" s="11" t="n">
        <v>0</v>
      </c>
      <c r="J16" s="12" t="n">
        <v>240</v>
      </c>
      <c r="K16" s="12" t="n">
        <v>0</v>
      </c>
      <c r="L16" s="12" t="n">
        <v>218.2</v>
      </c>
      <c r="M16" s="12" t="n">
        <v>21.8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27</v>
      </c>
      <c r="I17" s="15" t="n">
        <v>0</v>
      </c>
      <c r="J17" s="16" t="n">
        <v>648</v>
      </c>
      <c r="K17" s="16" t="n">
        <v>0</v>
      </c>
      <c r="L17" s="16" t="n">
        <v>589.14</v>
      </c>
      <c r="M17" s="16" t="n">
        <v>58.86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3</v>
      </c>
      <c r="I19" s="15" t="n">
        <v>1</v>
      </c>
      <c r="J19" s="16" t="n">
        <v>108</v>
      </c>
      <c r="K19" s="16" t="n">
        <v>0</v>
      </c>
      <c r="L19" s="16" t="n">
        <v>98.19</v>
      </c>
      <c r="M19" s="16" t="n">
        <v>9.81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2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3</v>
      </c>
      <c r="I28" s="11" t="n">
        <v>4</v>
      </c>
      <c r="J28" s="12" t="n">
        <v>180</v>
      </c>
      <c r="K28" s="12" t="n">
        <v>0</v>
      </c>
      <c r="L28" s="12" t="n">
        <v>163.65</v>
      </c>
      <c r="M28" s="12" t="n">
        <v>16.35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6</v>
      </c>
      <c r="I30" s="11" t="n">
        <v>0</v>
      </c>
      <c r="J30" s="12" t="n">
        <v>288</v>
      </c>
      <c r="K30" s="12" t="n">
        <v>0</v>
      </c>
      <c r="L30" s="12" t="n">
        <v>261.84</v>
      </c>
      <c r="M30" s="12" t="n">
        <v>26.16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28</v>
      </c>
      <c r="I33" s="15" t="n">
        <v>0</v>
      </c>
      <c r="J33" s="16" t="n">
        <v>672</v>
      </c>
      <c r="K33" s="16" t="n">
        <v>0</v>
      </c>
      <c r="L33" s="16" t="n">
        <v>610.96</v>
      </c>
      <c r="M33" s="16" t="n">
        <v>61.04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7</v>
      </c>
      <c r="I34" s="11" t="n">
        <v>0</v>
      </c>
      <c r="J34" s="12" t="n">
        <v>336</v>
      </c>
      <c r="K34" s="12" t="n">
        <v>0</v>
      </c>
      <c r="L34" s="12" t="n">
        <v>305.48</v>
      </c>
      <c r="M34" s="12" t="n">
        <v>30.52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19</v>
      </c>
      <c r="I37" s="15" t="n">
        <v>0</v>
      </c>
      <c r="J37" s="16" t="n">
        <v>456</v>
      </c>
      <c r="K37" s="16" t="n">
        <v>0</v>
      </c>
      <c r="L37" s="16" t="n">
        <v>414.58</v>
      </c>
      <c r="M37" s="16" t="n">
        <v>41.42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8</v>
      </c>
      <c r="I38" s="11" t="n">
        <v>0</v>
      </c>
      <c r="J38" s="12" t="n">
        <v>384</v>
      </c>
      <c r="K38" s="12" t="n">
        <v>0</v>
      </c>
      <c r="L38" s="12" t="n">
        <v>349.12</v>
      </c>
      <c r="M38" s="12" t="n">
        <v>34.88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11</v>
      </c>
      <c r="I40" s="11" t="n">
        <v>0</v>
      </c>
      <c r="J40" s="12" t="n">
        <v>264</v>
      </c>
      <c r="K40" s="12" t="n">
        <v>0</v>
      </c>
      <c r="L40" s="12" t="n">
        <v>240.02</v>
      </c>
      <c r="M40" s="12" t="n">
        <v>23.98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9</v>
      </c>
      <c r="I45" s="15" t="n">
        <v>0</v>
      </c>
      <c r="J45" s="16" t="n">
        <v>432</v>
      </c>
      <c r="K45" s="16" t="n">
        <v>0</v>
      </c>
      <c r="L45" s="16" t="n">
        <v>392.76</v>
      </c>
      <c r="M45" s="16" t="n">
        <v>39.24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2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12</v>
      </c>
      <c r="I51" s="15" t="n">
        <v>0</v>
      </c>
      <c r="J51" s="16" t="n">
        <v>288</v>
      </c>
      <c r="K51" s="16" t="n">
        <v>0</v>
      </c>
      <c r="L51" s="16" t="n">
        <v>261.84</v>
      </c>
      <c r="M51" s="16" t="n">
        <v>26.16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6</v>
      </c>
      <c r="I52" s="11" t="n">
        <v>0</v>
      </c>
      <c r="J52" s="12" t="n">
        <v>288</v>
      </c>
      <c r="K52" s="12" t="n">
        <v>0</v>
      </c>
      <c r="L52" s="12" t="n">
        <v>261.84</v>
      </c>
      <c r="M52" s="12" t="n">
        <v>26.16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I2</t>
        </is>
      </c>
      <c r="F53" s="23">
        <f>IFERROR(INDEX(Tariffe!$B$2:$B$200,MATCH(E53,Tariffe!$A$2:$A$200,0)),"DA DEFINIRE")</f>
        <v/>
      </c>
      <c r="G53" s="16" t="n">
        <v>36</v>
      </c>
      <c r="H53" s="15" t="n">
        <v>3</v>
      </c>
      <c r="I53" s="15" t="n">
        <v>0</v>
      </c>
      <c r="J53" s="16" t="n">
        <v>108</v>
      </c>
      <c r="K53" s="16" t="n">
        <v>0</v>
      </c>
      <c r="L53" s="16" t="n">
        <v>98.19</v>
      </c>
      <c r="M53" s="16" t="n">
        <v>9.81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2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3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2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2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3</v>
      </c>
      <c r="I63" s="15" t="n">
        <v>0</v>
      </c>
      <c r="J63" s="16" t="n">
        <v>72</v>
      </c>
      <c r="K63" s="16" t="n">
        <v>0</v>
      </c>
      <c r="L63" s="16" t="n">
        <v>65.45999999999999</v>
      </c>
      <c r="M63" s="16" t="n">
        <v>6.54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6</v>
      </c>
      <c r="I64" s="11" t="n">
        <v>0</v>
      </c>
      <c r="J64" s="12" t="n">
        <v>288</v>
      </c>
      <c r="K64" s="12" t="n">
        <v>0</v>
      </c>
      <c r="L64" s="12" t="n">
        <v>261.84</v>
      </c>
      <c r="M64" s="12" t="n">
        <v>26.16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I2</t>
        </is>
      </c>
      <c r="F65" s="23">
        <f>IFERROR(INDEX(Tariffe!$B$2:$B$200,MATCH(E65,Tariffe!$A$2:$A$200,0)),"DA DEFINIRE")</f>
        <v/>
      </c>
      <c r="G65" s="16" t="n">
        <v>36</v>
      </c>
      <c r="H65" s="15" t="n">
        <v>4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20261029_2215</t>
        </is>
      </c>
      <c r="B66" s="9" t="n">
        <v>46324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10</v>
      </c>
      <c r="I66" s="11" t="n">
        <v>0</v>
      </c>
      <c r="J66" s="12" t="n">
        <v>240</v>
      </c>
      <c r="K66" s="12" t="n">
        <v>0</v>
      </c>
      <c r="L66" s="12" t="n">
        <v>218.2</v>
      </c>
      <c r="M66" s="12" t="n">
        <v>21.8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6</v>
      </c>
      <c r="I67" s="15" t="n">
        <v>0</v>
      </c>
      <c r="J67" s="16" t="n">
        <v>288</v>
      </c>
      <c r="K67" s="16" t="n">
        <v>0</v>
      </c>
      <c r="L67" s="16" t="n">
        <v>261.84</v>
      </c>
      <c r="M67" s="16" t="n">
        <v>26.16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4</v>
      </c>
      <c r="I69" s="15" t="n">
        <v>0</v>
      </c>
      <c r="J69" s="16" t="n">
        <v>240</v>
      </c>
      <c r="K69" s="16" t="n">
        <v>0</v>
      </c>
      <c r="L69" s="16" t="n">
        <v>218.2</v>
      </c>
      <c r="M69" s="16" t="n">
        <v>21.8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20261029_2359</t>
        </is>
      </c>
      <c r="B72" s="9" t="n">
        <v>46324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20261030_2015</t>
        </is>
      </c>
      <c r="B74" s="9" t="n">
        <v>46325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2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20261030_2115</t>
        </is>
      </c>
      <c r="B76" s="9" t="n">
        <v>46325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4</v>
      </c>
      <c r="I76" s="11" t="n">
        <v>0</v>
      </c>
      <c r="J76" s="12" t="n">
        <v>96</v>
      </c>
      <c r="K76" s="12" t="n">
        <v>0</v>
      </c>
      <c r="L76" s="12" t="n">
        <v>87.28</v>
      </c>
      <c r="M76" s="12" t="n">
        <v>8.720000000000001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9</v>
      </c>
      <c r="I77" s="15" t="n">
        <v>0</v>
      </c>
      <c r="J77" s="16" t="n">
        <v>432</v>
      </c>
      <c r="K77" s="16" t="n">
        <v>0</v>
      </c>
      <c r="L77" s="16" t="n">
        <v>392.76</v>
      </c>
      <c r="M77" s="16" t="n">
        <v>39.24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2</v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20261030_2215</t>
        </is>
      </c>
      <c r="B79" s="13" t="n">
        <v>46325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10</v>
      </c>
      <c r="I79" s="15" t="n">
        <v>3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20261030_2315</t>
        </is>
      </c>
      <c r="B83" s="13" t="n">
        <v>46325</v>
      </c>
      <c r="C83" s="14" t="n">
        <v>0.96875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5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20261030_2359</t>
        </is>
      </c>
      <c r="B86" s="9" t="n">
        <v>46325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7</v>
      </c>
      <c r="I86" s="11" t="n">
        <v>0</v>
      </c>
      <c r="J86" s="12" t="n">
        <v>168</v>
      </c>
      <c r="K86" s="12" t="n">
        <v>0</v>
      </c>
      <c r="L86" s="12" t="n">
        <v>152.74</v>
      </c>
      <c r="M86" s="12" t="n">
        <v>15.26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4</v>
      </c>
      <c r="I87" s="15" t="n">
        <v>0</v>
      </c>
      <c r="J87" s="16" t="n">
        <v>192</v>
      </c>
      <c r="K87" s="16" t="n">
        <v>0</v>
      </c>
      <c r="L87" s="16" t="n">
        <v>174.56</v>
      </c>
      <c r="M87" s="16" t="n">
        <v>17.44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I2</t>
        </is>
      </c>
      <c r="F88" s="22">
        <f>IFERROR(INDEX(Tariffe!$B$2:$B$200,MATCH(E88,Tariffe!$A$2:$A$200,0)),"DA DEFINIRE")</f>
        <v/>
      </c>
      <c r="G88" s="12" t="n">
        <v>36</v>
      </c>
      <c r="H88" s="11" t="n">
        <v>1</v>
      </c>
      <c r="I88" s="11" t="n">
        <v>0</v>
      </c>
      <c r="J88" s="12" t="n">
        <v>36</v>
      </c>
      <c r="K88" s="12" t="n">
        <v>0</v>
      </c>
      <c r="L88" s="12" t="n">
        <v>32.73</v>
      </c>
      <c r="M88" s="12" t="n">
        <v>3.27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3</v>
      </c>
      <c r="I89" s="15" t="n">
        <v>2</v>
      </c>
      <c r="J89" s="16" t="n">
        <v>180</v>
      </c>
      <c r="K89" s="16" t="n">
        <v>0</v>
      </c>
      <c r="L89" s="16" t="n">
        <v>163.65</v>
      </c>
      <c r="M89" s="16" t="n">
        <v>16.35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20261031_2015</t>
        </is>
      </c>
      <c r="B90" s="9" t="n">
        <v>46326</v>
      </c>
      <c r="C90" s="10" t="n">
        <v>0.84375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2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9</v>
      </c>
      <c r="I91" s="15" t="n">
        <v>0</v>
      </c>
      <c r="J91" s="16" t="n">
        <v>432</v>
      </c>
      <c r="K91" s="16" t="n">
        <v>0</v>
      </c>
      <c r="L91" s="16" t="n">
        <v>392.76</v>
      </c>
      <c r="M91" s="16" t="n">
        <v>39.24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20261031_2115</t>
        </is>
      </c>
      <c r="B93" s="13" t="n">
        <v>46326</v>
      </c>
      <c r="C93" s="14" t="n">
        <v>0.8854166666666666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2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20261031_2115</t>
        </is>
      </c>
      <c r="B94" s="9" t="n">
        <v>46326</v>
      </c>
      <c r="C94" s="10" t="n">
        <v>0.8854166666666666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6</v>
      </c>
      <c r="I94" s="11" t="n">
        <v>0</v>
      </c>
      <c r="J94" s="12" t="n">
        <v>144</v>
      </c>
      <c r="K94" s="12" t="n">
        <v>0</v>
      </c>
      <c r="L94" s="12" t="n">
        <v>130.92</v>
      </c>
      <c r="M94" s="12" t="n">
        <v>13.08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6</v>
      </c>
      <c r="I95" s="15" t="n">
        <v>3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20261031_2215</t>
        </is>
      </c>
      <c r="B96" s="9" t="n">
        <v>46326</v>
      </c>
      <c r="C96" s="10" t="n">
        <v>0.9270833333333334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2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20261031_2215</t>
        </is>
      </c>
      <c r="B97" s="13" t="n">
        <v>46326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20</v>
      </c>
      <c r="I97" s="15" t="n">
        <v>0</v>
      </c>
      <c r="J97" s="16" t="n">
        <v>480</v>
      </c>
      <c r="K97" s="16" t="n">
        <v>0</v>
      </c>
      <c r="L97" s="16" t="n">
        <v>436.4</v>
      </c>
      <c r="M97" s="16" t="n">
        <v>43.6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15</v>
      </c>
      <c r="I98" s="11" t="n">
        <v>0</v>
      </c>
      <c r="J98" s="12" t="n">
        <v>720</v>
      </c>
      <c r="K98" s="12" t="n">
        <v>0</v>
      </c>
      <c r="L98" s="12" t="n">
        <v>654.6</v>
      </c>
      <c r="M98" s="12" t="n">
        <v>65.40000000000001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1</v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20261031_2315</t>
        </is>
      </c>
      <c r="B100" s="9" t="n">
        <v>46326</v>
      </c>
      <c r="C100" s="10" t="n">
        <v>0.96875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3</v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20261031_2315</t>
        </is>
      </c>
      <c r="B101" s="13" t="n">
        <v>46326</v>
      </c>
      <c r="C101" s="14" t="n">
        <v>0.96875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15</v>
      </c>
      <c r="I101" s="15" t="n">
        <v>0</v>
      </c>
      <c r="J101" s="16" t="n">
        <v>360</v>
      </c>
      <c r="K101" s="16" t="n">
        <v>0</v>
      </c>
      <c r="L101" s="16" t="n">
        <v>327.3</v>
      </c>
      <c r="M101" s="16" t="n">
        <v>32.7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9</v>
      </c>
      <c r="I102" s="11" t="n">
        <v>0</v>
      </c>
      <c r="J102" s="12" t="n">
        <v>432</v>
      </c>
      <c r="K102" s="12" t="n">
        <v>0</v>
      </c>
      <c r="L102" s="12" t="n">
        <v>392.76</v>
      </c>
      <c r="M102" s="12" t="n">
        <v>39.24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1</v>
      </c>
      <c r="I103" s="15" t="n">
        <v>0</v>
      </c>
      <c r="J103" s="16" t="n">
        <v>36</v>
      </c>
      <c r="K103" s="16" t="n">
        <v>0</v>
      </c>
      <c r="L103" s="16" t="n">
        <v>32.73</v>
      </c>
      <c r="M103" s="16" t="n">
        <v>3.27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20261031_2359</t>
        </is>
      </c>
      <c r="B104" s="9" t="n">
        <v>46326</v>
      </c>
      <c r="C104" s="10" t="n">
        <v>0.9993055555555556</v>
      </c>
      <c r="D104" s="22" t="inlineStr">
        <is>
          <t>UN Unico</t>
        </is>
      </c>
      <c r="E104" s="22" t="inlineStr">
        <is>
          <t>I5</t>
        </is>
      </c>
      <c r="F104" s="22">
        <f>IFERROR(INDEX(Tariffe!$B$2:$B$200,MATCH(E104,Tariffe!$A$2:$A$200,0)),"DA DEFINIRE")</f>
        <v/>
      </c>
      <c r="G104" s="12" t="n">
        <v>60</v>
      </c>
      <c r="H104" s="11" t="n">
        <v>2</v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20261031_2359</t>
        </is>
      </c>
      <c r="B105" s="13" t="n">
        <v>46326</v>
      </c>
      <c r="C105" s="14" t="n">
        <v>0.9993055555555556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7</v>
      </c>
      <c r="I105" s="15" t="n">
        <v>0</v>
      </c>
      <c r="J105" s="16" t="n">
        <v>168</v>
      </c>
      <c r="K105" s="16" t="n">
        <v>0</v>
      </c>
      <c r="L105" s="16" t="n">
        <v>152.74</v>
      </c>
      <c r="M105" s="16" t="n">
        <v>15.26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20261101_2015</t>
        </is>
      </c>
      <c r="B106" s="9" t="n">
        <v>46327</v>
      </c>
      <c r="C106" s="10" t="n">
        <v>0.84375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2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20261101_2015</t>
        </is>
      </c>
      <c r="B107" s="13" t="n">
        <v>46327</v>
      </c>
      <c r="C107" s="14" t="n">
        <v>0.84375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20261101_2015</t>
        </is>
      </c>
      <c r="B108" s="9" t="n">
        <v>46327</v>
      </c>
      <c r="C108" s="10" t="n">
        <v>0.84375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</v>
      </c>
      <c r="I108" s="11" t="n">
        <v>0</v>
      </c>
      <c r="J108" s="12" t="n">
        <v>24</v>
      </c>
      <c r="K108" s="12" t="n">
        <v>0</v>
      </c>
      <c r="L108" s="12" t="n">
        <v>21.82</v>
      </c>
      <c r="M108" s="12" t="n">
        <v>2.18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20261101_2115</t>
        </is>
      </c>
      <c r="B109" s="13" t="n">
        <v>46327</v>
      </c>
      <c r="C109" s="14" t="n">
        <v>0.8854166666666666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2</v>
      </c>
      <c r="I109" s="15" t="n">
        <v>0</v>
      </c>
      <c r="J109" s="16" t="n">
        <v>96</v>
      </c>
      <c r="K109" s="16" t="n">
        <v>0</v>
      </c>
      <c r="L109" s="16" t="n">
        <v>87.28</v>
      </c>
      <c r="M109" s="16" t="n">
        <v>8.720000000000001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20261101_2115</t>
        </is>
      </c>
      <c r="B110" s="9" t="n">
        <v>46327</v>
      </c>
      <c r="C110" s="10" t="n">
        <v>0.8854166666666666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20261101_2115</t>
        </is>
      </c>
      <c r="B111" s="13" t="n">
        <v>46327</v>
      </c>
      <c r="C111" s="14" t="n">
        <v>0.8854166666666666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3</v>
      </c>
      <c r="I111" s="15" t="n">
        <v>0</v>
      </c>
      <c r="J111" s="16" t="n">
        <v>72</v>
      </c>
      <c r="K111" s="16" t="n">
        <v>0</v>
      </c>
      <c r="L111" s="16" t="n">
        <v>65.45999999999999</v>
      </c>
      <c r="M111" s="16" t="n">
        <v>6.54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20261101_2215</t>
        </is>
      </c>
      <c r="B112" s="9" t="n">
        <v>46327</v>
      </c>
      <c r="C112" s="10" t="n">
        <v>0.9270833333333334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20261101_2215</t>
        </is>
      </c>
      <c r="B113" s="13" t="n">
        <v>46327</v>
      </c>
      <c r="C113" s="14" t="n">
        <v>0.9270833333333334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20261101_2215</t>
        </is>
      </c>
      <c r="B114" s="9" t="n">
        <v>46327</v>
      </c>
      <c r="C114" s="10" t="n">
        <v>0.9270833333333334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4</v>
      </c>
      <c r="I114" s="11" t="n">
        <v>0</v>
      </c>
      <c r="J114" s="12" t="n">
        <v>96</v>
      </c>
      <c r="K114" s="12" t="n">
        <v>0</v>
      </c>
      <c r="L114" s="12" t="n">
        <v>87.28</v>
      </c>
      <c r="M114" s="12" t="n">
        <v>8.720000000000001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20261101_2315</t>
        </is>
      </c>
      <c r="B115" s="13" t="n">
        <v>46327</v>
      </c>
      <c r="C115" s="14" t="n">
        <v>0.96875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1</v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20261101_2315</t>
        </is>
      </c>
      <c r="B116" s="9" t="n">
        <v>46327</v>
      </c>
      <c r="C116" s="10" t="n">
        <v>0.96875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1</v>
      </c>
      <c r="I116" s="11" t="n">
        <v>0</v>
      </c>
      <c r="J116" s="12" t="n">
        <v>24</v>
      </c>
      <c r="K116" s="12" t="n">
        <v>0</v>
      </c>
      <c r="L116" s="12" t="n">
        <v>21.82</v>
      </c>
      <c r="M116" s="12" t="n">
        <v>2.18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20261101_2359</t>
        </is>
      </c>
      <c r="B117" s="13" t="n">
        <v>46327</v>
      </c>
      <c r="C117" s="14" t="n">
        <v>0.9993055555555556</v>
      </c>
      <c r="D117" s="23" t="inlineStr">
        <is>
          <t>UN Unico</t>
        </is>
      </c>
      <c r="E117" s="23" t="inlineStr">
        <is>
          <t>I5</t>
        </is>
      </c>
      <c r="F117" s="23">
        <f>IFERROR(INDEX(Tariffe!$B$2:$B$200,MATCH(E117,Tariffe!$A$2:$A$200,0)),"DA DEFINIRE")</f>
        <v/>
      </c>
      <c r="G117" s="16" t="n">
        <v>60</v>
      </c>
      <c r="H117" s="15" t="n">
        <v>1</v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20261101_2359</t>
        </is>
      </c>
      <c r="B118" s="9" t="n">
        <v>46327</v>
      </c>
      <c r="C118" s="10" t="n">
        <v>0.9993055555555556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1</v>
      </c>
      <c r="I118" s="11" t="n">
        <v>0</v>
      </c>
      <c r="J118" s="12" t="n">
        <v>24</v>
      </c>
      <c r="K118" s="12" t="n">
        <v>0</v>
      </c>
      <c r="L118" s="12" t="n">
        <v>21.82</v>
      </c>
      <c r="M118" s="12" t="n">
        <v>2.18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</sheetData>
  <autoFilter ref="A1:P11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</sheetData>
  <autoFilter ref="A1:G57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</sheetData>
  <autoFilter ref="A1:K58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18</v>
      </c>
      <c r="H4" s="11" t="n">
        <v>62</v>
      </c>
      <c r="I4" s="12" t="n">
        <v>744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97</v>
      </c>
      <c r="M8" s="11" t="n">
        <v>298</v>
      </c>
      <c r="N8" s="12" t="n">
        <v>3576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14</v>
      </c>
      <c r="H13" s="11" t="n">
        <v>45</v>
      </c>
      <c r="I13" s="12" t="n">
        <v>540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31</v>
      </c>
      <c r="H14" s="11" t="n">
        <v>94</v>
      </c>
      <c r="I14" s="12" t="n">
        <v>1128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34</v>
      </c>
      <c r="H15" s="11" t="n">
        <v>96</v>
      </c>
      <c r="I15" s="12" t="n">
        <v>1152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25</v>
      </c>
      <c r="H17" s="11" t="n">
        <v>70</v>
      </c>
      <c r="I17" s="12" t="n">
        <v>840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56</v>
      </c>
      <c r="H18" s="11" t="n">
        <v>176</v>
      </c>
      <c r="I18" s="12" t="n">
        <v>2112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34</v>
      </c>
      <c r="H19" s="11" t="n">
        <v>98</v>
      </c>
      <c r="I19" s="12" t="n">
        <v>1176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39</v>
      </c>
      <c r="H20" s="11" t="n">
        <v>116</v>
      </c>
      <c r="I20" s="12" t="n">
        <v>1392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A22" s="9" t="n">
        <v>46318</v>
      </c>
      <c r="B22" s="11" t="n">
        <v>33</v>
      </c>
      <c r="C22" s="11" t="n">
        <v>96</v>
      </c>
      <c r="D22" s="12" t="n">
        <v>1152</v>
      </c>
      <c r="F22" s="38" t="inlineStr">
        <is>
          <t>18:00-19:00</t>
        </is>
      </c>
      <c r="G22" s="11" t="n">
        <v>40</v>
      </c>
      <c r="H22" s="11" t="n">
        <v>112</v>
      </c>
      <c r="I22" s="12" t="n">
        <v>1344</v>
      </c>
    </row>
    <row r="23">
      <c r="F23" s="38" t="inlineStr">
        <is>
          <t>19:00-20:00</t>
        </is>
      </c>
      <c r="G23" s="11" t="n">
        <v>54</v>
      </c>
      <c r="H23" s="11" t="n">
        <v>179</v>
      </c>
      <c r="I23" s="12" t="n">
        <v>2148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64</v>
      </c>
      <c r="H25" s="11" t="n">
        <v>190</v>
      </c>
      <c r="I25" s="12" t="n">
        <v>2280</v>
      </c>
    </row>
    <row r="26">
      <c r="F26" s="38" t="inlineStr">
        <is>
          <t>22:00-23:00</t>
        </is>
      </c>
      <c r="G26" s="11" t="n">
        <v>85</v>
      </c>
      <c r="H26" s="11" t="n">
        <v>255</v>
      </c>
      <c r="I26" s="12" t="n">
        <v>3060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2026-10-23T13:36:53Z</dcterms:created>
  <dcterms:modified xsi:type="dcterms:W3CDTF">2026-10-23T13:36:54Z</dcterms:modified>
</cp:coreProperties>
</file>