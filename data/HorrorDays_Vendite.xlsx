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'Storico'!$A$1:$G$50</definedName>
    <definedName name="_xlnm._FilterDatabase" localSheetId="8" hidden="1">'Registro vendite'!$A$1:$K$40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'Storico'!$H$2:$H$50</f>
            </numRef>
          </cat>
          <val>
            <numRef>
              <f>'Storico'!$C$2:$C$50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vendite'!$A$4:$A$5</f>
            </numRef>
          </cat>
          <val>
            <numRef>
              <f>'Picchi vendite'!$B$4:$B$5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2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3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2</v>
      </c>
      <c r="I12" s="11" t="n">
        <v>0</v>
      </c>
      <c r="J12" s="12" t="n">
        <v>48</v>
      </c>
      <c r="K12" s="12" t="n">
        <v>0</v>
      </c>
      <c r="L12" s="12" t="n">
        <v>43.64</v>
      </c>
      <c r="M12" s="12" t="n">
        <v>4.36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</v>
      </c>
      <c r="I14" s="11" t="n">
        <v>0</v>
      </c>
      <c r="J14" s="12" t="n">
        <v>24</v>
      </c>
      <c r="K14" s="12" t="n">
        <v>0</v>
      </c>
      <c r="L14" s="12" t="n">
        <v>21.82</v>
      </c>
      <c r="M14" s="12" t="n">
        <v>2.18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2</v>
      </c>
      <c r="I16" s="11" t="n">
        <v>0</v>
      </c>
      <c r="J16" s="12" t="n">
        <v>48</v>
      </c>
      <c r="K16" s="12" t="n">
        <v>0</v>
      </c>
      <c r="L16" s="12" t="n">
        <v>43.64</v>
      </c>
      <c r="M16" s="12" t="n">
        <v>4.36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0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2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20261025_2115</t>
        </is>
      </c>
      <c r="B21" s="13" t="n">
        <v>46320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20261025_2215</t>
        </is>
      </c>
      <c r="B22" s="9" t="n">
        <v>46320</v>
      </c>
      <c r="C22" s="10" t="n">
        <v>0.9270833333333334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20261029_2215</t>
        </is>
      </c>
      <c r="B23" s="13" t="n">
        <v>46324</v>
      </c>
      <c r="C23" s="14" t="n">
        <v>0.9270833333333334</v>
      </c>
      <c r="D23" s="23" t="inlineStr">
        <is>
          <t>UN Unico</t>
        </is>
      </c>
      <c r="E23" s="23" t="inlineStr">
        <is>
          <t>I1</t>
        </is>
      </c>
      <c r="F23" s="23">
        <f>IFERROR(INDEX(Tariffe!$B$2:$B$200,MATCH(E23,Tariffe!$A$2:$A$200,0)),"DA DEFINIRE")</f>
        <v/>
      </c>
      <c r="G23" s="16" t="n">
        <v>48</v>
      </c>
      <c r="H23" s="15" t="n">
        <v>1</v>
      </c>
      <c r="I23" s="15" t="n">
        <v>0</v>
      </c>
      <c r="J23" s="16" t="n">
        <v>48</v>
      </c>
      <c r="K23" s="16" t="n">
        <v>0</v>
      </c>
      <c r="L23" s="16" t="n">
        <v>43.64</v>
      </c>
      <c r="M23" s="16" t="n">
        <v>4.36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20261029_2215</t>
        </is>
      </c>
      <c r="B24" s="9" t="n">
        <v>46324</v>
      </c>
      <c r="C24" s="10" t="n">
        <v>0.9270833333333334</v>
      </c>
      <c r="D24" s="22" t="inlineStr">
        <is>
          <t>UN Unico</t>
        </is>
      </c>
      <c r="E24" s="22" t="inlineStr">
        <is>
          <t>I2</t>
        </is>
      </c>
      <c r="F24" s="22">
        <f>IFERROR(INDEX(Tariffe!$B$2:$B$200,MATCH(E24,Tariffe!$A$2:$A$200,0)),"DA DEFINIRE")</f>
        <v/>
      </c>
      <c r="G24" s="12" t="n">
        <v>36</v>
      </c>
      <c r="H24" s="11" t="n">
        <v>1</v>
      </c>
      <c r="I24" s="11" t="n">
        <v>0</v>
      </c>
      <c r="J24" s="12" t="n">
        <v>36</v>
      </c>
      <c r="K24" s="12" t="n">
        <v>0</v>
      </c>
      <c r="L24" s="12" t="n">
        <v>32.73</v>
      </c>
      <c r="M24" s="12" t="n">
        <v>3.27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20261029_2215</t>
        </is>
      </c>
      <c r="B25" s="13" t="n">
        <v>46324</v>
      </c>
      <c r="C25" s="14" t="n">
        <v>0.9270833333333334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1</v>
      </c>
      <c r="I25" s="15" t="n">
        <v>0</v>
      </c>
      <c r="J25" s="16" t="n">
        <v>24</v>
      </c>
      <c r="K25" s="16" t="n">
        <v>0</v>
      </c>
      <c r="L25" s="16" t="n">
        <v>21.82</v>
      </c>
      <c r="M25" s="16" t="n">
        <v>2.18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20261029_2359</t>
        </is>
      </c>
      <c r="B26" s="9" t="n">
        <v>46324</v>
      </c>
      <c r="C26" s="10" t="n">
        <v>0.9993055555555556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</v>
      </c>
      <c r="I26" s="11" t="n">
        <v>0</v>
      </c>
      <c r="J26" s="12" t="n">
        <v>24</v>
      </c>
      <c r="K26" s="12" t="n">
        <v>0</v>
      </c>
      <c r="L26" s="12" t="n">
        <v>21.82</v>
      </c>
      <c r="M26" s="12" t="n">
        <v>2.18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20261030_2215</t>
        </is>
      </c>
      <c r="B27" s="13" t="n">
        <v>46325</v>
      </c>
      <c r="C27" s="14" t="n">
        <v>0.9270833333333334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1</v>
      </c>
      <c r="I27" s="15" t="n">
        <v>0</v>
      </c>
      <c r="J27" s="16" t="n">
        <v>24</v>
      </c>
      <c r="K27" s="16" t="n">
        <v>0</v>
      </c>
      <c r="L27" s="16" t="n">
        <v>21.82</v>
      </c>
      <c r="M27" s="16" t="n">
        <v>2.18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20261030_2315</t>
        </is>
      </c>
      <c r="B28" s="9" t="n">
        <v>46325</v>
      </c>
      <c r="C28" s="10" t="n">
        <v>0.96875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2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20261030_2359</t>
        </is>
      </c>
      <c r="B29" s="13" t="n">
        <v>46325</v>
      </c>
      <c r="C29" s="14" t="n">
        <v>0.9993055555555556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20261031_2315</t>
        </is>
      </c>
      <c r="B30" s="9" t="n">
        <v>46326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1</v>
      </c>
      <c r="I30" s="11" t="n">
        <v>0</v>
      </c>
      <c r="J30" s="12" t="n">
        <v>48</v>
      </c>
      <c r="K30" s="12" t="n">
        <v>0</v>
      </c>
      <c r="L30" s="12" t="n">
        <v>43.64</v>
      </c>
      <c r="M30" s="12" t="n">
        <v>4.36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20261031_2359</t>
        </is>
      </c>
      <c r="B31" s="13" t="n">
        <v>46326</v>
      </c>
      <c r="C31" s="14" t="n">
        <v>0.9993055555555556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</v>
      </c>
      <c r="I31" s="15" t="n">
        <v>0</v>
      </c>
      <c r="J31" s="16" t="n">
        <v>24</v>
      </c>
      <c r="K31" s="16" t="n">
        <v>0</v>
      </c>
      <c r="L31" s="16" t="n">
        <v>21.82</v>
      </c>
      <c r="M31" s="16" t="n">
        <v>2.18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</sheetData>
  <autoFilter ref="A1:P3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</sheetData>
  <autoFilter ref="A1:G5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</sheetData>
  <autoFilter ref="A1:K4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16</v>
      </c>
      <c r="C5" s="11" t="n">
        <v>47</v>
      </c>
      <c r="D5" s="12" t="n">
        <v>564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16</v>
      </c>
      <c r="M5" s="11" t="n">
        <v>47</v>
      </c>
      <c r="N5" s="12" t="n">
        <v>564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3</v>
      </c>
      <c r="H17" s="11" t="n">
        <v>7</v>
      </c>
      <c r="I17" s="12" t="n">
        <v>84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3</v>
      </c>
      <c r="H22" s="11" t="n">
        <v>10</v>
      </c>
      <c r="I22" s="12" t="n">
        <v>120</v>
      </c>
    </row>
    <row r="23">
      <c r="F23" s="38" t="inlineStr">
        <is>
          <t>19:00-20:00</t>
        </is>
      </c>
      <c r="G23" s="11" t="n">
        <v>2</v>
      </c>
      <c r="H23" s="11" t="n">
        <v>6</v>
      </c>
      <c r="I23" s="12" t="n">
        <v>72</v>
      </c>
    </row>
    <row r="24">
      <c r="F24" s="38" t="inlineStr">
        <is>
          <t>20:00-21:00</t>
        </is>
      </c>
      <c r="G24" s="11" t="n">
        <v>2</v>
      </c>
      <c r="H24" s="11" t="n">
        <v>6</v>
      </c>
      <c r="I24" s="12" t="n">
        <v>72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2026-10-06T18:21:09Z</dcterms:created>
  <dcterms:modified xsi:type="dcterms:W3CDTF">2026-10-06T18:21:09Z</dcterms:modified>
</cp:coreProperties>
</file>