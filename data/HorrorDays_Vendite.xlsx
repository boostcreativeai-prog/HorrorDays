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'Vendite'!$A$1:$P$130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'Storico'!$A$1:$G$661</definedName>
    <definedName name="_xlnm._FilterDatabase" localSheetId="8" hidden="1">'Registro vendite'!$A$1:$K$861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'Storico'!$H$2:$H$661</f>
            </numRef>
          </cat>
          <val>
            <numRef>
              <f>'Storico'!$C$2:$C$661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MAX(Storico!A2:A661)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10</v>
      </c>
      <c r="I42" s="11" t="n">
        <v>0</v>
      </c>
      <c r="J42" s="12" t="n">
        <v>480</v>
      </c>
      <c r="K42" s="12" t="n">
        <v>0</v>
      </c>
      <c r="L42" s="12" t="n">
        <v>436.4</v>
      </c>
      <c r="M42" s="12" t="n">
        <v>43.6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5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5</v>
      </c>
      <c r="I44" s="11" t="n">
        <v>0</v>
      </c>
      <c r="J44" s="12" t="n">
        <v>300</v>
      </c>
      <c r="K44" s="12" t="n">
        <v>0</v>
      </c>
      <c r="L44" s="12" t="n">
        <v>272.75</v>
      </c>
      <c r="M44" s="12" t="n">
        <v>27.25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20</v>
      </c>
      <c r="I45" s="15" t="n">
        <v>0</v>
      </c>
      <c r="J45" s="16" t="n">
        <v>480</v>
      </c>
      <c r="K45" s="16" t="n">
        <v>0</v>
      </c>
      <c r="L45" s="16" t="n">
        <v>436.4</v>
      </c>
      <c r="M45" s="16" t="n">
        <v>43.6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22</v>
      </c>
      <c r="I46" s="11" t="n">
        <v>0</v>
      </c>
      <c r="J46" s="12" t="n">
        <v>1056</v>
      </c>
      <c r="K46" s="12" t="n">
        <v>0</v>
      </c>
      <c r="L46" s="12" t="n">
        <v>960.08</v>
      </c>
      <c r="M46" s="12" t="n">
        <v>95.92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3</v>
      </c>
      <c r="I47" s="15" t="n">
        <v>0</v>
      </c>
      <c r="J47" s="16" t="n">
        <v>108</v>
      </c>
      <c r="K47" s="16" t="n">
        <v>0</v>
      </c>
      <c r="L47" s="16" t="n">
        <v>98.19</v>
      </c>
      <c r="M47" s="16" t="n">
        <v>9.81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8</v>
      </c>
      <c r="I48" s="11" t="n">
        <v>0</v>
      </c>
      <c r="J48" s="12" t="n">
        <v>480</v>
      </c>
      <c r="K48" s="12" t="n">
        <v>0</v>
      </c>
      <c r="L48" s="12" t="n">
        <v>436.4</v>
      </c>
      <c r="M48" s="12" t="n">
        <v>43.6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24</v>
      </c>
      <c r="I49" s="15" t="n">
        <v>0</v>
      </c>
      <c r="J49" s="16" t="n">
        <v>576</v>
      </c>
      <c r="K49" s="16" t="n">
        <v>0</v>
      </c>
      <c r="L49" s="16" t="n">
        <v>523.6799999999999</v>
      </c>
      <c r="M49" s="16" t="n">
        <v>52.32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15</v>
      </c>
      <c r="I50" s="11" t="n">
        <v>0</v>
      </c>
      <c r="J50" s="12" t="n">
        <v>720</v>
      </c>
      <c r="K50" s="12" t="n">
        <v>0</v>
      </c>
      <c r="L50" s="12" t="n">
        <v>654.6</v>
      </c>
      <c r="M50" s="12" t="n">
        <v>65.40000000000001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4</v>
      </c>
      <c r="I52" s="11" t="n">
        <v>0</v>
      </c>
      <c r="J52" s="12" t="n">
        <v>240</v>
      </c>
      <c r="K52" s="12" t="n">
        <v>0</v>
      </c>
      <c r="L52" s="12" t="n">
        <v>218.2</v>
      </c>
      <c r="M52" s="12" t="n">
        <v>21.8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23</v>
      </c>
      <c r="I53" s="15" t="n">
        <v>0</v>
      </c>
      <c r="J53" s="16" t="n">
        <v>552</v>
      </c>
      <c r="K53" s="16" t="n">
        <v>0</v>
      </c>
      <c r="L53" s="16" t="n">
        <v>501.86</v>
      </c>
      <c r="M53" s="16" t="n">
        <v>50.14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17</v>
      </c>
      <c r="I54" s="11" t="n">
        <v>0</v>
      </c>
      <c r="J54" s="12" t="n">
        <v>816</v>
      </c>
      <c r="K54" s="12" t="n">
        <v>0</v>
      </c>
      <c r="L54" s="12" t="n">
        <v>741.88</v>
      </c>
      <c r="M54" s="12" t="n">
        <v>74.12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12</v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1</v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2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10</v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4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15</v>
      </c>
      <c r="I71" s="15" t="n">
        <v>0</v>
      </c>
      <c r="J71" s="16" t="n">
        <v>360</v>
      </c>
      <c r="K71" s="16" t="n">
        <v>0</v>
      </c>
      <c r="L71" s="16" t="n">
        <v>327.3</v>
      </c>
      <c r="M71" s="16" t="n">
        <v>32.7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6</v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</t>
        </is>
      </c>
      <c r="F73" s="23">
        <f>IFERROR(INDEX(Tariffe!$B$2:$B$200,MATCH(E73,Tariffe!$A$2:$A$200,0)),"DA DEFINIRE")</f>
        <v/>
      </c>
      <c r="G73" s="16" t="n">
        <v>36</v>
      </c>
      <c r="H73" s="15" t="n">
        <v>2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4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8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12</v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2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2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10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7</v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8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3</v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12</v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4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2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9</v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11</v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3</v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28</v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23</v>
      </c>
      <c r="I105" s="15" t="n">
        <v>0</v>
      </c>
      <c r="J105" s="16" t="n">
        <v>1104</v>
      </c>
      <c r="K105" s="16" t="n">
        <v>0</v>
      </c>
      <c r="L105" s="16" t="n">
        <v>1003.72</v>
      </c>
      <c r="M105" s="16" t="n">
        <v>100.28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3</v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3</v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19</v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16</v>
      </c>
      <c r="I109" s="15" t="n">
        <v>0</v>
      </c>
      <c r="J109" s="16" t="n">
        <v>768</v>
      </c>
      <c r="K109" s="16" t="n">
        <v>0</v>
      </c>
      <c r="L109" s="16" t="n">
        <v>698.24</v>
      </c>
      <c r="M109" s="16" t="n">
        <v>69.76000000000001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2</v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14</v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2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2</v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</t>
        </is>
      </c>
      <c r="F116" s="22">
        <f>IFERROR(INDEX(Tariffe!$B$2:$B$200,MATCH(E116,Tariffe!$A$2:$A$200,0)),"DA DEFINIRE")</f>
        <v/>
      </c>
      <c r="G116" s="12" t="n">
        <v>48</v>
      </c>
      <c r="H116" s="11" t="n">
        <v>4</v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4</v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5</v>
      </c>
      <c r="I118" s="11" t="n">
        <v>0</v>
      </c>
      <c r="J118" s="12" t="n">
        <v>120</v>
      </c>
      <c r="K118" s="12" t="n">
        <v>0</v>
      </c>
      <c r="L118" s="12" t="n">
        <v>109.1</v>
      </c>
      <c r="M118" s="12" t="n">
        <v>10.9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48</v>
      </c>
      <c r="H119" s="15" t="n">
        <v>1</v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2</v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5</v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</t>
        </is>
      </c>
      <c r="F123" s="23">
        <f>IFERROR(INDEX(Tariffe!$B$2:$B$200,MATCH(E123,Tariffe!$A$2:$A$200,0)),"DA DEFINIRE")</f>
        <v/>
      </c>
      <c r="G123" s="16" t="n">
        <v>36</v>
      </c>
      <c r="H123" s="15" t="n">
        <v>1</v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2</v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</t>
        </is>
      </c>
      <c r="F125" s="23">
        <f>IFERROR(INDEX(Tariffe!$B$2:$B$200,MATCH(E125,Tariffe!$A$2:$A$200,0)),"DA DEFINIRE")</f>
        <v/>
      </c>
      <c r="G125" s="16" t="n">
        <v>60</v>
      </c>
      <c r="H125" s="15" t="n">
        <v>1</v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</t>
        </is>
      </c>
      <c r="F126" s="22">
        <f>IFERROR(INDEX(Tariffe!$B$2:$B$200,MATCH(E126,Tariffe!$A$2:$A$200,0)),"DA DEFINIRE")</f>
        <v/>
      </c>
      <c r="G126" s="12" t="n">
        <v>24</v>
      </c>
      <c r="H126" s="11" t="n">
        <v>1</v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2</v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3</v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</t>
        </is>
      </c>
      <c r="F130" s="22">
        <f>IFERROR(INDEX(Tariffe!$B$2:$B$200,MATCH(E130,Tariffe!$A$2:$A$200,0)),"DA DEFINIRE")</f>
        <v/>
      </c>
      <c r="G130" s="12" t="n">
        <v>15</v>
      </c>
      <c r="H130" s="11" t="n">
        <v>1</v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H130*O130</f>
        <v/>
      </c>
    </row>
  </sheetData>
  <autoFilter ref="A1:P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1067</v>
      </c>
      <c r="C655" s="15" t="n">
        <v>3227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1072</v>
      </c>
      <c r="C656" s="11" t="n">
        <v>3248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1086</v>
      </c>
      <c r="C657" s="15" t="n">
        <v>3297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1097</v>
      </c>
      <c r="C658" s="11" t="n">
        <v>3324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1097</v>
      </c>
      <c r="C659" s="15" t="n">
        <v>3324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1112</v>
      </c>
      <c r="C660" s="11" t="n">
        <v>3373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1113</v>
      </c>
      <c r="C661" s="15" t="n">
        <v>3377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</sheetData>
  <autoFilter ref="A1:G6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</sheetData>
  <autoFilter ref="A1:K86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164</v>
      </c>
      <c r="M10" s="11" t="n">
        <v>523</v>
      </c>
      <c r="N10" s="12" t="n">
        <v>6276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76</v>
      </c>
      <c r="H18" s="11" t="n">
        <v>237</v>
      </c>
      <c r="I18" s="12" t="n">
        <v>2844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87</v>
      </c>
      <c r="C24" s="11" t="n">
        <v>274</v>
      </c>
      <c r="D24" s="12" t="n">
        <v>3288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2026-10-25T13:14:28Z</dcterms:created>
  <dcterms:modified xsi:type="dcterms:W3CDTF">2026-10-25T13:14:29Z</dcterms:modified>
</cp:coreProperties>
</file>