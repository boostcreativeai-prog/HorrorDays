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'Vendite'!$A$1:$P$91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'Storico'!$A$1:$G$367</definedName>
    <definedName name="_xlnm._FilterDatabase" localSheetId="8" hidden="1">'Registro vendite'!$A$1:$K$285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'Storico'!$H$2:$H$367</f>
            </numRef>
          </cat>
          <val>
            <numRef>
              <f>'Storico'!$C$2:$C$367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vendite'!$A$4:$A$15</f>
            </numRef>
          </cat>
          <val>
            <numRef>
              <f>'Picchi vendite'!$B$4:$B$15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MAX(Storico!A2:A367)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7</v>
      </c>
      <c r="I4" s="11" t="n">
        <v>0</v>
      </c>
      <c r="J4" s="12" t="n">
        <v>168</v>
      </c>
      <c r="K4" s="12" t="n">
        <v>0</v>
      </c>
      <c r="L4" s="12" t="n">
        <v>152.74</v>
      </c>
      <c r="M4" s="12" t="n">
        <v>15.26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7</v>
      </c>
      <c r="I5" s="15" t="n">
        <v>1</v>
      </c>
      <c r="J5" s="16" t="n">
        <v>336</v>
      </c>
      <c r="K5" s="16" t="n">
        <v>0</v>
      </c>
      <c r="L5" s="16" t="n">
        <v>305.48</v>
      </c>
      <c r="M5" s="16" t="n">
        <v>30.52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4</v>
      </c>
      <c r="I6" s="11" t="n">
        <v>0</v>
      </c>
      <c r="J6" s="12" t="n">
        <v>144</v>
      </c>
      <c r="K6" s="12" t="n">
        <v>0</v>
      </c>
      <c r="L6" s="12" t="n">
        <v>130.92</v>
      </c>
      <c r="M6" s="12" t="n">
        <v>13.08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16</v>
      </c>
      <c r="I8" s="11" t="n">
        <v>0</v>
      </c>
      <c r="J8" s="12" t="n">
        <v>384</v>
      </c>
      <c r="K8" s="12" t="n">
        <v>0</v>
      </c>
      <c r="L8" s="12" t="n">
        <v>349.12</v>
      </c>
      <c r="M8" s="12" t="n">
        <v>34.88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10</v>
      </c>
      <c r="I9" s="15" t="n">
        <v>0</v>
      </c>
      <c r="J9" s="16" t="n">
        <v>480</v>
      </c>
      <c r="K9" s="16" t="n">
        <v>0</v>
      </c>
      <c r="L9" s="16" t="n">
        <v>436.4</v>
      </c>
      <c r="M9" s="16" t="n">
        <v>43.6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3</v>
      </c>
      <c r="I10" s="11" t="n">
        <v>0</v>
      </c>
      <c r="J10" s="12" t="n">
        <v>108</v>
      </c>
      <c r="K10" s="12" t="n">
        <v>0</v>
      </c>
      <c r="L10" s="12" t="n">
        <v>98.19</v>
      </c>
      <c r="M10" s="12" t="n">
        <v>9.81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10</v>
      </c>
      <c r="I12" s="11" t="n">
        <v>0</v>
      </c>
      <c r="J12" s="12" t="n">
        <v>240</v>
      </c>
      <c r="K12" s="12" t="n">
        <v>0</v>
      </c>
      <c r="L12" s="12" t="n">
        <v>218.2</v>
      </c>
      <c r="M12" s="12" t="n">
        <v>21.8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4</v>
      </c>
      <c r="I14" s="11" t="n">
        <v>0</v>
      </c>
      <c r="J14" s="12" t="n">
        <v>144</v>
      </c>
      <c r="K14" s="12" t="n">
        <v>0</v>
      </c>
      <c r="L14" s="12" t="n">
        <v>130.92</v>
      </c>
      <c r="M14" s="12" t="n">
        <v>13.08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2</v>
      </c>
      <c r="I15" s="15" t="n">
        <v>0</v>
      </c>
      <c r="J15" s="16" t="n">
        <v>120</v>
      </c>
      <c r="K15" s="16" t="n">
        <v>0</v>
      </c>
      <c r="L15" s="16" t="n">
        <v>109.1</v>
      </c>
      <c r="M15" s="16" t="n">
        <v>10.9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12</v>
      </c>
      <c r="I16" s="11" t="n">
        <v>0</v>
      </c>
      <c r="J16" s="12" t="n">
        <v>288</v>
      </c>
      <c r="K16" s="12" t="n">
        <v>0</v>
      </c>
      <c r="L16" s="12" t="n">
        <v>261.84</v>
      </c>
      <c r="M16" s="12" t="n">
        <v>26.16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3</v>
      </c>
      <c r="I17" s="15" t="n">
        <v>0</v>
      </c>
      <c r="J17" s="16" t="n">
        <v>144</v>
      </c>
      <c r="K17" s="16" t="n">
        <v>0</v>
      </c>
      <c r="L17" s="16" t="n">
        <v>130.92</v>
      </c>
      <c r="M17" s="16" t="n">
        <v>13.08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5</v>
      </c>
      <c r="I19" s="15" t="n">
        <v>0</v>
      </c>
      <c r="J19" s="16" t="n">
        <v>120</v>
      </c>
      <c r="K19" s="16" t="n">
        <v>0</v>
      </c>
      <c r="L19" s="16" t="n">
        <v>109.1</v>
      </c>
      <c r="M19" s="16" t="n">
        <v>10.9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9</v>
      </c>
      <c r="I33" s="15" t="n">
        <v>0</v>
      </c>
      <c r="J33" s="16" t="n">
        <v>216</v>
      </c>
      <c r="K33" s="16" t="n">
        <v>0</v>
      </c>
      <c r="L33" s="16" t="n">
        <v>196.38</v>
      </c>
      <c r="M33" s="16" t="n">
        <v>19.62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4</v>
      </c>
      <c r="I34" s="11" t="n">
        <v>0</v>
      </c>
      <c r="J34" s="12" t="n">
        <v>192</v>
      </c>
      <c r="K34" s="12" t="n">
        <v>0</v>
      </c>
      <c r="L34" s="12" t="n">
        <v>174.56</v>
      </c>
      <c r="M34" s="12" t="n">
        <v>17.44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3</v>
      </c>
      <c r="I42" s="11" t="n">
        <v>0</v>
      </c>
      <c r="J42" s="12" t="n">
        <v>72</v>
      </c>
      <c r="K42" s="12" t="n">
        <v>0</v>
      </c>
      <c r="L42" s="12" t="n">
        <v>65.45999999999999</v>
      </c>
      <c r="M42" s="12" t="n">
        <v>6.54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I2</t>
        </is>
      </c>
      <c r="F44" s="22">
        <f>IFERROR(INDEX(Tariffe!$B$2:$B$200,MATCH(E44,Tariffe!$A$2:$A$200,0)),"DA DEFINIRE")</f>
        <v/>
      </c>
      <c r="G44" s="12" t="n">
        <v>36</v>
      </c>
      <c r="H44" s="11" t="n">
        <v>1</v>
      </c>
      <c r="I44" s="11" t="n">
        <v>0</v>
      </c>
      <c r="J44" s="12" t="n">
        <v>36</v>
      </c>
      <c r="K44" s="12" t="n">
        <v>0</v>
      </c>
      <c r="L44" s="12" t="n">
        <v>32.73</v>
      </c>
      <c r="M44" s="12" t="n">
        <v>3.27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20261025_2215</t>
        </is>
      </c>
      <c r="B45" s="13" t="n">
        <v>46320</v>
      </c>
      <c r="C45" s="14" t="n">
        <v>0.9270833333333334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5</v>
      </c>
      <c r="I45" s="15" t="n">
        <v>0</v>
      </c>
      <c r="J45" s="16" t="n">
        <v>120</v>
      </c>
      <c r="K45" s="16" t="n">
        <v>0</v>
      </c>
      <c r="L45" s="16" t="n">
        <v>109.1</v>
      </c>
      <c r="M45" s="16" t="n">
        <v>10.9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2</v>
      </c>
      <c r="I46" s="11" t="n">
        <v>0</v>
      </c>
      <c r="J46" s="12" t="n">
        <v>96</v>
      </c>
      <c r="K46" s="12" t="n">
        <v>0</v>
      </c>
      <c r="L46" s="12" t="n">
        <v>87.28</v>
      </c>
      <c r="M46" s="12" t="n">
        <v>8.720000000000001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20261025_2315</t>
        </is>
      </c>
      <c r="B47" s="13" t="n">
        <v>46320</v>
      </c>
      <c r="C47" s="14" t="n">
        <v>0.96875</v>
      </c>
      <c r="D47" s="23" t="inlineStr">
        <is>
          <t>UN Unico</t>
        </is>
      </c>
      <c r="E47" s="23" t="inlineStr">
        <is>
          <t>I2</t>
        </is>
      </c>
      <c r="F47" s="23">
        <f>IFERROR(INDEX(Tariffe!$B$2:$B$200,MATCH(E47,Tariffe!$A$2:$A$200,0)),"DA DEFINIRE")</f>
        <v/>
      </c>
      <c r="G47" s="16" t="n">
        <v>36</v>
      </c>
      <c r="H47" s="15" t="n">
        <v>1</v>
      </c>
      <c r="I47" s="15" t="n">
        <v>0</v>
      </c>
      <c r="J47" s="16" t="n">
        <v>36</v>
      </c>
      <c r="K47" s="16" t="n">
        <v>0</v>
      </c>
      <c r="L47" s="16" t="n">
        <v>32.73</v>
      </c>
      <c r="M47" s="16" t="n">
        <v>3.27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20261025_2315</t>
        </is>
      </c>
      <c r="B48" s="9" t="n">
        <v>46320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2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20261025_2359</t>
        </is>
      </c>
      <c r="B49" s="13" t="n">
        <v>46320</v>
      </c>
      <c r="C49" s="14" t="n">
        <v>0.9993055555555556</v>
      </c>
      <c r="D49" s="23" t="inlineStr">
        <is>
          <t>UN Unico</t>
        </is>
      </c>
      <c r="E49" s="23" t="inlineStr">
        <is>
          <t>I5</t>
        </is>
      </c>
      <c r="F49" s="23">
        <f>IFERROR(INDEX(Tariffe!$B$2:$B$200,MATCH(E49,Tariffe!$A$2:$A$200,0)),"DA DEFINIRE")</f>
        <v/>
      </c>
      <c r="G49" s="16" t="n">
        <v>60</v>
      </c>
      <c r="H49" s="15" t="n">
        <v>1</v>
      </c>
      <c r="I49" s="15" t="n">
        <v>0</v>
      </c>
      <c r="J49" s="16" t="n">
        <v>60</v>
      </c>
      <c r="K49" s="16" t="n">
        <v>0</v>
      </c>
      <c r="L49" s="16" t="n">
        <v>54.55</v>
      </c>
      <c r="M49" s="16" t="n">
        <v>5.45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20261025_2359</t>
        </is>
      </c>
      <c r="B50" s="9" t="n">
        <v>46320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1</v>
      </c>
      <c r="I51" s="15" t="n">
        <v>0</v>
      </c>
      <c r="J51" s="16" t="n">
        <v>48</v>
      </c>
      <c r="K51" s="16" t="n">
        <v>0</v>
      </c>
      <c r="L51" s="16" t="n">
        <v>43.64</v>
      </c>
      <c r="M51" s="16" t="n">
        <v>4.36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20261029_2015</t>
        </is>
      </c>
      <c r="B52" s="9" t="n">
        <v>46324</v>
      </c>
      <c r="C52" s="10" t="n">
        <v>0.84375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20261029_2015</t>
        </is>
      </c>
      <c r="B53" s="13" t="n">
        <v>46324</v>
      </c>
      <c r="C53" s="14" t="n">
        <v>0.84375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20261029_2115</t>
        </is>
      </c>
      <c r="B54" s="9" t="n">
        <v>46324</v>
      </c>
      <c r="C54" s="10" t="n">
        <v>0.8854166666666666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20261029_2115</t>
        </is>
      </c>
      <c r="B55" s="13" t="n">
        <v>46324</v>
      </c>
      <c r="C55" s="14" t="n">
        <v>0.8854166666666666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3</v>
      </c>
      <c r="I56" s="11" t="n">
        <v>0</v>
      </c>
      <c r="J56" s="12" t="n">
        <v>144</v>
      </c>
      <c r="K56" s="12" t="n">
        <v>0</v>
      </c>
      <c r="L56" s="12" t="n">
        <v>130.92</v>
      </c>
      <c r="M56" s="12" t="n">
        <v>13.08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20261029_2215</t>
        </is>
      </c>
      <c r="B57" s="13" t="n">
        <v>46324</v>
      </c>
      <c r="C57" s="14" t="n">
        <v>0.9270833333333334</v>
      </c>
      <c r="D57" s="23" t="inlineStr">
        <is>
          <t>UN Unico</t>
        </is>
      </c>
      <c r="E57" s="23" t="inlineStr">
        <is>
          <t>I2</t>
        </is>
      </c>
      <c r="F57" s="23">
        <f>IFERROR(INDEX(Tariffe!$B$2:$B$200,MATCH(E57,Tariffe!$A$2:$A$200,0)),"DA DEFINIRE")</f>
        <v/>
      </c>
      <c r="G57" s="16" t="n">
        <v>36</v>
      </c>
      <c r="H57" s="15" t="n">
        <v>2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20261029_2215</t>
        </is>
      </c>
      <c r="B58" s="9" t="n">
        <v>46324</v>
      </c>
      <c r="C58" s="10" t="n">
        <v>0.9270833333333334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5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20261029_2315</t>
        </is>
      </c>
      <c r="B59" s="13" t="n">
        <v>46324</v>
      </c>
      <c r="C59" s="14" t="n">
        <v>0.96875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6</v>
      </c>
      <c r="I59" s="15" t="n">
        <v>0</v>
      </c>
      <c r="J59" s="16" t="n">
        <v>288</v>
      </c>
      <c r="K59" s="16" t="n">
        <v>0</v>
      </c>
      <c r="L59" s="16" t="n">
        <v>261.84</v>
      </c>
      <c r="M59" s="16" t="n">
        <v>26.16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20261029_2315</t>
        </is>
      </c>
      <c r="B60" s="9" t="n">
        <v>46324</v>
      </c>
      <c r="C60" s="10" t="n">
        <v>0.96875</v>
      </c>
      <c r="D60" s="22" t="inlineStr">
        <is>
          <t>UN Unico</t>
        </is>
      </c>
      <c r="E60" s="22" t="inlineStr">
        <is>
          <t>I2</t>
        </is>
      </c>
      <c r="F60" s="22">
        <f>IFERROR(INDEX(Tariffe!$B$2:$B$200,MATCH(E60,Tariffe!$A$2:$A$200,0)),"DA DEFINIRE")</f>
        <v/>
      </c>
      <c r="G60" s="12" t="n">
        <v>36</v>
      </c>
      <c r="H60" s="11" t="n">
        <v>1</v>
      </c>
      <c r="I60" s="11" t="n">
        <v>0</v>
      </c>
      <c r="J60" s="12" t="n">
        <v>36</v>
      </c>
      <c r="K60" s="12" t="n">
        <v>0</v>
      </c>
      <c r="L60" s="12" t="n">
        <v>32.73</v>
      </c>
      <c r="M60" s="12" t="n">
        <v>3.27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20261029_2315</t>
        </is>
      </c>
      <c r="B61" s="13" t="n">
        <v>46324</v>
      </c>
      <c r="C61" s="14" t="n">
        <v>0.96875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4</v>
      </c>
      <c r="I61" s="15" t="n">
        <v>0</v>
      </c>
      <c r="J61" s="16" t="n">
        <v>240</v>
      </c>
      <c r="K61" s="16" t="n">
        <v>0</v>
      </c>
      <c r="L61" s="16" t="n">
        <v>218.2</v>
      </c>
      <c r="M61" s="16" t="n">
        <v>21.8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20261029_2315</t>
        </is>
      </c>
      <c r="B62" s="9" t="n">
        <v>46324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20261029_2359</t>
        </is>
      </c>
      <c r="B63" s="13" t="n">
        <v>46324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20261030_2015</t>
        </is>
      </c>
      <c r="B64" s="9" t="n">
        <v>46325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20261030_2015</t>
        </is>
      </c>
      <c r="B65" s="13" t="n">
        <v>46325</v>
      </c>
      <c r="C65" s="14" t="n">
        <v>0.84375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</v>
      </c>
      <c r="I65" s="15" t="n">
        <v>0</v>
      </c>
      <c r="J65" s="16" t="n">
        <v>24</v>
      </c>
      <c r="K65" s="16" t="n">
        <v>0</v>
      </c>
      <c r="L65" s="16" t="n">
        <v>21.82</v>
      </c>
      <c r="M65" s="16" t="n">
        <v>2.18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20261030_2115</t>
        </is>
      </c>
      <c r="B66" s="9" t="n">
        <v>46325</v>
      </c>
      <c r="C66" s="10" t="n">
        <v>0.8854166666666666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1</v>
      </c>
      <c r="I66" s="11" t="n">
        <v>0</v>
      </c>
      <c r="J66" s="12" t="n">
        <v>48</v>
      </c>
      <c r="K66" s="12" t="n">
        <v>0</v>
      </c>
      <c r="L66" s="12" t="n">
        <v>43.64</v>
      </c>
      <c r="M66" s="12" t="n">
        <v>4.36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20261030_2115</t>
        </is>
      </c>
      <c r="B67" s="13" t="n">
        <v>46325</v>
      </c>
      <c r="C67" s="14" t="n">
        <v>0.8854166666666666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3</v>
      </c>
      <c r="I67" s="15" t="n">
        <v>0</v>
      </c>
      <c r="J67" s="16" t="n">
        <v>72</v>
      </c>
      <c r="K67" s="16" t="n">
        <v>0</v>
      </c>
      <c r="L67" s="16" t="n">
        <v>65.45999999999999</v>
      </c>
      <c r="M67" s="16" t="n">
        <v>6.54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20261030_2215</t>
        </is>
      </c>
      <c r="B68" s="9" t="n">
        <v>46325</v>
      </c>
      <c r="C68" s="10" t="n">
        <v>0.9270833333333334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4</v>
      </c>
      <c r="I68" s="11" t="n">
        <v>0</v>
      </c>
      <c r="J68" s="12" t="n">
        <v>192</v>
      </c>
      <c r="K68" s="12" t="n">
        <v>0</v>
      </c>
      <c r="L68" s="12" t="n">
        <v>174.56</v>
      </c>
      <c r="M68" s="12" t="n">
        <v>17.44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20261030_2215</t>
        </is>
      </c>
      <c r="B69" s="13" t="n">
        <v>46325</v>
      </c>
      <c r="C69" s="14" t="n">
        <v>0.9270833333333334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6</v>
      </c>
      <c r="I69" s="15" t="n">
        <v>3</v>
      </c>
      <c r="J69" s="16" t="n">
        <v>144</v>
      </c>
      <c r="K69" s="16" t="n">
        <v>0</v>
      </c>
      <c r="L69" s="16" t="n">
        <v>130.92</v>
      </c>
      <c r="M69" s="16" t="n">
        <v>13.08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20261030_2315</t>
        </is>
      </c>
      <c r="B70" s="9" t="n">
        <v>46325</v>
      </c>
      <c r="C70" s="10" t="n">
        <v>0.96875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4</v>
      </c>
      <c r="I70" s="11" t="n">
        <v>0</v>
      </c>
      <c r="J70" s="12" t="n">
        <v>192</v>
      </c>
      <c r="K70" s="12" t="n">
        <v>0</v>
      </c>
      <c r="L70" s="12" t="n">
        <v>174.56</v>
      </c>
      <c r="M70" s="12" t="n">
        <v>17.44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20261030_2315</t>
        </is>
      </c>
      <c r="B71" s="13" t="n">
        <v>46325</v>
      </c>
      <c r="C71" s="14" t="n">
        <v>0.96875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20261030_2315</t>
        </is>
      </c>
      <c r="B72" s="9" t="n">
        <v>46325</v>
      </c>
      <c r="C72" s="10" t="n">
        <v>0.96875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20261030_2359</t>
        </is>
      </c>
      <c r="B73" s="13" t="n">
        <v>46325</v>
      </c>
      <c r="C73" s="14" t="n">
        <v>0.9993055555555556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20261030_2359</t>
        </is>
      </c>
      <c r="B74" s="9" t="n">
        <v>46325</v>
      </c>
      <c r="C74" s="10" t="n">
        <v>0.9993055555555556</v>
      </c>
      <c r="D74" s="22" t="inlineStr">
        <is>
          <t>UN Unico</t>
        </is>
      </c>
      <c r="E74" s="22" t="inlineStr">
        <is>
          <t>I5</t>
        </is>
      </c>
      <c r="F74" s="22">
        <f>IFERROR(INDEX(Tariffe!$B$2:$B$200,MATCH(E74,Tariffe!$A$2:$A$200,0)),"DA DEFINIRE")</f>
        <v/>
      </c>
      <c r="G74" s="12" t="n">
        <v>60</v>
      </c>
      <c r="H74" s="11" t="n">
        <v>1</v>
      </c>
      <c r="I74" s="11" t="n">
        <v>0</v>
      </c>
      <c r="J74" s="12" t="n">
        <v>60</v>
      </c>
      <c r="K74" s="12" t="n">
        <v>0</v>
      </c>
      <c r="L74" s="12" t="n">
        <v>54.55</v>
      </c>
      <c r="M74" s="12" t="n">
        <v>5.45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20261030_2359</t>
        </is>
      </c>
      <c r="B75" s="13" t="n">
        <v>46325</v>
      </c>
      <c r="C75" s="14" t="n">
        <v>0.9993055555555556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5</v>
      </c>
      <c r="I75" s="15" t="n">
        <v>0</v>
      </c>
      <c r="J75" s="16" t="n">
        <v>120</v>
      </c>
      <c r="K75" s="16" t="n">
        <v>0</v>
      </c>
      <c r="L75" s="16" t="n">
        <v>109.1</v>
      </c>
      <c r="M75" s="16" t="n">
        <v>10.9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20261031_2015</t>
        </is>
      </c>
      <c r="B76" s="9" t="n">
        <v>46326</v>
      </c>
      <c r="C76" s="10" t="n">
        <v>0.84375</v>
      </c>
      <c r="D76" s="22" t="inlineStr">
        <is>
          <t>UN Unico</t>
        </is>
      </c>
      <c r="E76" s="22" t="inlineStr">
        <is>
          <t>I5</t>
        </is>
      </c>
      <c r="F76" s="22">
        <f>IFERROR(INDEX(Tariffe!$B$2:$B$200,MATCH(E76,Tariffe!$A$2:$A$200,0)),"DA DEFINIRE")</f>
        <v/>
      </c>
      <c r="G76" s="12" t="n">
        <v>60</v>
      </c>
      <c r="H76" s="11" t="n">
        <v>1</v>
      </c>
      <c r="I76" s="11" t="n">
        <v>0</v>
      </c>
      <c r="J76" s="12" t="n">
        <v>60</v>
      </c>
      <c r="K76" s="12" t="n">
        <v>0</v>
      </c>
      <c r="L76" s="12" t="n">
        <v>54.55</v>
      </c>
      <c r="M76" s="12" t="n">
        <v>5.45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20261031_2015</t>
        </is>
      </c>
      <c r="B77" s="13" t="n">
        <v>46326</v>
      </c>
      <c r="C77" s="14" t="n">
        <v>0.84375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1</v>
      </c>
      <c r="I77" s="15" t="n">
        <v>0</v>
      </c>
      <c r="J77" s="16" t="n">
        <v>24</v>
      </c>
      <c r="K77" s="16" t="n">
        <v>0</v>
      </c>
      <c r="L77" s="16" t="n">
        <v>21.82</v>
      </c>
      <c r="M77" s="16" t="n">
        <v>2.18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20261031_2115</t>
        </is>
      </c>
      <c r="B78" s="9" t="n">
        <v>46326</v>
      </c>
      <c r="C78" s="10" t="n">
        <v>0.8854166666666666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2</v>
      </c>
      <c r="I78" s="11" t="n">
        <v>0</v>
      </c>
      <c r="J78" s="12" t="n">
        <v>96</v>
      </c>
      <c r="K78" s="12" t="n">
        <v>0</v>
      </c>
      <c r="L78" s="12" t="n">
        <v>87.28</v>
      </c>
      <c r="M78" s="12" t="n">
        <v>8.720000000000001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20261031_2115</t>
        </is>
      </c>
      <c r="B79" s="13" t="n">
        <v>46326</v>
      </c>
      <c r="C79" s="14" t="n">
        <v>0.8854166666666666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5</v>
      </c>
      <c r="I79" s="15" t="n">
        <v>0</v>
      </c>
      <c r="J79" s="16" t="n">
        <v>120</v>
      </c>
      <c r="K79" s="16" t="n">
        <v>0</v>
      </c>
      <c r="L79" s="16" t="n">
        <v>109.1</v>
      </c>
      <c r="M79" s="16" t="n">
        <v>10.9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20261031_2215</t>
        </is>
      </c>
      <c r="B80" s="9" t="n">
        <v>46326</v>
      </c>
      <c r="C80" s="10" t="n">
        <v>0.9270833333333334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20261031_2215</t>
        </is>
      </c>
      <c r="B81" s="13" t="n">
        <v>46326</v>
      </c>
      <c r="C81" s="14" t="n">
        <v>0.9270833333333334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20261031_2215</t>
        </is>
      </c>
      <c r="B82" s="9" t="n">
        <v>46326</v>
      </c>
      <c r="C82" s="10" t="n">
        <v>0.9270833333333334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10</v>
      </c>
      <c r="I82" s="11" t="n">
        <v>0</v>
      </c>
      <c r="J82" s="12" t="n">
        <v>240</v>
      </c>
      <c r="K82" s="12" t="n">
        <v>0</v>
      </c>
      <c r="L82" s="12" t="n">
        <v>218.2</v>
      </c>
      <c r="M82" s="12" t="n">
        <v>21.8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20261031_2315</t>
        </is>
      </c>
      <c r="B83" s="13" t="n">
        <v>46326</v>
      </c>
      <c r="C83" s="14" t="n">
        <v>0.96875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11</v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20261031_2315</t>
        </is>
      </c>
      <c r="B84" s="9" t="n">
        <v>46326</v>
      </c>
      <c r="C84" s="10" t="n">
        <v>0.96875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9</v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20261031_2359</t>
        </is>
      </c>
      <c r="B85" s="13" t="n">
        <v>46326</v>
      </c>
      <c r="C85" s="14" t="n">
        <v>0.9993055555555556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5</v>
      </c>
      <c r="I85" s="15" t="n">
        <v>0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20261031_2359</t>
        </is>
      </c>
      <c r="B86" s="9" t="n">
        <v>46326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5</v>
      </c>
      <c r="I86" s="11" t="n">
        <v>0</v>
      </c>
      <c r="J86" s="12" t="n">
        <v>120</v>
      </c>
      <c r="K86" s="12" t="n">
        <v>0</v>
      </c>
      <c r="L86" s="12" t="n">
        <v>109.1</v>
      </c>
      <c r="M86" s="12" t="n">
        <v>10.9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20261101_2015</t>
        </is>
      </c>
      <c r="B87" s="13" t="n">
        <v>46327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1</v>
      </c>
      <c r="I87" s="15" t="n">
        <v>0</v>
      </c>
      <c r="J87" s="16" t="n">
        <v>48</v>
      </c>
      <c r="K87" s="16" t="n">
        <v>0</v>
      </c>
      <c r="L87" s="16" t="n">
        <v>43.64</v>
      </c>
      <c r="M87" s="16" t="n">
        <v>4.36</v>
      </c>
      <c r="N87" s="23" t="inlineStr">
        <is>
          <t>11/2026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20261101_2115</t>
        </is>
      </c>
      <c r="B88" s="9" t="n">
        <v>46327</v>
      </c>
      <c r="C88" s="10" t="n">
        <v>0.8854166666666666</v>
      </c>
      <c r="D88" s="22" t="inlineStr">
        <is>
          <t>UN Unico</t>
        </is>
      </c>
      <c r="E88" s="22" t="inlineStr">
        <is>
          <t>I8</t>
        </is>
      </c>
      <c r="F88" s="22">
        <f>IFERROR(INDEX(Tariffe!$B$2:$B$200,MATCH(E88,Tariffe!$A$2:$A$200,0)),"DA DEFINIRE")</f>
        <v/>
      </c>
      <c r="G88" s="12" t="n">
        <v>24</v>
      </c>
      <c r="H88" s="11" t="n">
        <v>3</v>
      </c>
      <c r="I88" s="11" t="n">
        <v>0</v>
      </c>
      <c r="J88" s="12" t="n">
        <v>72</v>
      </c>
      <c r="K88" s="12" t="n">
        <v>0</v>
      </c>
      <c r="L88" s="12" t="n">
        <v>65.45999999999999</v>
      </c>
      <c r="M88" s="12" t="n">
        <v>6.54</v>
      </c>
      <c r="N88" s="22" t="inlineStr">
        <is>
          <t>11/2026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20261101_2215</t>
        </is>
      </c>
      <c r="B89" s="13" t="n">
        <v>46327</v>
      </c>
      <c r="C89" s="14" t="n">
        <v>0.9270833333333334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1</v>
      </c>
      <c r="I89" s="15" t="n">
        <v>0</v>
      </c>
      <c r="J89" s="16" t="n">
        <v>60</v>
      </c>
      <c r="K89" s="16" t="n">
        <v>0</v>
      </c>
      <c r="L89" s="16" t="n">
        <v>54.55</v>
      </c>
      <c r="M89" s="16" t="n">
        <v>5.45</v>
      </c>
      <c r="N89" s="23" t="inlineStr">
        <is>
          <t>11/2026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20261101_2215</t>
        </is>
      </c>
      <c r="B90" s="9" t="n">
        <v>46327</v>
      </c>
      <c r="C90" s="10" t="n">
        <v>0.9270833333333334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3</v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11/2026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20261101_2359</t>
        </is>
      </c>
      <c r="B91" s="13" t="n">
        <v>46327</v>
      </c>
      <c r="C91" s="14" t="n">
        <v>0.9993055555555556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1</v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11/2026</t>
        </is>
      </c>
      <c r="O91" s="15">
        <f>IFERROR(INDEX(Tariffe!$D$2:$D$200,MATCH(E91,Tariffe!$A$2:$A$200,0))*1,0)</f>
        <v/>
      </c>
      <c r="P91" s="15">
        <f>H91*O91</f>
        <v/>
      </c>
    </row>
  </sheetData>
  <autoFilter ref="A1:P9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</sheetData>
  <autoFilter ref="A1:G36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</sheetData>
  <autoFilter ref="A1:K28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9</v>
      </c>
      <c r="H4" s="11" t="n">
        <v>32</v>
      </c>
      <c r="I4" s="12" t="n">
        <v>384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38</v>
      </c>
      <c r="M8" s="11" t="n">
        <v>122</v>
      </c>
      <c r="N8" s="12" t="n">
        <v>1464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4</v>
      </c>
      <c r="H11" s="11" t="n">
        <v>15</v>
      </c>
      <c r="I11" s="12" t="n">
        <v>180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12</v>
      </c>
      <c r="H14" s="11" t="n">
        <v>43</v>
      </c>
      <c r="I14" s="12" t="n">
        <v>516</v>
      </c>
    </row>
    <row r="15">
      <c r="A15" s="9" t="n">
        <v>46311</v>
      </c>
      <c r="B15" s="11" t="n">
        <v>15</v>
      </c>
      <c r="C15" s="11" t="n">
        <v>50</v>
      </c>
      <c r="D15" s="12" t="n">
        <v>600</v>
      </c>
      <c r="F15" s="38" t="inlineStr">
        <is>
          <t>11:00-12:00</t>
        </is>
      </c>
      <c r="G15" s="11" t="n">
        <v>16</v>
      </c>
      <c r="H15" s="11" t="n">
        <v>48</v>
      </c>
      <c r="I15" s="12" t="n">
        <v>576</v>
      </c>
    </row>
    <row r="16">
      <c r="F16" s="38" t="inlineStr">
        <is>
          <t>12:00-13:00</t>
        </is>
      </c>
      <c r="G16" s="11" t="n">
        <v>21</v>
      </c>
      <c r="H16" s="11" t="n">
        <v>56</v>
      </c>
      <c r="I16" s="12" t="n">
        <v>672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13</v>
      </c>
      <c r="H18" s="11" t="n">
        <v>40</v>
      </c>
      <c r="I18" s="12" t="n">
        <v>480</v>
      </c>
    </row>
    <row r="19">
      <c r="F19" s="38" t="inlineStr">
        <is>
          <t>15:00-16:00</t>
        </is>
      </c>
      <c r="G19" s="11" t="n">
        <v>11</v>
      </c>
      <c r="H19" s="11" t="n">
        <v>30</v>
      </c>
      <c r="I19" s="12" t="n">
        <v>360</v>
      </c>
    </row>
    <row r="20">
      <c r="F20" s="38" t="inlineStr">
        <is>
          <t>16:00-17:00</t>
        </is>
      </c>
      <c r="G20" s="11" t="n">
        <v>17</v>
      </c>
      <c r="H20" s="11" t="n">
        <v>47</v>
      </c>
      <c r="I20" s="12" t="n">
        <v>564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17</v>
      </c>
      <c r="H22" s="11" t="n">
        <v>48</v>
      </c>
      <c r="I22" s="12" t="n">
        <v>576</v>
      </c>
    </row>
    <row r="23">
      <c r="F23" s="38" t="inlineStr">
        <is>
          <t>19:00-20:00</t>
        </is>
      </c>
      <c r="G23" s="11" t="n">
        <v>25</v>
      </c>
      <c r="H23" s="11" t="n">
        <v>82</v>
      </c>
      <c r="I23" s="12" t="n">
        <v>984</v>
      </c>
    </row>
    <row r="24">
      <c r="F24" s="38" t="inlineStr">
        <is>
          <t>20:00-21:00</t>
        </is>
      </c>
      <c r="G24" s="11" t="n">
        <v>34</v>
      </c>
      <c r="H24" s="11" t="n">
        <v>105</v>
      </c>
      <c r="I24" s="12" t="n">
        <v>1260</v>
      </c>
    </row>
    <row r="25">
      <c r="F25" s="38" t="inlineStr">
        <is>
          <t>21:00-22:00</t>
        </is>
      </c>
      <c r="G25" s="11" t="n">
        <v>29</v>
      </c>
      <c r="H25" s="11" t="n">
        <v>83</v>
      </c>
      <c r="I25" s="12" t="n">
        <v>996</v>
      </c>
    </row>
    <row r="26">
      <c r="F26" s="38" t="inlineStr">
        <is>
          <t>22:00-23:00</t>
        </is>
      </c>
      <c r="G26" s="11" t="n">
        <v>49</v>
      </c>
      <c r="H26" s="11" t="n">
        <v>133</v>
      </c>
      <c r="I26" s="12" t="n">
        <v>1596</v>
      </c>
    </row>
    <row r="27">
      <c r="F27" s="38" t="inlineStr">
        <is>
          <t>23:00-00:00</t>
        </is>
      </c>
      <c r="G27" s="11" t="n">
        <v>14</v>
      </c>
      <c r="H27" s="11" t="n">
        <v>49</v>
      </c>
      <c r="I27" s="12" t="n">
        <v>588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2026-10-16T11:27:08Z</dcterms:created>
  <dcterms:modified xsi:type="dcterms:W3CDTF">2026-10-16T11:27:09Z</dcterms:modified>
</cp:coreProperties>
</file>