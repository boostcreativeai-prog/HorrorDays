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'Vendite'!$A$1:$R$140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'Storico'!$A$1:$G$773</definedName>
    <definedName name="_xlnm._FilterDatabase" localSheetId="8" hidden="1">'Registro vendite'!$A$1:$K$1245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'Storico'!$H$2:$H$773</f>
            </numRef>
          </cat>
          <val>
            <numRef>
              <f>'Storico'!$C$2:$C$773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vendite'!$A$4:$A$26</f>
            </numRef>
          </cat>
          <val>
            <numRef>
              <f>'Picchi vendite'!$B$4:$B$26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MAX(Storico!A2:A773)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144</v>
      </c>
      <c r="K62" s="12" t="n">
        <v>0</v>
      </c>
      <c r="L62" s="12" t="n">
        <v>130.92</v>
      </c>
      <c r="M62" s="12" t="n">
        <v>13.08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3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1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180</v>
      </c>
      <c r="K64" s="12" t="n">
        <v>0</v>
      </c>
      <c r="L64" s="12" t="n">
        <v>163.65</v>
      </c>
      <c r="M64" s="12" t="n">
        <v>16.35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168</v>
      </c>
      <c r="K65" s="16" t="n">
        <v>0</v>
      </c>
      <c r="L65" s="16" t="n">
        <v>152.74</v>
      </c>
      <c r="M65" s="16" t="n">
        <v>15.26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384</v>
      </c>
      <c r="K66" s="12" t="n">
        <v>0</v>
      </c>
      <c r="L66" s="12" t="n">
        <v>349.12</v>
      </c>
      <c r="M66" s="12" t="n">
        <v>34.88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8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360</v>
      </c>
      <c r="K67" s="16" t="n">
        <v>0</v>
      </c>
      <c r="L67" s="16" t="n">
        <v>327.3</v>
      </c>
      <c r="M67" s="16" t="n">
        <v>32.7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10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180</v>
      </c>
      <c r="K68" s="12" t="n">
        <v>0</v>
      </c>
      <c r="L68" s="12" t="n">
        <v>163.65</v>
      </c>
      <c r="M68" s="12" t="n">
        <v>16.35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408</v>
      </c>
      <c r="K69" s="16" t="n">
        <v>0</v>
      </c>
      <c r="L69" s="16" t="n">
        <v>370.94</v>
      </c>
      <c r="M69" s="16" t="n">
        <v>37.06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17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0</v>
      </c>
      <c r="J70" s="12" t="n">
        <v>1152</v>
      </c>
      <c r="K70" s="12" t="n">
        <v>0</v>
      </c>
      <c r="L70" s="12" t="n">
        <v>1047.36</v>
      </c>
      <c r="M70" s="12" t="n">
        <v>104.64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24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360</v>
      </c>
      <c r="K71" s="16" t="n">
        <v>0</v>
      </c>
      <c r="L71" s="16" t="n">
        <v>327.3</v>
      </c>
      <c r="M71" s="16" t="n">
        <v>32.7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10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0</v>
      </c>
      <c r="J72" s="12" t="n">
        <v>720</v>
      </c>
      <c r="K72" s="12" t="n">
        <v>0</v>
      </c>
      <c r="L72" s="12" t="n">
        <v>654.6</v>
      </c>
      <c r="M72" s="12" t="n">
        <v>65.40000000000001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12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744</v>
      </c>
      <c r="K73" s="16" t="n">
        <v>0</v>
      </c>
      <c r="L73" s="16" t="n">
        <v>676.42</v>
      </c>
      <c r="M73" s="16" t="n">
        <v>67.58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31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816</v>
      </c>
      <c r="K74" s="12" t="n">
        <v>0</v>
      </c>
      <c r="L74" s="12" t="n">
        <v>741.88</v>
      </c>
      <c r="M74" s="12" t="n">
        <v>74.12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17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144</v>
      </c>
      <c r="K75" s="16" t="n">
        <v>0</v>
      </c>
      <c r="L75" s="16" t="n">
        <v>130.92</v>
      </c>
      <c r="M75" s="16" t="n">
        <v>13.08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4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600</v>
      </c>
      <c r="K76" s="12" t="n">
        <v>0</v>
      </c>
      <c r="L76" s="12" t="n">
        <v>545.5</v>
      </c>
      <c r="M76" s="12" t="n">
        <v>54.5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10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384</v>
      </c>
      <c r="K77" s="16" t="n">
        <v>0</v>
      </c>
      <c r="L77" s="16" t="n">
        <v>349.12</v>
      </c>
      <c r="M77" s="16" t="n">
        <v>34.88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16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I5 60€</t>
        </is>
      </c>
      <c r="F79" s="23">
        <f>IFERROR(INDEX(Tariffe!$B$2:$B$200,MATCH(E79,Tariffe!$A$2:$A$200,0)),"DA DEFINIRE")</f>
        <v/>
      </c>
      <c r="G79" s="16" t="n">
        <v>60</v>
      </c>
      <c r="H79" s="15">
        <f>Q79*R79</f>
        <v/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2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240</v>
      </c>
      <c r="K80" s="12" t="n">
        <v>0</v>
      </c>
      <c r="L80" s="12" t="n">
        <v>218.2</v>
      </c>
      <c r="M80" s="12" t="n">
        <v>21.8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10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I8 24€</t>
        </is>
      </c>
      <c r="F82" s="22">
        <f>IFERROR(INDEX(Tariffe!$B$2:$B$200,MATCH(E82,Tariffe!$A$2:$A$200,0)),"DA DEFINIRE")</f>
        <v/>
      </c>
      <c r="G82" s="12" t="n">
        <v>24</v>
      </c>
      <c r="H82" s="11">
        <f>Q82*R82</f>
        <v/>
      </c>
      <c r="I82" s="11" t="n">
        <v>0</v>
      </c>
      <c r="J82" s="12" t="n">
        <v>120</v>
      </c>
      <c r="K82" s="12" t="n">
        <v>0</v>
      </c>
      <c r="L82" s="12" t="n">
        <v>109.1</v>
      </c>
      <c r="M82" s="12" t="n">
        <v>10.9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5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I1 48€</t>
        </is>
      </c>
      <c r="F83" s="23">
        <f>IFERROR(INDEX(Tariffe!$B$2:$B$200,MATCH(E83,Tariffe!$A$2:$A$200,0)),"DA DEFINIRE")</f>
        <v/>
      </c>
      <c r="G83" s="16" t="n">
        <v>48</v>
      </c>
      <c r="H83" s="15">
        <f>Q83*R83</f>
        <v/>
      </c>
      <c r="I83" s="15" t="n">
        <v>0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5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I2 36€</t>
        </is>
      </c>
      <c r="F84" s="22">
        <f>IFERROR(INDEX(Tariffe!$B$2:$B$200,MATCH(E84,Tariffe!$A$2:$A$200,0)),"DA DEFINIRE")</f>
        <v/>
      </c>
      <c r="G84" s="12" t="n">
        <v>36</v>
      </c>
      <c r="H84" s="11">
        <f>Q84*R84</f>
        <v/>
      </c>
      <c r="I84" s="11" t="n">
        <v>0</v>
      </c>
      <c r="J84" s="12" t="n">
        <v>72</v>
      </c>
      <c r="K84" s="12" t="n">
        <v>0</v>
      </c>
      <c r="L84" s="12" t="n">
        <v>65.45999999999999</v>
      </c>
      <c r="M84" s="12" t="n">
        <v>6.54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2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I5 60€</t>
        </is>
      </c>
      <c r="F85" s="23">
        <f>IFERROR(INDEX(Tariffe!$B$2:$B$200,MATCH(E85,Tariffe!$A$2:$A$200,0)),"DA DEFINIRE")</f>
        <v/>
      </c>
      <c r="G85" s="16" t="n">
        <v>60</v>
      </c>
      <c r="H85" s="15">
        <f>Q85*R85</f>
        <v/>
      </c>
      <c r="I85" s="15" t="n">
        <v>0</v>
      </c>
      <c r="J85" s="16" t="n">
        <v>120</v>
      </c>
      <c r="K85" s="16" t="n">
        <v>0</v>
      </c>
      <c r="L85" s="16" t="n">
        <v>109.1</v>
      </c>
      <c r="M85" s="16" t="n">
        <v>10.9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2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I8 24€</t>
        </is>
      </c>
      <c r="F86" s="22">
        <f>IFERROR(INDEX(Tariffe!$B$2:$B$200,MATCH(E86,Tariffe!$A$2:$A$200,0)),"DA DEFINIRE")</f>
        <v/>
      </c>
      <c r="G86" s="12" t="n">
        <v>24</v>
      </c>
      <c r="H86" s="11">
        <f>Q86*R86</f>
        <v/>
      </c>
      <c r="I86" s="11" t="n">
        <v>0</v>
      </c>
      <c r="J86" s="12" t="n">
        <v>360</v>
      </c>
      <c r="K86" s="12" t="n">
        <v>0</v>
      </c>
      <c r="L86" s="12" t="n">
        <v>327.3</v>
      </c>
      <c r="M86" s="12" t="n">
        <v>32.7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15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I1 48€</t>
        </is>
      </c>
      <c r="F87" s="23">
        <f>IFERROR(INDEX(Tariffe!$B$2:$B$200,MATCH(E87,Tariffe!$A$2:$A$200,0)),"DA DEFINIRE")</f>
        <v/>
      </c>
      <c r="G87" s="16" t="n">
        <v>48</v>
      </c>
      <c r="H87" s="15">
        <f>Q87*R87</f>
        <v/>
      </c>
      <c r="I87" s="15" t="n">
        <v>0</v>
      </c>
      <c r="J87" s="16" t="n">
        <v>1344</v>
      </c>
      <c r="K87" s="16" t="n">
        <v>0</v>
      </c>
      <c r="L87" s="16" t="n">
        <v>1221.92</v>
      </c>
      <c r="M87" s="16" t="n">
        <v>122.08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28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I2 36€</t>
        </is>
      </c>
      <c r="F88" s="22">
        <f>IFERROR(INDEX(Tariffe!$B$2:$B$200,MATCH(E88,Tariffe!$A$2:$A$200,0)),"DA DEFINIRE")</f>
        <v/>
      </c>
      <c r="G88" s="12" t="n">
        <v>36</v>
      </c>
      <c r="H88" s="11">
        <f>Q88*R88</f>
        <v/>
      </c>
      <c r="I88" s="11" t="n">
        <v>0</v>
      </c>
      <c r="J88" s="12" t="n">
        <v>144</v>
      </c>
      <c r="K88" s="12" t="n">
        <v>0</v>
      </c>
      <c r="L88" s="12" t="n">
        <v>130.92</v>
      </c>
      <c r="M88" s="12" t="n">
        <v>13.08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4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I5 60€</t>
        </is>
      </c>
      <c r="F89" s="23">
        <f>IFERROR(INDEX(Tariffe!$B$2:$B$200,MATCH(E89,Tariffe!$A$2:$A$200,0)),"DA DEFINIRE")</f>
        <v/>
      </c>
      <c r="G89" s="16" t="n">
        <v>60</v>
      </c>
      <c r="H89" s="15">
        <f>Q89*R89</f>
        <v/>
      </c>
      <c r="I89" s="15" t="n">
        <v>0</v>
      </c>
      <c r="J89" s="16" t="n">
        <v>300</v>
      </c>
      <c r="K89" s="16" t="n">
        <v>0</v>
      </c>
      <c r="L89" s="16" t="n">
        <v>272.75</v>
      </c>
      <c r="M89" s="16" t="n">
        <v>27.25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5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I8 24€</t>
        </is>
      </c>
      <c r="F90" s="22">
        <f>IFERROR(INDEX(Tariffe!$B$2:$B$200,MATCH(E90,Tariffe!$A$2:$A$200,0)),"DA DEFINIRE")</f>
        <v/>
      </c>
      <c r="G90" s="12" t="n">
        <v>24</v>
      </c>
      <c r="H90" s="11">
        <f>Q90*R90</f>
        <v/>
      </c>
      <c r="I90" s="11" t="n">
        <v>3</v>
      </c>
      <c r="J90" s="12" t="n">
        <v>720</v>
      </c>
      <c r="K90" s="12" t="n">
        <v>0</v>
      </c>
      <c r="L90" s="12" t="n">
        <v>654.6</v>
      </c>
      <c r="M90" s="12" t="n">
        <v>65.40000000000001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30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I1 48€</t>
        </is>
      </c>
      <c r="F91" s="23">
        <f>IFERROR(INDEX(Tariffe!$B$2:$B$200,MATCH(E91,Tariffe!$A$2:$A$200,0)),"DA DEFINIRE")</f>
        <v/>
      </c>
      <c r="G91" s="16" t="n">
        <v>48</v>
      </c>
      <c r="H91" s="15">
        <f>Q91*R91</f>
        <v/>
      </c>
      <c r="I91" s="15" t="n">
        <v>0</v>
      </c>
      <c r="J91" s="16" t="n">
        <v>720</v>
      </c>
      <c r="K91" s="16" t="n">
        <v>0</v>
      </c>
      <c r="L91" s="16" t="n">
        <v>654.6</v>
      </c>
      <c r="M91" s="16" t="n">
        <v>65.40000000000001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15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I2 36€</t>
        </is>
      </c>
      <c r="F92" s="22">
        <f>IFERROR(INDEX(Tariffe!$B$2:$B$200,MATCH(E92,Tariffe!$A$2:$A$200,0)),"DA DEFINIRE")</f>
        <v/>
      </c>
      <c r="G92" s="12" t="n">
        <v>36</v>
      </c>
      <c r="H92" s="11">
        <f>Q92*R92</f>
        <v/>
      </c>
      <c r="I92" s="11" t="n">
        <v>0</v>
      </c>
      <c r="J92" s="12" t="n">
        <v>72</v>
      </c>
      <c r="K92" s="12" t="n">
        <v>0</v>
      </c>
      <c r="L92" s="12" t="n">
        <v>65.45999999999999</v>
      </c>
      <c r="M92" s="12" t="n">
        <v>6.54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2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420</v>
      </c>
      <c r="K93" s="16" t="n">
        <v>0</v>
      </c>
      <c r="L93" s="16" t="n">
        <v>381.85</v>
      </c>
      <c r="M93" s="16" t="n">
        <v>38.15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7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360</v>
      </c>
      <c r="K94" s="12" t="n">
        <v>0</v>
      </c>
      <c r="L94" s="12" t="n">
        <v>327.3</v>
      </c>
      <c r="M94" s="12" t="n">
        <v>32.7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15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144</v>
      </c>
      <c r="K95" s="16" t="n">
        <v>0</v>
      </c>
      <c r="L95" s="16" t="n">
        <v>130.92</v>
      </c>
      <c r="M95" s="16" t="n">
        <v>13.08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3</v>
      </c>
      <c r="R95" s="15">
        <f>IFERROR(INDEX(Tariffe!$E$2:$E$200,MATCH(E95,Tariffe!$A$2:$A$200,0))*1,1)</f>
        <v/>
      </c>
    </row>
    <row r="96">
      <c r="A96" s="22" t="inlineStr">
        <is>
          <t>20261030_2359</t>
        </is>
      </c>
      <c r="B96" s="9" t="n">
        <v>46325</v>
      </c>
      <c r="C96" s="10" t="n">
        <v>0.9993055555555556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300</v>
      </c>
      <c r="K96" s="12" t="n">
        <v>0</v>
      </c>
      <c r="L96" s="12" t="n">
        <v>272.75</v>
      </c>
      <c r="M96" s="12" t="n">
        <v>27.25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5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336</v>
      </c>
      <c r="K97" s="16" t="n">
        <v>0</v>
      </c>
      <c r="L97" s="16" t="n">
        <v>305.48</v>
      </c>
      <c r="M97" s="16" t="n">
        <v>30.52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14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576</v>
      </c>
      <c r="K98" s="12" t="n">
        <v>0</v>
      </c>
      <c r="L98" s="12" t="n">
        <v>523.6799999999999</v>
      </c>
      <c r="M98" s="12" t="n">
        <v>52.32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12</v>
      </c>
      <c r="R98" s="11">
        <f>IFERROR(INDEX(Tariffe!$E$2:$E$200,MATCH(E98,Tariffe!$A$2:$A$200,0))*1,1)</f>
        <v/>
      </c>
    </row>
    <row r="99">
      <c r="A99" s="23" t="inlineStr">
        <is>
          <t>20261031_2015</t>
        </is>
      </c>
      <c r="B99" s="13" t="n">
        <v>46326</v>
      </c>
      <c r="C99" s="14" t="n">
        <v>0.84375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108</v>
      </c>
      <c r="K99" s="16" t="n">
        <v>0</v>
      </c>
      <c r="L99" s="16" t="n">
        <v>98.19</v>
      </c>
      <c r="M99" s="16" t="n">
        <v>9.81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3</v>
      </c>
      <c r="R99" s="15">
        <f>IFERROR(INDEX(Tariffe!$E$2:$E$200,MATCH(E99,Tariffe!$A$2:$A$200,0))*1,1)</f>
        <v/>
      </c>
    </row>
    <row r="100">
      <c r="A100" s="22" t="inlineStr">
        <is>
          <t>20261031_2015</t>
        </is>
      </c>
      <c r="B100" s="9" t="n">
        <v>46326</v>
      </c>
      <c r="C100" s="10" t="n">
        <v>0.84375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2</v>
      </c>
      <c r="J100" s="12" t="n">
        <v>240</v>
      </c>
      <c r="K100" s="12" t="n">
        <v>0</v>
      </c>
      <c r="L100" s="12" t="n">
        <v>218.2</v>
      </c>
      <c r="M100" s="12" t="n">
        <v>21.8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4</v>
      </c>
      <c r="R100" s="11">
        <f>IFERROR(INDEX(Tariffe!$E$2:$E$200,MATCH(E100,Tariffe!$A$2:$A$200,0))*1,1)</f>
        <v/>
      </c>
    </row>
    <row r="101">
      <c r="A101" s="23" t="inlineStr">
        <is>
          <t>20261031_2015</t>
        </is>
      </c>
      <c r="B101" s="13" t="n">
        <v>46326</v>
      </c>
      <c r="C101" s="14" t="n">
        <v>0.84375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240</v>
      </c>
      <c r="K101" s="16" t="n">
        <v>0</v>
      </c>
      <c r="L101" s="16" t="n">
        <v>218.2</v>
      </c>
      <c r="M101" s="16" t="n">
        <v>21.8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10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1248</v>
      </c>
      <c r="K102" s="12" t="n">
        <v>0</v>
      </c>
      <c r="L102" s="12" t="n">
        <v>1134.64</v>
      </c>
      <c r="M102" s="12" t="n">
        <v>113.36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26</v>
      </c>
      <c r="R102" s="11">
        <f>IFERROR(INDEX(Tariffe!$E$2:$E$200,MATCH(E102,Tariffe!$A$2:$A$200,0))*1,1)</f>
        <v/>
      </c>
    </row>
    <row r="103">
      <c r="A103" s="23" t="inlineStr">
        <is>
          <t>20261031_2115</t>
        </is>
      </c>
      <c r="B103" s="13" t="n">
        <v>46326</v>
      </c>
      <c r="C103" s="14" t="n">
        <v>0.8854166666666666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216</v>
      </c>
      <c r="K103" s="16" t="n">
        <v>0</v>
      </c>
      <c r="L103" s="16" t="n">
        <v>196.38</v>
      </c>
      <c r="M103" s="16" t="n">
        <v>19.62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6</v>
      </c>
      <c r="R103" s="15">
        <f>IFERROR(INDEX(Tariffe!$E$2:$E$200,MATCH(E103,Tariffe!$A$2:$A$200,0))*1,1)</f>
        <v/>
      </c>
    </row>
    <row r="104">
      <c r="A104" s="22" t="inlineStr">
        <is>
          <t>20261031_2115</t>
        </is>
      </c>
      <c r="B104" s="9" t="n">
        <v>46326</v>
      </c>
      <c r="C104" s="10" t="n">
        <v>0.8854166666666666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300</v>
      </c>
      <c r="K104" s="12" t="n">
        <v>0</v>
      </c>
      <c r="L104" s="12" t="n">
        <v>272.75</v>
      </c>
      <c r="M104" s="12" t="n">
        <v>27.25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5</v>
      </c>
      <c r="R104" s="11">
        <f>IFERROR(INDEX(Tariffe!$E$2:$E$200,MATCH(E104,Tariffe!$A$2:$A$200,0))*1,1)</f>
        <v/>
      </c>
    </row>
    <row r="105">
      <c r="A105" s="23" t="inlineStr">
        <is>
          <t>20261031_2115</t>
        </is>
      </c>
      <c r="B105" s="13" t="n">
        <v>46326</v>
      </c>
      <c r="C105" s="14" t="n">
        <v>0.8854166666666666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696</v>
      </c>
      <c r="K105" s="16" t="n">
        <v>0</v>
      </c>
      <c r="L105" s="16" t="n">
        <v>632.78</v>
      </c>
      <c r="M105" s="16" t="n">
        <v>63.22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29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3</v>
      </c>
      <c r="J106" s="12" t="n">
        <v>1296</v>
      </c>
      <c r="K106" s="12" t="n">
        <v>0</v>
      </c>
      <c r="L106" s="12" t="n">
        <v>1178.28</v>
      </c>
      <c r="M106" s="12" t="n">
        <v>117.72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27</v>
      </c>
      <c r="R106" s="11">
        <f>IFERROR(INDEX(Tariffe!$E$2:$E$200,MATCH(E106,Tariffe!$A$2:$A$200,0))*1,1)</f>
        <v/>
      </c>
    </row>
    <row r="107">
      <c r="A107" s="23" t="inlineStr">
        <is>
          <t>20261031_2215</t>
        </is>
      </c>
      <c r="B107" s="13" t="n">
        <v>46326</v>
      </c>
      <c r="C107" s="14" t="n">
        <v>0.9270833333333334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180</v>
      </c>
      <c r="K107" s="16" t="n">
        <v>0</v>
      </c>
      <c r="L107" s="16" t="n">
        <v>163.65</v>
      </c>
      <c r="M107" s="16" t="n">
        <v>16.35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5</v>
      </c>
      <c r="R107" s="15">
        <f>IFERROR(INDEX(Tariffe!$E$2:$E$200,MATCH(E107,Tariffe!$A$2:$A$200,0))*1,1)</f>
        <v/>
      </c>
    </row>
    <row r="108">
      <c r="A108" s="22" t="inlineStr">
        <is>
          <t>20261031_2215</t>
        </is>
      </c>
      <c r="B108" s="9" t="n">
        <v>46326</v>
      </c>
      <c r="C108" s="10" t="n">
        <v>0.9270833333333334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0</v>
      </c>
      <c r="J108" s="12" t="n">
        <v>240</v>
      </c>
      <c r="K108" s="12" t="n">
        <v>0</v>
      </c>
      <c r="L108" s="12" t="n">
        <v>218.2</v>
      </c>
      <c r="M108" s="12" t="n">
        <v>21.8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4</v>
      </c>
      <c r="R108" s="11">
        <f>IFERROR(INDEX(Tariffe!$E$2:$E$200,MATCH(E108,Tariffe!$A$2:$A$200,0))*1,1)</f>
        <v/>
      </c>
    </row>
    <row r="109">
      <c r="A109" s="23" t="inlineStr">
        <is>
          <t>20261031_2215</t>
        </is>
      </c>
      <c r="B109" s="13" t="n">
        <v>46326</v>
      </c>
      <c r="C109" s="14" t="n">
        <v>0.9270833333333334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1056</v>
      </c>
      <c r="K109" s="16" t="n">
        <v>0</v>
      </c>
      <c r="L109" s="16" t="n">
        <v>960.08</v>
      </c>
      <c r="M109" s="16" t="n">
        <v>95.92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44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1968</v>
      </c>
      <c r="K110" s="12" t="n">
        <v>0</v>
      </c>
      <c r="L110" s="12" t="n">
        <v>1789.24</v>
      </c>
      <c r="M110" s="12" t="n">
        <v>178.76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41</v>
      </c>
      <c r="R110" s="11">
        <f>IFERROR(INDEX(Tariffe!$E$2:$E$200,MATCH(E110,Tariffe!$A$2:$A$200,0))*1,1)</f>
        <v/>
      </c>
    </row>
    <row r="111">
      <c r="A111" s="23" t="inlineStr">
        <is>
          <t>20261031_2315</t>
        </is>
      </c>
      <c r="B111" s="13" t="n">
        <v>46326</v>
      </c>
      <c r="C111" s="14" t="n">
        <v>0.96875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108</v>
      </c>
      <c r="K111" s="16" t="n">
        <v>0</v>
      </c>
      <c r="L111" s="16" t="n">
        <v>98.19</v>
      </c>
      <c r="M111" s="16" t="n">
        <v>9.81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3</v>
      </c>
      <c r="R111" s="15">
        <f>IFERROR(INDEX(Tariffe!$E$2:$E$200,MATCH(E111,Tariffe!$A$2:$A$200,0))*1,1)</f>
        <v/>
      </c>
    </row>
    <row r="112">
      <c r="A112" s="22" t="inlineStr">
        <is>
          <t>20261031_2315</t>
        </is>
      </c>
      <c r="B112" s="9" t="n">
        <v>46326</v>
      </c>
      <c r="C112" s="10" t="n">
        <v>0.96875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300</v>
      </c>
      <c r="K112" s="12" t="n">
        <v>0</v>
      </c>
      <c r="L112" s="12" t="n">
        <v>272.75</v>
      </c>
      <c r="M112" s="12" t="n">
        <v>27.25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5</v>
      </c>
      <c r="R112" s="11">
        <f>IFERROR(INDEX(Tariffe!$E$2:$E$200,MATCH(E112,Tariffe!$A$2:$A$200,0))*1,1)</f>
        <v/>
      </c>
    </row>
    <row r="113">
      <c r="A113" s="23" t="inlineStr">
        <is>
          <t>20261031_2315</t>
        </is>
      </c>
      <c r="B113" s="13" t="n">
        <v>46326</v>
      </c>
      <c r="C113" s="14" t="n">
        <v>0.96875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744</v>
      </c>
      <c r="K113" s="16" t="n">
        <v>0</v>
      </c>
      <c r="L113" s="16" t="n">
        <v>676.42</v>
      </c>
      <c r="M113" s="16" t="n">
        <v>67.58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31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0</v>
      </c>
      <c r="J114" s="12" t="n">
        <v>2256</v>
      </c>
      <c r="K114" s="12" t="n">
        <v>0</v>
      </c>
      <c r="L114" s="12" t="n">
        <v>2051.08</v>
      </c>
      <c r="M114" s="12" t="n">
        <v>204.92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47</v>
      </c>
      <c r="R114" s="11">
        <f>IFERROR(INDEX(Tariffe!$E$2:$E$200,MATCH(E114,Tariffe!$A$2:$A$200,0))*1,1)</f>
        <v/>
      </c>
    </row>
    <row r="115">
      <c r="A115" s="23" t="inlineStr">
        <is>
          <t>20261031_2359</t>
        </is>
      </c>
      <c r="B115" s="13" t="n">
        <v>46326</v>
      </c>
      <c r="C115" s="14" t="n">
        <v>0.9993055555555556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1</v>
      </c>
      <c r="R115" s="15">
        <f>IFERROR(INDEX(Tariffe!$E$2:$E$200,MATCH(E115,Tariffe!$A$2:$A$200,0))*1,1)</f>
        <v/>
      </c>
    </row>
    <row r="116">
      <c r="A116" s="22" t="inlineStr">
        <is>
          <t>20261031_2359</t>
        </is>
      </c>
      <c r="B116" s="9" t="n">
        <v>46326</v>
      </c>
      <c r="C116" s="10" t="n">
        <v>0.9993055555555556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300</v>
      </c>
      <c r="K116" s="12" t="n">
        <v>0</v>
      </c>
      <c r="L116" s="12" t="n">
        <v>272.75</v>
      </c>
      <c r="M116" s="12" t="n">
        <v>27.25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5</v>
      </c>
      <c r="R116" s="11">
        <f>IFERROR(INDEX(Tariffe!$E$2:$E$200,MATCH(E116,Tariffe!$A$2:$A$200,0))*1,1)</f>
        <v/>
      </c>
    </row>
    <row r="117">
      <c r="A117" s="23" t="inlineStr">
        <is>
          <t>20261031_2359</t>
        </is>
      </c>
      <c r="B117" s="13" t="n">
        <v>46326</v>
      </c>
      <c r="C117" s="14" t="n">
        <v>0.9993055555555556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648</v>
      </c>
      <c r="K117" s="16" t="n">
        <v>0</v>
      </c>
      <c r="L117" s="16" t="n">
        <v>589.14</v>
      </c>
      <c r="M117" s="16" t="n">
        <v>58.86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27</v>
      </c>
      <c r="R117" s="15">
        <f>IFERROR(INDEX(Tariffe!$E$2:$E$200,MATCH(E117,Tariffe!$A$2:$A$200,0))*1,1)</f>
        <v/>
      </c>
    </row>
    <row r="118">
      <c r="A118" s="22" t="inlineStr">
        <is>
          <t>20261101_2015</t>
        </is>
      </c>
      <c r="B118" s="9" t="n">
        <v>46327</v>
      </c>
      <c r="C118" s="10" t="n">
        <v>0.84375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336</v>
      </c>
      <c r="K118" s="12" t="n">
        <v>0</v>
      </c>
      <c r="L118" s="12" t="n">
        <v>305.48</v>
      </c>
      <c r="M118" s="12" t="n">
        <v>30.52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7</v>
      </c>
      <c r="R118" s="11">
        <f>IFERROR(INDEX(Tariffe!$E$2:$E$200,MATCH(E118,Tariffe!$A$2:$A$200,0))*1,1)</f>
        <v/>
      </c>
    </row>
    <row r="119">
      <c r="A119" s="23" t="inlineStr">
        <is>
          <t>20261101_2015</t>
        </is>
      </c>
      <c r="B119" s="13" t="n">
        <v>46327</v>
      </c>
      <c r="C119" s="14" t="n">
        <v>0.84375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72</v>
      </c>
      <c r="K119" s="16" t="n">
        <v>0</v>
      </c>
      <c r="L119" s="16" t="n">
        <v>65.45999999999999</v>
      </c>
      <c r="M119" s="16" t="n">
        <v>6.54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2</v>
      </c>
      <c r="R119" s="15">
        <f>IFERROR(INDEX(Tariffe!$E$2:$E$200,MATCH(E119,Tariffe!$A$2:$A$200,0))*1,1)</f>
        <v/>
      </c>
    </row>
    <row r="120">
      <c r="A120" s="22" t="inlineStr">
        <is>
          <t>20261101_2015</t>
        </is>
      </c>
      <c r="B120" s="9" t="n">
        <v>46327</v>
      </c>
      <c r="C120" s="10" t="n">
        <v>0.84375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120</v>
      </c>
      <c r="K120" s="12" t="n">
        <v>0</v>
      </c>
      <c r="L120" s="12" t="n">
        <v>109.1</v>
      </c>
      <c r="M120" s="12" t="n">
        <v>10.9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2</v>
      </c>
      <c r="R120" s="11">
        <f>IFERROR(INDEX(Tariffe!$E$2:$E$200,MATCH(E120,Tariffe!$A$2:$A$200,0))*1,1)</f>
        <v/>
      </c>
    </row>
    <row r="121">
      <c r="A121" s="23" t="inlineStr">
        <is>
          <t>20261101_2015</t>
        </is>
      </c>
      <c r="B121" s="13" t="n">
        <v>46327</v>
      </c>
      <c r="C121" s="14" t="n">
        <v>0.84375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120</v>
      </c>
      <c r="K121" s="16" t="n">
        <v>0</v>
      </c>
      <c r="L121" s="16" t="n">
        <v>109.1</v>
      </c>
      <c r="M121" s="16" t="n">
        <v>10.9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5</v>
      </c>
      <c r="R121" s="15">
        <f>IFERROR(INDEX(Tariffe!$E$2:$E$200,MATCH(E121,Tariffe!$A$2:$A$200,0))*1,1)</f>
        <v/>
      </c>
    </row>
    <row r="122">
      <c r="A122" s="22" t="inlineStr">
        <is>
          <t>20261101_2115</t>
        </is>
      </c>
      <c r="B122" s="9" t="n">
        <v>46327</v>
      </c>
      <c r="C122" s="10" t="n">
        <v>0.8854166666666666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288</v>
      </c>
      <c r="K122" s="12" t="n">
        <v>0</v>
      </c>
      <c r="L122" s="12" t="n">
        <v>261.84</v>
      </c>
      <c r="M122" s="12" t="n">
        <v>26.16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6</v>
      </c>
      <c r="R122" s="11">
        <f>IFERROR(INDEX(Tariffe!$E$2:$E$200,MATCH(E122,Tariffe!$A$2:$A$200,0))*1,1)</f>
        <v/>
      </c>
    </row>
    <row r="123">
      <c r="A123" s="23" t="inlineStr">
        <is>
          <t>20261101_2115</t>
        </is>
      </c>
      <c r="B123" s="13" t="n">
        <v>46327</v>
      </c>
      <c r="C123" s="14" t="n">
        <v>0.8854166666666666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144</v>
      </c>
      <c r="K123" s="16" t="n">
        <v>0</v>
      </c>
      <c r="L123" s="16" t="n">
        <v>130.92</v>
      </c>
      <c r="M123" s="16" t="n">
        <v>13.08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4</v>
      </c>
      <c r="R123" s="15">
        <f>IFERROR(INDEX(Tariffe!$E$2:$E$200,MATCH(E123,Tariffe!$A$2:$A$200,0))*1,1)</f>
        <v/>
      </c>
    </row>
    <row r="124">
      <c r="A124" s="22" t="inlineStr">
        <is>
          <t>20261101_2115</t>
        </is>
      </c>
      <c r="B124" s="9" t="n">
        <v>46327</v>
      </c>
      <c r="C124" s="10" t="n">
        <v>0.8854166666666666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60</v>
      </c>
      <c r="K124" s="12" t="n">
        <v>0</v>
      </c>
      <c r="L124" s="12" t="n">
        <v>54.55</v>
      </c>
      <c r="M124" s="12" t="n">
        <v>5.45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1</v>
      </c>
      <c r="R124" s="11">
        <f>IFERROR(INDEX(Tariffe!$E$2:$E$200,MATCH(E124,Tariffe!$A$2:$A$200,0))*1,1)</f>
        <v/>
      </c>
    </row>
    <row r="125">
      <c r="A125" s="23" t="inlineStr">
        <is>
          <t>20261101_2115</t>
        </is>
      </c>
      <c r="B125" s="13" t="n">
        <v>46327</v>
      </c>
      <c r="C125" s="14" t="n">
        <v>0.8854166666666666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264</v>
      </c>
      <c r="K125" s="16" t="n">
        <v>0</v>
      </c>
      <c r="L125" s="16" t="n">
        <v>240.02</v>
      </c>
      <c r="M125" s="16" t="n">
        <v>23.98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11</v>
      </c>
      <c r="R125" s="15">
        <f>IFERROR(INDEX(Tariffe!$E$2:$E$200,MATCH(E125,Tariffe!$A$2:$A$200,0))*1,1)</f>
        <v/>
      </c>
    </row>
    <row r="126">
      <c r="A126" s="22" t="inlineStr">
        <is>
          <t>20261101_2215</t>
        </is>
      </c>
      <c r="B126" s="9" t="n">
        <v>46327</v>
      </c>
      <c r="C126" s="10" t="n">
        <v>0.9270833333333334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432</v>
      </c>
      <c r="K126" s="12" t="n">
        <v>0</v>
      </c>
      <c r="L126" s="12" t="n">
        <v>392.76</v>
      </c>
      <c r="M126" s="12" t="n">
        <v>39.24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9</v>
      </c>
      <c r="R126" s="11">
        <f>IFERROR(INDEX(Tariffe!$E$2:$E$200,MATCH(E126,Tariffe!$A$2:$A$200,0))*1,1)</f>
        <v/>
      </c>
    </row>
    <row r="127">
      <c r="A127" s="23" t="inlineStr">
        <is>
          <t>20261101_2215</t>
        </is>
      </c>
      <c r="B127" s="13" t="n">
        <v>46327</v>
      </c>
      <c r="C127" s="14" t="n">
        <v>0.9270833333333334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108</v>
      </c>
      <c r="K127" s="16" t="n">
        <v>0</v>
      </c>
      <c r="L127" s="16" t="n">
        <v>98.19</v>
      </c>
      <c r="M127" s="16" t="n">
        <v>9.81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3</v>
      </c>
      <c r="R127" s="15">
        <f>IFERROR(INDEX(Tariffe!$E$2:$E$200,MATCH(E127,Tariffe!$A$2:$A$200,0))*1,1)</f>
        <v/>
      </c>
    </row>
    <row r="128">
      <c r="A128" s="22" t="inlineStr">
        <is>
          <t>20261101_2215</t>
        </is>
      </c>
      <c r="B128" s="9" t="n">
        <v>46327</v>
      </c>
      <c r="C128" s="10" t="n">
        <v>0.9270833333333334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60</v>
      </c>
      <c r="K128" s="12" t="n">
        <v>0</v>
      </c>
      <c r="L128" s="12" t="n">
        <v>54.55</v>
      </c>
      <c r="M128" s="12" t="n">
        <v>5.45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</v>
      </c>
      <c r="R128" s="11">
        <f>IFERROR(INDEX(Tariffe!$E$2:$E$200,MATCH(E128,Tariffe!$A$2:$A$200,0))*1,1)</f>
        <v/>
      </c>
    </row>
    <row r="129">
      <c r="A129" s="23" t="inlineStr">
        <is>
          <t>20261101_2215</t>
        </is>
      </c>
      <c r="B129" s="13" t="n">
        <v>46327</v>
      </c>
      <c r="C129" s="14" t="n">
        <v>0.9270833333333334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312</v>
      </c>
      <c r="K129" s="16" t="n">
        <v>0</v>
      </c>
      <c r="L129" s="16" t="n">
        <v>283.66</v>
      </c>
      <c r="M129" s="16" t="n">
        <v>28.34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13</v>
      </c>
      <c r="R129" s="15">
        <f>IFERROR(INDEX(Tariffe!$E$2:$E$200,MATCH(E129,Tariffe!$A$2:$A$200,0))*1,1)</f>
        <v/>
      </c>
    </row>
    <row r="130">
      <c r="A130" s="22" t="inlineStr">
        <is>
          <t>20261101_2315</t>
        </is>
      </c>
      <c r="B130" s="9" t="n">
        <v>46327</v>
      </c>
      <c r="C130" s="10" t="n">
        <v>0.96875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48</v>
      </c>
      <c r="K130" s="12" t="n">
        <v>0</v>
      </c>
      <c r="L130" s="12" t="n">
        <v>43.64</v>
      </c>
      <c r="M130" s="12" t="n">
        <v>4.36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</v>
      </c>
      <c r="R130" s="11">
        <f>IFERROR(INDEX(Tariffe!$E$2:$E$200,MATCH(E130,Tariffe!$A$2:$A$200,0))*1,1)</f>
        <v/>
      </c>
    </row>
    <row r="131">
      <c r="A131" s="23" t="inlineStr">
        <is>
          <t>20261101_2315</t>
        </is>
      </c>
      <c r="B131" s="13" t="n">
        <v>46327</v>
      </c>
      <c r="C131" s="14" t="n">
        <v>0.96875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72</v>
      </c>
      <c r="K131" s="16" t="n">
        <v>0</v>
      </c>
      <c r="L131" s="16" t="n">
        <v>65.45999999999999</v>
      </c>
      <c r="M131" s="16" t="n">
        <v>6.54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2</v>
      </c>
      <c r="R131" s="15">
        <f>IFERROR(INDEX(Tariffe!$E$2:$E$200,MATCH(E131,Tariffe!$A$2:$A$200,0))*1,1)</f>
        <v/>
      </c>
    </row>
    <row r="132">
      <c r="A132" s="22" t="inlineStr">
        <is>
          <t>20261101_2315</t>
        </is>
      </c>
      <c r="B132" s="9" t="n">
        <v>46327</v>
      </c>
      <c r="C132" s="10" t="n">
        <v>0.96875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60</v>
      </c>
      <c r="K132" s="12" t="n">
        <v>0</v>
      </c>
      <c r="L132" s="12" t="n">
        <v>54.55</v>
      </c>
      <c r="M132" s="12" t="n">
        <v>5.45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1</v>
      </c>
      <c r="R132" s="11">
        <f>IFERROR(INDEX(Tariffe!$E$2:$E$200,MATCH(E132,Tariffe!$A$2:$A$200,0))*1,1)</f>
        <v/>
      </c>
    </row>
    <row r="133">
      <c r="A133" s="23" t="inlineStr">
        <is>
          <t>20261101_2315</t>
        </is>
      </c>
      <c r="B133" s="13" t="n">
        <v>46327</v>
      </c>
      <c r="C133" s="14" t="n">
        <v>0.96875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48</v>
      </c>
      <c r="K133" s="16" t="n">
        <v>0</v>
      </c>
      <c r="L133" s="16" t="n">
        <v>43.64</v>
      </c>
      <c r="M133" s="16" t="n">
        <v>4.36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2</v>
      </c>
      <c r="R133" s="15">
        <f>IFERROR(INDEX(Tariffe!$E$2:$E$200,MATCH(E133,Tariffe!$A$2:$A$200,0))*1,1)</f>
        <v/>
      </c>
    </row>
    <row r="134">
      <c r="A134" s="22" t="inlineStr">
        <is>
          <t>20261101_2359</t>
        </is>
      </c>
      <c r="B134" s="9" t="n">
        <v>46327</v>
      </c>
      <c r="C134" s="10" t="n">
        <v>0.9993055555555556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48</v>
      </c>
      <c r="K134" s="12" t="n">
        <v>0</v>
      </c>
      <c r="L134" s="12" t="n">
        <v>43.64</v>
      </c>
      <c r="M134" s="12" t="n">
        <v>4.36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1</v>
      </c>
      <c r="R134" s="11">
        <f>IFERROR(INDEX(Tariffe!$E$2:$E$200,MATCH(E134,Tariffe!$A$2:$A$200,0))*1,1)</f>
        <v/>
      </c>
    </row>
    <row r="135">
      <c r="A135" s="23" t="inlineStr">
        <is>
          <t>20261101_2359</t>
        </is>
      </c>
      <c r="B135" s="13" t="n">
        <v>46327</v>
      </c>
      <c r="C135" s="14" t="n">
        <v>0.9993055555555556</v>
      </c>
      <c r="D135" s="23" t="inlineStr">
        <is>
          <t>UN Unico</t>
        </is>
      </c>
      <c r="E135" s="23" t="inlineStr">
        <is>
          <t>I5 60€</t>
        </is>
      </c>
      <c r="F135" s="23">
        <f>IFERROR(INDEX(Tariffe!$B$2:$B$200,MATCH(E135,Tariffe!$A$2:$A$200,0)),"DA DEFINIRE")</f>
        <v/>
      </c>
      <c r="G135" s="16" t="n">
        <v>60</v>
      </c>
      <c r="H135" s="15">
        <f>Q135*R135</f>
        <v/>
      </c>
      <c r="I135" s="15" t="n">
        <v>0</v>
      </c>
      <c r="J135" s="16" t="n">
        <v>60</v>
      </c>
      <c r="K135" s="16" t="n">
        <v>0</v>
      </c>
      <c r="L135" s="16" t="n">
        <v>54.55</v>
      </c>
      <c r="M135" s="16" t="n">
        <v>5.45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1</v>
      </c>
      <c r="R135" s="15">
        <f>IFERROR(INDEX(Tariffe!$E$2:$E$200,MATCH(E135,Tariffe!$A$2:$A$200,0))*1,1)</f>
        <v/>
      </c>
    </row>
    <row r="136">
      <c r="A136" s="22" t="inlineStr">
        <is>
          <t>20261101_2359</t>
        </is>
      </c>
      <c r="B136" s="9" t="n">
        <v>46327</v>
      </c>
      <c r="C136" s="10" t="n">
        <v>0.9993055555555556</v>
      </c>
      <c r="D136" s="22" t="inlineStr">
        <is>
          <t>UN Unico</t>
        </is>
      </c>
      <c r="E136" s="22" t="inlineStr">
        <is>
          <t>I8 24€</t>
        </is>
      </c>
      <c r="F136" s="22">
        <f>IFERROR(INDEX(Tariffe!$B$2:$B$200,MATCH(E136,Tariffe!$A$2:$A$200,0)),"DA DEFINIRE")</f>
        <v/>
      </c>
      <c r="G136" s="12" t="n">
        <v>24</v>
      </c>
      <c r="H136" s="11">
        <f>Q136*R136</f>
        <v/>
      </c>
      <c r="I136" s="11" t="n">
        <v>0</v>
      </c>
      <c r="J136" s="12" t="n">
        <v>24</v>
      </c>
      <c r="K136" s="12" t="n">
        <v>0</v>
      </c>
      <c r="L136" s="12" t="n">
        <v>21.82</v>
      </c>
      <c r="M136" s="12" t="n">
        <v>2.18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</v>
      </c>
      <c r="R136" s="11">
        <f>IFERROR(INDEX(Tariffe!$E$2:$E$200,MATCH(E136,Tariffe!$A$2:$A$200,0))*1,1)</f>
        <v/>
      </c>
    </row>
    <row r="137">
      <c r="A137" s="23" t="inlineStr">
        <is>
          <t>20261102_2015</t>
        </is>
      </c>
      <c r="B137" s="13" t="n">
        <v>46328</v>
      </c>
      <c r="C137" s="14" t="n">
        <v>0.84375</v>
      </c>
      <c r="D137" s="23" t="inlineStr">
        <is>
          <t>UN Unico</t>
        </is>
      </c>
      <c r="E137" s="23" t="inlineStr">
        <is>
          <t>I1 15€</t>
        </is>
      </c>
      <c r="F137" s="23">
        <f>IFERROR(INDEX(Tariffe!$B$2:$B$200,MATCH(E137,Tariffe!$A$2:$A$200,0)),"DA DEFINIRE")</f>
        <v/>
      </c>
      <c r="G137" s="16" t="n">
        <v>15</v>
      </c>
      <c r="H137" s="15">
        <f>Q137*R137</f>
        <v/>
      </c>
      <c r="I137" s="15" t="n">
        <v>0</v>
      </c>
      <c r="J137" s="16" t="n">
        <v>30</v>
      </c>
      <c r="K137" s="16" t="n">
        <v>0</v>
      </c>
      <c r="L137" s="16" t="n">
        <v>27.28</v>
      </c>
      <c r="M137" s="16" t="n">
        <v>2.72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2</v>
      </c>
      <c r="R137" s="15">
        <f>IFERROR(INDEX(Tariffe!$E$2:$E$200,MATCH(E137,Tariffe!$A$2:$A$200,0))*1,1)</f>
        <v/>
      </c>
    </row>
    <row r="138">
      <c r="A138" s="22" t="inlineStr">
        <is>
          <t>20261102_2215</t>
        </is>
      </c>
      <c r="B138" s="9" t="n">
        <v>46328</v>
      </c>
      <c r="C138" s="10" t="n">
        <v>0.9270833333333334</v>
      </c>
      <c r="D138" s="22" t="inlineStr">
        <is>
          <t>UN Unico</t>
        </is>
      </c>
      <c r="E138" s="22" t="inlineStr">
        <is>
          <t>I1 15€</t>
        </is>
      </c>
      <c r="F138" s="22">
        <f>IFERROR(INDEX(Tariffe!$B$2:$B$200,MATCH(E138,Tariffe!$A$2:$A$200,0)),"DA DEFINIRE")</f>
        <v/>
      </c>
      <c r="G138" s="12" t="n">
        <v>15</v>
      </c>
      <c r="H138" s="11">
        <f>Q138*R138</f>
        <v/>
      </c>
      <c r="I138" s="11" t="n">
        <v>0</v>
      </c>
      <c r="J138" s="12" t="n">
        <v>90</v>
      </c>
      <c r="K138" s="12" t="n">
        <v>0</v>
      </c>
      <c r="L138" s="12" t="n">
        <v>81.84</v>
      </c>
      <c r="M138" s="12" t="n">
        <v>8.16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6</v>
      </c>
      <c r="R138" s="11">
        <f>IFERROR(INDEX(Tariffe!$E$2:$E$200,MATCH(E138,Tariffe!$A$2:$A$200,0))*1,1)</f>
        <v/>
      </c>
    </row>
    <row r="139">
      <c r="A139" s="23" t="inlineStr">
        <is>
          <t>20261102_2315</t>
        </is>
      </c>
      <c r="B139" s="13" t="n">
        <v>46328</v>
      </c>
      <c r="C139" s="14" t="n">
        <v>0.96875</v>
      </c>
      <c r="D139" s="23" t="inlineStr">
        <is>
          <t>UN Unico</t>
        </is>
      </c>
      <c r="E139" s="23" t="inlineStr">
        <is>
          <t>I1 15€</t>
        </is>
      </c>
      <c r="F139" s="23">
        <f>IFERROR(INDEX(Tariffe!$B$2:$B$200,MATCH(E139,Tariffe!$A$2:$A$200,0)),"DA DEFINIRE")</f>
        <v/>
      </c>
      <c r="G139" s="16" t="n">
        <v>15</v>
      </c>
      <c r="H139" s="15">
        <f>Q139*R139</f>
        <v/>
      </c>
      <c r="I139" s="15" t="n">
        <v>0</v>
      </c>
      <c r="J139" s="16" t="n">
        <v>45</v>
      </c>
      <c r="K139" s="16" t="n">
        <v>0</v>
      </c>
      <c r="L139" s="16" t="n">
        <v>40.92</v>
      </c>
      <c r="M139" s="16" t="n">
        <v>4.08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3</v>
      </c>
      <c r="R139" s="15">
        <f>IFERROR(INDEX(Tariffe!$E$2:$E$200,MATCH(E139,Tariffe!$A$2:$A$200,0))*1,1)</f>
        <v/>
      </c>
    </row>
    <row r="140">
      <c r="A140" s="22" t="inlineStr">
        <is>
          <t>20261102_2359</t>
        </is>
      </c>
      <c r="B140" s="9" t="n">
        <v>46328</v>
      </c>
      <c r="C140" s="10" t="n">
        <v>0.9993055555555556</v>
      </c>
      <c r="D140" s="22" t="inlineStr">
        <is>
          <t>UN Unico</t>
        </is>
      </c>
      <c r="E140" s="22" t="inlineStr">
        <is>
          <t>I1 15€</t>
        </is>
      </c>
      <c r="F140" s="22">
        <f>IFERROR(INDEX(Tariffe!$B$2:$B$200,MATCH(E140,Tariffe!$A$2:$A$200,0)),"DA DEFINIRE")</f>
        <v/>
      </c>
      <c r="G140" s="12" t="n">
        <v>15</v>
      </c>
      <c r="H140" s="11">
        <f>Q140*R140</f>
        <v/>
      </c>
      <c r="I140" s="11" t="n">
        <v>0</v>
      </c>
      <c r="J140" s="12" t="n">
        <v>15</v>
      </c>
      <c r="K140" s="12" t="n">
        <v>0</v>
      </c>
      <c r="L140" s="12" t="n">
        <v>13.64</v>
      </c>
      <c r="M140" s="12" t="n">
        <v>1.36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1</v>
      </c>
      <c r="R140" s="11">
        <f>IFERROR(INDEX(Tariffe!$E$2:$E$200,MATCH(E140,Tariffe!$A$2:$A$200,0))*1,1)</f>
        <v/>
      </c>
    </row>
  </sheetData>
  <autoFilter ref="A1:R14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</sheetData>
  <autoFilter ref="A1:G77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2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</sheetData>
  <autoFilter ref="A1:K124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43</v>
      </c>
      <c r="H4" s="11" t="n">
        <v>147</v>
      </c>
      <c r="I4" s="12" t="n">
        <v>1764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24</v>
      </c>
      <c r="H5" s="11" t="n">
        <v>73</v>
      </c>
      <c r="I5" s="12" t="n">
        <v>876</v>
      </c>
      <c r="K5" s="38" t="inlineStr">
        <is>
          <t>Martedì</t>
        </is>
      </c>
      <c r="L5" s="11" t="n">
        <v>201</v>
      </c>
      <c r="M5" s="11" t="n">
        <v>635</v>
      </c>
      <c r="N5" s="12" t="n">
        <v>7620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15</v>
      </c>
      <c r="H12" s="11" t="n">
        <v>40</v>
      </c>
      <c r="I12" s="12" t="n">
        <v>480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33</v>
      </c>
      <c r="H13" s="11" t="n">
        <v>101</v>
      </c>
      <c r="I13" s="12" t="n">
        <v>1212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54</v>
      </c>
      <c r="H14" s="11" t="n">
        <v>167</v>
      </c>
      <c r="I14" s="12" t="n">
        <v>2004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75</v>
      </c>
      <c r="H15" s="11" t="n">
        <v>233</v>
      </c>
      <c r="I15" s="12" t="n">
        <v>2796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76</v>
      </c>
      <c r="H16" s="11" t="n">
        <v>237</v>
      </c>
      <c r="I16" s="12" t="n">
        <v>2844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101</v>
      </c>
      <c r="H17" s="11" t="n">
        <v>302</v>
      </c>
      <c r="I17" s="12" t="n">
        <v>3624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132</v>
      </c>
      <c r="H18" s="11" t="n">
        <v>417</v>
      </c>
      <c r="I18" s="12" t="n">
        <v>5004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116</v>
      </c>
      <c r="H19" s="11" t="n">
        <v>382</v>
      </c>
      <c r="I19" s="12" t="n">
        <v>4584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139</v>
      </c>
      <c r="H20" s="11" t="n">
        <v>440</v>
      </c>
      <c r="I20" s="12" t="n">
        <v>5280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93</v>
      </c>
      <c r="H21" s="11" t="n">
        <v>265</v>
      </c>
      <c r="I21" s="12" t="n">
        <v>3180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161</v>
      </c>
      <c r="H22" s="11" t="n">
        <v>490</v>
      </c>
      <c r="I22" s="12" t="n">
        <v>5880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164</v>
      </c>
      <c r="H23" s="11" t="n">
        <v>495</v>
      </c>
      <c r="I23" s="12" t="n">
        <v>5940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96</v>
      </c>
      <c r="H24" s="11" t="n">
        <v>285</v>
      </c>
      <c r="I24" s="12" t="n">
        <v>3426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174</v>
      </c>
      <c r="H25" s="11" t="n">
        <v>534</v>
      </c>
      <c r="I25" s="12" t="n">
        <v>6417</v>
      </c>
    </row>
    <row r="26">
      <c r="A26" s="9" t="n">
        <v>46322</v>
      </c>
      <c r="B26" s="11" t="n">
        <v>103</v>
      </c>
      <c r="C26" s="11" t="n">
        <v>346</v>
      </c>
      <c r="D26" s="12" t="n">
        <v>4152</v>
      </c>
      <c r="F26" s="38" t="inlineStr">
        <is>
          <t>22:00-23:00</t>
        </is>
      </c>
      <c r="G26" s="11" t="n">
        <v>154</v>
      </c>
      <c r="H26" s="11" t="n">
        <v>479</v>
      </c>
      <c r="I26" s="12" t="n">
        <v>5760</v>
      </c>
    </row>
    <row r="27">
      <c r="F27" s="38" t="inlineStr">
        <is>
          <t>23:00-00:00</t>
        </is>
      </c>
      <c r="G27" s="11" t="n">
        <v>68</v>
      </c>
      <c r="H27" s="11" t="n">
        <v>236</v>
      </c>
      <c r="I27" s="1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2026-10-27T14:44:41Z</dcterms:created>
  <dcterms:modified xsi:type="dcterms:W3CDTF">2026-10-27T14:44:42Z</dcterms:modified>
</cp:coreProperties>
</file>