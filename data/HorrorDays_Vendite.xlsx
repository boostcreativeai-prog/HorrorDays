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'Storico'!$A$1:$G$112</definedName>
    <definedName name="_xlnm._FilterDatabase" localSheetId="8" hidden="1">'Registro vendite'!$A$1:$K$80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'Storico'!$H$2:$H$112</f>
            </numRef>
          </cat>
          <val>
            <numRef>
              <f>'Storico'!$C$2:$C$112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MAX(Storico!A2:A112)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3</v>
      </c>
      <c r="I5" s="15" t="n">
        <v>0</v>
      </c>
      <c r="J5" s="16" t="n">
        <v>72</v>
      </c>
      <c r="K5" s="16" t="n">
        <v>0</v>
      </c>
      <c r="L5" s="16" t="n">
        <v>65.45999999999999</v>
      </c>
      <c r="M5" s="16" t="n">
        <v>6.54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5</v>
      </c>
      <c r="I12" s="11" t="n">
        <v>0</v>
      </c>
      <c r="J12" s="12" t="n">
        <v>120</v>
      </c>
      <c r="K12" s="12" t="n">
        <v>0</v>
      </c>
      <c r="L12" s="12" t="n">
        <v>109.1</v>
      </c>
      <c r="M12" s="12" t="n">
        <v>10.9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2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2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20261024_2359</t>
        </is>
      </c>
      <c r="B26" s="9" t="n">
        <v>46319</v>
      </c>
      <c r="C26" s="10" t="n">
        <v>0.9993055555555556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20261025_2015</t>
        </is>
      </c>
      <c r="B28" s="9" t="n">
        <v>46320</v>
      </c>
      <c r="C28" s="10" t="n">
        <v>0.84375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20261025_2115</t>
        </is>
      </c>
      <c r="B29" s="13" t="n">
        <v>46320</v>
      </c>
      <c r="C29" s="14" t="n">
        <v>0.8854166666666666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20261025_2115</t>
        </is>
      </c>
      <c r="B30" s="9" t="n">
        <v>46320</v>
      </c>
      <c r="C30" s="10" t="n">
        <v>0.8854166666666666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20261025_2215</t>
        </is>
      </c>
      <c r="B31" s="13" t="n">
        <v>46320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2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20261025_2315</t>
        </is>
      </c>
      <c r="B32" s="9" t="n">
        <v>46320</v>
      </c>
      <c r="C32" s="10" t="n">
        <v>0.96875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20261029_2015</t>
        </is>
      </c>
      <c r="B33" s="13" t="n">
        <v>46324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20261029_2015</t>
        </is>
      </c>
      <c r="B34" s="9" t="n">
        <v>46324</v>
      </c>
      <c r="C34" s="10" t="n">
        <v>0.84375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20261029_2215</t>
        </is>
      </c>
      <c r="B35" s="13" t="n">
        <v>46324</v>
      </c>
      <c r="C35" s="14" t="n">
        <v>0.9270833333333334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2</v>
      </c>
      <c r="I35" s="15" t="n">
        <v>0</v>
      </c>
      <c r="J35" s="16" t="n">
        <v>96</v>
      </c>
      <c r="K35" s="16" t="n">
        <v>0</v>
      </c>
      <c r="L35" s="16" t="n">
        <v>87.28</v>
      </c>
      <c r="M35" s="16" t="n">
        <v>8.720000000000001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20261029_2215</t>
        </is>
      </c>
      <c r="B36" s="9" t="n">
        <v>46324</v>
      </c>
      <c r="C36" s="10" t="n">
        <v>0.9270833333333334</v>
      </c>
      <c r="D36" s="22" t="inlineStr">
        <is>
          <t>UN Unico</t>
        </is>
      </c>
      <c r="E36" s="22" t="inlineStr">
        <is>
          <t>I2</t>
        </is>
      </c>
      <c r="F36" s="22">
        <f>IFERROR(INDEX(Tariffe!$B$2:$B$200,MATCH(E36,Tariffe!$A$2:$A$200,0)),"DA DEFINIRE")</f>
        <v/>
      </c>
      <c r="G36" s="12" t="n">
        <v>36</v>
      </c>
      <c r="H36" s="11" t="n">
        <v>1</v>
      </c>
      <c r="I36" s="11" t="n">
        <v>0</v>
      </c>
      <c r="J36" s="12" t="n">
        <v>36</v>
      </c>
      <c r="K36" s="12" t="n">
        <v>0</v>
      </c>
      <c r="L36" s="12" t="n">
        <v>32.73</v>
      </c>
      <c r="M36" s="12" t="n">
        <v>3.27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20261029_2215</t>
        </is>
      </c>
      <c r="B37" s="13" t="n">
        <v>46324</v>
      </c>
      <c r="C37" s="14" t="n">
        <v>0.9270833333333334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20261029_2359</t>
        </is>
      </c>
      <c r="B38" s="9" t="n">
        <v>46324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20261030_2015</t>
        </is>
      </c>
      <c r="B39" s="13" t="n">
        <v>46325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20261030_2115</t>
        </is>
      </c>
      <c r="B40" s="9" t="n">
        <v>46325</v>
      </c>
      <c r="C40" s="10" t="n">
        <v>0.8854166666666666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20261030_2215</t>
        </is>
      </c>
      <c r="B41" s="13" t="n">
        <v>46325</v>
      </c>
      <c r="C41" s="14" t="n">
        <v>0.9270833333333334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20261030_2315</t>
        </is>
      </c>
      <c r="B42" s="9" t="n">
        <v>46325</v>
      </c>
      <c r="C42" s="10" t="n">
        <v>0.96875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3</v>
      </c>
      <c r="I42" s="11" t="n">
        <v>0</v>
      </c>
      <c r="J42" s="12" t="n">
        <v>144</v>
      </c>
      <c r="K42" s="12" t="n">
        <v>0</v>
      </c>
      <c r="L42" s="12" t="n">
        <v>130.92</v>
      </c>
      <c r="M42" s="12" t="n">
        <v>13.08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20261030_2359</t>
        </is>
      </c>
      <c r="B43" s="13" t="n">
        <v>46325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20261031_2015</t>
        </is>
      </c>
      <c r="B44" s="9" t="n">
        <v>46326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20261031_2115</t>
        </is>
      </c>
      <c r="B45" s="13" t="n">
        <v>46326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20261031_2115</t>
        </is>
      </c>
      <c r="B46" s="9" t="n">
        <v>46326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20261031_2215</t>
        </is>
      </c>
      <c r="B47" s="13" t="n">
        <v>46326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20261031_2315</t>
        </is>
      </c>
      <c r="B48" s="9" t="n">
        <v>46326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20261031_2315</t>
        </is>
      </c>
      <c r="B49" s="13" t="n">
        <v>46326</v>
      </c>
      <c r="C49" s="14" t="n">
        <v>0.96875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20261031_2359</t>
        </is>
      </c>
      <c r="B50" s="9" t="n">
        <v>46326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</sheetData>
  <autoFilter ref="A1:P5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</sheetData>
  <autoFilter ref="A1:G1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</sheetData>
  <autoFilter ref="A1:K8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9</v>
      </c>
      <c r="C7" s="11" t="n">
        <v>32</v>
      </c>
      <c r="D7" s="12" t="n">
        <v>384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9</v>
      </c>
      <c r="M7" s="11" t="n">
        <v>32</v>
      </c>
      <c r="N7" s="12" t="n">
        <v>384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2026-10-08T10:22:25Z</dcterms:created>
  <dcterms:modified xsi:type="dcterms:W3CDTF">2026-10-08T10:22:25Z</dcterms:modified>
</cp:coreProperties>
</file>