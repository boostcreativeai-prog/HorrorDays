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'Vendite'!$A$1:$R$146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'Storico'!$A$1:$G$803</definedName>
    <definedName name="_xlnm._FilterDatabase" localSheetId="8" hidden="1">'Registro vendite'!$A$1:$K$1375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'Storico'!$H$2:$H$803</f>
            </numRef>
          </cat>
          <val>
            <numRef>
              <f>'Storico'!$C$2:$C$803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MAX(Storico!A2:A803)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768</v>
      </c>
      <c r="K66" s="12" t="n">
        <v>0</v>
      </c>
      <c r="L66" s="12" t="n">
        <v>698.24</v>
      </c>
      <c r="M66" s="12" t="n">
        <v>69.76000000000001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16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360</v>
      </c>
      <c r="K68" s="12" t="n">
        <v>0</v>
      </c>
      <c r="L68" s="12" t="n">
        <v>327.3</v>
      </c>
      <c r="M68" s="12" t="n">
        <v>32.7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6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552</v>
      </c>
      <c r="K69" s="16" t="n">
        <v>0</v>
      </c>
      <c r="L69" s="16" t="n">
        <v>501.86</v>
      </c>
      <c r="M69" s="16" t="n">
        <v>50.14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23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5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288</v>
      </c>
      <c r="K80" s="12" t="n">
        <v>0</v>
      </c>
      <c r="L80" s="12" t="n">
        <v>261.84</v>
      </c>
      <c r="M80" s="12" t="n">
        <v>26.16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480</v>
      </c>
      <c r="K86" s="12" t="n">
        <v>0</v>
      </c>
      <c r="L86" s="12" t="n">
        <v>436.4</v>
      </c>
      <c r="M86" s="12" t="n">
        <v>43.6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20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1584</v>
      </c>
      <c r="K87" s="16" t="n">
        <v>0</v>
      </c>
      <c r="L87" s="16" t="n">
        <v>1440.12</v>
      </c>
      <c r="M87" s="16" t="n">
        <v>143.88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1056</v>
      </c>
      <c r="K91" s="16" t="n">
        <v>0</v>
      </c>
      <c r="L91" s="16" t="n">
        <v>960.08</v>
      </c>
      <c r="M91" s="16" t="n">
        <v>95.92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252</v>
      </c>
      <c r="K92" s="12" t="n">
        <v>0</v>
      </c>
      <c r="L92" s="12" t="n">
        <v>229.11</v>
      </c>
      <c r="M92" s="12" t="n">
        <v>22.89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7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624</v>
      </c>
      <c r="K94" s="12" t="n">
        <v>0</v>
      </c>
      <c r="L94" s="12" t="n">
        <v>567.3200000000001</v>
      </c>
      <c r="M94" s="12" t="n">
        <v>56.68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26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240</v>
      </c>
      <c r="K95" s="16" t="n">
        <v>0</v>
      </c>
      <c r="L95" s="16" t="n">
        <v>218.2</v>
      </c>
      <c r="M95" s="16" t="n">
        <v>21.8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432</v>
      </c>
      <c r="K97" s="16" t="n">
        <v>0</v>
      </c>
      <c r="L97" s="16" t="n">
        <v>392.76</v>
      </c>
      <c r="M97" s="16" t="n">
        <v>39.24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18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72</v>
      </c>
      <c r="K100" s="12" t="n">
        <v>0</v>
      </c>
      <c r="L100" s="12" t="n">
        <v>65.45999999999999</v>
      </c>
      <c r="M100" s="12" t="n">
        <v>6.54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1440</v>
      </c>
      <c r="K101" s="16" t="n">
        <v>0</v>
      </c>
      <c r="L101" s="16" t="n">
        <v>1309.2</v>
      </c>
      <c r="M101" s="16" t="n">
        <v>130.8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30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2</v>
      </c>
      <c r="J103" s="16" t="n">
        <v>660</v>
      </c>
      <c r="K103" s="16" t="n">
        <v>0</v>
      </c>
      <c r="L103" s="16" t="n">
        <v>600.05</v>
      </c>
      <c r="M103" s="16" t="n">
        <v>59.95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11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648</v>
      </c>
      <c r="K104" s="12" t="n">
        <v>0</v>
      </c>
      <c r="L104" s="12" t="n">
        <v>589.14</v>
      </c>
      <c r="M104" s="12" t="n">
        <v>58.86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1440</v>
      </c>
      <c r="K105" s="16" t="n">
        <v>0</v>
      </c>
      <c r="L105" s="16" t="n">
        <v>1309.2</v>
      </c>
      <c r="M105" s="16" t="n">
        <v>130.8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30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216</v>
      </c>
      <c r="K106" s="12" t="n">
        <v>0</v>
      </c>
      <c r="L106" s="12" t="n">
        <v>196.38</v>
      </c>
      <c r="M106" s="12" t="n">
        <v>19.62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360</v>
      </c>
      <c r="K107" s="16" t="n">
        <v>0</v>
      </c>
      <c r="L107" s="16" t="n">
        <v>327.3</v>
      </c>
      <c r="M107" s="16" t="n">
        <v>32.7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6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912</v>
      </c>
      <c r="K108" s="12" t="n">
        <v>0</v>
      </c>
      <c r="L108" s="12" t="n">
        <v>829.16</v>
      </c>
      <c r="M108" s="12" t="n">
        <v>82.84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38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3</v>
      </c>
      <c r="J109" s="16" t="n">
        <v>1296</v>
      </c>
      <c r="K109" s="16" t="n">
        <v>0</v>
      </c>
      <c r="L109" s="16" t="n">
        <v>1178.28</v>
      </c>
      <c r="M109" s="16" t="n">
        <v>117.72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27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180</v>
      </c>
      <c r="K110" s="12" t="n">
        <v>0</v>
      </c>
      <c r="L110" s="12" t="n">
        <v>163.65</v>
      </c>
      <c r="M110" s="12" t="n">
        <v>16.35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240</v>
      </c>
      <c r="K111" s="16" t="n">
        <v>0</v>
      </c>
      <c r="L111" s="16" t="n">
        <v>218.2</v>
      </c>
      <c r="M111" s="16" t="n">
        <v>21.8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1056</v>
      </c>
      <c r="K112" s="12" t="n">
        <v>0</v>
      </c>
      <c r="L112" s="12" t="n">
        <v>960.08</v>
      </c>
      <c r="M112" s="12" t="n">
        <v>95.92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44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1968</v>
      </c>
      <c r="K113" s="16" t="n">
        <v>0</v>
      </c>
      <c r="L113" s="16" t="n">
        <v>1789.24</v>
      </c>
      <c r="M113" s="16" t="n">
        <v>178.76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41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108</v>
      </c>
      <c r="K114" s="12" t="n">
        <v>0</v>
      </c>
      <c r="L114" s="12" t="n">
        <v>98.19</v>
      </c>
      <c r="M114" s="12" t="n">
        <v>9.81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3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744</v>
      </c>
      <c r="K116" s="12" t="n">
        <v>0</v>
      </c>
      <c r="L116" s="12" t="n">
        <v>676.42</v>
      </c>
      <c r="M116" s="12" t="n">
        <v>67.58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31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2256</v>
      </c>
      <c r="K117" s="16" t="n">
        <v>0</v>
      </c>
      <c r="L117" s="16" t="n">
        <v>2051.08</v>
      </c>
      <c r="M117" s="16" t="n">
        <v>204.92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47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648</v>
      </c>
      <c r="K120" s="12" t="n">
        <v>0</v>
      </c>
      <c r="L120" s="12" t="n">
        <v>589.14</v>
      </c>
      <c r="M120" s="12" t="n">
        <v>58.86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27</v>
      </c>
      <c r="R120" s="11">
        <f>IFERROR(INDEX(Tariffe!$E$2:$E$200,MATCH(E120,Tariffe!$A$2:$A$200,0))*1,1)</f>
        <v/>
      </c>
    </row>
    <row r="121">
      <c r="A121" s="23" t="inlineStr">
        <is>
          <t>20261101_1915</t>
        </is>
      </c>
      <c r="B121" s="13" t="n">
        <v>46327</v>
      </c>
      <c r="C121" s="14" t="n">
        <v>0.8020833333333334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20261101_1915</t>
        </is>
      </c>
      <c r="B122" s="9" t="n">
        <v>46327</v>
      </c>
      <c r="C122" s="10" t="n">
        <v>0.8020833333333334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20261101_2015</t>
        </is>
      </c>
      <c r="B124" s="9" t="n">
        <v>46327</v>
      </c>
      <c r="C124" s="10" t="n">
        <v>0.84375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384</v>
      </c>
      <c r="K124" s="12" t="n">
        <v>0</v>
      </c>
      <c r="L124" s="12" t="n">
        <v>349.12</v>
      </c>
      <c r="M124" s="12" t="n">
        <v>34.88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8</v>
      </c>
      <c r="R124" s="11">
        <f>IFERROR(INDEX(Tariffe!$E$2:$E$200,MATCH(E124,Tariffe!$A$2:$A$200,0))*1,1)</f>
        <v/>
      </c>
    </row>
    <row r="125">
      <c r="A125" s="23" t="inlineStr">
        <is>
          <t>20261101_2015</t>
        </is>
      </c>
      <c r="B125" s="13" t="n">
        <v>46327</v>
      </c>
      <c r="C125" s="14" t="n">
        <v>0.84375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120</v>
      </c>
      <c r="K126" s="12" t="n">
        <v>0</v>
      </c>
      <c r="L126" s="12" t="n">
        <v>109.1</v>
      </c>
      <c r="M126" s="12" t="n">
        <v>10.9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5</v>
      </c>
      <c r="R127" s="15">
        <f>IFERROR(INDEX(Tariffe!$E$2:$E$200,MATCH(E127,Tariffe!$A$2:$A$200,0))*1,1)</f>
        <v/>
      </c>
    </row>
    <row r="128">
      <c r="A128" s="22" t="inlineStr">
        <is>
          <t>20261101_2115</t>
        </is>
      </c>
      <c r="B128" s="9" t="n">
        <v>46327</v>
      </c>
      <c r="C128" s="10" t="n">
        <v>0.8854166666666666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432</v>
      </c>
      <c r="K128" s="12" t="n">
        <v>0</v>
      </c>
      <c r="L128" s="12" t="n">
        <v>392.76</v>
      </c>
      <c r="M128" s="12" t="n">
        <v>39.24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9</v>
      </c>
      <c r="R128" s="11">
        <f>IFERROR(INDEX(Tariffe!$E$2:$E$200,MATCH(E128,Tariffe!$A$2:$A$200,0))*1,1)</f>
        <v/>
      </c>
    </row>
    <row r="129">
      <c r="A129" s="23" t="inlineStr">
        <is>
          <t>20261101_2115</t>
        </is>
      </c>
      <c r="B129" s="13" t="n">
        <v>46327</v>
      </c>
      <c r="C129" s="14" t="n">
        <v>0.8854166666666666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144</v>
      </c>
      <c r="K129" s="16" t="n">
        <v>0</v>
      </c>
      <c r="L129" s="16" t="n">
        <v>130.92</v>
      </c>
      <c r="M129" s="16" t="n">
        <v>13.08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4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264</v>
      </c>
      <c r="K131" s="16" t="n">
        <v>0</v>
      </c>
      <c r="L131" s="16" t="n">
        <v>240.02</v>
      </c>
      <c r="M131" s="16" t="n">
        <v>23.98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11</v>
      </c>
      <c r="R131" s="15">
        <f>IFERROR(INDEX(Tariffe!$E$2:$E$200,MATCH(E131,Tariffe!$A$2:$A$200,0))*1,1)</f>
        <v/>
      </c>
    </row>
    <row r="132">
      <c r="A132" s="22" t="inlineStr">
        <is>
          <t>20261101_2215</t>
        </is>
      </c>
      <c r="B132" s="9" t="n">
        <v>46327</v>
      </c>
      <c r="C132" s="10" t="n">
        <v>0.9270833333333334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912</v>
      </c>
      <c r="K132" s="12" t="n">
        <v>0</v>
      </c>
      <c r="L132" s="12" t="n">
        <v>829.16</v>
      </c>
      <c r="M132" s="12" t="n">
        <v>82.84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19</v>
      </c>
      <c r="R132" s="11">
        <f>IFERROR(INDEX(Tariffe!$E$2:$E$200,MATCH(E132,Tariffe!$A$2:$A$200,0))*1,1)</f>
        <v/>
      </c>
    </row>
    <row r="133">
      <c r="A133" s="23" t="inlineStr">
        <is>
          <t>20261101_2215</t>
        </is>
      </c>
      <c r="B133" s="13" t="n">
        <v>46327</v>
      </c>
      <c r="C133" s="14" t="n">
        <v>0.9270833333333334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108</v>
      </c>
      <c r="K133" s="16" t="n">
        <v>0</v>
      </c>
      <c r="L133" s="16" t="n">
        <v>98.19</v>
      </c>
      <c r="M133" s="16" t="n">
        <v>9.81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60</v>
      </c>
      <c r="K134" s="12" t="n">
        <v>0</v>
      </c>
      <c r="L134" s="12" t="n">
        <v>54.55</v>
      </c>
      <c r="M134" s="12" t="n">
        <v>5.45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456</v>
      </c>
      <c r="K135" s="16" t="n">
        <v>0</v>
      </c>
      <c r="L135" s="16" t="n">
        <v>414.58</v>
      </c>
      <c r="M135" s="16" t="n">
        <v>41.42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19</v>
      </c>
      <c r="R135" s="15">
        <f>IFERROR(INDEX(Tariffe!$E$2:$E$200,MATCH(E135,Tariffe!$A$2:$A$200,0))*1,1)</f>
        <v/>
      </c>
    </row>
    <row r="136">
      <c r="A136" s="22" t="inlineStr">
        <is>
          <t>20261101_2315</t>
        </is>
      </c>
      <c r="B136" s="9" t="n">
        <v>46327</v>
      </c>
      <c r="C136" s="10" t="n">
        <v>0.96875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144</v>
      </c>
      <c r="K136" s="12" t="n">
        <v>0</v>
      </c>
      <c r="L136" s="12" t="n">
        <v>130.92</v>
      </c>
      <c r="M136" s="12" t="n">
        <v>13.08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20261101_2315</t>
        </is>
      </c>
      <c r="B137" s="13" t="n">
        <v>46327</v>
      </c>
      <c r="C137" s="14" t="n">
        <v>0.96875</v>
      </c>
      <c r="D137" s="23" t="inlineStr">
        <is>
          <t>UN Unico</t>
        </is>
      </c>
      <c r="E137" s="23" t="inlineStr">
        <is>
          <t>I2 36€</t>
        </is>
      </c>
      <c r="F137" s="23">
        <f>IFERROR(INDEX(Tariffe!$B$2:$B$200,MATCH(E137,Tariffe!$A$2:$A$200,0)),"DA DEFINIRE")</f>
        <v/>
      </c>
      <c r="G137" s="16" t="n">
        <v>36</v>
      </c>
      <c r="H137" s="15">
        <f>Q137*R137</f>
        <v/>
      </c>
      <c r="I137" s="15" t="n">
        <v>0</v>
      </c>
      <c r="J137" s="16" t="n">
        <v>72</v>
      </c>
      <c r="K137" s="16" t="n">
        <v>0</v>
      </c>
      <c r="L137" s="16" t="n">
        <v>65.45999999999999</v>
      </c>
      <c r="M137" s="16" t="n">
        <v>6.54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I5 60€</t>
        </is>
      </c>
      <c r="F138" s="22">
        <f>IFERROR(INDEX(Tariffe!$B$2:$B$200,MATCH(E138,Tariffe!$A$2:$A$200,0)),"DA DEFINIRE")</f>
        <v/>
      </c>
      <c r="G138" s="12" t="n">
        <v>60</v>
      </c>
      <c r="H138" s="11">
        <f>Q138*R138</f>
        <v/>
      </c>
      <c r="I138" s="11" t="n">
        <v>0</v>
      </c>
      <c r="J138" s="12" t="n">
        <v>180</v>
      </c>
      <c r="K138" s="12" t="n">
        <v>0</v>
      </c>
      <c r="L138" s="12" t="n">
        <v>163.65</v>
      </c>
      <c r="M138" s="12" t="n">
        <v>16.35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I8 24€</t>
        </is>
      </c>
      <c r="F139" s="23">
        <f>IFERROR(INDEX(Tariffe!$B$2:$B$200,MATCH(E139,Tariffe!$A$2:$A$200,0)),"DA DEFINIRE")</f>
        <v/>
      </c>
      <c r="G139" s="16" t="n">
        <v>24</v>
      </c>
      <c r="H139" s="15">
        <f>Q139*R139</f>
        <v/>
      </c>
      <c r="I139" s="15" t="n">
        <v>0</v>
      </c>
      <c r="J139" s="16" t="n">
        <v>96</v>
      </c>
      <c r="K139" s="16" t="n">
        <v>0</v>
      </c>
      <c r="L139" s="16" t="n">
        <v>87.28</v>
      </c>
      <c r="M139" s="16" t="n">
        <v>8.720000000000001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20261101_2359</t>
        </is>
      </c>
      <c r="B140" s="9" t="n">
        <v>46327</v>
      </c>
      <c r="C140" s="10" t="n">
        <v>0.9993055555555556</v>
      </c>
      <c r="D140" s="22" t="inlineStr">
        <is>
          <t>UN Unico</t>
        </is>
      </c>
      <c r="E140" s="22" t="inlineStr">
        <is>
          <t>I1 48€</t>
        </is>
      </c>
      <c r="F140" s="22">
        <f>IFERROR(INDEX(Tariffe!$B$2:$B$200,MATCH(E140,Tariffe!$A$2:$A$200,0)),"DA DEFINIRE")</f>
        <v/>
      </c>
      <c r="G140" s="12" t="n">
        <v>48</v>
      </c>
      <c r="H140" s="11">
        <f>Q140*R140</f>
        <v/>
      </c>
      <c r="I140" s="11" t="n">
        <v>0</v>
      </c>
      <c r="J140" s="12" t="n">
        <v>192</v>
      </c>
      <c r="K140" s="12" t="n">
        <v>0</v>
      </c>
      <c r="L140" s="12" t="n">
        <v>174.56</v>
      </c>
      <c r="M140" s="12" t="n">
        <v>17.44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20261101_2359</t>
        </is>
      </c>
      <c r="B141" s="13" t="n">
        <v>46327</v>
      </c>
      <c r="C141" s="14" t="n">
        <v>0.9993055555555556</v>
      </c>
      <c r="D141" s="23" t="inlineStr">
        <is>
          <t>UN Unico</t>
        </is>
      </c>
      <c r="E141" s="23" t="inlineStr">
        <is>
          <t>I5 60€</t>
        </is>
      </c>
      <c r="F141" s="23">
        <f>IFERROR(INDEX(Tariffe!$B$2:$B$200,MATCH(E141,Tariffe!$A$2:$A$200,0)),"DA DEFINIRE")</f>
        <v/>
      </c>
      <c r="G141" s="16" t="n">
        <v>60</v>
      </c>
      <c r="H141" s="15">
        <f>Q141*R141</f>
        <v/>
      </c>
      <c r="I141" s="15" t="n">
        <v>0</v>
      </c>
      <c r="J141" s="16" t="n">
        <v>60</v>
      </c>
      <c r="K141" s="16" t="n">
        <v>0</v>
      </c>
      <c r="L141" s="16" t="n">
        <v>54.55</v>
      </c>
      <c r="M141" s="16" t="n">
        <v>5.45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1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I8 24€</t>
        </is>
      </c>
      <c r="F142" s="22">
        <f>IFERROR(INDEX(Tariffe!$B$2:$B$200,MATCH(E142,Tariffe!$A$2:$A$200,0)),"DA DEFINIRE")</f>
        <v/>
      </c>
      <c r="G142" s="12" t="n">
        <v>24</v>
      </c>
      <c r="H142" s="11">
        <f>Q142*R142</f>
        <v/>
      </c>
      <c r="I142" s="11" t="n">
        <v>0</v>
      </c>
      <c r="J142" s="12" t="n">
        <v>24</v>
      </c>
      <c r="K142" s="12" t="n">
        <v>0</v>
      </c>
      <c r="L142" s="12" t="n">
        <v>21.82</v>
      </c>
      <c r="M142" s="12" t="n">
        <v>2.18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</v>
      </c>
      <c r="R142" s="11">
        <f>IFERROR(INDEX(Tariffe!$E$2:$E$200,MATCH(E142,Tariffe!$A$2:$A$200,0))*1,1)</f>
        <v/>
      </c>
    </row>
    <row r="143">
      <c r="A143" s="23" t="inlineStr">
        <is>
          <t>20261102_2015</t>
        </is>
      </c>
      <c r="B143" s="13" t="n">
        <v>46328</v>
      </c>
      <c r="C143" s="14" t="n">
        <v>0.84375</v>
      </c>
      <c r="D143" s="23" t="inlineStr">
        <is>
          <t>UN Unico</t>
        </is>
      </c>
      <c r="E143" s="23" t="inlineStr">
        <is>
          <t>I1 15€</t>
        </is>
      </c>
      <c r="F143" s="23">
        <f>IFERROR(INDEX(Tariffe!$B$2:$B$200,MATCH(E143,Tariffe!$A$2:$A$200,0)),"DA DEFINIRE")</f>
        <v/>
      </c>
      <c r="G143" s="16" t="n">
        <v>15</v>
      </c>
      <c r="H143" s="15">
        <f>Q143*R143</f>
        <v/>
      </c>
      <c r="I143" s="15" t="n">
        <v>0</v>
      </c>
      <c r="J143" s="16" t="n">
        <v>30</v>
      </c>
      <c r="K143" s="16" t="n">
        <v>0</v>
      </c>
      <c r="L143" s="16" t="n">
        <v>27.28</v>
      </c>
      <c r="M143" s="16" t="n">
        <v>2.72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2</v>
      </c>
      <c r="R143" s="15">
        <f>IFERROR(INDEX(Tariffe!$E$2:$E$200,MATCH(E143,Tariffe!$A$2:$A$200,0))*1,1)</f>
        <v/>
      </c>
    </row>
    <row r="144">
      <c r="A144" s="22" t="inlineStr">
        <is>
          <t>20261102_2215</t>
        </is>
      </c>
      <c r="B144" s="9" t="n">
        <v>46328</v>
      </c>
      <c r="C144" s="10" t="n">
        <v>0.9270833333333334</v>
      </c>
      <c r="D144" s="22" t="inlineStr">
        <is>
          <t>UN Unico</t>
        </is>
      </c>
      <c r="E144" s="22" t="inlineStr">
        <is>
          <t>I1 15€</t>
        </is>
      </c>
      <c r="F144" s="22">
        <f>IFERROR(INDEX(Tariffe!$B$2:$B$200,MATCH(E144,Tariffe!$A$2:$A$200,0)),"DA DEFINIRE")</f>
        <v/>
      </c>
      <c r="G144" s="12" t="n">
        <v>15</v>
      </c>
      <c r="H144" s="11">
        <f>Q144*R144</f>
        <v/>
      </c>
      <c r="I144" s="11" t="n">
        <v>0</v>
      </c>
      <c r="J144" s="12" t="n">
        <v>90</v>
      </c>
      <c r="K144" s="12" t="n">
        <v>0</v>
      </c>
      <c r="L144" s="12" t="n">
        <v>81.84</v>
      </c>
      <c r="M144" s="12" t="n">
        <v>8.16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6</v>
      </c>
      <c r="R144" s="11">
        <f>IFERROR(INDEX(Tariffe!$E$2:$E$200,MATCH(E144,Tariffe!$A$2:$A$200,0))*1,1)</f>
        <v/>
      </c>
    </row>
    <row r="145">
      <c r="A145" s="23" t="inlineStr">
        <is>
          <t>20261102_2315</t>
        </is>
      </c>
      <c r="B145" s="13" t="n">
        <v>46328</v>
      </c>
      <c r="C145" s="14" t="n">
        <v>0.96875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45</v>
      </c>
      <c r="K145" s="16" t="n">
        <v>0</v>
      </c>
      <c r="L145" s="16" t="n">
        <v>40.92</v>
      </c>
      <c r="M145" s="16" t="n">
        <v>4.08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3</v>
      </c>
      <c r="R145" s="15">
        <f>IFERROR(INDEX(Tariffe!$E$2:$E$200,MATCH(E145,Tariffe!$A$2:$A$200,0))*1,1)</f>
        <v/>
      </c>
    </row>
    <row r="146">
      <c r="A146" s="22" t="inlineStr">
        <is>
          <t>20261102_2359</t>
        </is>
      </c>
      <c r="B146" s="9" t="n">
        <v>46328</v>
      </c>
      <c r="C146" s="10" t="n">
        <v>0.9993055555555556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15</v>
      </c>
      <c r="K146" s="12" t="n">
        <v>0</v>
      </c>
      <c r="L146" s="12" t="n">
        <v>13.64</v>
      </c>
      <c r="M146" s="12" t="n">
        <v>1.36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</sheetData>
  <autoFilter ref="A1:R1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</sheetData>
  <autoFilter ref="A1:G8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</sheetData>
  <autoFilter ref="A1:K137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143</v>
      </c>
      <c r="M6" s="11" t="n">
        <v>438</v>
      </c>
      <c r="N6" s="12" t="n">
        <v>5256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51</v>
      </c>
      <c r="C27" s="11" t="n">
        <v>173</v>
      </c>
      <c r="D27" s="12" t="n">
        <v>2076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2026-10-28T10:43:21Z</dcterms:created>
  <dcterms:modified xsi:type="dcterms:W3CDTF">2026-10-28T10:43:25Z</dcterms:modified>
</cp:coreProperties>
</file>