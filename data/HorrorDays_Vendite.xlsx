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'Spettacoli'!$A$1:$R$41</definedName>
    <definedName name="_xlnm._FilterDatabase" localSheetId="4" hidden="1">'Vendite'!$A$1:$P$120</definedName>
    <definedName name="_xlnm._FilterDatabase" localSheetId="5" hidden="1">'Per tariffa'!$A$1:$G$5</definedName>
    <definedName name="_xlnm._FilterDatabase" localSheetId="6" hidden="1">'Per serata'!$A$1:$S$9</definedName>
    <definedName name="_xlnm._FilterDatabase" localSheetId="7" hidden="1">'Storico'!$A$1:$G$612</definedName>
    <definedName name="_xlnm._FilterDatabase" localSheetId="8" hidden="1">'Registro vendite'!$A$1:$K$674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'Storico'!$H$2:$H$612</f>
            </numRef>
          </cat>
          <val>
            <numRef>
              <f>'Storico'!$C$2:$C$612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vendite'!$A$4:$A$23</f>
            </numRef>
          </cat>
          <val>
            <numRef>
              <f>'Picchi vendite'!$B$4:$B$23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MAX(Storico!A2:A612)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6</v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17</v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21</v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13</v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28</v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25</v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9</v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10</v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36</v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16</v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9</v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8</v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46</v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10</v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5</v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4</v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15</v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4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4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7</v>
      </c>
      <c r="I26" s="11" t="n">
        <v>0</v>
      </c>
      <c r="J26" s="12" t="n">
        <v>336</v>
      </c>
      <c r="K26" s="12" t="n">
        <v>0</v>
      </c>
      <c r="L26" s="12" t="n">
        <v>305.48</v>
      </c>
      <c r="M26" s="12" t="n">
        <v>30.52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4</v>
      </c>
      <c r="I27" s="15" t="n">
        <v>0</v>
      </c>
      <c r="J27" s="16" t="n">
        <v>144</v>
      </c>
      <c r="K27" s="16" t="n">
        <v>0</v>
      </c>
      <c r="L27" s="16" t="n">
        <v>130.92</v>
      </c>
      <c r="M27" s="16" t="n">
        <v>13.08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4</v>
      </c>
      <c r="I28" s="11" t="n">
        <v>4</v>
      </c>
      <c r="J28" s="12" t="n">
        <v>240</v>
      </c>
      <c r="K28" s="12" t="n">
        <v>0</v>
      </c>
      <c r="L28" s="12" t="n">
        <v>218.2</v>
      </c>
      <c r="M28" s="12" t="n">
        <v>21.8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16</v>
      </c>
      <c r="I29" s="15" t="n">
        <v>1</v>
      </c>
      <c r="J29" s="16" t="n">
        <v>384</v>
      </c>
      <c r="K29" s="16" t="n">
        <v>0</v>
      </c>
      <c r="L29" s="16" t="n">
        <v>349.12</v>
      </c>
      <c r="M29" s="16" t="n">
        <v>34.88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8</v>
      </c>
      <c r="I30" s="11" t="n">
        <v>0</v>
      </c>
      <c r="J30" s="12" t="n">
        <v>384</v>
      </c>
      <c r="K30" s="12" t="n">
        <v>0</v>
      </c>
      <c r="L30" s="12" t="n">
        <v>349.12</v>
      </c>
      <c r="M30" s="12" t="n">
        <v>34.88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4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31</v>
      </c>
      <c r="I33" s="15" t="n">
        <v>0</v>
      </c>
      <c r="J33" s="16" t="n">
        <v>744</v>
      </c>
      <c r="K33" s="16" t="n">
        <v>0</v>
      </c>
      <c r="L33" s="16" t="n">
        <v>676.42</v>
      </c>
      <c r="M33" s="16" t="n">
        <v>67.58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9</v>
      </c>
      <c r="I34" s="11" t="n">
        <v>0</v>
      </c>
      <c r="J34" s="12" t="n">
        <v>432</v>
      </c>
      <c r="K34" s="12" t="n">
        <v>0</v>
      </c>
      <c r="L34" s="12" t="n">
        <v>392.76</v>
      </c>
      <c r="M34" s="12" t="n">
        <v>39.24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5</v>
      </c>
      <c r="I35" s="15" t="n">
        <v>0</v>
      </c>
      <c r="J35" s="16" t="n">
        <v>180</v>
      </c>
      <c r="K35" s="16" t="n">
        <v>0</v>
      </c>
      <c r="L35" s="16" t="n">
        <v>163.65</v>
      </c>
      <c r="M35" s="16" t="n">
        <v>16.35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6</v>
      </c>
      <c r="I36" s="11" t="n">
        <v>0</v>
      </c>
      <c r="J36" s="12" t="n">
        <v>360</v>
      </c>
      <c r="K36" s="12" t="n">
        <v>0</v>
      </c>
      <c r="L36" s="12" t="n">
        <v>327.3</v>
      </c>
      <c r="M36" s="12" t="n">
        <v>32.7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24</v>
      </c>
      <c r="I37" s="15" t="n">
        <v>0</v>
      </c>
      <c r="J37" s="16" t="n">
        <v>576</v>
      </c>
      <c r="K37" s="16" t="n">
        <v>0</v>
      </c>
      <c r="L37" s="16" t="n">
        <v>523.6799999999999</v>
      </c>
      <c r="M37" s="16" t="n">
        <v>52.32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15</v>
      </c>
      <c r="I38" s="11" t="n">
        <v>0</v>
      </c>
      <c r="J38" s="12" t="n">
        <v>720</v>
      </c>
      <c r="K38" s="12" t="n">
        <v>0</v>
      </c>
      <c r="L38" s="12" t="n">
        <v>654.6</v>
      </c>
      <c r="M38" s="12" t="n">
        <v>65.40000000000001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I5</t>
        </is>
      </c>
      <c r="F39" s="23">
        <f>IFERROR(INDEX(Tariffe!$B$2:$B$200,MATCH(E39,Tariffe!$A$2:$A$200,0)),"DA DEFINIRE")</f>
        <v/>
      </c>
      <c r="G39" s="16" t="n">
        <v>60</v>
      </c>
      <c r="H39" s="15" t="n">
        <v>5</v>
      </c>
      <c r="I39" s="15" t="n">
        <v>0</v>
      </c>
      <c r="J39" s="16" t="n">
        <v>300</v>
      </c>
      <c r="K39" s="16" t="n">
        <v>0</v>
      </c>
      <c r="L39" s="16" t="n">
        <v>272.75</v>
      </c>
      <c r="M39" s="16" t="n">
        <v>27.25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15</v>
      </c>
      <c r="I40" s="11" t="n">
        <v>0</v>
      </c>
      <c r="J40" s="12" t="n">
        <v>360</v>
      </c>
      <c r="K40" s="12" t="n">
        <v>0</v>
      </c>
      <c r="L40" s="12" t="n">
        <v>327.3</v>
      </c>
      <c r="M40" s="12" t="n">
        <v>32.7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4</v>
      </c>
      <c r="I41" s="15" t="n">
        <v>0</v>
      </c>
      <c r="J41" s="16" t="n">
        <v>192</v>
      </c>
      <c r="K41" s="16" t="n">
        <v>0</v>
      </c>
      <c r="L41" s="16" t="n">
        <v>174.56</v>
      </c>
      <c r="M41" s="16" t="n">
        <v>17.44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3</v>
      </c>
      <c r="I42" s="11" t="n">
        <v>0</v>
      </c>
      <c r="J42" s="12" t="n">
        <v>108</v>
      </c>
      <c r="K42" s="12" t="n">
        <v>0</v>
      </c>
      <c r="L42" s="12" t="n">
        <v>98.19</v>
      </c>
      <c r="M42" s="12" t="n">
        <v>9.81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I5</t>
        </is>
      </c>
      <c r="F43" s="23">
        <f>IFERROR(INDEX(Tariffe!$B$2:$B$200,MATCH(E43,Tariffe!$A$2:$A$200,0)),"DA DEFINIRE")</f>
        <v/>
      </c>
      <c r="G43" s="16" t="n">
        <v>60</v>
      </c>
      <c r="H43" s="15" t="n">
        <v>4</v>
      </c>
      <c r="I43" s="15" t="n">
        <v>0</v>
      </c>
      <c r="J43" s="16" t="n">
        <v>240</v>
      </c>
      <c r="K43" s="16" t="n">
        <v>0</v>
      </c>
      <c r="L43" s="16" t="n">
        <v>218.2</v>
      </c>
      <c r="M43" s="16" t="n">
        <v>21.8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6</v>
      </c>
      <c r="I44" s="11" t="n">
        <v>0</v>
      </c>
      <c r="J44" s="12" t="n">
        <v>144</v>
      </c>
      <c r="K44" s="12" t="n">
        <v>0</v>
      </c>
      <c r="L44" s="12" t="n">
        <v>130.92</v>
      </c>
      <c r="M44" s="12" t="n">
        <v>13.08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13</v>
      </c>
      <c r="I45" s="15" t="n">
        <v>0</v>
      </c>
      <c r="J45" s="16" t="n">
        <v>624</v>
      </c>
      <c r="K45" s="16" t="n">
        <v>0</v>
      </c>
      <c r="L45" s="16" t="n">
        <v>567.3200000000001</v>
      </c>
      <c r="M45" s="16" t="n">
        <v>56.68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I5</t>
        </is>
      </c>
      <c r="F46" s="22">
        <f>IFERROR(INDEX(Tariffe!$B$2:$B$200,MATCH(E46,Tariffe!$A$2:$A$200,0)),"DA DEFINIRE")</f>
        <v/>
      </c>
      <c r="G46" s="12" t="n">
        <v>60</v>
      </c>
      <c r="H46" s="11" t="n">
        <v>4</v>
      </c>
      <c r="I46" s="11" t="n">
        <v>0</v>
      </c>
      <c r="J46" s="12" t="n">
        <v>240</v>
      </c>
      <c r="K46" s="12" t="n">
        <v>0</v>
      </c>
      <c r="L46" s="12" t="n">
        <v>218.2</v>
      </c>
      <c r="M46" s="12" t="n">
        <v>21.8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13</v>
      </c>
      <c r="I47" s="15" t="n">
        <v>0</v>
      </c>
      <c r="J47" s="16" t="n">
        <v>312</v>
      </c>
      <c r="K47" s="16" t="n">
        <v>0</v>
      </c>
      <c r="L47" s="16" t="n">
        <v>283.66</v>
      </c>
      <c r="M47" s="16" t="n">
        <v>28.34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3</v>
      </c>
      <c r="I48" s="11" t="n">
        <v>0</v>
      </c>
      <c r="J48" s="12" t="n">
        <v>144</v>
      </c>
      <c r="K48" s="12" t="n">
        <v>0</v>
      </c>
      <c r="L48" s="12" t="n">
        <v>130.92</v>
      </c>
      <c r="M48" s="12" t="n">
        <v>13.08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I2</t>
        </is>
      </c>
      <c r="F49" s="23">
        <f>IFERROR(INDEX(Tariffe!$B$2:$B$200,MATCH(E49,Tariffe!$A$2:$A$200,0)),"DA DEFINIRE")</f>
        <v/>
      </c>
      <c r="G49" s="16" t="n">
        <v>36</v>
      </c>
      <c r="H49" s="15" t="n">
        <v>2</v>
      </c>
      <c r="I49" s="15" t="n">
        <v>0</v>
      </c>
      <c r="J49" s="16" t="n">
        <v>72</v>
      </c>
      <c r="K49" s="16" t="n">
        <v>0</v>
      </c>
      <c r="L49" s="16" t="n">
        <v>65.45999999999999</v>
      </c>
      <c r="M49" s="16" t="n">
        <v>6.54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2</v>
      </c>
      <c r="I50" s="11" t="n">
        <v>0</v>
      </c>
      <c r="J50" s="12" t="n">
        <v>120</v>
      </c>
      <c r="K50" s="12" t="n">
        <v>0</v>
      </c>
      <c r="L50" s="12" t="n">
        <v>109.1</v>
      </c>
      <c r="M50" s="12" t="n">
        <v>10.9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13</v>
      </c>
      <c r="I51" s="15" t="n">
        <v>0</v>
      </c>
      <c r="J51" s="16" t="n">
        <v>312</v>
      </c>
      <c r="K51" s="16" t="n">
        <v>0</v>
      </c>
      <c r="L51" s="16" t="n">
        <v>283.66</v>
      </c>
      <c r="M51" s="16" t="n">
        <v>28.34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8</v>
      </c>
      <c r="I52" s="11" t="n">
        <v>0</v>
      </c>
      <c r="J52" s="12" t="n">
        <v>384</v>
      </c>
      <c r="K52" s="12" t="n">
        <v>0</v>
      </c>
      <c r="L52" s="12" t="n">
        <v>349.12</v>
      </c>
      <c r="M52" s="12" t="n">
        <v>34.88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20261025_2315</t>
        </is>
      </c>
      <c r="B53" s="13" t="n">
        <v>46320</v>
      </c>
      <c r="C53" s="14" t="n">
        <v>0.96875</v>
      </c>
      <c r="D53" s="23" t="inlineStr">
        <is>
          <t>UN Unico</t>
        </is>
      </c>
      <c r="E53" s="23" t="inlineStr">
        <is>
          <t>I2</t>
        </is>
      </c>
      <c r="F53" s="23">
        <f>IFERROR(INDEX(Tariffe!$B$2:$B$200,MATCH(E53,Tariffe!$A$2:$A$200,0)),"DA DEFINIRE")</f>
        <v/>
      </c>
      <c r="G53" s="16" t="n">
        <v>36</v>
      </c>
      <c r="H53" s="15" t="n">
        <v>4</v>
      </c>
      <c r="I53" s="15" t="n">
        <v>0</v>
      </c>
      <c r="J53" s="16" t="n">
        <v>144</v>
      </c>
      <c r="K53" s="16" t="n">
        <v>0</v>
      </c>
      <c r="L53" s="16" t="n">
        <v>130.92</v>
      </c>
      <c r="M53" s="16" t="n">
        <v>13.08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20261025_2359</t>
        </is>
      </c>
      <c r="B56" s="9" t="n">
        <v>46320</v>
      </c>
      <c r="C56" s="10" t="n">
        <v>0.9993055555555556</v>
      </c>
      <c r="D56" s="22" t="inlineStr">
        <is>
          <t>UN Unico</t>
        </is>
      </c>
      <c r="E56" s="22" t="inlineStr">
        <is>
          <t>I5</t>
        </is>
      </c>
      <c r="F56" s="22">
        <f>IFERROR(INDEX(Tariffe!$B$2:$B$200,MATCH(E56,Tariffe!$A$2:$A$200,0)),"DA DEFINIRE")</f>
        <v/>
      </c>
      <c r="G56" s="12" t="n">
        <v>60</v>
      </c>
      <c r="H56" s="11" t="n">
        <v>1</v>
      </c>
      <c r="I56" s="11" t="n">
        <v>0</v>
      </c>
      <c r="J56" s="12" t="n">
        <v>60</v>
      </c>
      <c r="K56" s="12" t="n">
        <v>0</v>
      </c>
      <c r="L56" s="12" t="n">
        <v>54.55</v>
      </c>
      <c r="M56" s="12" t="n">
        <v>5.45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20261025_2359</t>
        </is>
      </c>
      <c r="B57" s="13" t="n">
        <v>46320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3</v>
      </c>
      <c r="I57" s="15" t="n">
        <v>0</v>
      </c>
      <c r="J57" s="16" t="n">
        <v>72</v>
      </c>
      <c r="K57" s="16" t="n">
        <v>0</v>
      </c>
      <c r="L57" s="16" t="n">
        <v>65.45999999999999</v>
      </c>
      <c r="M57" s="16" t="n">
        <v>6.54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20261029_2015</t>
        </is>
      </c>
      <c r="B59" s="13" t="n">
        <v>46324</v>
      </c>
      <c r="C59" s="14" t="n">
        <v>0.84375</v>
      </c>
      <c r="D59" s="23" t="inlineStr">
        <is>
          <t>UN Unico</t>
        </is>
      </c>
      <c r="E59" s="23" t="inlineStr">
        <is>
          <t>I5</t>
        </is>
      </c>
      <c r="F59" s="23">
        <f>IFERROR(INDEX(Tariffe!$B$2:$B$200,MATCH(E59,Tariffe!$A$2:$A$200,0)),"DA DEFINIRE")</f>
        <v/>
      </c>
      <c r="G59" s="16" t="n">
        <v>60</v>
      </c>
      <c r="H59" s="15" t="n">
        <v>2</v>
      </c>
      <c r="I59" s="15" t="n">
        <v>0</v>
      </c>
      <c r="J59" s="16" t="n">
        <v>120</v>
      </c>
      <c r="K59" s="16" t="n">
        <v>0</v>
      </c>
      <c r="L59" s="16" t="n">
        <v>109.1</v>
      </c>
      <c r="M59" s="16" t="n">
        <v>10.9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20261029_2015</t>
        </is>
      </c>
      <c r="B60" s="9" t="n">
        <v>46324</v>
      </c>
      <c r="C60" s="10" t="n">
        <v>0.84375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3</v>
      </c>
      <c r="I60" s="11" t="n">
        <v>0</v>
      </c>
      <c r="J60" s="12" t="n">
        <v>72</v>
      </c>
      <c r="K60" s="12" t="n">
        <v>0</v>
      </c>
      <c r="L60" s="12" t="n">
        <v>65.45999999999999</v>
      </c>
      <c r="M60" s="12" t="n">
        <v>6.54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2</v>
      </c>
      <c r="I61" s="15" t="n">
        <v>0</v>
      </c>
      <c r="J61" s="16" t="n">
        <v>96</v>
      </c>
      <c r="K61" s="16" t="n">
        <v>0</v>
      </c>
      <c r="L61" s="16" t="n">
        <v>87.28</v>
      </c>
      <c r="M61" s="16" t="n">
        <v>8.720000000000001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20261029_2115</t>
        </is>
      </c>
      <c r="B62" s="9" t="n">
        <v>46324</v>
      </c>
      <c r="C62" s="10" t="n">
        <v>0.8854166666666666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2</v>
      </c>
      <c r="I62" s="11" t="n">
        <v>0</v>
      </c>
      <c r="J62" s="12" t="n">
        <v>120</v>
      </c>
      <c r="K62" s="12" t="n">
        <v>0</v>
      </c>
      <c r="L62" s="12" t="n">
        <v>109.1</v>
      </c>
      <c r="M62" s="12" t="n">
        <v>10.9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20261029_2115</t>
        </is>
      </c>
      <c r="B63" s="13" t="n">
        <v>46324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4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7</v>
      </c>
      <c r="I64" s="11" t="n">
        <v>0</v>
      </c>
      <c r="J64" s="12" t="n">
        <v>336</v>
      </c>
      <c r="K64" s="12" t="n">
        <v>0</v>
      </c>
      <c r="L64" s="12" t="n">
        <v>305.48</v>
      </c>
      <c r="M64" s="12" t="n">
        <v>30.52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20261029_2215</t>
        </is>
      </c>
      <c r="B65" s="13" t="n">
        <v>46324</v>
      </c>
      <c r="C65" s="14" t="n">
        <v>0.9270833333333334</v>
      </c>
      <c r="D65" s="23" t="inlineStr">
        <is>
          <t>UN Unico</t>
        </is>
      </c>
      <c r="E65" s="23" t="inlineStr">
        <is>
          <t>I2</t>
        </is>
      </c>
      <c r="F65" s="23">
        <f>IFERROR(INDEX(Tariffe!$B$2:$B$200,MATCH(E65,Tariffe!$A$2:$A$200,0)),"DA DEFINIRE")</f>
        <v/>
      </c>
      <c r="G65" s="16" t="n">
        <v>36</v>
      </c>
      <c r="H65" s="15" t="n">
        <v>4</v>
      </c>
      <c r="I65" s="15" t="n">
        <v>0</v>
      </c>
      <c r="J65" s="16" t="n">
        <v>144</v>
      </c>
      <c r="K65" s="16" t="n">
        <v>0</v>
      </c>
      <c r="L65" s="16" t="n">
        <v>130.92</v>
      </c>
      <c r="M65" s="16" t="n">
        <v>13.08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20261029_2215</t>
        </is>
      </c>
      <c r="B66" s="9" t="n">
        <v>46324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13</v>
      </c>
      <c r="I66" s="11" t="n">
        <v>0</v>
      </c>
      <c r="J66" s="12" t="n">
        <v>312</v>
      </c>
      <c r="K66" s="12" t="n">
        <v>0</v>
      </c>
      <c r="L66" s="12" t="n">
        <v>283.66</v>
      </c>
      <c r="M66" s="12" t="n">
        <v>28.34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I1</t>
        </is>
      </c>
      <c r="F67" s="23">
        <f>IFERROR(INDEX(Tariffe!$B$2:$B$200,MATCH(E67,Tariffe!$A$2:$A$200,0)),"DA DEFINIRE")</f>
        <v/>
      </c>
      <c r="G67" s="16" t="n">
        <v>48</v>
      </c>
      <c r="H67" s="15" t="n">
        <v>6</v>
      </c>
      <c r="I67" s="15" t="n">
        <v>0</v>
      </c>
      <c r="J67" s="16" t="n">
        <v>288</v>
      </c>
      <c r="K67" s="16" t="n">
        <v>0</v>
      </c>
      <c r="L67" s="16" t="n">
        <v>261.84</v>
      </c>
      <c r="M67" s="16" t="n">
        <v>26.16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I2</t>
        </is>
      </c>
      <c r="F68" s="22">
        <f>IFERROR(INDEX(Tariffe!$B$2:$B$200,MATCH(E68,Tariffe!$A$2:$A$200,0)),"DA DEFINIRE")</f>
        <v/>
      </c>
      <c r="G68" s="12" t="n">
        <v>36</v>
      </c>
      <c r="H68" s="11" t="n">
        <v>1</v>
      </c>
      <c r="I68" s="11" t="n">
        <v>0</v>
      </c>
      <c r="J68" s="12" t="n">
        <v>36</v>
      </c>
      <c r="K68" s="12" t="n">
        <v>0</v>
      </c>
      <c r="L68" s="12" t="n">
        <v>32.73</v>
      </c>
      <c r="M68" s="12" t="n">
        <v>3.27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20261029_2315</t>
        </is>
      </c>
      <c r="B69" s="13" t="n">
        <v>46324</v>
      </c>
      <c r="C69" s="14" t="n">
        <v>0.96875</v>
      </c>
      <c r="D69" s="23" t="inlineStr">
        <is>
          <t>UN Unico</t>
        </is>
      </c>
      <c r="E69" s="23" t="inlineStr">
        <is>
          <t>I5</t>
        </is>
      </c>
      <c r="F69" s="23">
        <f>IFERROR(INDEX(Tariffe!$B$2:$B$200,MATCH(E69,Tariffe!$A$2:$A$200,0)),"DA DEFINIRE")</f>
        <v/>
      </c>
      <c r="G69" s="16" t="n">
        <v>60</v>
      </c>
      <c r="H69" s="15" t="n">
        <v>4</v>
      </c>
      <c r="I69" s="15" t="n">
        <v>0</v>
      </c>
      <c r="J69" s="16" t="n">
        <v>240</v>
      </c>
      <c r="K69" s="16" t="n">
        <v>0</v>
      </c>
      <c r="L69" s="16" t="n">
        <v>218.2</v>
      </c>
      <c r="M69" s="16" t="n">
        <v>21.8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20261029_2315</t>
        </is>
      </c>
      <c r="B70" s="9" t="n">
        <v>46324</v>
      </c>
      <c r="C70" s="10" t="n">
        <v>0.96875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20261029_2359</t>
        </is>
      </c>
      <c r="B71" s="13" t="n">
        <v>46324</v>
      </c>
      <c r="C71" s="14" t="n">
        <v>0.9993055555555556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20261029_2359</t>
        </is>
      </c>
      <c r="B72" s="9" t="n">
        <v>46324</v>
      </c>
      <c r="C72" s="10" t="n">
        <v>0.9993055555555556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3</v>
      </c>
      <c r="I72" s="11" t="n">
        <v>0</v>
      </c>
      <c r="J72" s="12" t="n">
        <v>72</v>
      </c>
      <c r="K72" s="12" t="n">
        <v>0</v>
      </c>
      <c r="L72" s="12" t="n">
        <v>65.45999999999999</v>
      </c>
      <c r="M72" s="12" t="n">
        <v>6.54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20261030_2015</t>
        </is>
      </c>
      <c r="B73" s="13" t="n">
        <v>46325</v>
      </c>
      <c r="C73" s="14" t="n">
        <v>0.84375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20261030_2015</t>
        </is>
      </c>
      <c r="B74" s="9" t="n">
        <v>46325</v>
      </c>
      <c r="C74" s="10" t="n">
        <v>0.84375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2</v>
      </c>
      <c r="I74" s="11" t="n">
        <v>0</v>
      </c>
      <c r="J74" s="12" t="n">
        <v>48</v>
      </c>
      <c r="K74" s="12" t="n">
        <v>0</v>
      </c>
      <c r="L74" s="12" t="n">
        <v>43.64</v>
      </c>
      <c r="M74" s="12" t="n">
        <v>4.36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20261030_2115</t>
        </is>
      </c>
      <c r="B75" s="13" t="n">
        <v>46325</v>
      </c>
      <c r="C75" s="14" t="n">
        <v>0.8854166666666666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1</v>
      </c>
      <c r="I75" s="15" t="n">
        <v>0</v>
      </c>
      <c r="J75" s="16" t="n">
        <v>48</v>
      </c>
      <c r="K75" s="16" t="n">
        <v>0</v>
      </c>
      <c r="L75" s="16" t="n">
        <v>43.64</v>
      </c>
      <c r="M75" s="16" t="n">
        <v>4.36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20261030_2115</t>
        </is>
      </c>
      <c r="B76" s="9" t="n">
        <v>46325</v>
      </c>
      <c r="C76" s="10" t="n">
        <v>0.8854166666666666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4</v>
      </c>
      <c r="I76" s="11" t="n">
        <v>0</v>
      </c>
      <c r="J76" s="12" t="n">
        <v>96</v>
      </c>
      <c r="K76" s="12" t="n">
        <v>0</v>
      </c>
      <c r="L76" s="12" t="n">
        <v>87.28</v>
      </c>
      <c r="M76" s="12" t="n">
        <v>8.720000000000001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9</v>
      </c>
      <c r="I77" s="15" t="n">
        <v>0</v>
      </c>
      <c r="J77" s="16" t="n">
        <v>432</v>
      </c>
      <c r="K77" s="16" t="n">
        <v>0</v>
      </c>
      <c r="L77" s="16" t="n">
        <v>392.76</v>
      </c>
      <c r="M77" s="16" t="n">
        <v>39.24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20261030_2215</t>
        </is>
      </c>
      <c r="B78" s="9" t="n">
        <v>46325</v>
      </c>
      <c r="C78" s="10" t="n">
        <v>0.9270833333333334</v>
      </c>
      <c r="D78" s="22" t="inlineStr">
        <is>
          <t>UN Unico</t>
        </is>
      </c>
      <c r="E78" s="22" t="inlineStr">
        <is>
          <t>I2</t>
        </is>
      </c>
      <c r="F78" s="22">
        <f>IFERROR(INDEX(Tariffe!$B$2:$B$200,MATCH(E78,Tariffe!$A$2:$A$200,0)),"DA DEFINIRE")</f>
        <v/>
      </c>
      <c r="G78" s="12" t="n">
        <v>36</v>
      </c>
      <c r="H78" s="11" t="n">
        <v>2</v>
      </c>
      <c r="I78" s="11" t="n">
        <v>0</v>
      </c>
      <c r="J78" s="12" t="n">
        <v>72</v>
      </c>
      <c r="K78" s="12" t="n">
        <v>0</v>
      </c>
      <c r="L78" s="12" t="n">
        <v>65.45999999999999</v>
      </c>
      <c r="M78" s="12" t="n">
        <v>6.54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20261030_2215</t>
        </is>
      </c>
      <c r="B79" s="13" t="n">
        <v>46325</v>
      </c>
      <c r="C79" s="14" t="n">
        <v>0.9270833333333334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10</v>
      </c>
      <c r="I79" s="15" t="n">
        <v>3</v>
      </c>
      <c r="J79" s="16" t="n">
        <v>240</v>
      </c>
      <c r="K79" s="16" t="n">
        <v>0</v>
      </c>
      <c r="L79" s="16" t="n">
        <v>218.2</v>
      </c>
      <c r="M79" s="16" t="n">
        <v>21.8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4</v>
      </c>
      <c r="I80" s="11" t="n">
        <v>0</v>
      </c>
      <c r="J80" s="12" t="n">
        <v>192</v>
      </c>
      <c r="K80" s="12" t="n">
        <v>0</v>
      </c>
      <c r="L80" s="12" t="n">
        <v>174.56</v>
      </c>
      <c r="M80" s="12" t="n">
        <v>17.44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I2</t>
        </is>
      </c>
      <c r="F81" s="23">
        <f>IFERROR(INDEX(Tariffe!$B$2:$B$200,MATCH(E81,Tariffe!$A$2:$A$200,0)),"DA DEFINIRE")</f>
        <v/>
      </c>
      <c r="G81" s="16" t="n">
        <v>36</v>
      </c>
      <c r="H81" s="15" t="n">
        <v>1</v>
      </c>
      <c r="I81" s="15" t="n">
        <v>0</v>
      </c>
      <c r="J81" s="16" t="n">
        <v>36</v>
      </c>
      <c r="K81" s="16" t="n">
        <v>0</v>
      </c>
      <c r="L81" s="16" t="n">
        <v>32.73</v>
      </c>
      <c r="M81" s="16" t="n">
        <v>3.27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20261030_2315</t>
        </is>
      </c>
      <c r="B82" s="9" t="n">
        <v>46325</v>
      </c>
      <c r="C82" s="10" t="n">
        <v>0.96875</v>
      </c>
      <c r="D82" s="22" t="inlineStr">
        <is>
          <t>UN Unico</t>
        </is>
      </c>
      <c r="E82" s="22" t="inlineStr">
        <is>
          <t>I5</t>
        </is>
      </c>
      <c r="F82" s="22">
        <f>IFERROR(INDEX(Tariffe!$B$2:$B$200,MATCH(E82,Tariffe!$A$2:$A$200,0)),"DA DEFINIRE")</f>
        <v/>
      </c>
      <c r="G82" s="12" t="n">
        <v>60</v>
      </c>
      <c r="H82" s="11" t="n">
        <v>1</v>
      </c>
      <c r="I82" s="11" t="n">
        <v>0</v>
      </c>
      <c r="J82" s="12" t="n">
        <v>60</v>
      </c>
      <c r="K82" s="12" t="n">
        <v>0</v>
      </c>
      <c r="L82" s="12" t="n">
        <v>54.55</v>
      </c>
      <c r="M82" s="12" t="n">
        <v>5.45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20261030_2315</t>
        </is>
      </c>
      <c r="B83" s="13" t="n">
        <v>46325</v>
      </c>
      <c r="C83" s="14" t="n">
        <v>0.96875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5</v>
      </c>
      <c r="I83" s="15" t="n">
        <v>0</v>
      </c>
      <c r="J83" s="16" t="n">
        <v>120</v>
      </c>
      <c r="K83" s="16" t="n">
        <v>0</v>
      </c>
      <c r="L83" s="16" t="n">
        <v>109.1</v>
      </c>
      <c r="M83" s="16" t="n">
        <v>10.9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I1</t>
        </is>
      </c>
      <c r="F84" s="22">
        <f>IFERROR(INDEX(Tariffe!$B$2:$B$200,MATCH(E84,Tariffe!$A$2:$A$200,0)),"DA DEFINIRE")</f>
        <v/>
      </c>
      <c r="G84" s="12" t="n">
        <v>48</v>
      </c>
      <c r="H84" s="11" t="n">
        <v>1</v>
      </c>
      <c r="I84" s="11" t="n">
        <v>0</v>
      </c>
      <c r="J84" s="12" t="n">
        <v>48</v>
      </c>
      <c r="K84" s="12" t="n">
        <v>0</v>
      </c>
      <c r="L84" s="12" t="n">
        <v>43.64</v>
      </c>
      <c r="M84" s="12" t="n">
        <v>4.36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20261030_2359</t>
        </is>
      </c>
      <c r="B85" s="13" t="n">
        <v>46325</v>
      </c>
      <c r="C85" s="14" t="n">
        <v>0.9993055555555556</v>
      </c>
      <c r="D85" s="23" t="inlineStr">
        <is>
          <t>UN Unico</t>
        </is>
      </c>
      <c r="E85" s="23" t="inlineStr">
        <is>
          <t>I5</t>
        </is>
      </c>
      <c r="F85" s="23">
        <f>IFERROR(INDEX(Tariffe!$B$2:$B$200,MATCH(E85,Tariffe!$A$2:$A$200,0)),"DA DEFINIRE")</f>
        <v/>
      </c>
      <c r="G85" s="16" t="n">
        <v>60</v>
      </c>
      <c r="H85" s="15" t="n">
        <v>1</v>
      </c>
      <c r="I85" s="15" t="n">
        <v>0</v>
      </c>
      <c r="J85" s="16" t="n">
        <v>60</v>
      </c>
      <c r="K85" s="16" t="n">
        <v>0</v>
      </c>
      <c r="L85" s="16" t="n">
        <v>54.55</v>
      </c>
      <c r="M85" s="16" t="n">
        <v>5.45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20261030_2359</t>
        </is>
      </c>
      <c r="B86" s="9" t="n">
        <v>46325</v>
      </c>
      <c r="C86" s="10" t="n">
        <v>0.9993055555555556</v>
      </c>
      <c r="D86" s="22" t="inlineStr">
        <is>
          <t>UN Unico</t>
        </is>
      </c>
      <c r="E86" s="22" t="inlineStr">
        <is>
          <t>I8</t>
        </is>
      </c>
      <c r="F86" s="22">
        <f>IFERROR(INDEX(Tariffe!$B$2:$B$200,MATCH(E86,Tariffe!$A$2:$A$200,0)),"DA DEFINIRE")</f>
        <v/>
      </c>
      <c r="G86" s="12" t="n">
        <v>24</v>
      </c>
      <c r="H86" s="11" t="n">
        <v>7</v>
      </c>
      <c r="I86" s="11" t="n">
        <v>0</v>
      </c>
      <c r="J86" s="12" t="n">
        <v>168</v>
      </c>
      <c r="K86" s="12" t="n">
        <v>0</v>
      </c>
      <c r="L86" s="12" t="n">
        <v>152.74</v>
      </c>
      <c r="M86" s="12" t="n">
        <v>15.26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I1</t>
        </is>
      </c>
      <c r="F87" s="23">
        <f>IFERROR(INDEX(Tariffe!$B$2:$B$200,MATCH(E87,Tariffe!$A$2:$A$200,0)),"DA DEFINIRE")</f>
        <v/>
      </c>
      <c r="G87" s="16" t="n">
        <v>48</v>
      </c>
      <c r="H87" s="15" t="n">
        <v>4</v>
      </c>
      <c r="I87" s="15" t="n">
        <v>0</v>
      </c>
      <c r="J87" s="16" t="n">
        <v>192</v>
      </c>
      <c r="K87" s="16" t="n">
        <v>0</v>
      </c>
      <c r="L87" s="16" t="n">
        <v>174.56</v>
      </c>
      <c r="M87" s="16" t="n">
        <v>17.44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20261031_2015</t>
        </is>
      </c>
      <c r="B88" s="9" t="n">
        <v>46326</v>
      </c>
      <c r="C88" s="10" t="n">
        <v>0.84375</v>
      </c>
      <c r="D88" s="22" t="inlineStr">
        <is>
          <t>UN Unico</t>
        </is>
      </c>
      <c r="E88" s="22" t="inlineStr">
        <is>
          <t>I2</t>
        </is>
      </c>
      <c r="F88" s="22">
        <f>IFERROR(INDEX(Tariffe!$B$2:$B$200,MATCH(E88,Tariffe!$A$2:$A$200,0)),"DA DEFINIRE")</f>
        <v/>
      </c>
      <c r="G88" s="12" t="n">
        <v>36</v>
      </c>
      <c r="H88" s="11" t="n">
        <v>1</v>
      </c>
      <c r="I88" s="11" t="n">
        <v>0</v>
      </c>
      <c r="J88" s="12" t="n">
        <v>36</v>
      </c>
      <c r="K88" s="12" t="n">
        <v>0</v>
      </c>
      <c r="L88" s="12" t="n">
        <v>32.73</v>
      </c>
      <c r="M88" s="12" t="n">
        <v>3.27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20261031_2015</t>
        </is>
      </c>
      <c r="B89" s="13" t="n">
        <v>46326</v>
      </c>
      <c r="C89" s="14" t="n">
        <v>0.84375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3</v>
      </c>
      <c r="I89" s="15" t="n">
        <v>2</v>
      </c>
      <c r="J89" s="16" t="n">
        <v>180</v>
      </c>
      <c r="K89" s="16" t="n">
        <v>0</v>
      </c>
      <c r="L89" s="16" t="n">
        <v>163.65</v>
      </c>
      <c r="M89" s="16" t="n">
        <v>16.35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20261031_2015</t>
        </is>
      </c>
      <c r="B90" s="9" t="n">
        <v>46326</v>
      </c>
      <c r="C90" s="10" t="n">
        <v>0.84375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2</v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20261031_2115</t>
        </is>
      </c>
      <c r="B91" s="13" t="n">
        <v>46326</v>
      </c>
      <c r="C91" s="14" t="n">
        <v>0.8854166666666666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9</v>
      </c>
      <c r="I91" s="15" t="n">
        <v>0</v>
      </c>
      <c r="J91" s="16" t="n">
        <v>432</v>
      </c>
      <c r="K91" s="16" t="n">
        <v>0</v>
      </c>
      <c r="L91" s="16" t="n">
        <v>392.76</v>
      </c>
      <c r="M91" s="16" t="n">
        <v>39.24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20261031_2115</t>
        </is>
      </c>
      <c r="B92" s="9" t="n">
        <v>46326</v>
      </c>
      <c r="C92" s="10" t="n">
        <v>0.8854166666666666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1</v>
      </c>
      <c r="I92" s="11" t="n">
        <v>0</v>
      </c>
      <c r="J92" s="12" t="n">
        <v>36</v>
      </c>
      <c r="K92" s="12" t="n">
        <v>0</v>
      </c>
      <c r="L92" s="12" t="n">
        <v>32.73</v>
      </c>
      <c r="M92" s="12" t="n">
        <v>3.27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20261031_2115</t>
        </is>
      </c>
      <c r="B93" s="13" t="n">
        <v>46326</v>
      </c>
      <c r="C93" s="14" t="n">
        <v>0.8854166666666666</v>
      </c>
      <c r="D93" s="23" t="inlineStr">
        <is>
          <t>UN Unico</t>
        </is>
      </c>
      <c r="E93" s="23" t="inlineStr">
        <is>
          <t>I5</t>
        </is>
      </c>
      <c r="F93" s="23">
        <f>IFERROR(INDEX(Tariffe!$B$2:$B$200,MATCH(E93,Tariffe!$A$2:$A$200,0)),"DA DEFINIRE")</f>
        <v/>
      </c>
      <c r="G93" s="16" t="n">
        <v>60</v>
      </c>
      <c r="H93" s="15" t="n">
        <v>2</v>
      </c>
      <c r="I93" s="15" t="n">
        <v>0</v>
      </c>
      <c r="J93" s="16" t="n">
        <v>120</v>
      </c>
      <c r="K93" s="16" t="n">
        <v>0</v>
      </c>
      <c r="L93" s="16" t="n">
        <v>109.1</v>
      </c>
      <c r="M93" s="16" t="n">
        <v>10.9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20261031_2115</t>
        </is>
      </c>
      <c r="B94" s="9" t="n">
        <v>46326</v>
      </c>
      <c r="C94" s="10" t="n">
        <v>0.8854166666666666</v>
      </c>
      <c r="D94" s="22" t="inlineStr">
        <is>
          <t>UN Unico</t>
        </is>
      </c>
      <c r="E94" s="22" t="inlineStr">
        <is>
          <t>I8</t>
        </is>
      </c>
      <c r="F94" s="22">
        <f>IFERROR(INDEX(Tariffe!$B$2:$B$200,MATCH(E94,Tariffe!$A$2:$A$200,0)),"DA DEFINIRE")</f>
        <v/>
      </c>
      <c r="G94" s="12" t="n">
        <v>24</v>
      </c>
      <c r="H94" s="11" t="n">
        <v>6</v>
      </c>
      <c r="I94" s="11" t="n">
        <v>0</v>
      </c>
      <c r="J94" s="12" t="n">
        <v>144</v>
      </c>
      <c r="K94" s="12" t="n">
        <v>0</v>
      </c>
      <c r="L94" s="12" t="n">
        <v>130.92</v>
      </c>
      <c r="M94" s="12" t="n">
        <v>13.08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20261031_2215</t>
        </is>
      </c>
      <c r="B95" s="13" t="n">
        <v>46326</v>
      </c>
      <c r="C95" s="14" t="n">
        <v>0.9270833333333334</v>
      </c>
      <c r="D95" s="23" t="inlineStr">
        <is>
          <t>UN Unico</t>
        </is>
      </c>
      <c r="E95" s="23" t="inlineStr">
        <is>
          <t>I1</t>
        </is>
      </c>
      <c r="F95" s="23">
        <f>IFERROR(INDEX(Tariffe!$B$2:$B$200,MATCH(E95,Tariffe!$A$2:$A$200,0)),"DA DEFINIRE")</f>
        <v/>
      </c>
      <c r="G95" s="16" t="n">
        <v>48</v>
      </c>
      <c r="H95" s="15" t="n">
        <v>7</v>
      </c>
      <c r="I95" s="15" t="n">
        <v>3</v>
      </c>
      <c r="J95" s="16" t="n">
        <v>336</v>
      </c>
      <c r="K95" s="16" t="n">
        <v>0</v>
      </c>
      <c r="L95" s="16" t="n">
        <v>305.48</v>
      </c>
      <c r="M95" s="16" t="n">
        <v>30.52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20261031_2215</t>
        </is>
      </c>
      <c r="B96" s="9" t="n">
        <v>46326</v>
      </c>
      <c r="C96" s="10" t="n">
        <v>0.9270833333333334</v>
      </c>
      <c r="D96" s="22" t="inlineStr">
        <is>
          <t>UN Unico</t>
        </is>
      </c>
      <c r="E96" s="22" t="inlineStr">
        <is>
          <t>I2</t>
        </is>
      </c>
      <c r="F96" s="22">
        <f>IFERROR(INDEX(Tariffe!$B$2:$B$200,MATCH(E96,Tariffe!$A$2:$A$200,0)),"DA DEFINIRE")</f>
        <v/>
      </c>
      <c r="G96" s="12" t="n">
        <v>36</v>
      </c>
      <c r="H96" s="11" t="n">
        <v>3</v>
      </c>
      <c r="I96" s="11" t="n">
        <v>0</v>
      </c>
      <c r="J96" s="12" t="n">
        <v>108</v>
      </c>
      <c r="K96" s="12" t="n">
        <v>0</v>
      </c>
      <c r="L96" s="12" t="n">
        <v>98.19</v>
      </c>
      <c r="M96" s="12" t="n">
        <v>9.81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20261031_2215</t>
        </is>
      </c>
      <c r="B97" s="13" t="n">
        <v>46326</v>
      </c>
      <c r="C97" s="14" t="n">
        <v>0.9270833333333334</v>
      </c>
      <c r="D97" s="23" t="inlineStr">
        <is>
          <t>UN Unico</t>
        </is>
      </c>
      <c r="E97" s="23" t="inlineStr">
        <is>
          <t>I8</t>
        </is>
      </c>
      <c r="F97" s="23">
        <f>IFERROR(INDEX(Tariffe!$B$2:$B$200,MATCH(E97,Tariffe!$A$2:$A$200,0)),"DA DEFINIRE")</f>
        <v/>
      </c>
      <c r="G97" s="16" t="n">
        <v>24</v>
      </c>
      <c r="H97" s="15" t="n">
        <v>21</v>
      </c>
      <c r="I97" s="15" t="n">
        <v>0</v>
      </c>
      <c r="J97" s="16" t="n">
        <v>504</v>
      </c>
      <c r="K97" s="16" t="n">
        <v>0</v>
      </c>
      <c r="L97" s="16" t="n">
        <v>458.22</v>
      </c>
      <c r="M97" s="16" t="n">
        <v>45.78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20261031_2315</t>
        </is>
      </c>
      <c r="B98" s="9" t="n">
        <v>46326</v>
      </c>
      <c r="C98" s="10" t="n">
        <v>0.96875</v>
      </c>
      <c r="D98" s="22" t="inlineStr">
        <is>
          <t>UN Unico</t>
        </is>
      </c>
      <c r="E98" s="22" t="inlineStr">
        <is>
          <t>I1</t>
        </is>
      </c>
      <c r="F98" s="22">
        <f>IFERROR(INDEX(Tariffe!$B$2:$B$200,MATCH(E98,Tariffe!$A$2:$A$200,0)),"DA DEFINIRE")</f>
        <v/>
      </c>
      <c r="G98" s="12" t="n">
        <v>48</v>
      </c>
      <c r="H98" s="11" t="n">
        <v>17</v>
      </c>
      <c r="I98" s="11" t="n">
        <v>0</v>
      </c>
      <c r="J98" s="12" t="n">
        <v>816</v>
      </c>
      <c r="K98" s="12" t="n">
        <v>0</v>
      </c>
      <c r="L98" s="12" t="n">
        <v>741.88</v>
      </c>
      <c r="M98" s="12" t="n">
        <v>74.12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20261031_2315</t>
        </is>
      </c>
      <c r="B99" s="13" t="n">
        <v>46326</v>
      </c>
      <c r="C99" s="14" t="n">
        <v>0.96875</v>
      </c>
      <c r="D99" s="23" t="inlineStr">
        <is>
          <t>UN Unico</t>
        </is>
      </c>
      <c r="E99" s="23" t="inlineStr">
        <is>
          <t>I2</t>
        </is>
      </c>
      <c r="F99" s="23">
        <f>IFERROR(INDEX(Tariffe!$B$2:$B$200,MATCH(E99,Tariffe!$A$2:$A$200,0)),"DA DEFINIRE")</f>
        <v/>
      </c>
      <c r="G99" s="16" t="n">
        <v>36</v>
      </c>
      <c r="H99" s="15" t="n">
        <v>2</v>
      </c>
      <c r="I99" s="15" t="n">
        <v>0</v>
      </c>
      <c r="J99" s="16" t="n">
        <v>72</v>
      </c>
      <c r="K99" s="16" t="n">
        <v>0</v>
      </c>
      <c r="L99" s="16" t="n">
        <v>65.45999999999999</v>
      </c>
      <c r="M99" s="16" t="n">
        <v>6.54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20261031_2315</t>
        </is>
      </c>
      <c r="B100" s="9" t="n">
        <v>46326</v>
      </c>
      <c r="C100" s="10" t="n">
        <v>0.96875</v>
      </c>
      <c r="D100" s="22" t="inlineStr">
        <is>
          <t>UN Unico</t>
        </is>
      </c>
      <c r="E100" s="22" t="inlineStr">
        <is>
          <t>I5</t>
        </is>
      </c>
      <c r="F100" s="22">
        <f>IFERROR(INDEX(Tariffe!$B$2:$B$200,MATCH(E100,Tariffe!$A$2:$A$200,0)),"DA DEFINIRE")</f>
        <v/>
      </c>
      <c r="G100" s="12" t="n">
        <v>60</v>
      </c>
      <c r="H100" s="11" t="n">
        <v>3</v>
      </c>
      <c r="I100" s="11" t="n">
        <v>0</v>
      </c>
      <c r="J100" s="12" t="n">
        <v>180</v>
      </c>
      <c r="K100" s="12" t="n">
        <v>0</v>
      </c>
      <c r="L100" s="12" t="n">
        <v>163.65</v>
      </c>
      <c r="M100" s="12" t="n">
        <v>16.35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20261031_2315</t>
        </is>
      </c>
      <c r="B101" s="13" t="n">
        <v>46326</v>
      </c>
      <c r="C101" s="14" t="n">
        <v>0.96875</v>
      </c>
      <c r="D101" s="23" t="inlineStr">
        <is>
          <t>UN Unico</t>
        </is>
      </c>
      <c r="E101" s="23" t="inlineStr">
        <is>
          <t>I8</t>
        </is>
      </c>
      <c r="F101" s="23">
        <f>IFERROR(INDEX(Tariffe!$B$2:$B$200,MATCH(E101,Tariffe!$A$2:$A$200,0)),"DA DEFINIRE")</f>
        <v/>
      </c>
      <c r="G101" s="16" t="n">
        <v>24</v>
      </c>
      <c r="H101" s="15" t="n">
        <v>17</v>
      </c>
      <c r="I101" s="15" t="n">
        <v>0</v>
      </c>
      <c r="J101" s="16" t="n">
        <v>408</v>
      </c>
      <c r="K101" s="16" t="n">
        <v>0</v>
      </c>
      <c r="L101" s="16" t="n">
        <v>370.94</v>
      </c>
      <c r="M101" s="16" t="n">
        <v>37.06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20261031_2359</t>
        </is>
      </c>
      <c r="B102" s="9" t="n">
        <v>46326</v>
      </c>
      <c r="C102" s="10" t="n">
        <v>0.9993055555555556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13</v>
      </c>
      <c r="I102" s="11" t="n">
        <v>0</v>
      </c>
      <c r="J102" s="12" t="n">
        <v>624</v>
      </c>
      <c r="K102" s="12" t="n">
        <v>0</v>
      </c>
      <c r="L102" s="12" t="n">
        <v>567.3200000000001</v>
      </c>
      <c r="M102" s="12" t="n">
        <v>56.68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20261031_2359</t>
        </is>
      </c>
      <c r="B103" s="13" t="n">
        <v>46326</v>
      </c>
      <c r="C103" s="14" t="n">
        <v>0.9993055555555556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20261031_2359</t>
        </is>
      </c>
      <c r="B104" s="9" t="n">
        <v>46326</v>
      </c>
      <c r="C104" s="10" t="n">
        <v>0.9993055555555556</v>
      </c>
      <c r="D104" s="22" t="inlineStr">
        <is>
          <t>UN Unico</t>
        </is>
      </c>
      <c r="E104" s="22" t="inlineStr">
        <is>
          <t>I5</t>
        </is>
      </c>
      <c r="F104" s="22">
        <f>IFERROR(INDEX(Tariffe!$B$2:$B$200,MATCH(E104,Tariffe!$A$2:$A$200,0)),"DA DEFINIRE")</f>
        <v/>
      </c>
      <c r="G104" s="12" t="n">
        <v>60</v>
      </c>
      <c r="H104" s="11" t="n">
        <v>2</v>
      </c>
      <c r="I104" s="11" t="n">
        <v>0</v>
      </c>
      <c r="J104" s="12" t="n">
        <v>120</v>
      </c>
      <c r="K104" s="12" t="n">
        <v>0</v>
      </c>
      <c r="L104" s="12" t="n">
        <v>109.1</v>
      </c>
      <c r="M104" s="12" t="n">
        <v>10.9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20261031_2359</t>
        </is>
      </c>
      <c r="B105" s="13" t="n">
        <v>46326</v>
      </c>
      <c r="C105" s="14" t="n">
        <v>0.9993055555555556</v>
      </c>
      <c r="D105" s="23" t="inlineStr">
        <is>
          <t>UN Unico</t>
        </is>
      </c>
      <c r="E105" s="23" t="inlineStr">
        <is>
          <t>I8</t>
        </is>
      </c>
      <c r="F105" s="23">
        <f>IFERROR(INDEX(Tariffe!$B$2:$B$200,MATCH(E105,Tariffe!$A$2:$A$200,0)),"DA DEFINIRE")</f>
        <v/>
      </c>
      <c r="G105" s="16" t="n">
        <v>24</v>
      </c>
      <c r="H105" s="15" t="n">
        <v>7</v>
      </c>
      <c r="I105" s="15" t="n">
        <v>0</v>
      </c>
      <c r="J105" s="16" t="n">
        <v>168</v>
      </c>
      <c r="K105" s="16" t="n">
        <v>0</v>
      </c>
      <c r="L105" s="16" t="n">
        <v>152.74</v>
      </c>
      <c r="M105" s="16" t="n">
        <v>15.26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20261101_2015</t>
        </is>
      </c>
      <c r="B106" s="9" t="n">
        <v>46327</v>
      </c>
      <c r="C106" s="10" t="n">
        <v>0.84375</v>
      </c>
      <c r="D106" s="22" t="inlineStr">
        <is>
          <t>UN Unico</t>
        </is>
      </c>
      <c r="E106" s="22" t="inlineStr">
        <is>
          <t>I1</t>
        </is>
      </c>
      <c r="F106" s="22">
        <f>IFERROR(INDEX(Tariffe!$B$2:$B$200,MATCH(E106,Tariffe!$A$2:$A$200,0)),"DA DEFINIRE")</f>
        <v/>
      </c>
      <c r="G106" s="12" t="n">
        <v>48</v>
      </c>
      <c r="H106" s="11" t="n">
        <v>2</v>
      </c>
      <c r="I106" s="11" t="n">
        <v>0</v>
      </c>
      <c r="J106" s="12" t="n">
        <v>96</v>
      </c>
      <c r="K106" s="12" t="n">
        <v>0</v>
      </c>
      <c r="L106" s="12" t="n">
        <v>87.28</v>
      </c>
      <c r="M106" s="12" t="n">
        <v>8.720000000000001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20261101_2015</t>
        </is>
      </c>
      <c r="B107" s="13" t="n">
        <v>46327</v>
      </c>
      <c r="C107" s="14" t="n">
        <v>0.84375</v>
      </c>
      <c r="D107" s="23" t="inlineStr">
        <is>
          <t>UN Unico</t>
        </is>
      </c>
      <c r="E107" s="23" t="inlineStr">
        <is>
          <t>I2</t>
        </is>
      </c>
      <c r="F107" s="23">
        <f>IFERROR(INDEX(Tariffe!$B$2:$B$200,MATCH(E107,Tariffe!$A$2:$A$200,0)),"DA DEFINIRE")</f>
        <v/>
      </c>
      <c r="G107" s="16" t="n">
        <v>36</v>
      </c>
      <c r="H107" s="15" t="n">
        <v>1</v>
      </c>
      <c r="I107" s="15" t="n">
        <v>0</v>
      </c>
      <c r="J107" s="16" t="n">
        <v>36</v>
      </c>
      <c r="K107" s="16" t="n">
        <v>0</v>
      </c>
      <c r="L107" s="16" t="n">
        <v>32.73</v>
      </c>
      <c r="M107" s="16" t="n">
        <v>3.27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20261101_2015</t>
        </is>
      </c>
      <c r="B108" s="9" t="n">
        <v>46327</v>
      </c>
      <c r="C108" s="10" t="n">
        <v>0.84375</v>
      </c>
      <c r="D108" s="22" t="inlineStr">
        <is>
          <t>UN Unico</t>
        </is>
      </c>
      <c r="E108" s="22" t="inlineStr">
        <is>
          <t>I8</t>
        </is>
      </c>
      <c r="F108" s="22">
        <f>IFERROR(INDEX(Tariffe!$B$2:$B$200,MATCH(E108,Tariffe!$A$2:$A$200,0)),"DA DEFINIRE")</f>
        <v/>
      </c>
      <c r="G108" s="12" t="n">
        <v>24</v>
      </c>
      <c r="H108" s="11" t="n">
        <v>2</v>
      </c>
      <c r="I108" s="11" t="n">
        <v>0</v>
      </c>
      <c r="J108" s="12" t="n">
        <v>48</v>
      </c>
      <c r="K108" s="12" t="n">
        <v>0</v>
      </c>
      <c r="L108" s="12" t="n">
        <v>43.64</v>
      </c>
      <c r="M108" s="12" t="n">
        <v>4.36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20261101_2115</t>
        </is>
      </c>
      <c r="B109" s="13" t="n">
        <v>46327</v>
      </c>
      <c r="C109" s="14" t="n">
        <v>0.8854166666666666</v>
      </c>
      <c r="D109" s="23" t="inlineStr">
        <is>
          <t>UN Unico</t>
        </is>
      </c>
      <c r="E109" s="23" t="inlineStr">
        <is>
          <t>I1</t>
        </is>
      </c>
      <c r="F109" s="23">
        <f>IFERROR(INDEX(Tariffe!$B$2:$B$200,MATCH(E109,Tariffe!$A$2:$A$200,0)),"DA DEFINIRE")</f>
        <v/>
      </c>
      <c r="G109" s="16" t="n">
        <v>48</v>
      </c>
      <c r="H109" s="15" t="n">
        <v>3</v>
      </c>
      <c r="I109" s="15" t="n">
        <v>0</v>
      </c>
      <c r="J109" s="16" t="n">
        <v>144</v>
      </c>
      <c r="K109" s="16" t="n">
        <v>0</v>
      </c>
      <c r="L109" s="16" t="n">
        <v>130.92</v>
      </c>
      <c r="M109" s="16" t="n">
        <v>13.08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20261101_2115</t>
        </is>
      </c>
      <c r="B110" s="9" t="n">
        <v>46327</v>
      </c>
      <c r="C110" s="10" t="n">
        <v>0.8854166666666666</v>
      </c>
      <c r="D110" s="22" t="inlineStr">
        <is>
          <t>UN Unico</t>
        </is>
      </c>
      <c r="E110" s="22" t="inlineStr">
        <is>
          <t>I2</t>
        </is>
      </c>
      <c r="F110" s="22">
        <f>IFERROR(INDEX(Tariffe!$B$2:$B$200,MATCH(E110,Tariffe!$A$2:$A$200,0)),"DA DEFINIRE")</f>
        <v/>
      </c>
      <c r="G110" s="12" t="n">
        <v>36</v>
      </c>
      <c r="H110" s="11" t="n">
        <v>2</v>
      </c>
      <c r="I110" s="11" t="n">
        <v>0</v>
      </c>
      <c r="J110" s="12" t="n">
        <v>72</v>
      </c>
      <c r="K110" s="12" t="n">
        <v>0</v>
      </c>
      <c r="L110" s="12" t="n">
        <v>65.45999999999999</v>
      </c>
      <c r="M110" s="12" t="n">
        <v>6.54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  <row r="111">
      <c r="A111" s="23" t="inlineStr">
        <is>
          <t>20261101_2115</t>
        </is>
      </c>
      <c r="B111" s="13" t="n">
        <v>46327</v>
      </c>
      <c r="C111" s="14" t="n">
        <v>0.8854166666666666</v>
      </c>
      <c r="D111" s="23" t="inlineStr">
        <is>
          <t>UN Unico</t>
        </is>
      </c>
      <c r="E111" s="23" t="inlineStr">
        <is>
          <t>I8</t>
        </is>
      </c>
      <c r="F111" s="23">
        <f>IFERROR(INDEX(Tariffe!$B$2:$B$200,MATCH(E111,Tariffe!$A$2:$A$200,0)),"DA DEFINIRE")</f>
        <v/>
      </c>
      <c r="G111" s="16" t="n">
        <v>24</v>
      </c>
      <c r="H111" s="15" t="n">
        <v>3</v>
      </c>
      <c r="I111" s="15" t="n">
        <v>0</v>
      </c>
      <c r="J111" s="16" t="n">
        <v>72</v>
      </c>
      <c r="K111" s="16" t="n">
        <v>0</v>
      </c>
      <c r="L111" s="16" t="n">
        <v>65.45999999999999</v>
      </c>
      <c r="M111" s="16" t="n">
        <v>6.54</v>
      </c>
      <c r="N111" s="23" t="inlineStr">
        <is>
          <t>11/2026</t>
        </is>
      </c>
      <c r="O111" s="15">
        <f>IFERROR(INDEX(Tariffe!$D$2:$D$200,MATCH(E111,Tariffe!$A$2:$A$200,0))*1,0)</f>
        <v/>
      </c>
      <c r="P111" s="15">
        <f>H111*O111</f>
        <v/>
      </c>
    </row>
    <row r="112">
      <c r="A112" s="22" t="inlineStr">
        <is>
          <t>20261101_2215</t>
        </is>
      </c>
      <c r="B112" s="9" t="n">
        <v>46327</v>
      </c>
      <c r="C112" s="10" t="n">
        <v>0.9270833333333334</v>
      </c>
      <c r="D112" s="22" t="inlineStr">
        <is>
          <t>UN Unico</t>
        </is>
      </c>
      <c r="E112" s="22" t="inlineStr">
        <is>
          <t>I2</t>
        </is>
      </c>
      <c r="F112" s="22">
        <f>IFERROR(INDEX(Tariffe!$B$2:$B$200,MATCH(E112,Tariffe!$A$2:$A$200,0)),"DA DEFINIRE")</f>
        <v/>
      </c>
      <c r="G112" s="12" t="n">
        <v>36</v>
      </c>
      <c r="H112" s="11" t="n">
        <v>1</v>
      </c>
      <c r="I112" s="11" t="n">
        <v>0</v>
      </c>
      <c r="J112" s="12" t="n">
        <v>36</v>
      </c>
      <c r="K112" s="12" t="n">
        <v>0</v>
      </c>
      <c r="L112" s="12" t="n">
        <v>32.73</v>
      </c>
      <c r="M112" s="12" t="n">
        <v>3.27</v>
      </c>
      <c r="N112" s="22" t="inlineStr">
        <is>
          <t>11/2026</t>
        </is>
      </c>
      <c r="O112" s="11">
        <f>IFERROR(INDEX(Tariffe!$D$2:$D$200,MATCH(E112,Tariffe!$A$2:$A$200,0))*1,0)</f>
        <v/>
      </c>
      <c r="P112" s="11">
        <f>H112*O112</f>
        <v/>
      </c>
    </row>
    <row r="113">
      <c r="A113" s="23" t="inlineStr">
        <is>
          <t>20261101_2215</t>
        </is>
      </c>
      <c r="B113" s="13" t="n">
        <v>46327</v>
      </c>
      <c r="C113" s="14" t="n">
        <v>0.9270833333333334</v>
      </c>
      <c r="D113" s="23" t="inlineStr">
        <is>
          <t>UN Unico</t>
        </is>
      </c>
      <c r="E113" s="23" t="inlineStr">
        <is>
          <t>I5</t>
        </is>
      </c>
      <c r="F113" s="23">
        <f>IFERROR(INDEX(Tariffe!$B$2:$B$200,MATCH(E113,Tariffe!$A$2:$A$200,0)),"DA DEFINIRE")</f>
        <v/>
      </c>
      <c r="G113" s="16" t="n">
        <v>60</v>
      </c>
      <c r="H113" s="15" t="n">
        <v>1</v>
      </c>
      <c r="I113" s="15" t="n">
        <v>0</v>
      </c>
      <c r="J113" s="16" t="n">
        <v>60</v>
      </c>
      <c r="K113" s="16" t="n">
        <v>0</v>
      </c>
      <c r="L113" s="16" t="n">
        <v>54.55</v>
      </c>
      <c r="M113" s="16" t="n">
        <v>5.45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H113*O113</f>
        <v/>
      </c>
    </row>
    <row r="114">
      <c r="A114" s="22" t="inlineStr">
        <is>
          <t>20261101_2215</t>
        </is>
      </c>
      <c r="B114" s="9" t="n">
        <v>46327</v>
      </c>
      <c r="C114" s="10" t="n">
        <v>0.9270833333333334</v>
      </c>
      <c r="D114" s="22" t="inlineStr">
        <is>
          <t>UN Unico</t>
        </is>
      </c>
      <c r="E114" s="22" t="inlineStr">
        <is>
          <t>I8</t>
        </is>
      </c>
      <c r="F114" s="22">
        <f>IFERROR(INDEX(Tariffe!$B$2:$B$200,MATCH(E114,Tariffe!$A$2:$A$200,0)),"DA DEFINIRE")</f>
        <v/>
      </c>
      <c r="G114" s="12" t="n">
        <v>24</v>
      </c>
      <c r="H114" s="11" t="n">
        <v>4</v>
      </c>
      <c r="I114" s="11" t="n">
        <v>0</v>
      </c>
      <c r="J114" s="12" t="n">
        <v>96</v>
      </c>
      <c r="K114" s="12" t="n">
        <v>0</v>
      </c>
      <c r="L114" s="12" t="n">
        <v>87.28</v>
      </c>
      <c r="M114" s="12" t="n">
        <v>8.720000000000001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H114*O114</f>
        <v/>
      </c>
    </row>
    <row r="115">
      <c r="A115" s="23" t="inlineStr">
        <is>
          <t>20261101_2315</t>
        </is>
      </c>
      <c r="B115" s="13" t="n">
        <v>46327</v>
      </c>
      <c r="C115" s="14" t="n">
        <v>0.96875</v>
      </c>
      <c r="D115" s="23" t="inlineStr">
        <is>
          <t>UN Unico</t>
        </is>
      </c>
      <c r="E115" s="23" t="inlineStr">
        <is>
          <t>I2</t>
        </is>
      </c>
      <c r="F115" s="23">
        <f>IFERROR(INDEX(Tariffe!$B$2:$B$200,MATCH(E115,Tariffe!$A$2:$A$200,0)),"DA DEFINIRE")</f>
        <v/>
      </c>
      <c r="G115" s="16" t="n">
        <v>36</v>
      </c>
      <c r="H115" s="15" t="n">
        <v>1</v>
      </c>
      <c r="I115" s="15" t="n">
        <v>0</v>
      </c>
      <c r="J115" s="16" t="n">
        <v>36</v>
      </c>
      <c r="K115" s="16" t="n">
        <v>0</v>
      </c>
      <c r="L115" s="16" t="n">
        <v>32.73</v>
      </c>
      <c r="M115" s="16" t="n">
        <v>3.27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H115*O115</f>
        <v/>
      </c>
    </row>
    <row r="116">
      <c r="A116" s="22" t="inlineStr">
        <is>
          <t>20261101_2315</t>
        </is>
      </c>
      <c r="B116" s="9" t="n">
        <v>46327</v>
      </c>
      <c r="C116" s="10" t="n">
        <v>0.96875</v>
      </c>
      <c r="D116" s="22" t="inlineStr">
        <is>
          <t>UN Unico</t>
        </is>
      </c>
      <c r="E116" s="22" t="inlineStr">
        <is>
          <t>I8</t>
        </is>
      </c>
      <c r="F116" s="22">
        <f>IFERROR(INDEX(Tariffe!$B$2:$B$200,MATCH(E116,Tariffe!$A$2:$A$200,0)),"DA DEFINIRE")</f>
        <v/>
      </c>
      <c r="G116" s="12" t="n">
        <v>24</v>
      </c>
      <c r="H116" s="11" t="n">
        <v>2</v>
      </c>
      <c r="I116" s="11" t="n">
        <v>0</v>
      </c>
      <c r="J116" s="12" t="n">
        <v>48</v>
      </c>
      <c r="K116" s="12" t="n">
        <v>0</v>
      </c>
      <c r="L116" s="12" t="n">
        <v>43.64</v>
      </c>
      <c r="M116" s="12" t="n">
        <v>4.36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H116*O116</f>
        <v/>
      </c>
    </row>
    <row r="117">
      <c r="A117" s="23" t="inlineStr">
        <is>
          <t>20261101_2359</t>
        </is>
      </c>
      <c r="B117" s="13" t="n">
        <v>46327</v>
      </c>
      <c r="C117" s="14" t="n">
        <v>0.9993055555555556</v>
      </c>
      <c r="D117" s="23" t="inlineStr">
        <is>
          <t>UN Unico</t>
        </is>
      </c>
      <c r="E117" s="23" t="inlineStr">
        <is>
          <t>I5</t>
        </is>
      </c>
      <c r="F117" s="23">
        <f>IFERROR(INDEX(Tariffe!$B$2:$B$200,MATCH(E117,Tariffe!$A$2:$A$200,0)),"DA DEFINIRE")</f>
        <v/>
      </c>
      <c r="G117" s="16" t="n">
        <v>60</v>
      </c>
      <c r="H117" s="15" t="n">
        <v>1</v>
      </c>
      <c r="I117" s="15" t="n">
        <v>0</v>
      </c>
      <c r="J117" s="16" t="n">
        <v>60</v>
      </c>
      <c r="K117" s="16" t="n">
        <v>0</v>
      </c>
      <c r="L117" s="16" t="n">
        <v>54.55</v>
      </c>
      <c r="M117" s="16" t="n">
        <v>5.45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H117*O117</f>
        <v/>
      </c>
    </row>
    <row r="118">
      <c r="A118" s="22" t="inlineStr">
        <is>
          <t>20261101_2359</t>
        </is>
      </c>
      <c r="B118" s="9" t="n">
        <v>46327</v>
      </c>
      <c r="C118" s="10" t="n">
        <v>0.9993055555555556</v>
      </c>
      <c r="D118" s="22" t="inlineStr">
        <is>
          <t>UN Unico</t>
        </is>
      </c>
      <c r="E118" s="22" t="inlineStr">
        <is>
          <t>I8</t>
        </is>
      </c>
      <c r="F118" s="22">
        <f>IFERROR(INDEX(Tariffe!$B$2:$B$200,MATCH(E118,Tariffe!$A$2:$A$200,0)),"DA DEFINIRE")</f>
        <v/>
      </c>
      <c r="G118" s="12" t="n">
        <v>24</v>
      </c>
      <c r="H118" s="11" t="n">
        <v>1</v>
      </c>
      <c r="I118" s="11" t="n">
        <v>0</v>
      </c>
      <c r="J118" s="12" t="n">
        <v>24</v>
      </c>
      <c r="K118" s="12" t="n">
        <v>0</v>
      </c>
      <c r="L118" s="12" t="n">
        <v>21.82</v>
      </c>
      <c r="M118" s="12" t="n">
        <v>2.18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H118*O118</f>
        <v/>
      </c>
    </row>
    <row r="119">
      <c r="A119" s="23" t="inlineStr">
        <is>
          <t>20261102_2215</t>
        </is>
      </c>
      <c r="B119" s="13" t="n">
        <v>46328</v>
      </c>
      <c r="C119" s="14" t="n">
        <v>0.9270833333333334</v>
      </c>
      <c r="D119" s="23" t="inlineStr">
        <is>
          <t>UN Unico</t>
        </is>
      </c>
      <c r="E119" s="23" t="inlineStr">
        <is>
          <t>I1</t>
        </is>
      </c>
      <c r="F119" s="23">
        <f>IFERROR(INDEX(Tariffe!$B$2:$B$200,MATCH(E119,Tariffe!$A$2:$A$200,0)),"DA DEFINIRE")</f>
        <v/>
      </c>
      <c r="G119" s="16" t="n">
        <v>15</v>
      </c>
      <c r="H119" s="15" t="n">
        <v>3</v>
      </c>
      <c r="I119" s="15" t="n">
        <v>0</v>
      </c>
      <c r="J119" s="16" t="n">
        <v>45</v>
      </c>
      <c r="K119" s="16" t="n">
        <v>0</v>
      </c>
      <c r="L119" s="16" t="n">
        <v>40.92</v>
      </c>
      <c r="M119" s="16" t="n">
        <v>4.08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H119*O119</f>
        <v/>
      </c>
    </row>
    <row r="120">
      <c r="A120" s="22" t="inlineStr">
        <is>
          <t>20261102_2315</t>
        </is>
      </c>
      <c r="B120" s="9" t="n">
        <v>46328</v>
      </c>
      <c r="C120" s="10" t="n">
        <v>0.96875</v>
      </c>
      <c r="D120" s="22" t="inlineStr">
        <is>
          <t>UN Unico</t>
        </is>
      </c>
      <c r="E120" s="22" t="inlineStr">
        <is>
          <t>I1</t>
        </is>
      </c>
      <c r="F120" s="22">
        <f>IFERROR(INDEX(Tariffe!$B$2:$B$200,MATCH(E120,Tariffe!$A$2:$A$200,0)),"DA DEFINIRE")</f>
        <v/>
      </c>
      <c r="G120" s="12" t="n">
        <v>15</v>
      </c>
      <c r="H120" s="11" t="n">
        <v>2</v>
      </c>
      <c r="I120" s="11" t="n">
        <v>0</v>
      </c>
      <c r="J120" s="12" t="n">
        <v>30</v>
      </c>
      <c r="K120" s="12" t="n">
        <v>0</v>
      </c>
      <c r="L120" s="12" t="n">
        <v>27.28</v>
      </c>
      <c r="M120" s="12" t="n">
        <v>2.72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H120*O120</f>
        <v/>
      </c>
    </row>
  </sheetData>
  <autoFilter ref="A1:P12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744</v>
      </c>
      <c r="C590" s="11" t="n">
        <v>2225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744</v>
      </c>
      <c r="C591" s="15" t="n">
        <v>2225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758</v>
      </c>
      <c r="C592" s="11" t="n">
        <v>2270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763</v>
      </c>
      <c r="C593" s="15" t="n">
        <v>2286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766</v>
      </c>
      <c r="C594" s="11" t="n">
        <v>2299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769</v>
      </c>
      <c r="C595" s="15" t="n">
        <v>2311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773</v>
      </c>
      <c r="C596" s="11" t="n">
        <v>2325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773</v>
      </c>
      <c r="C597" s="15" t="n">
        <v>2325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774</v>
      </c>
      <c r="C598" s="11" t="n">
        <v>2329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775</v>
      </c>
      <c r="C599" s="15" t="n">
        <v>2331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775</v>
      </c>
      <c r="C600" s="11" t="n">
        <v>2331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776</v>
      </c>
      <c r="C601" s="15" t="n">
        <v>2333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777</v>
      </c>
      <c r="C602" s="11" t="n">
        <v>2335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777</v>
      </c>
      <c r="C603" s="15" t="n">
        <v>2335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777</v>
      </c>
      <c r="C604" s="11" t="n">
        <v>2335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777</v>
      </c>
      <c r="C605" s="15" t="n">
        <v>2335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777</v>
      </c>
      <c r="C606" s="11" t="n">
        <v>2335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778</v>
      </c>
      <c r="C607" s="15" t="n">
        <v>2337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778</v>
      </c>
      <c r="C608" s="11" t="n">
        <v>2337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780</v>
      </c>
      <c r="C609" s="15" t="n">
        <v>2346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782</v>
      </c>
      <c r="C610" s="11" t="n">
        <v>2353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795</v>
      </c>
      <c r="C611" s="15" t="n">
        <v>2393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800</v>
      </c>
      <c r="C612" s="11" t="n">
        <v>2407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</sheetData>
  <autoFilter ref="A1:G61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2</v>
      </c>
      <c r="F635" s="37" t="n">
        <v>0</v>
      </c>
      <c r="G635" s="37" t="n">
        <v>0</v>
      </c>
      <c r="H635" s="37" t="n">
        <v>2</v>
      </c>
      <c r="I635" s="37" t="n">
        <v>0</v>
      </c>
      <c r="J635" s="37" t="n">
        <v>8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1</v>
      </c>
      <c r="F643" s="37" t="n">
        <v>0</v>
      </c>
      <c r="G643" s="37" t="n">
        <v>0</v>
      </c>
      <c r="H643" s="37" t="n">
        <v>1</v>
      </c>
      <c r="I643" s="37" t="n">
        <v>0</v>
      </c>
      <c r="J643" s="37" t="n">
        <v>4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2</v>
      </c>
      <c r="F650" s="36" t="n">
        <v>0</v>
      </c>
      <c r="G650" s="36" t="n">
        <v>0</v>
      </c>
      <c r="H650" s="36" t="n">
        <v>2</v>
      </c>
      <c r="I650" s="36" t="n">
        <v>0</v>
      </c>
      <c r="J650" s="36" t="n">
        <v>8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</sheetData>
  <autoFilter ref="A1:K67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25</v>
      </c>
      <c r="H4" s="11" t="n">
        <v>88</v>
      </c>
      <c r="I4" s="12" t="n">
        <v>1056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8</v>
      </c>
      <c r="H5" s="11" t="n">
        <v>20</v>
      </c>
      <c r="I5" s="12" t="n">
        <v>240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2</v>
      </c>
      <c r="H8" s="11" t="n">
        <v>4</v>
      </c>
      <c r="I8" s="12" t="n">
        <v>48</v>
      </c>
      <c r="K8" s="38" t="inlineStr">
        <is>
          <t>Venerdì</t>
        </is>
      </c>
      <c r="L8" s="11" t="n">
        <v>211</v>
      </c>
      <c r="M8" s="11" t="n">
        <v>641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91</v>
      </c>
      <c r="M9" s="11" t="n">
        <v>275</v>
      </c>
      <c r="N9" s="12" t="n">
        <v>3300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6</v>
      </c>
      <c r="H12" s="11" t="n">
        <v>15</v>
      </c>
      <c r="I12" s="12" t="n">
        <v>180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16</v>
      </c>
      <c r="H13" s="11" t="n">
        <v>54</v>
      </c>
      <c r="I13" s="12" t="n">
        <v>648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33</v>
      </c>
      <c r="H14" s="11" t="n">
        <v>101</v>
      </c>
      <c r="I14" s="12" t="n">
        <v>1212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47</v>
      </c>
      <c r="H15" s="11" t="n">
        <v>136</v>
      </c>
      <c r="I15" s="12" t="n">
        <v>1632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37</v>
      </c>
      <c r="H16" s="11" t="n">
        <v>101</v>
      </c>
      <c r="I16" s="12" t="n">
        <v>1212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25</v>
      </c>
      <c r="H17" s="11" t="n">
        <v>70</v>
      </c>
      <c r="I17" s="12" t="n">
        <v>840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56</v>
      </c>
      <c r="H18" s="11" t="n">
        <v>176</v>
      </c>
      <c r="I18" s="12" t="n">
        <v>2112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36</v>
      </c>
      <c r="H19" s="11" t="n">
        <v>105</v>
      </c>
      <c r="I19" s="12" t="n">
        <v>1260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49</v>
      </c>
      <c r="H20" s="11" t="n">
        <v>145</v>
      </c>
      <c r="I20" s="12" t="n">
        <v>1740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33</v>
      </c>
      <c r="H21" s="11" t="n">
        <v>92</v>
      </c>
      <c r="I21" s="12" t="n">
        <v>1104</v>
      </c>
    </row>
    <row r="22">
      <c r="A22" s="9" t="n">
        <v>46318</v>
      </c>
      <c r="B22" s="11" t="n">
        <v>147</v>
      </c>
      <c r="C22" s="11" t="n">
        <v>439</v>
      </c>
      <c r="D22" s="12" t="n">
        <v>5103</v>
      </c>
      <c r="F22" s="38" t="inlineStr">
        <is>
          <t>18:00-19:00</t>
        </is>
      </c>
      <c r="G22" s="11" t="n">
        <v>70</v>
      </c>
      <c r="H22" s="11" t="n">
        <v>197</v>
      </c>
      <c r="I22" s="12" t="n">
        <v>2364</v>
      </c>
    </row>
    <row r="23">
      <c r="A23" s="9" t="n">
        <v>46319</v>
      </c>
      <c r="B23" s="11" t="n">
        <v>34</v>
      </c>
      <c r="C23" s="11" t="n">
        <v>108</v>
      </c>
      <c r="D23" s="12" t="n">
        <v>1296</v>
      </c>
      <c r="F23" s="38" t="inlineStr">
        <is>
          <t>19:00-20:00</t>
        </is>
      </c>
      <c r="G23" s="11" t="n">
        <v>67</v>
      </c>
      <c r="H23" s="11" t="n">
        <v>221</v>
      </c>
      <c r="I23" s="12" t="n">
        <v>2652</v>
      </c>
    </row>
    <row r="24">
      <c r="F24" s="38" t="inlineStr">
        <is>
          <t>20:00-21:00</t>
        </is>
      </c>
      <c r="G24" s="11" t="n">
        <v>54</v>
      </c>
      <c r="H24" s="11" t="n">
        <v>159</v>
      </c>
      <c r="I24" s="12" t="n">
        <v>1908</v>
      </c>
    </row>
    <row r="25">
      <c r="F25" s="38" t="inlineStr">
        <is>
          <t>21:00-22:00</t>
        </is>
      </c>
      <c r="G25" s="11" t="n">
        <v>86</v>
      </c>
      <c r="H25" s="11" t="n">
        <v>257</v>
      </c>
      <c r="I25" s="12" t="n">
        <v>3018</v>
      </c>
    </row>
    <row r="26">
      <c r="F26" s="38" t="inlineStr">
        <is>
          <t>22:00-23:00</t>
        </is>
      </c>
      <c r="G26" s="11" t="n">
        <v>99</v>
      </c>
      <c r="H26" s="11" t="n">
        <v>300</v>
      </c>
      <c r="I26" s="12" t="n">
        <v>3567</v>
      </c>
    </row>
    <row r="27">
      <c r="F27" s="38" t="inlineStr">
        <is>
          <t>23:00-00:00</t>
        </is>
      </c>
      <c r="G27" s="11" t="n">
        <v>34</v>
      </c>
      <c r="H27" s="11" t="n">
        <v>113</v>
      </c>
      <c r="I27" s="12" t="n">
        <v>1290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2026-10-24T10:55:30Z</dcterms:created>
  <dcterms:modified xsi:type="dcterms:W3CDTF">2026-10-24T10:55:31Z</dcterms:modified>
</cp:coreProperties>
</file>