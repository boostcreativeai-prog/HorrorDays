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'Vendite'!$A$1:$P$112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'Storico'!$A$1:$G$506</definedName>
    <definedName name="_xlnm._FilterDatabase" localSheetId="8" hidden="1">'Registro vendite'!$A$1:$K$498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'Storico'!$H$2:$H$506</f>
            </numRef>
          </cat>
          <val>
            <numRef>
              <f>'Storico'!$C$2:$C$506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MAX(Storico!A2:A506)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17</v>
      </c>
      <c r="I6" s="11" t="n">
        <v>1</v>
      </c>
      <c r="J6" s="12" t="n">
        <v>816</v>
      </c>
      <c r="K6" s="12" t="n">
        <v>0</v>
      </c>
      <c r="L6" s="12" t="n">
        <v>741.88</v>
      </c>
      <c r="M6" s="12" t="n">
        <v>74.12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16</v>
      </c>
      <c r="I10" s="11" t="n">
        <v>0</v>
      </c>
      <c r="J10" s="12" t="n">
        <v>768</v>
      </c>
      <c r="K10" s="12" t="n">
        <v>0</v>
      </c>
      <c r="L10" s="12" t="n">
        <v>698.24</v>
      </c>
      <c r="M10" s="12" t="n">
        <v>69.76000000000001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20</v>
      </c>
      <c r="I17" s="15" t="n">
        <v>0</v>
      </c>
      <c r="J17" s="16" t="n">
        <v>480</v>
      </c>
      <c r="K17" s="16" t="n">
        <v>0</v>
      </c>
      <c r="L17" s="16" t="n">
        <v>436.4</v>
      </c>
      <c r="M17" s="16" t="n">
        <v>43.6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19</v>
      </c>
      <c r="I33" s="15" t="n">
        <v>0</v>
      </c>
      <c r="J33" s="16" t="n">
        <v>456</v>
      </c>
      <c r="K33" s="16" t="n">
        <v>0</v>
      </c>
      <c r="L33" s="16" t="n">
        <v>414.58</v>
      </c>
      <c r="M33" s="16" t="n">
        <v>41.42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3</v>
      </c>
      <c r="I35" s="15" t="n">
        <v>0</v>
      </c>
      <c r="J35" s="16" t="n">
        <v>108</v>
      </c>
      <c r="K35" s="16" t="n">
        <v>0</v>
      </c>
      <c r="L35" s="16" t="n">
        <v>98.19</v>
      </c>
      <c r="M35" s="16" t="n">
        <v>9.81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17</v>
      </c>
      <c r="I37" s="15" t="n">
        <v>0</v>
      </c>
      <c r="J37" s="16" t="n">
        <v>408</v>
      </c>
      <c r="K37" s="16" t="n">
        <v>0</v>
      </c>
      <c r="L37" s="16" t="n">
        <v>370.94</v>
      </c>
      <c r="M37" s="16" t="n">
        <v>37.06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7</v>
      </c>
      <c r="I38" s="11" t="n">
        <v>0</v>
      </c>
      <c r="J38" s="12" t="n">
        <v>336</v>
      </c>
      <c r="K38" s="12" t="n">
        <v>0</v>
      </c>
      <c r="L38" s="12" t="n">
        <v>305.48</v>
      </c>
      <c r="M38" s="12" t="n">
        <v>30.52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10</v>
      </c>
      <c r="I47" s="15" t="n">
        <v>0</v>
      </c>
      <c r="J47" s="16" t="n">
        <v>240</v>
      </c>
      <c r="K47" s="16" t="n">
        <v>0</v>
      </c>
      <c r="L47" s="16" t="n">
        <v>218.2</v>
      </c>
      <c r="M47" s="16" t="n">
        <v>21.8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8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5</v>
      </c>
      <c r="I51" s="15" t="n">
        <v>0</v>
      </c>
      <c r="J51" s="16" t="n">
        <v>240</v>
      </c>
      <c r="K51" s="16" t="n">
        <v>0</v>
      </c>
      <c r="L51" s="16" t="n">
        <v>218.2</v>
      </c>
      <c r="M51" s="16" t="n">
        <v>21.8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7</v>
      </c>
      <c r="I65" s="15" t="n">
        <v>0</v>
      </c>
      <c r="J65" s="16" t="n">
        <v>168</v>
      </c>
      <c r="K65" s="16" t="n">
        <v>0</v>
      </c>
      <c r="L65" s="16" t="n">
        <v>152.74</v>
      </c>
      <c r="M65" s="16" t="n">
        <v>15.26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9</v>
      </c>
      <c r="I78" s="11" t="n">
        <v>3</v>
      </c>
      <c r="J78" s="12" t="n">
        <v>216</v>
      </c>
      <c r="K78" s="12" t="n">
        <v>0</v>
      </c>
      <c r="L78" s="12" t="n">
        <v>196.38</v>
      </c>
      <c r="M78" s="12" t="n">
        <v>19.62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1</v>
      </c>
      <c r="I89" s="15" t="n">
        <v>0</v>
      </c>
      <c r="J89" s="16" t="n">
        <v>24</v>
      </c>
      <c r="K89" s="16" t="n">
        <v>0</v>
      </c>
      <c r="L89" s="16" t="n">
        <v>21.82</v>
      </c>
      <c r="M89" s="16" t="n">
        <v>2.18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5</v>
      </c>
      <c r="I93" s="15" t="n">
        <v>3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17</v>
      </c>
      <c r="I95" s="15" t="n">
        <v>0</v>
      </c>
      <c r="J95" s="16" t="n">
        <v>408</v>
      </c>
      <c r="K95" s="16" t="n">
        <v>0</v>
      </c>
      <c r="L95" s="16" t="n">
        <v>370.94</v>
      </c>
      <c r="M95" s="16" t="n">
        <v>37.06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14</v>
      </c>
      <c r="I98" s="11" t="n">
        <v>0</v>
      </c>
      <c r="J98" s="12" t="n">
        <v>336</v>
      </c>
      <c r="K98" s="12" t="n">
        <v>0</v>
      </c>
      <c r="L98" s="12" t="n">
        <v>305.48</v>
      </c>
      <c r="M98" s="12" t="n">
        <v>30.52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7</v>
      </c>
      <c r="I99" s="15" t="n">
        <v>0</v>
      </c>
      <c r="J99" s="16" t="n">
        <v>336</v>
      </c>
      <c r="K99" s="16" t="n">
        <v>0</v>
      </c>
      <c r="L99" s="16" t="n">
        <v>305.48</v>
      </c>
      <c r="M99" s="16" t="n">
        <v>30.52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6</v>
      </c>
      <c r="I102" s="11" t="n">
        <v>0</v>
      </c>
      <c r="J102" s="12" t="n">
        <v>144</v>
      </c>
      <c r="K102" s="12" t="n">
        <v>0</v>
      </c>
      <c r="L102" s="12" t="n">
        <v>130.92</v>
      </c>
      <c r="M102" s="12" t="n">
        <v>13.08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20261101_2015</t>
        </is>
      </c>
      <c r="B103" s="13" t="n">
        <v>46327</v>
      </c>
      <c r="C103" s="14" t="n">
        <v>0.84375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1</v>
      </c>
      <c r="I103" s="15" t="n">
        <v>0</v>
      </c>
      <c r="J103" s="16" t="n">
        <v>48</v>
      </c>
      <c r="K103" s="16" t="n">
        <v>0</v>
      </c>
      <c r="L103" s="16" t="n">
        <v>43.64</v>
      </c>
      <c r="M103" s="16" t="n">
        <v>4.36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3</v>
      </c>
      <c r="I106" s="11" t="n">
        <v>0</v>
      </c>
      <c r="J106" s="12" t="n">
        <v>72</v>
      </c>
      <c r="K106" s="12" t="n">
        <v>0</v>
      </c>
      <c r="L106" s="12" t="n">
        <v>65.45999999999999</v>
      </c>
      <c r="M106" s="12" t="n">
        <v>6.54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I5</t>
        </is>
      </c>
      <c r="F108" s="22">
        <f>IFERROR(INDEX(Tariffe!$B$2:$B$200,MATCH(E108,Tariffe!$A$2:$A$200,0)),"DA DEFINIRE")</f>
        <v/>
      </c>
      <c r="G108" s="12" t="n">
        <v>60</v>
      </c>
      <c r="H108" s="11" t="n">
        <v>1</v>
      </c>
      <c r="I108" s="11" t="n">
        <v>0</v>
      </c>
      <c r="J108" s="12" t="n">
        <v>60</v>
      </c>
      <c r="K108" s="12" t="n">
        <v>0</v>
      </c>
      <c r="L108" s="12" t="n">
        <v>54.55</v>
      </c>
      <c r="M108" s="12" t="n">
        <v>5.45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4</v>
      </c>
      <c r="I109" s="15" t="n">
        <v>0</v>
      </c>
      <c r="J109" s="16" t="n">
        <v>96</v>
      </c>
      <c r="K109" s="16" t="n">
        <v>0</v>
      </c>
      <c r="L109" s="16" t="n">
        <v>87.28</v>
      </c>
      <c r="M109" s="16" t="n">
        <v>8.720000000000001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20261101_2315</t>
        </is>
      </c>
      <c r="B110" s="9" t="n">
        <v>46327</v>
      </c>
      <c r="C110" s="10" t="n">
        <v>0.96875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1</v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</v>
      </c>
      <c r="I111" s="15" t="n">
        <v>0</v>
      </c>
      <c r="J111" s="16" t="n">
        <v>24</v>
      </c>
      <c r="K111" s="16" t="n">
        <v>0</v>
      </c>
      <c r="L111" s="16" t="n">
        <v>21.82</v>
      </c>
      <c r="M111" s="16" t="n">
        <v>2.18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20261101_2359</t>
        </is>
      </c>
      <c r="B112" s="9" t="n">
        <v>46327</v>
      </c>
      <c r="C112" s="10" t="n">
        <v>0.9993055555555556</v>
      </c>
      <c r="D112" s="22" t="inlineStr">
        <is>
          <t>UN Unico</t>
        </is>
      </c>
      <c r="E112" s="22" t="inlineStr">
        <is>
          <t>I5</t>
        </is>
      </c>
      <c r="F112" s="22">
        <f>IFERROR(INDEX(Tariffe!$B$2:$B$200,MATCH(E112,Tariffe!$A$2:$A$200,0)),"DA DEFINIRE")</f>
        <v/>
      </c>
      <c r="G112" s="12" t="n">
        <v>60</v>
      </c>
      <c r="H112" s="11" t="n">
        <v>1</v>
      </c>
      <c r="I112" s="11" t="n">
        <v>0</v>
      </c>
      <c r="J112" s="12" t="n">
        <v>60</v>
      </c>
      <c r="K112" s="12" t="n">
        <v>0</v>
      </c>
      <c r="L112" s="12" t="n">
        <v>54.55</v>
      </c>
      <c r="M112" s="12" t="n">
        <v>5.45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</sheetData>
  <autoFilter ref="A1:P11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</sheetData>
  <autoFilter ref="A1:G5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</sheetData>
  <autoFilter ref="A1:K49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30</v>
      </c>
      <c r="H16" s="11" t="n">
        <v>83</v>
      </c>
      <c r="I16" s="12" t="n">
        <v>996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37</v>
      </c>
      <c r="H18" s="11" t="n">
        <v>112</v>
      </c>
      <c r="I18" s="12" t="n">
        <v>1344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26</v>
      </c>
      <c r="H19" s="11" t="n">
        <v>74</v>
      </c>
      <c r="I19" s="12" t="n">
        <v>888</v>
      </c>
    </row>
    <row r="20">
      <c r="F20" s="38" t="inlineStr">
        <is>
          <t>16:00-17:00</t>
        </is>
      </c>
      <c r="G20" s="11" t="n">
        <v>35</v>
      </c>
      <c r="H20" s="11" t="n">
        <v>106</v>
      </c>
      <c r="I20" s="12" t="n">
        <v>1272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58</v>
      </c>
      <c r="H25" s="11" t="n">
        <v>174</v>
      </c>
      <c r="I25" s="12" t="n">
        <v>2088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2026-10-20T21:55:21Z</dcterms:created>
  <dcterms:modified xsi:type="dcterms:W3CDTF">2026-10-20T21:55:22Z</dcterms:modified>
</cp:coreProperties>
</file>