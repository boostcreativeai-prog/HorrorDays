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'Vendite'!$A$1:$R$157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'Storico'!$A$1:$G$905</definedName>
    <definedName name="_xlnm._FilterDatabase" localSheetId="8" hidden="1">'Registro vendite'!$A$1:$K$1706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'Storico'!$H$2:$H$905</f>
            </numRef>
          </cat>
          <val>
            <numRef>
              <f>'Storico'!$C$2:$C$905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vendite'!$A$4:$A$30</f>
            </numRef>
          </cat>
          <val>
            <numRef>
              <f>'Picchi vendite'!$B$4:$B$30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MAX(Storico!A2:A905)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384</v>
      </c>
      <c r="K129" s="16" t="n">
        <v>0</v>
      </c>
      <c r="L129" s="16" t="n">
        <v>349.12</v>
      </c>
      <c r="M129" s="16" t="n">
        <v>34.88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1104</v>
      </c>
      <c r="K130" s="12" t="n">
        <v>0</v>
      </c>
      <c r="L130" s="12" t="n">
        <v>1003.72</v>
      </c>
      <c r="M130" s="12" t="n">
        <v>100.28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324</v>
      </c>
      <c r="K131" s="16" t="n">
        <v>0</v>
      </c>
      <c r="L131" s="16" t="n">
        <v>294.57</v>
      </c>
      <c r="M131" s="16" t="n">
        <v>29.43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9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720</v>
      </c>
      <c r="K133" s="16" t="n">
        <v>0</v>
      </c>
      <c r="L133" s="16" t="n">
        <v>654.6</v>
      </c>
      <c r="M133" s="16" t="n">
        <v>65.40000000000001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30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1344</v>
      </c>
      <c r="K146" s="12" t="n">
        <v>0</v>
      </c>
      <c r="L146" s="12" t="n">
        <v>1221.92</v>
      </c>
      <c r="M146" s="12" t="n">
        <v>122.08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28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480</v>
      </c>
      <c r="K148" s="12" t="n">
        <v>0</v>
      </c>
      <c r="L148" s="12" t="n">
        <v>436.4</v>
      </c>
      <c r="M148" s="12" t="n">
        <v>43.6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8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672</v>
      </c>
      <c r="K149" s="16" t="n">
        <v>0</v>
      </c>
      <c r="L149" s="16" t="n">
        <v>610.96</v>
      </c>
      <c r="M149" s="16" t="n">
        <v>61.04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28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20261102_2115</t>
        </is>
      </c>
      <c r="B151" s="13" t="n">
        <v>46328</v>
      </c>
      <c r="C151" s="14" t="n">
        <v>0.8854166666666666</v>
      </c>
      <c r="D151" s="23" t="inlineStr">
        <is>
          <t>UN Unico</t>
        </is>
      </c>
      <c r="E151" s="23" t="inlineStr">
        <is>
          <t>I8 24€</t>
        </is>
      </c>
      <c r="F151" s="23">
        <f>IFERROR(INDEX(Tariffe!$B$2:$B$200,MATCH(E151,Tariffe!$A$2:$A$200,0)),"DA DEFINIRE")</f>
        <v/>
      </c>
      <c r="G151" s="16" t="n">
        <v>24</v>
      </c>
      <c r="H151" s="15">
        <f>Q151*R151</f>
        <v/>
      </c>
      <c r="I151" s="15" t="n">
        <v>0</v>
      </c>
      <c r="J151" s="16" t="n">
        <v>24</v>
      </c>
      <c r="K151" s="16" t="n">
        <v>0</v>
      </c>
      <c r="L151" s="16" t="n">
        <v>21.82</v>
      </c>
      <c r="M151" s="16" t="n">
        <v>2.18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20261102_2215</t>
        </is>
      </c>
      <c r="B152" s="9" t="n">
        <v>46328</v>
      </c>
      <c r="C152" s="10" t="n">
        <v>0.9270833333333334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96</v>
      </c>
      <c r="K152" s="12" t="n">
        <v>0</v>
      </c>
      <c r="L152" s="12" t="n">
        <v>87.28</v>
      </c>
      <c r="M152" s="12" t="n">
        <v>8.720000000000001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2</v>
      </c>
      <c r="R152" s="11">
        <f>IFERROR(INDEX(Tariffe!$E$2:$E$200,MATCH(E152,Tariffe!$A$2:$A$200,0))*1,1)</f>
        <v/>
      </c>
    </row>
    <row r="153">
      <c r="A153" s="23" t="inlineStr">
        <is>
          <t>20261102_2215</t>
        </is>
      </c>
      <c r="B153" s="13" t="n">
        <v>46328</v>
      </c>
      <c r="C153" s="14" t="n">
        <v>0.9270833333333334</v>
      </c>
      <c r="D153" s="23" t="inlineStr">
        <is>
          <t>UN Unico</t>
        </is>
      </c>
      <c r="E153" s="23" t="inlineStr">
        <is>
          <t>I2 36€</t>
        </is>
      </c>
      <c r="F153" s="23">
        <f>IFERROR(INDEX(Tariffe!$B$2:$B$200,MATCH(E153,Tariffe!$A$2:$A$200,0)),"DA DEFINIRE")</f>
        <v/>
      </c>
      <c r="G153" s="16" t="n">
        <v>36</v>
      </c>
      <c r="H153" s="15">
        <f>Q153*R153</f>
        <v/>
      </c>
      <c r="I153" s="15" t="n">
        <v>0</v>
      </c>
      <c r="J153" s="16" t="n">
        <v>36</v>
      </c>
      <c r="K153" s="16" t="n">
        <v>0</v>
      </c>
      <c r="L153" s="16" t="n">
        <v>32.73</v>
      </c>
      <c r="M153" s="16" t="n">
        <v>3.27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20261102_2215</t>
        </is>
      </c>
      <c r="B154" s="9" t="n">
        <v>46328</v>
      </c>
      <c r="C154" s="10" t="n">
        <v>0.9270833333333334</v>
      </c>
      <c r="D154" s="22" t="inlineStr">
        <is>
          <t>UN Unico</t>
        </is>
      </c>
      <c r="E154" s="22" t="inlineStr">
        <is>
          <t>I8 24€</t>
        </is>
      </c>
      <c r="F154" s="22">
        <f>IFERROR(INDEX(Tariffe!$B$2:$B$200,MATCH(E154,Tariffe!$A$2:$A$200,0)),"DA DEFINIRE")</f>
        <v/>
      </c>
      <c r="G154" s="12" t="n">
        <v>24</v>
      </c>
      <c r="H154" s="11">
        <f>Q154*R154</f>
        <v/>
      </c>
      <c r="I154" s="11" t="n">
        <v>0</v>
      </c>
      <c r="J154" s="12" t="n">
        <v>24</v>
      </c>
      <c r="K154" s="12" t="n">
        <v>0</v>
      </c>
      <c r="L154" s="12" t="n">
        <v>21.82</v>
      </c>
      <c r="M154" s="12" t="n">
        <v>2.18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1</v>
      </c>
      <c r="R154" s="11">
        <f>IFERROR(INDEX(Tariffe!$E$2:$E$200,MATCH(E154,Tariffe!$A$2:$A$200,0))*1,1)</f>
        <v/>
      </c>
    </row>
    <row r="155">
      <c r="A155" s="23" t="inlineStr">
        <is>
          <t>20261102_2315</t>
        </is>
      </c>
      <c r="B155" s="13" t="n">
        <v>46328</v>
      </c>
      <c r="C155" s="14" t="n">
        <v>0.96875</v>
      </c>
      <c r="D155" s="23" t="inlineStr">
        <is>
          <t>UN Unico</t>
        </is>
      </c>
      <c r="E155" s="23" t="inlineStr">
        <is>
          <t>I1 48€</t>
        </is>
      </c>
      <c r="F155" s="23">
        <f>IFERROR(INDEX(Tariffe!$B$2:$B$200,MATCH(E155,Tariffe!$A$2:$A$200,0)),"DA DEFINIRE")</f>
        <v/>
      </c>
      <c r="G155" s="16" t="n">
        <v>48</v>
      </c>
      <c r="H155" s="15">
        <f>Q155*R155</f>
        <v/>
      </c>
      <c r="I155" s="15" t="n">
        <v>0</v>
      </c>
      <c r="J155" s="16" t="n">
        <v>48</v>
      </c>
      <c r="K155" s="16" t="n">
        <v>0</v>
      </c>
      <c r="L155" s="16" t="n">
        <v>43.64</v>
      </c>
      <c r="M155" s="16" t="n">
        <v>4.36</v>
      </c>
      <c r="N155" s="23" t="inlineStr">
        <is>
          <t>11/2026</t>
        </is>
      </c>
      <c r="O155" s="15">
        <f>IFERROR(INDEX(Tariffe!$D$2:$D$200,MATCH(E155,Tariffe!$A$2:$A$200,0))*1,0)</f>
        <v/>
      </c>
      <c r="P155" s="15">
        <f>Q155*O155</f>
        <v/>
      </c>
      <c r="Q155" s="15" t="n">
        <v>1</v>
      </c>
      <c r="R155" s="15">
        <f>IFERROR(INDEX(Tariffe!$E$2:$E$200,MATCH(E155,Tariffe!$A$2:$A$200,0))*1,1)</f>
        <v/>
      </c>
    </row>
    <row r="156">
      <c r="A156" s="22" t="inlineStr">
        <is>
          <t>20261102_2359</t>
        </is>
      </c>
      <c r="B156" s="9" t="n">
        <v>46328</v>
      </c>
      <c r="C156" s="10" t="n">
        <v>0.9993055555555556</v>
      </c>
      <c r="D156" s="22" t="inlineStr">
        <is>
          <t>UN Unico</t>
        </is>
      </c>
      <c r="E156" s="22" t="inlineStr">
        <is>
          <t>I1 48€</t>
        </is>
      </c>
      <c r="F156" s="22">
        <f>IFERROR(INDEX(Tariffe!$B$2:$B$200,MATCH(E156,Tariffe!$A$2:$A$200,0)),"DA DEFINIRE")</f>
        <v/>
      </c>
      <c r="G156" s="12" t="n">
        <v>48</v>
      </c>
      <c r="H156" s="11">
        <f>Q156*R156</f>
        <v/>
      </c>
      <c r="I156" s="11" t="n">
        <v>0</v>
      </c>
      <c r="J156" s="12" t="n">
        <v>48</v>
      </c>
      <c r="K156" s="12" t="n">
        <v>0</v>
      </c>
      <c r="L156" s="12" t="n">
        <v>43.64</v>
      </c>
      <c r="M156" s="12" t="n">
        <v>4.36</v>
      </c>
      <c r="N156" s="22" t="inlineStr">
        <is>
          <t>11/2026</t>
        </is>
      </c>
      <c r="O156" s="11">
        <f>IFERROR(INDEX(Tariffe!$D$2:$D$200,MATCH(E156,Tariffe!$A$2:$A$200,0))*1,0)</f>
        <v/>
      </c>
      <c r="P156" s="11">
        <f>Q156*O156</f>
        <v/>
      </c>
      <c r="Q156" s="11" t="n">
        <v>1</v>
      </c>
      <c r="R156" s="11">
        <f>IFERROR(INDEX(Tariffe!$E$2:$E$200,MATCH(E156,Tariffe!$A$2:$A$200,0))*1,1)</f>
        <v/>
      </c>
    </row>
    <row r="157">
      <c r="A157" s="23" t="inlineStr">
        <is>
          <t>20261102_2359</t>
        </is>
      </c>
      <c r="B157" s="13" t="n">
        <v>46328</v>
      </c>
      <c r="C157" s="14" t="n">
        <v>0.9993055555555556</v>
      </c>
      <c r="D157" s="23" t="inlineStr">
        <is>
          <t>UN Unico</t>
        </is>
      </c>
      <c r="E157" s="23" t="inlineStr">
        <is>
          <t>I8 24€</t>
        </is>
      </c>
      <c r="F157" s="23">
        <f>IFERROR(INDEX(Tariffe!$B$2:$B$200,MATCH(E157,Tariffe!$A$2:$A$200,0)),"DA DEFINIRE")</f>
        <v/>
      </c>
      <c r="G157" s="16" t="n">
        <v>24</v>
      </c>
      <c r="H157" s="15">
        <f>Q157*R157</f>
        <v/>
      </c>
      <c r="I157" s="15" t="n">
        <v>0</v>
      </c>
      <c r="J157" s="16" t="n">
        <v>24</v>
      </c>
      <c r="K157" s="16" t="n">
        <v>0</v>
      </c>
      <c r="L157" s="16" t="n">
        <v>21.82</v>
      </c>
      <c r="M157" s="16" t="n">
        <v>2.18</v>
      </c>
      <c r="N157" s="23" t="inlineStr">
        <is>
          <t>11/2026</t>
        </is>
      </c>
      <c r="O157" s="15">
        <f>IFERROR(INDEX(Tariffe!$D$2:$D$200,MATCH(E157,Tariffe!$A$2:$A$200,0))*1,0)</f>
        <v/>
      </c>
      <c r="P157" s="15">
        <f>Q157*O157</f>
        <v/>
      </c>
      <c r="Q157" s="15" t="n">
        <v>1</v>
      </c>
      <c r="R157" s="15">
        <f>IFERROR(INDEX(Tariffe!$E$2:$E$200,MATCH(E157,Tariffe!$A$2:$A$200,0))*1,1)</f>
        <v/>
      </c>
    </row>
  </sheetData>
  <autoFilter ref="A1:R1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  <row r="904">
      <c r="A904" s="30" t="n">
        <v>46326.00347222222</v>
      </c>
      <c r="B904" s="11" t="n">
        <v>2677</v>
      </c>
      <c r="C904" s="11" t="n">
        <v>8453</v>
      </c>
      <c r="D904" s="12" t="n">
        <v>101436</v>
      </c>
      <c r="E904" s="31">
        <f>B904-B903</f>
        <v/>
      </c>
      <c r="F904" s="31">
        <f>C904-C903</f>
        <v/>
      </c>
      <c r="G904" s="32">
        <f>D904-D903</f>
        <v/>
      </c>
      <c r="H904">
        <f>TEXT(A904,"DD/MM HH:MM")</f>
        <v/>
      </c>
    </row>
    <row r="905">
      <c r="A905" s="33" t="n">
        <v>46326.04652777778</v>
      </c>
      <c r="B905" s="15" t="n">
        <v>2685</v>
      </c>
      <c r="C905" s="15" t="n">
        <v>8481</v>
      </c>
      <c r="D905" s="16" t="n">
        <v>101772</v>
      </c>
      <c r="E905" s="34">
        <f>B905-B904</f>
        <v/>
      </c>
      <c r="F905" s="34">
        <f>C905-C904</f>
        <v/>
      </c>
      <c r="G905" s="35">
        <f>D905-D904</f>
        <v/>
      </c>
      <c r="H905">
        <f>TEXT(A905,"DD/MM HH:MM")</f>
        <v/>
      </c>
    </row>
  </sheetData>
  <autoFilter ref="A1:G90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  <row r="1701">
      <c r="A1701" s="33" t="n">
        <v>46325.97152777778</v>
      </c>
      <c r="B1701" s="33" t="n">
        <v>46326.00347222222</v>
      </c>
      <c r="C1701" s="13" t="n">
        <v>46327</v>
      </c>
      <c r="D1701" s="14" t="n">
        <v>0.84375</v>
      </c>
      <c r="E1701" s="37" t="n">
        <v>1</v>
      </c>
      <c r="F1701" s="37" t="n">
        <v>0</v>
      </c>
      <c r="G1701" s="37" t="n">
        <v>0</v>
      </c>
      <c r="H1701" s="37" t="n">
        <v>1</v>
      </c>
      <c r="I1701" s="37" t="n">
        <v>0</v>
      </c>
      <c r="J1701" s="37" t="n">
        <v>4</v>
      </c>
      <c r="K1701" s="16" t="n">
        <v>48</v>
      </c>
    </row>
    <row r="1702">
      <c r="A1702" s="30" t="n">
        <v>46325.97152777778</v>
      </c>
      <c r="B1702" s="30" t="n">
        <v>46326.00347222222</v>
      </c>
      <c r="C1702" s="9" t="n">
        <v>46327</v>
      </c>
      <c r="D1702" s="10" t="n">
        <v>0.9993055555555556</v>
      </c>
      <c r="E1702" s="36" t="n">
        <v>2</v>
      </c>
      <c r="F1702" s="36" t="n">
        <v>0</v>
      </c>
      <c r="G1702" s="36" t="n">
        <v>0</v>
      </c>
      <c r="H1702" s="36" t="n">
        <v>2</v>
      </c>
      <c r="I1702" s="36" t="n">
        <v>0</v>
      </c>
      <c r="J1702" s="36" t="n">
        <v>8</v>
      </c>
      <c r="K1702" s="12" t="n">
        <v>96</v>
      </c>
    </row>
    <row r="1703">
      <c r="A1703" s="33" t="n">
        <v>46325.97152777778</v>
      </c>
      <c r="B1703" s="33" t="n">
        <v>46326.00347222222</v>
      </c>
      <c r="C1703" s="13" t="n">
        <v>46328</v>
      </c>
      <c r="D1703" s="14" t="n">
        <v>0.8854166666666666</v>
      </c>
      <c r="E1703" s="37" t="n">
        <v>1</v>
      </c>
      <c r="F1703" s="37" t="n">
        <v>1</v>
      </c>
      <c r="G1703" s="37" t="n">
        <v>0</v>
      </c>
      <c r="H1703" s="37" t="n">
        <v>0</v>
      </c>
      <c r="I1703" s="37" t="n">
        <v>0</v>
      </c>
      <c r="J1703" s="37" t="n">
        <v>2</v>
      </c>
      <c r="K1703" s="16" t="n">
        <v>24</v>
      </c>
    </row>
    <row r="1704">
      <c r="A1704" s="30" t="n">
        <v>46326.00347222222</v>
      </c>
      <c r="B1704" s="30" t="n">
        <v>46326.04652777778</v>
      </c>
      <c r="C1704" s="9" t="n">
        <v>46327</v>
      </c>
      <c r="D1704" s="10" t="n">
        <v>0.84375</v>
      </c>
      <c r="E1704" s="36" t="n">
        <v>3</v>
      </c>
      <c r="F1704" s="36" t="n">
        <v>2</v>
      </c>
      <c r="G1704" s="36" t="n">
        <v>0</v>
      </c>
      <c r="H1704" s="36" t="n">
        <v>1</v>
      </c>
      <c r="I1704" s="36" t="n">
        <v>0</v>
      </c>
      <c r="J1704" s="36" t="n">
        <v>8</v>
      </c>
      <c r="K1704" s="12" t="n">
        <v>96</v>
      </c>
    </row>
    <row r="1705">
      <c r="A1705" s="33" t="n">
        <v>46326.00347222222</v>
      </c>
      <c r="B1705" s="33" t="n">
        <v>46326.04652777778</v>
      </c>
      <c r="C1705" s="13" t="n">
        <v>46327</v>
      </c>
      <c r="D1705" s="14" t="n">
        <v>0.9993055555555556</v>
      </c>
      <c r="E1705" s="37" t="n">
        <v>3</v>
      </c>
      <c r="F1705" s="37" t="n">
        <v>0</v>
      </c>
      <c r="G1705" s="37" t="n">
        <v>0</v>
      </c>
      <c r="H1705" s="37" t="n">
        <v>0</v>
      </c>
      <c r="I1705" s="37" t="n">
        <v>3</v>
      </c>
      <c r="J1705" s="37" t="n">
        <v>15</v>
      </c>
      <c r="K1705" s="16" t="n">
        <v>180</v>
      </c>
    </row>
    <row r="1706">
      <c r="A1706" s="30" t="n">
        <v>46326.00347222222</v>
      </c>
      <c r="B1706" s="30" t="n">
        <v>46326.04652777778</v>
      </c>
      <c r="C1706" s="9" t="n">
        <v>46328</v>
      </c>
      <c r="D1706" s="10" t="n">
        <v>0.9270833333333334</v>
      </c>
      <c r="E1706" s="36" t="n">
        <v>2</v>
      </c>
      <c r="F1706" s="36" t="n">
        <v>1</v>
      </c>
      <c r="G1706" s="36" t="n">
        <v>1</v>
      </c>
      <c r="H1706" s="36" t="n">
        <v>0</v>
      </c>
      <c r="I1706" s="36" t="n">
        <v>0</v>
      </c>
      <c r="J1706" s="36" t="n">
        <v>5</v>
      </c>
      <c r="K1706" s="12" t="n">
        <v>60</v>
      </c>
    </row>
  </sheetData>
  <autoFilter ref="A1:K170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66</v>
      </c>
      <c r="H4" s="11" t="n">
        <v>230</v>
      </c>
      <c r="I4" s="12" t="n">
        <v>2760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377</v>
      </c>
      <c r="M8" s="11" t="n">
        <v>1146</v>
      </c>
      <c r="N8" s="12" t="n">
        <v>13752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321</v>
      </c>
      <c r="M9" s="11" t="n">
        <v>983</v>
      </c>
      <c r="N9" s="12" t="n">
        <v>11796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146</v>
      </c>
      <c r="H27" s="11" t="n">
        <v>486</v>
      </c>
      <c r="I27" s="12" t="n">
        <v>5832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171</v>
      </c>
      <c r="C29" s="11" t="n">
        <v>525</v>
      </c>
      <c r="D29" s="12" t="n">
        <v>6300</v>
      </c>
    </row>
    <row r="30">
      <c r="A30" s="9" t="n">
        <v>46326</v>
      </c>
      <c r="B30" s="11" t="n">
        <v>8</v>
      </c>
      <c r="C30" s="11" t="n">
        <v>28</v>
      </c>
      <c r="D30" s="12" t="n">
        <v>336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2026-10-31T00:07:10Z</dcterms:created>
  <dcterms:modified xsi:type="dcterms:W3CDTF">2026-10-31T00:07:11Z</dcterms:modified>
</cp:coreProperties>
</file>