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'Vendite'!$A$1:$P$130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'Storico'!$A$1:$G$667</definedName>
    <definedName name="_xlnm._FilterDatabase" localSheetId="8" hidden="1">'Registro vendite'!$A$1:$K$885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'Storico'!$H$2:$H$667</f>
            </numRef>
          </cat>
          <val>
            <numRef>
              <f>'Storico'!$C$2:$C$667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MAX(Storico!A2:A667)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6</v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13</v>
      </c>
      <c r="I42" s="11" t="n">
        <v>0</v>
      </c>
      <c r="J42" s="12" t="n">
        <v>624</v>
      </c>
      <c r="K42" s="12" t="n">
        <v>0</v>
      </c>
      <c r="L42" s="12" t="n">
        <v>567.3200000000001</v>
      </c>
      <c r="M42" s="12" t="n">
        <v>56.68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8</v>
      </c>
      <c r="I43" s="15" t="n">
        <v>0</v>
      </c>
      <c r="J43" s="16" t="n">
        <v>288</v>
      </c>
      <c r="K43" s="16" t="n">
        <v>0</v>
      </c>
      <c r="L43" s="16" t="n">
        <v>261.84</v>
      </c>
      <c r="M43" s="16" t="n">
        <v>26.16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7</v>
      </c>
      <c r="I44" s="11" t="n">
        <v>0</v>
      </c>
      <c r="J44" s="12" t="n">
        <v>420</v>
      </c>
      <c r="K44" s="12" t="n">
        <v>0</v>
      </c>
      <c r="L44" s="12" t="n">
        <v>381.85</v>
      </c>
      <c r="M44" s="12" t="n">
        <v>38.15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23</v>
      </c>
      <c r="I45" s="15" t="n">
        <v>0</v>
      </c>
      <c r="J45" s="16" t="n">
        <v>552</v>
      </c>
      <c r="K45" s="16" t="n">
        <v>0</v>
      </c>
      <c r="L45" s="16" t="n">
        <v>501.86</v>
      </c>
      <c r="M45" s="16" t="n">
        <v>50.14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26</v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5</v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9</v>
      </c>
      <c r="I48" s="11" t="n">
        <v>0</v>
      </c>
      <c r="J48" s="12" t="n">
        <v>540</v>
      </c>
      <c r="K48" s="12" t="n">
        <v>0</v>
      </c>
      <c r="L48" s="12" t="n">
        <v>490.95</v>
      </c>
      <c r="M48" s="12" t="n">
        <v>49.05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34</v>
      </c>
      <c r="I49" s="15" t="n">
        <v>0</v>
      </c>
      <c r="J49" s="16" t="n">
        <v>816</v>
      </c>
      <c r="K49" s="16" t="n">
        <v>0</v>
      </c>
      <c r="L49" s="16" t="n">
        <v>741.88</v>
      </c>
      <c r="M49" s="16" t="n">
        <v>74.12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21</v>
      </c>
      <c r="I50" s="11" t="n">
        <v>0</v>
      </c>
      <c r="J50" s="12" t="n">
        <v>1008</v>
      </c>
      <c r="K50" s="12" t="n">
        <v>0</v>
      </c>
      <c r="L50" s="12" t="n">
        <v>916.4400000000001</v>
      </c>
      <c r="M50" s="12" t="n">
        <v>91.56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5</v>
      </c>
      <c r="I52" s="11" t="n">
        <v>0</v>
      </c>
      <c r="J52" s="12" t="n">
        <v>300</v>
      </c>
      <c r="K52" s="12" t="n">
        <v>0</v>
      </c>
      <c r="L52" s="12" t="n">
        <v>272.75</v>
      </c>
      <c r="M52" s="12" t="n">
        <v>27.25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27</v>
      </c>
      <c r="I53" s="15" t="n">
        <v>0</v>
      </c>
      <c r="J53" s="16" t="n">
        <v>648</v>
      </c>
      <c r="K53" s="16" t="n">
        <v>0</v>
      </c>
      <c r="L53" s="16" t="n">
        <v>589.14</v>
      </c>
      <c r="M53" s="16" t="n">
        <v>58.86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22</v>
      </c>
      <c r="I54" s="11" t="n">
        <v>0</v>
      </c>
      <c r="J54" s="12" t="n">
        <v>1056</v>
      </c>
      <c r="K54" s="12" t="n">
        <v>0</v>
      </c>
      <c r="L54" s="12" t="n">
        <v>960.08</v>
      </c>
      <c r="M54" s="12" t="n">
        <v>95.92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5</v>
      </c>
      <c r="I55" s="15" t="n">
        <v>0</v>
      </c>
      <c r="J55" s="16" t="n">
        <v>180</v>
      </c>
      <c r="K55" s="16" t="n">
        <v>0</v>
      </c>
      <c r="L55" s="16" t="n">
        <v>163.65</v>
      </c>
      <c r="M55" s="16" t="n">
        <v>16.35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6</v>
      </c>
      <c r="I56" s="11" t="n">
        <v>0</v>
      </c>
      <c r="J56" s="12" t="n">
        <v>360</v>
      </c>
      <c r="K56" s="12" t="n">
        <v>0</v>
      </c>
      <c r="L56" s="12" t="n">
        <v>327.3</v>
      </c>
      <c r="M56" s="12" t="n">
        <v>32.7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12</v>
      </c>
      <c r="I57" s="15" t="n">
        <v>0</v>
      </c>
      <c r="J57" s="16" t="n">
        <v>288</v>
      </c>
      <c r="K57" s="16" t="n">
        <v>0</v>
      </c>
      <c r="L57" s="16" t="n">
        <v>261.84</v>
      </c>
      <c r="M57" s="16" t="n">
        <v>26.16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5</v>
      </c>
      <c r="I58" s="11" t="n">
        <v>0</v>
      </c>
      <c r="J58" s="12" t="n">
        <v>240</v>
      </c>
      <c r="K58" s="12" t="n">
        <v>0</v>
      </c>
      <c r="L58" s="12" t="n">
        <v>218.2</v>
      </c>
      <c r="M58" s="12" t="n">
        <v>21.8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</t>
        </is>
      </c>
      <c r="F59" s="23">
        <f>IFERROR(INDEX(Tariffe!$B$2:$B$200,MATCH(E59,Tariffe!$A$2:$A$200,0)),"DA DEFINIRE")</f>
        <v/>
      </c>
      <c r="G59" s="16" t="n">
        <v>36</v>
      </c>
      <c r="H59" s="15" t="n">
        <v>1</v>
      </c>
      <c r="I59" s="15" t="n">
        <v>0</v>
      </c>
      <c r="J59" s="16" t="n">
        <v>36</v>
      </c>
      <c r="K59" s="16" t="n">
        <v>0</v>
      </c>
      <c r="L59" s="16" t="n">
        <v>32.73</v>
      </c>
      <c r="M59" s="16" t="n">
        <v>3.27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6</v>
      </c>
      <c r="I61" s="15" t="n">
        <v>0</v>
      </c>
      <c r="J61" s="16" t="n">
        <v>144</v>
      </c>
      <c r="K61" s="16" t="n">
        <v>0</v>
      </c>
      <c r="L61" s="16" t="n">
        <v>130.92</v>
      </c>
      <c r="M61" s="16" t="n">
        <v>13.08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2</v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3</v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2</v>
      </c>
      <c r="I65" s="15" t="n">
        <v>0</v>
      </c>
      <c r="J65" s="16" t="n">
        <v>96</v>
      </c>
      <c r="K65" s="16" t="n">
        <v>0</v>
      </c>
      <c r="L65" s="16" t="n">
        <v>87.28</v>
      </c>
      <c r="M65" s="16" t="n">
        <v>8.720000000000001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1</v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2</v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10</v>
      </c>
      <c r="I69" s="15" t="n">
        <v>0</v>
      </c>
      <c r="J69" s="16" t="n">
        <v>480</v>
      </c>
      <c r="K69" s="16" t="n">
        <v>0</v>
      </c>
      <c r="L69" s="16" t="n">
        <v>436.4</v>
      </c>
      <c r="M69" s="16" t="n">
        <v>43.6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</t>
        </is>
      </c>
      <c r="F70" s="22">
        <f>IFERROR(INDEX(Tariffe!$B$2:$B$200,MATCH(E70,Tariffe!$A$2:$A$200,0)),"DA DEFINIRE")</f>
        <v/>
      </c>
      <c r="G70" s="12" t="n">
        <v>36</v>
      </c>
      <c r="H70" s="11" t="n">
        <v>4</v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16</v>
      </c>
      <c r="I71" s="15" t="n">
        <v>0</v>
      </c>
      <c r="J71" s="16" t="n">
        <v>384</v>
      </c>
      <c r="K71" s="16" t="n">
        <v>0</v>
      </c>
      <c r="L71" s="16" t="n">
        <v>349.12</v>
      </c>
      <c r="M71" s="16" t="n">
        <v>34.88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6</v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</t>
        </is>
      </c>
      <c r="F73" s="23">
        <f>IFERROR(INDEX(Tariffe!$B$2:$B$200,MATCH(E73,Tariffe!$A$2:$A$200,0)),"DA DEFINIRE")</f>
        <v/>
      </c>
      <c r="G73" s="16" t="n">
        <v>36</v>
      </c>
      <c r="H73" s="15" t="n">
        <v>2</v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4</v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8</v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3</v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2</v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5</v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12</v>
      </c>
      <c r="I82" s="11" t="n">
        <v>0</v>
      </c>
      <c r="J82" s="12" t="n">
        <v>576</v>
      </c>
      <c r="K82" s="12" t="n">
        <v>0</v>
      </c>
      <c r="L82" s="12" t="n">
        <v>523.6799999999999</v>
      </c>
      <c r="M82" s="12" t="n">
        <v>52.32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I2</t>
        </is>
      </c>
      <c r="F83" s="23">
        <f>IFERROR(INDEX(Tariffe!$B$2:$B$200,MATCH(E83,Tariffe!$A$2:$A$200,0)),"DA DEFINIRE")</f>
        <v/>
      </c>
      <c r="G83" s="16" t="n">
        <v>36</v>
      </c>
      <c r="H83" s="15" t="n">
        <v>2</v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3</v>
      </c>
      <c r="I84" s="11" t="n">
        <v>0</v>
      </c>
      <c r="J84" s="12" t="n">
        <v>180</v>
      </c>
      <c r="K84" s="12" t="n">
        <v>0</v>
      </c>
      <c r="L84" s="12" t="n">
        <v>163.65</v>
      </c>
      <c r="M84" s="12" t="n">
        <v>16.35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10</v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5</v>
      </c>
      <c r="I86" s="11" t="n">
        <v>0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2</v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1</v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7</v>
      </c>
      <c r="I89" s="15" t="n">
        <v>0</v>
      </c>
      <c r="J89" s="16" t="n">
        <v>168</v>
      </c>
      <c r="K89" s="16" t="n">
        <v>0</v>
      </c>
      <c r="L89" s="16" t="n">
        <v>152.74</v>
      </c>
      <c r="M89" s="16" t="n">
        <v>15.26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1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8</v>
      </c>
      <c r="I92" s="11" t="n">
        <v>0</v>
      </c>
      <c r="J92" s="12" t="n">
        <v>192</v>
      </c>
      <c r="K92" s="12" t="n">
        <v>0</v>
      </c>
      <c r="L92" s="12" t="n">
        <v>174.56</v>
      </c>
      <c r="M92" s="12" t="n">
        <v>17.44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0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3</v>
      </c>
      <c r="I95" s="15" t="n">
        <v>2</v>
      </c>
      <c r="J95" s="16" t="n">
        <v>180</v>
      </c>
      <c r="K95" s="16" t="n">
        <v>0</v>
      </c>
      <c r="L95" s="16" t="n">
        <v>163.65</v>
      </c>
      <c r="M95" s="16" t="n">
        <v>16.35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I8</t>
        </is>
      </c>
      <c r="F96" s="22">
        <f>IFERROR(INDEX(Tariffe!$B$2:$B$200,MATCH(E96,Tariffe!$A$2:$A$200,0)),"DA DEFINIRE")</f>
        <v/>
      </c>
      <c r="G96" s="12" t="n">
        <v>24</v>
      </c>
      <c r="H96" s="11" t="n">
        <v>3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I1</t>
        </is>
      </c>
      <c r="F97" s="23">
        <f>IFERROR(INDEX(Tariffe!$B$2:$B$200,MATCH(E97,Tariffe!$A$2:$A$200,0)),"DA DEFINIRE")</f>
        <v/>
      </c>
      <c r="G97" s="16" t="n">
        <v>48</v>
      </c>
      <c r="H97" s="15" t="n">
        <v>12</v>
      </c>
      <c r="I97" s="15" t="n">
        <v>0</v>
      </c>
      <c r="J97" s="16" t="n">
        <v>576</v>
      </c>
      <c r="K97" s="16" t="n">
        <v>0</v>
      </c>
      <c r="L97" s="16" t="n">
        <v>523.6799999999999</v>
      </c>
      <c r="M97" s="16" t="n">
        <v>52.32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4</v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2</v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I8</t>
        </is>
      </c>
      <c r="F100" s="22">
        <f>IFERROR(INDEX(Tariffe!$B$2:$B$200,MATCH(E100,Tariffe!$A$2:$A$200,0)),"DA DEFINIRE")</f>
        <v/>
      </c>
      <c r="G100" s="12" t="n">
        <v>24</v>
      </c>
      <c r="H100" s="11" t="n">
        <v>9</v>
      </c>
      <c r="I100" s="11" t="n">
        <v>0</v>
      </c>
      <c r="J100" s="12" t="n">
        <v>216</v>
      </c>
      <c r="K100" s="12" t="n">
        <v>0</v>
      </c>
      <c r="L100" s="12" t="n">
        <v>196.38</v>
      </c>
      <c r="M100" s="12" t="n">
        <v>19.62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I1</t>
        </is>
      </c>
      <c r="F101" s="23">
        <f>IFERROR(INDEX(Tariffe!$B$2:$B$200,MATCH(E101,Tariffe!$A$2:$A$200,0)),"DA DEFINIRE")</f>
        <v/>
      </c>
      <c r="G101" s="16" t="n">
        <v>48</v>
      </c>
      <c r="H101" s="15" t="n">
        <v>11</v>
      </c>
      <c r="I101" s="15" t="n">
        <v>3</v>
      </c>
      <c r="J101" s="16" t="n">
        <v>528</v>
      </c>
      <c r="K101" s="16" t="n">
        <v>0</v>
      </c>
      <c r="L101" s="16" t="n">
        <v>480.04</v>
      </c>
      <c r="M101" s="16" t="n">
        <v>47.96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I2</t>
        </is>
      </c>
      <c r="F102" s="22">
        <f>IFERROR(INDEX(Tariffe!$B$2:$B$200,MATCH(E102,Tariffe!$A$2:$A$200,0)),"DA DEFINIRE")</f>
        <v/>
      </c>
      <c r="G102" s="12" t="n">
        <v>36</v>
      </c>
      <c r="H102" s="11" t="n">
        <v>3</v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I5</t>
        </is>
      </c>
      <c r="F103" s="23">
        <f>IFERROR(INDEX(Tariffe!$B$2:$B$200,MATCH(E103,Tariffe!$A$2:$A$200,0)),"DA DEFINIRE")</f>
        <v/>
      </c>
      <c r="G103" s="16" t="n">
        <v>60</v>
      </c>
      <c r="H103" s="15" t="n">
        <v>2</v>
      </c>
      <c r="I103" s="15" t="n">
        <v>0</v>
      </c>
      <c r="J103" s="16" t="n">
        <v>120</v>
      </c>
      <c r="K103" s="16" t="n">
        <v>0</v>
      </c>
      <c r="L103" s="16" t="n">
        <v>109.1</v>
      </c>
      <c r="M103" s="16" t="n">
        <v>10.9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I8</t>
        </is>
      </c>
      <c r="F104" s="22">
        <f>IFERROR(INDEX(Tariffe!$B$2:$B$200,MATCH(E104,Tariffe!$A$2:$A$200,0)),"DA DEFINIRE")</f>
        <v/>
      </c>
      <c r="G104" s="12" t="n">
        <v>24</v>
      </c>
      <c r="H104" s="11" t="n">
        <v>28</v>
      </c>
      <c r="I104" s="11" t="n">
        <v>0</v>
      </c>
      <c r="J104" s="12" t="n">
        <v>672</v>
      </c>
      <c r="K104" s="12" t="n">
        <v>0</v>
      </c>
      <c r="L104" s="12" t="n">
        <v>610.96</v>
      </c>
      <c r="M104" s="12" t="n">
        <v>61.04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I1</t>
        </is>
      </c>
      <c r="F105" s="23">
        <f>IFERROR(INDEX(Tariffe!$B$2:$B$200,MATCH(E105,Tariffe!$A$2:$A$200,0)),"DA DEFINIRE")</f>
        <v/>
      </c>
      <c r="G105" s="16" t="n">
        <v>48</v>
      </c>
      <c r="H105" s="15" t="n">
        <v>24</v>
      </c>
      <c r="I105" s="15" t="n">
        <v>0</v>
      </c>
      <c r="J105" s="16" t="n">
        <v>1152</v>
      </c>
      <c r="K105" s="16" t="n">
        <v>0</v>
      </c>
      <c r="L105" s="16" t="n">
        <v>1047.36</v>
      </c>
      <c r="M105" s="16" t="n">
        <v>104.64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3</v>
      </c>
      <c r="I106" s="11" t="n">
        <v>0</v>
      </c>
      <c r="J106" s="12" t="n">
        <v>108</v>
      </c>
      <c r="K106" s="12" t="n">
        <v>0</v>
      </c>
      <c r="L106" s="12" t="n">
        <v>98.19</v>
      </c>
      <c r="M106" s="12" t="n">
        <v>9.81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I5</t>
        </is>
      </c>
      <c r="F107" s="23">
        <f>IFERROR(INDEX(Tariffe!$B$2:$B$200,MATCH(E107,Tariffe!$A$2:$A$200,0)),"DA DEFINIRE")</f>
        <v/>
      </c>
      <c r="G107" s="16" t="n">
        <v>60</v>
      </c>
      <c r="H107" s="15" t="n">
        <v>3</v>
      </c>
      <c r="I107" s="15" t="n">
        <v>0</v>
      </c>
      <c r="J107" s="16" t="n">
        <v>180</v>
      </c>
      <c r="K107" s="16" t="n">
        <v>0</v>
      </c>
      <c r="L107" s="16" t="n">
        <v>163.65</v>
      </c>
      <c r="M107" s="16" t="n">
        <v>16.35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19</v>
      </c>
      <c r="I108" s="11" t="n">
        <v>0</v>
      </c>
      <c r="J108" s="12" t="n">
        <v>456</v>
      </c>
      <c r="K108" s="12" t="n">
        <v>0</v>
      </c>
      <c r="L108" s="12" t="n">
        <v>414.58</v>
      </c>
      <c r="M108" s="12" t="n">
        <v>41.42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16</v>
      </c>
      <c r="I109" s="15" t="n">
        <v>0</v>
      </c>
      <c r="J109" s="16" t="n">
        <v>768</v>
      </c>
      <c r="K109" s="16" t="n">
        <v>0</v>
      </c>
      <c r="L109" s="16" t="n">
        <v>698.24</v>
      </c>
      <c r="M109" s="16" t="n">
        <v>69.76000000000001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I5</t>
        </is>
      </c>
      <c r="F111" s="23">
        <f>IFERROR(INDEX(Tariffe!$B$2:$B$200,MATCH(E111,Tariffe!$A$2:$A$200,0)),"DA DEFINIRE")</f>
        <v/>
      </c>
      <c r="G111" s="16" t="n">
        <v>60</v>
      </c>
      <c r="H111" s="15" t="n">
        <v>2</v>
      </c>
      <c r="I111" s="15" t="n">
        <v>0</v>
      </c>
      <c r="J111" s="16" t="n">
        <v>120</v>
      </c>
      <c r="K111" s="16" t="n">
        <v>0</v>
      </c>
      <c r="L111" s="16" t="n">
        <v>109.1</v>
      </c>
      <c r="M111" s="16" t="n">
        <v>10.9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14</v>
      </c>
      <c r="I112" s="11" t="n">
        <v>0</v>
      </c>
      <c r="J112" s="12" t="n">
        <v>336</v>
      </c>
      <c r="K112" s="12" t="n">
        <v>0</v>
      </c>
      <c r="L112" s="12" t="n">
        <v>305.48</v>
      </c>
      <c r="M112" s="12" t="n">
        <v>30.52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I1</t>
        </is>
      </c>
      <c r="F113" s="23">
        <f>IFERROR(INDEX(Tariffe!$B$2:$B$200,MATCH(E113,Tariffe!$A$2:$A$200,0)),"DA DEFINIRE")</f>
        <v/>
      </c>
      <c r="G113" s="16" t="n">
        <v>48</v>
      </c>
      <c r="H113" s="15" t="n">
        <v>2</v>
      </c>
      <c r="I113" s="15" t="n">
        <v>0</v>
      </c>
      <c r="J113" s="16" t="n">
        <v>96</v>
      </c>
      <c r="K113" s="16" t="n">
        <v>0</v>
      </c>
      <c r="L113" s="16" t="n">
        <v>87.28</v>
      </c>
      <c r="M113" s="16" t="n">
        <v>8.720000000000001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I2</t>
        </is>
      </c>
      <c r="F114" s="22">
        <f>IFERROR(INDEX(Tariffe!$B$2:$B$200,MATCH(E114,Tariffe!$A$2:$A$200,0)),"DA DEFINIRE")</f>
        <v/>
      </c>
      <c r="G114" s="12" t="n">
        <v>36</v>
      </c>
      <c r="H114" s="11" t="n">
        <v>1</v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I8</t>
        </is>
      </c>
      <c r="F115" s="23">
        <f>IFERROR(INDEX(Tariffe!$B$2:$B$200,MATCH(E115,Tariffe!$A$2:$A$200,0)),"DA DEFINIRE")</f>
        <v/>
      </c>
      <c r="G115" s="16" t="n">
        <v>24</v>
      </c>
      <c r="H115" s="15" t="n">
        <v>2</v>
      </c>
      <c r="I115" s="15" t="n">
        <v>0</v>
      </c>
      <c r="J115" s="16" t="n">
        <v>48</v>
      </c>
      <c r="K115" s="16" t="n">
        <v>0</v>
      </c>
      <c r="L115" s="16" t="n">
        <v>43.64</v>
      </c>
      <c r="M115" s="16" t="n">
        <v>4.36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I1</t>
        </is>
      </c>
      <c r="F116" s="22">
        <f>IFERROR(INDEX(Tariffe!$B$2:$B$200,MATCH(E116,Tariffe!$A$2:$A$200,0)),"DA DEFINIRE")</f>
        <v/>
      </c>
      <c r="G116" s="12" t="n">
        <v>48</v>
      </c>
      <c r="H116" s="11" t="n">
        <v>4</v>
      </c>
      <c r="I116" s="11" t="n">
        <v>0</v>
      </c>
      <c r="J116" s="12" t="n">
        <v>192</v>
      </c>
      <c r="K116" s="12" t="n">
        <v>0</v>
      </c>
      <c r="L116" s="12" t="n">
        <v>174.56</v>
      </c>
      <c r="M116" s="12" t="n">
        <v>17.44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I2</t>
        </is>
      </c>
      <c r="F117" s="23">
        <f>IFERROR(INDEX(Tariffe!$B$2:$B$200,MATCH(E117,Tariffe!$A$2:$A$200,0)),"DA DEFINIRE")</f>
        <v/>
      </c>
      <c r="G117" s="16" t="n">
        <v>36</v>
      </c>
      <c r="H117" s="15" t="n">
        <v>4</v>
      </c>
      <c r="I117" s="15" t="n">
        <v>0</v>
      </c>
      <c r="J117" s="16" t="n">
        <v>144</v>
      </c>
      <c r="K117" s="16" t="n">
        <v>0</v>
      </c>
      <c r="L117" s="16" t="n">
        <v>130.92</v>
      </c>
      <c r="M117" s="16" t="n">
        <v>13.08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6</v>
      </c>
      <c r="I118" s="11" t="n">
        <v>0</v>
      </c>
      <c r="J118" s="12" t="n">
        <v>144</v>
      </c>
      <c r="K118" s="12" t="n">
        <v>0</v>
      </c>
      <c r="L118" s="12" t="n">
        <v>130.92</v>
      </c>
      <c r="M118" s="12" t="n">
        <v>13.08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I1</t>
        </is>
      </c>
      <c r="F119" s="23">
        <f>IFERROR(INDEX(Tariffe!$B$2:$B$200,MATCH(E119,Tariffe!$A$2:$A$200,0)),"DA DEFINIRE")</f>
        <v/>
      </c>
      <c r="G119" s="16" t="n">
        <v>48</v>
      </c>
      <c r="H119" s="15" t="n">
        <v>1</v>
      </c>
      <c r="I119" s="15" t="n">
        <v>0</v>
      </c>
      <c r="J119" s="16" t="n">
        <v>48</v>
      </c>
      <c r="K119" s="16" t="n">
        <v>0</v>
      </c>
      <c r="L119" s="16" t="n">
        <v>43.64</v>
      </c>
      <c r="M119" s="16" t="n">
        <v>4.36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I2</t>
        </is>
      </c>
      <c r="F120" s="22">
        <f>IFERROR(INDEX(Tariffe!$B$2:$B$200,MATCH(E120,Tariffe!$A$2:$A$200,0)),"DA DEFINIRE")</f>
        <v/>
      </c>
      <c r="G120" s="12" t="n">
        <v>36</v>
      </c>
      <c r="H120" s="11" t="n">
        <v>2</v>
      </c>
      <c r="I120" s="11" t="n">
        <v>0</v>
      </c>
      <c r="J120" s="12" t="n">
        <v>72</v>
      </c>
      <c r="K120" s="12" t="n">
        <v>0</v>
      </c>
      <c r="L120" s="12" t="n">
        <v>65.45999999999999</v>
      </c>
      <c r="M120" s="12" t="n">
        <v>6.54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I5</t>
        </is>
      </c>
      <c r="F121" s="23">
        <f>IFERROR(INDEX(Tariffe!$B$2:$B$200,MATCH(E121,Tariffe!$A$2:$A$200,0)),"DA DEFINIRE")</f>
        <v/>
      </c>
      <c r="G121" s="16" t="n">
        <v>60</v>
      </c>
      <c r="H121" s="15" t="n">
        <v>1</v>
      </c>
      <c r="I121" s="15" t="n">
        <v>0</v>
      </c>
      <c r="J121" s="16" t="n">
        <v>60</v>
      </c>
      <c r="K121" s="16" t="n">
        <v>0</v>
      </c>
      <c r="L121" s="16" t="n">
        <v>54.55</v>
      </c>
      <c r="M121" s="16" t="n">
        <v>5.45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I8</t>
        </is>
      </c>
      <c r="F122" s="22">
        <f>IFERROR(INDEX(Tariffe!$B$2:$B$200,MATCH(E122,Tariffe!$A$2:$A$200,0)),"DA DEFINIRE")</f>
        <v/>
      </c>
      <c r="G122" s="12" t="n">
        <v>24</v>
      </c>
      <c r="H122" s="11" t="n">
        <v>5</v>
      </c>
      <c r="I122" s="11" t="n">
        <v>0</v>
      </c>
      <c r="J122" s="12" t="n">
        <v>120</v>
      </c>
      <c r="K122" s="12" t="n">
        <v>0</v>
      </c>
      <c r="L122" s="12" t="n">
        <v>109.1</v>
      </c>
      <c r="M122" s="12" t="n">
        <v>10.9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20261101_2315</t>
        </is>
      </c>
      <c r="B123" s="13" t="n">
        <v>46327</v>
      </c>
      <c r="C123" s="14" t="n">
        <v>0.96875</v>
      </c>
      <c r="D123" s="23" t="inlineStr">
        <is>
          <t>UN Unico</t>
        </is>
      </c>
      <c r="E123" s="23" t="inlineStr">
        <is>
          <t>I2</t>
        </is>
      </c>
      <c r="F123" s="23">
        <f>IFERROR(INDEX(Tariffe!$B$2:$B$200,MATCH(E123,Tariffe!$A$2:$A$200,0)),"DA DEFINIRE")</f>
        <v/>
      </c>
      <c r="G123" s="16" t="n">
        <v>36</v>
      </c>
      <c r="H123" s="15" t="n">
        <v>1</v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I8</t>
        </is>
      </c>
      <c r="F124" s="22">
        <f>IFERROR(INDEX(Tariffe!$B$2:$B$200,MATCH(E124,Tariffe!$A$2:$A$200,0)),"DA DEFINIRE")</f>
        <v/>
      </c>
      <c r="G124" s="12" t="n">
        <v>24</v>
      </c>
      <c r="H124" s="11" t="n">
        <v>2</v>
      </c>
      <c r="I124" s="11" t="n">
        <v>0</v>
      </c>
      <c r="J124" s="12" t="n">
        <v>48</v>
      </c>
      <c r="K124" s="12" t="n">
        <v>0</v>
      </c>
      <c r="L124" s="12" t="n">
        <v>43.64</v>
      </c>
      <c r="M124" s="12" t="n">
        <v>4.36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20261101_2359</t>
        </is>
      </c>
      <c r="B125" s="13" t="n">
        <v>46327</v>
      </c>
      <c r="C125" s="14" t="n">
        <v>0.9993055555555556</v>
      </c>
      <c r="D125" s="23" t="inlineStr">
        <is>
          <t>UN Unico</t>
        </is>
      </c>
      <c r="E125" s="23" t="inlineStr">
        <is>
          <t>I5</t>
        </is>
      </c>
      <c r="F125" s="23">
        <f>IFERROR(INDEX(Tariffe!$B$2:$B$200,MATCH(E125,Tariffe!$A$2:$A$200,0)),"DA DEFINIRE")</f>
        <v/>
      </c>
      <c r="G125" s="16" t="n">
        <v>60</v>
      </c>
      <c r="H125" s="15" t="n">
        <v>1</v>
      </c>
      <c r="I125" s="15" t="n">
        <v>0</v>
      </c>
      <c r="J125" s="16" t="n">
        <v>60</v>
      </c>
      <c r="K125" s="16" t="n">
        <v>0</v>
      </c>
      <c r="L125" s="16" t="n">
        <v>54.55</v>
      </c>
      <c r="M125" s="16" t="n">
        <v>5.45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I8</t>
        </is>
      </c>
      <c r="F126" s="22">
        <f>IFERROR(INDEX(Tariffe!$B$2:$B$200,MATCH(E126,Tariffe!$A$2:$A$200,0)),"DA DEFINIRE")</f>
        <v/>
      </c>
      <c r="G126" s="12" t="n">
        <v>24</v>
      </c>
      <c r="H126" s="11" t="n">
        <v>1</v>
      </c>
      <c r="I126" s="11" t="n">
        <v>0</v>
      </c>
      <c r="J126" s="12" t="n">
        <v>24</v>
      </c>
      <c r="K126" s="12" t="n">
        <v>0</v>
      </c>
      <c r="L126" s="12" t="n">
        <v>21.82</v>
      </c>
      <c r="M126" s="12" t="n">
        <v>2.18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  <row r="127">
      <c r="A127" s="23" t="inlineStr">
        <is>
          <t>20261102_2015</t>
        </is>
      </c>
      <c r="B127" s="13" t="n">
        <v>46328</v>
      </c>
      <c r="C127" s="14" t="n">
        <v>0.84375</v>
      </c>
      <c r="D127" s="23" t="inlineStr">
        <is>
          <t>UN Unico</t>
        </is>
      </c>
      <c r="E127" s="23" t="inlineStr">
        <is>
          <t>I1</t>
        </is>
      </c>
      <c r="F127" s="23">
        <f>IFERROR(INDEX(Tariffe!$B$2:$B$200,MATCH(E127,Tariffe!$A$2:$A$200,0)),"DA DEFINIRE")</f>
        <v/>
      </c>
      <c r="G127" s="16" t="n">
        <v>15</v>
      </c>
      <c r="H127" s="15" t="n">
        <v>2</v>
      </c>
      <c r="I127" s="15" t="n">
        <v>0</v>
      </c>
      <c r="J127" s="16" t="n">
        <v>30</v>
      </c>
      <c r="K127" s="16" t="n">
        <v>0</v>
      </c>
      <c r="L127" s="16" t="n">
        <v>27.28</v>
      </c>
      <c r="M127" s="16" t="n">
        <v>2.72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H127*O127</f>
        <v/>
      </c>
    </row>
    <row r="128">
      <c r="A128" s="22" t="inlineStr">
        <is>
          <t>20261102_2215</t>
        </is>
      </c>
      <c r="B128" s="9" t="n">
        <v>46328</v>
      </c>
      <c r="C128" s="10" t="n">
        <v>0.9270833333333334</v>
      </c>
      <c r="D128" s="22" t="inlineStr">
        <is>
          <t>UN Unico</t>
        </is>
      </c>
      <c r="E128" s="22" t="inlineStr">
        <is>
          <t>I1</t>
        </is>
      </c>
      <c r="F128" s="22">
        <f>IFERROR(INDEX(Tariffe!$B$2:$B$200,MATCH(E128,Tariffe!$A$2:$A$200,0)),"DA DEFINIRE")</f>
        <v/>
      </c>
      <c r="G128" s="12" t="n">
        <v>15</v>
      </c>
      <c r="H128" s="11" t="n">
        <v>3</v>
      </c>
      <c r="I128" s="11" t="n">
        <v>0</v>
      </c>
      <c r="J128" s="12" t="n">
        <v>45</v>
      </c>
      <c r="K128" s="12" t="n">
        <v>0</v>
      </c>
      <c r="L128" s="12" t="n">
        <v>40.92</v>
      </c>
      <c r="M128" s="12" t="n">
        <v>4.08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H128*O128</f>
        <v/>
      </c>
    </row>
    <row r="129">
      <c r="A129" s="23" t="inlineStr">
        <is>
          <t>20261102_2315</t>
        </is>
      </c>
      <c r="B129" s="13" t="n">
        <v>46328</v>
      </c>
      <c r="C129" s="14" t="n">
        <v>0.96875</v>
      </c>
      <c r="D129" s="23" t="inlineStr">
        <is>
          <t>UN Unico</t>
        </is>
      </c>
      <c r="E129" s="23" t="inlineStr">
        <is>
          <t>I1</t>
        </is>
      </c>
      <c r="F129" s="23">
        <f>IFERROR(INDEX(Tariffe!$B$2:$B$200,MATCH(E129,Tariffe!$A$2:$A$200,0)),"DA DEFINIRE")</f>
        <v/>
      </c>
      <c r="G129" s="16" t="n">
        <v>15</v>
      </c>
      <c r="H129" s="15" t="n">
        <v>3</v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H129*O129</f>
        <v/>
      </c>
    </row>
    <row r="130">
      <c r="A130" s="22" t="inlineStr">
        <is>
          <t>20261102_2359</t>
        </is>
      </c>
      <c r="B130" s="9" t="n">
        <v>46328</v>
      </c>
      <c r="C130" s="10" t="n">
        <v>0.9993055555555556</v>
      </c>
      <c r="D130" s="22" t="inlineStr">
        <is>
          <t>UN Unico</t>
        </is>
      </c>
      <c r="E130" s="22" t="inlineStr">
        <is>
          <t>I1</t>
        </is>
      </c>
      <c r="F130" s="22">
        <f>IFERROR(INDEX(Tariffe!$B$2:$B$200,MATCH(E130,Tariffe!$A$2:$A$200,0)),"DA DEFINIRE")</f>
        <v/>
      </c>
      <c r="G130" s="12" t="n">
        <v>15</v>
      </c>
      <c r="H130" s="11" t="n">
        <v>1</v>
      </c>
      <c r="I130" s="11" t="n">
        <v>0</v>
      </c>
      <c r="J130" s="12" t="n">
        <v>15</v>
      </c>
      <c r="K130" s="12" t="n">
        <v>0</v>
      </c>
      <c r="L130" s="12" t="n">
        <v>13.64</v>
      </c>
      <c r="M130" s="12" t="n">
        <v>1.36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H130*O130</f>
        <v/>
      </c>
    </row>
  </sheetData>
  <autoFilter ref="A1:P13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987</v>
      </c>
      <c r="C631" s="15" t="n">
        <v>2988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988</v>
      </c>
      <c r="C632" s="11" t="n">
        <v>2991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990</v>
      </c>
      <c r="C633" s="15" t="n">
        <v>2995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993</v>
      </c>
      <c r="C634" s="11" t="n">
        <v>3003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996</v>
      </c>
      <c r="C635" s="15" t="n">
        <v>3012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1004</v>
      </c>
      <c r="C636" s="11" t="n">
        <v>3032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1006</v>
      </c>
      <c r="C637" s="15" t="n">
        <v>3036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1020</v>
      </c>
      <c r="C638" s="11" t="n">
        <v>3081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1020</v>
      </c>
      <c r="C639" s="15" t="n">
        <v>3081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1022</v>
      </c>
      <c r="C640" s="11" t="n">
        <v>3089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1026</v>
      </c>
      <c r="C641" s="15" t="n">
        <v>3103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1033</v>
      </c>
      <c r="C642" s="11" t="n">
        <v>3124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1036</v>
      </c>
      <c r="C643" s="15" t="n">
        <v>3134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1038</v>
      </c>
      <c r="C644" s="11" t="n">
        <v>3140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1039</v>
      </c>
      <c r="C645" s="15" t="n">
        <v>3142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1039</v>
      </c>
      <c r="C646" s="11" t="n">
        <v>3142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1041</v>
      </c>
      <c r="C647" s="15" t="n">
        <v>3149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1041</v>
      </c>
      <c r="C648" s="11" t="n">
        <v>3149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1043</v>
      </c>
      <c r="C649" s="15" t="n">
        <v>3157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1045</v>
      </c>
      <c r="C650" s="11" t="n">
        <v>3161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1048</v>
      </c>
      <c r="C651" s="15" t="n">
        <v>3171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1055</v>
      </c>
      <c r="C652" s="11" t="n">
        <v>3187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1055</v>
      </c>
      <c r="C653" s="15" t="n">
        <v>3187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1061</v>
      </c>
      <c r="C654" s="11" t="n">
        <v>3207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1067</v>
      </c>
      <c r="C655" s="15" t="n">
        <v>3227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1072</v>
      </c>
      <c r="C656" s="11" t="n">
        <v>3248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1086</v>
      </c>
      <c r="C657" s="15" t="n">
        <v>3297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1097</v>
      </c>
      <c r="C658" s="11" t="n">
        <v>3324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1097</v>
      </c>
      <c r="C659" s="15" t="n">
        <v>3324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1112</v>
      </c>
      <c r="C660" s="11" t="n">
        <v>3373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1113</v>
      </c>
      <c r="C661" s="15" t="n">
        <v>3377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1116</v>
      </c>
      <c r="C662" s="11" t="n">
        <v>3385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1143</v>
      </c>
      <c r="C663" s="15" t="n">
        <v>3475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1152</v>
      </c>
      <c r="C664" s="11" t="n">
        <v>3508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1160</v>
      </c>
      <c r="C665" s="15" t="n">
        <v>3536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1163</v>
      </c>
      <c r="C666" s="11" t="n">
        <v>3545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1170</v>
      </c>
      <c r="C667" s="15" t="n">
        <v>3567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</sheetData>
  <autoFilter ref="A1:G66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</sheetData>
  <autoFilter ref="A1:K88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317</v>
      </c>
      <c r="M9" s="11" t="n">
        <v>971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221</v>
      </c>
      <c r="M10" s="11" t="n">
        <v>713</v>
      </c>
      <c r="N10" s="12" t="n">
        <v>8556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260</v>
      </c>
      <c r="C23" s="11" t="n">
        <v>804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144</v>
      </c>
      <c r="C24" s="11" t="n">
        <v>464</v>
      </c>
      <c r="D24" s="12" t="n">
        <v>5568</v>
      </c>
      <c r="F24" s="38" t="inlineStr">
        <is>
          <t>20:00-21:00</t>
        </is>
      </c>
      <c r="G24" s="11" t="n">
        <v>71</v>
      </c>
      <c r="H24" s="11" t="n">
        <v>203</v>
      </c>
      <c r="I24" s="12" t="n">
        <v>2370</v>
      </c>
    </row>
    <row r="25">
      <c r="F25" s="38" t="inlineStr">
        <is>
          <t>21:00-22:00</t>
        </is>
      </c>
      <c r="G25" s="11" t="n">
        <v>92</v>
      </c>
      <c r="H25" s="11" t="n">
        <v>274</v>
      </c>
      <c r="I25" s="12" t="n">
        <v>3222</v>
      </c>
    </row>
    <row r="26">
      <c r="F26" s="38" t="inlineStr">
        <is>
          <t>22:00-23:00</t>
        </is>
      </c>
      <c r="G26" s="11" t="n">
        <v>123</v>
      </c>
      <c r="H26" s="11" t="n">
        <v>369</v>
      </c>
      <c r="I26" s="12" t="n">
        <v>4362</v>
      </c>
    </row>
    <row r="27">
      <c r="F27" s="38" t="inlineStr">
        <is>
          <t>23:00-00:00</t>
        </is>
      </c>
      <c r="G27" s="11" t="n">
        <v>40</v>
      </c>
      <c r="H27" s="11" t="n">
        <v>135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2026-10-25T14:58:10Z</dcterms:created>
  <dcterms:modified xsi:type="dcterms:W3CDTF">2026-10-25T14:58:10Z</dcterms:modified>
</cp:coreProperties>
</file>