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'Storico'!$A$1:$G$132</definedName>
    <definedName name="_xlnm._FilterDatabase" localSheetId="8" hidden="1">'Registro vendite'!$A$1:$K$103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'Storico'!$H$2:$H$132</f>
            </numRef>
          </cat>
          <val>
            <numRef>
              <f>'Storico'!$C$2:$C$132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MAX(Storico!A2:A132)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6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2</v>
      </c>
      <c r="I38" s="11" t="n">
        <v>0</v>
      </c>
      <c r="J38" s="12" t="n">
        <v>96</v>
      </c>
      <c r="K38" s="12" t="n">
        <v>0</v>
      </c>
      <c r="L38" s="12" t="n">
        <v>87.28</v>
      </c>
      <c r="M38" s="12" t="n">
        <v>8.720000000000001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3</v>
      </c>
      <c r="I40" s="11" t="n">
        <v>0</v>
      </c>
      <c r="J40" s="12" t="n">
        <v>72</v>
      </c>
      <c r="K40" s="12" t="n">
        <v>0</v>
      </c>
      <c r="L40" s="12" t="n">
        <v>65.45999999999999</v>
      </c>
      <c r="M40" s="12" t="n">
        <v>6.54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20261031_2315</t>
        </is>
      </c>
      <c r="B55" s="13" t="n">
        <v>46326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20261031_2359</t>
        </is>
      </c>
      <c r="B57" s="13" t="n">
        <v>46326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20261101_2015</t>
        </is>
      </c>
      <c r="B58" s="9" t="n">
        <v>46327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11/2026</t>
        </is>
      </c>
      <c r="O58" s="11">
        <f>IFERROR(INDEX(Tariffe!$D$2:$D$200,MATCH(E58,Tariffe!$A$2:$A$200,0))*1,0)</f>
        <v/>
      </c>
      <c r="P58" s="11">
        <f>H58*O58</f>
        <v/>
      </c>
    </row>
  </sheetData>
  <autoFilter ref="A1:P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</sheetData>
  <autoFilter ref="A1:G13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</sheetData>
  <autoFilter ref="A1:K10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34</v>
      </c>
      <c r="C7" s="11" t="n">
        <v>111</v>
      </c>
      <c r="D7" s="12" t="n">
        <v>1332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34</v>
      </c>
      <c r="M7" s="11" t="n">
        <v>111</v>
      </c>
      <c r="N7" s="12" t="n">
        <v>1332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2026-10-08T20:56:19Z</dcterms:created>
  <dcterms:modified xsi:type="dcterms:W3CDTF">2026-10-08T20:56:19Z</dcterms:modified>
</cp:coreProperties>
</file>