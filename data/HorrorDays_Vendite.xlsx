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'Vendite'!$A$1:$R$139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'Storico'!$A$1:$G$770</definedName>
    <definedName name="_xlnm._FilterDatabase" localSheetId="8" hidden="1">'Registro vendite'!$A$1:$K$1224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'Storico'!$H$2:$H$770</f>
            </numRef>
          </cat>
          <val>
            <numRef>
              <f>'Storico'!$C$2:$C$770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MAX(Storico!A2:A770)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384</v>
      </c>
      <c r="K65" s="16" t="n">
        <v>0</v>
      </c>
      <c r="L65" s="16" t="n">
        <v>349.12</v>
      </c>
      <c r="M65" s="16" t="n">
        <v>34.88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8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408</v>
      </c>
      <c r="K68" s="12" t="n">
        <v>0</v>
      </c>
      <c r="L68" s="12" t="n">
        <v>370.94</v>
      </c>
      <c r="M68" s="12" t="n">
        <v>37.06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17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1056</v>
      </c>
      <c r="K69" s="16" t="n">
        <v>0</v>
      </c>
      <c r="L69" s="16" t="n">
        <v>960.08</v>
      </c>
      <c r="M69" s="16" t="n">
        <v>95.92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324</v>
      </c>
      <c r="K70" s="12" t="n">
        <v>0</v>
      </c>
      <c r="L70" s="12" t="n">
        <v>294.57</v>
      </c>
      <c r="M70" s="12" t="n">
        <v>29.43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9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540</v>
      </c>
      <c r="K71" s="16" t="n">
        <v>0</v>
      </c>
      <c r="L71" s="16" t="n">
        <v>490.95</v>
      </c>
      <c r="M71" s="16" t="n">
        <v>49.05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9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720</v>
      </c>
      <c r="K72" s="12" t="n">
        <v>0</v>
      </c>
      <c r="L72" s="12" t="n">
        <v>654.6</v>
      </c>
      <c r="M72" s="12" t="n">
        <v>65.40000000000001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30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336</v>
      </c>
      <c r="K76" s="12" t="n">
        <v>0</v>
      </c>
      <c r="L76" s="12" t="n">
        <v>305.48</v>
      </c>
      <c r="M76" s="12" t="n">
        <v>30.52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14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2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4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336</v>
      </c>
      <c r="K85" s="16" t="n">
        <v>0</v>
      </c>
      <c r="L85" s="16" t="n">
        <v>305.48</v>
      </c>
      <c r="M85" s="16" t="n">
        <v>30.52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14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108</v>
      </c>
      <c r="K87" s="16" t="n">
        <v>0</v>
      </c>
      <c r="L87" s="16" t="n">
        <v>98.19</v>
      </c>
      <c r="M87" s="16" t="n">
        <v>9.81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300</v>
      </c>
      <c r="K88" s="12" t="n">
        <v>0</v>
      </c>
      <c r="L88" s="12" t="n">
        <v>272.75</v>
      </c>
      <c r="M88" s="12" t="n">
        <v>27.25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3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28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672</v>
      </c>
      <c r="K90" s="12" t="n">
        <v>0</v>
      </c>
      <c r="L90" s="12" t="n">
        <v>610.96</v>
      </c>
      <c r="M90" s="12" t="n">
        <v>61.04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360</v>
      </c>
      <c r="K92" s="12" t="n">
        <v>0</v>
      </c>
      <c r="L92" s="12" t="n">
        <v>327.3</v>
      </c>
      <c r="M92" s="12" t="n">
        <v>32.7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6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336</v>
      </c>
      <c r="K93" s="16" t="n">
        <v>0</v>
      </c>
      <c r="L93" s="16" t="n">
        <v>305.48</v>
      </c>
      <c r="M93" s="16" t="n">
        <v>30.52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14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300</v>
      </c>
      <c r="K95" s="16" t="n">
        <v>0</v>
      </c>
      <c r="L95" s="16" t="n">
        <v>272.75</v>
      </c>
      <c r="M95" s="16" t="n">
        <v>27.25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14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528</v>
      </c>
      <c r="K97" s="16" t="n">
        <v>0</v>
      </c>
      <c r="L97" s="16" t="n">
        <v>480.04</v>
      </c>
      <c r="M97" s="16" t="n">
        <v>47.96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11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108</v>
      </c>
      <c r="K98" s="12" t="n">
        <v>0</v>
      </c>
      <c r="L98" s="12" t="n">
        <v>98.19</v>
      </c>
      <c r="M98" s="12" t="n">
        <v>9.81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2</v>
      </c>
      <c r="J99" s="16" t="n">
        <v>240</v>
      </c>
      <c r="K99" s="16" t="n">
        <v>0</v>
      </c>
      <c r="L99" s="16" t="n">
        <v>218.2</v>
      </c>
      <c r="M99" s="16" t="n">
        <v>21.8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1104</v>
      </c>
      <c r="K101" s="16" t="n">
        <v>0</v>
      </c>
      <c r="L101" s="16" t="n">
        <v>1003.72</v>
      </c>
      <c r="M101" s="16" t="n">
        <v>100.28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552</v>
      </c>
      <c r="K104" s="12" t="n">
        <v>0</v>
      </c>
      <c r="L104" s="12" t="n">
        <v>501.86</v>
      </c>
      <c r="M104" s="12" t="n">
        <v>50.14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3</v>
      </c>
      <c r="J105" s="16" t="n">
        <v>1296</v>
      </c>
      <c r="K105" s="16" t="n">
        <v>0</v>
      </c>
      <c r="L105" s="16" t="n">
        <v>1178.28</v>
      </c>
      <c r="M105" s="16" t="n">
        <v>117.72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27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5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240</v>
      </c>
      <c r="K107" s="16" t="n">
        <v>0</v>
      </c>
      <c r="L107" s="16" t="n">
        <v>218.2</v>
      </c>
      <c r="M107" s="16" t="n">
        <v>21.8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1056</v>
      </c>
      <c r="K108" s="12" t="n">
        <v>0</v>
      </c>
      <c r="L108" s="12" t="n">
        <v>960.08</v>
      </c>
      <c r="M108" s="12" t="n">
        <v>95.92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44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1968</v>
      </c>
      <c r="K109" s="16" t="n">
        <v>0</v>
      </c>
      <c r="L109" s="16" t="n">
        <v>1789.24</v>
      </c>
      <c r="M109" s="16" t="n">
        <v>178.76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41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108</v>
      </c>
      <c r="K110" s="12" t="n">
        <v>0</v>
      </c>
      <c r="L110" s="12" t="n">
        <v>98.19</v>
      </c>
      <c r="M110" s="12" t="n">
        <v>9.81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300</v>
      </c>
      <c r="K111" s="16" t="n">
        <v>0</v>
      </c>
      <c r="L111" s="16" t="n">
        <v>272.75</v>
      </c>
      <c r="M111" s="16" t="n">
        <v>27.25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5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744</v>
      </c>
      <c r="K112" s="12" t="n">
        <v>0</v>
      </c>
      <c r="L112" s="12" t="n">
        <v>676.42</v>
      </c>
      <c r="M112" s="12" t="n">
        <v>67.58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2256</v>
      </c>
      <c r="K113" s="16" t="n">
        <v>0</v>
      </c>
      <c r="L113" s="16" t="n">
        <v>2051.08</v>
      </c>
      <c r="M113" s="16" t="n">
        <v>204.92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47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648</v>
      </c>
      <c r="K116" s="12" t="n">
        <v>0</v>
      </c>
      <c r="L116" s="12" t="n">
        <v>589.14</v>
      </c>
      <c r="M116" s="12" t="n">
        <v>58.86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27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288</v>
      </c>
      <c r="K117" s="16" t="n">
        <v>0</v>
      </c>
      <c r="L117" s="16" t="n">
        <v>261.84</v>
      </c>
      <c r="M117" s="16" t="n">
        <v>26.16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6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2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120</v>
      </c>
      <c r="K120" s="12" t="n">
        <v>0</v>
      </c>
      <c r="L120" s="12" t="n">
        <v>109.1</v>
      </c>
      <c r="M120" s="12" t="n">
        <v>10.9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240</v>
      </c>
      <c r="K121" s="16" t="n">
        <v>0</v>
      </c>
      <c r="L121" s="16" t="n">
        <v>218.2</v>
      </c>
      <c r="M121" s="16" t="n">
        <v>21.8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144</v>
      </c>
      <c r="K122" s="12" t="n">
        <v>0</v>
      </c>
      <c r="L122" s="12" t="n">
        <v>130.92</v>
      </c>
      <c r="M122" s="12" t="n">
        <v>13.08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264</v>
      </c>
      <c r="K124" s="12" t="n">
        <v>0</v>
      </c>
      <c r="L124" s="12" t="n">
        <v>240.02</v>
      </c>
      <c r="M124" s="12" t="n">
        <v>23.98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432</v>
      </c>
      <c r="K125" s="16" t="n">
        <v>0</v>
      </c>
      <c r="L125" s="16" t="n">
        <v>392.76</v>
      </c>
      <c r="M125" s="16" t="n">
        <v>39.24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108</v>
      </c>
      <c r="K126" s="12" t="n">
        <v>0</v>
      </c>
      <c r="L126" s="12" t="n">
        <v>98.19</v>
      </c>
      <c r="M126" s="12" t="n">
        <v>9.81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312</v>
      </c>
      <c r="K128" s="12" t="n">
        <v>0</v>
      </c>
      <c r="L128" s="12" t="n">
        <v>283.66</v>
      </c>
      <c r="M128" s="12" t="n">
        <v>28.34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13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20261101_2315</t>
        </is>
      </c>
      <c r="B130" s="9" t="n">
        <v>46327</v>
      </c>
      <c r="C130" s="10" t="n">
        <v>0.96875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60</v>
      </c>
      <c r="K131" s="16" t="n">
        <v>0</v>
      </c>
      <c r="L131" s="16" t="n">
        <v>54.55</v>
      </c>
      <c r="M131" s="16" t="n">
        <v>5.45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20261101_2315</t>
        </is>
      </c>
      <c r="B132" s="9" t="n">
        <v>46327</v>
      </c>
      <c r="C132" s="10" t="n">
        <v>0.96875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48</v>
      </c>
      <c r="K132" s="12" t="n">
        <v>0</v>
      </c>
      <c r="L132" s="12" t="n">
        <v>43.64</v>
      </c>
      <c r="M132" s="12" t="n">
        <v>4.36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20261101_2359</t>
        </is>
      </c>
      <c r="B133" s="13" t="n">
        <v>46327</v>
      </c>
      <c r="C133" s="14" t="n">
        <v>0.9993055555555556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48</v>
      </c>
      <c r="K133" s="16" t="n">
        <v>0</v>
      </c>
      <c r="L133" s="16" t="n">
        <v>43.64</v>
      </c>
      <c r="M133" s="16" t="n">
        <v>4.36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20261101_2359</t>
        </is>
      </c>
      <c r="B134" s="9" t="n">
        <v>46327</v>
      </c>
      <c r="C134" s="10" t="n">
        <v>0.9993055555555556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60</v>
      </c>
      <c r="K134" s="12" t="n">
        <v>0</v>
      </c>
      <c r="L134" s="12" t="n">
        <v>54.55</v>
      </c>
      <c r="M134" s="12" t="n">
        <v>5.45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20261101_2359</t>
        </is>
      </c>
      <c r="B135" s="13" t="n">
        <v>46327</v>
      </c>
      <c r="C135" s="14" t="n">
        <v>0.9993055555555556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24</v>
      </c>
      <c r="K135" s="16" t="n">
        <v>0</v>
      </c>
      <c r="L135" s="16" t="n">
        <v>21.82</v>
      </c>
      <c r="M135" s="16" t="n">
        <v>2.18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  <row r="136">
      <c r="A136" s="22" t="inlineStr">
        <is>
          <t>20261102_2015</t>
        </is>
      </c>
      <c r="B136" s="9" t="n">
        <v>46328</v>
      </c>
      <c r="C136" s="10" t="n">
        <v>0.84375</v>
      </c>
      <c r="D136" s="22" t="inlineStr">
        <is>
          <t>UN Unico</t>
        </is>
      </c>
      <c r="E136" s="22" t="inlineStr">
        <is>
          <t>I1 15€</t>
        </is>
      </c>
      <c r="F136" s="22">
        <f>IFERROR(INDEX(Tariffe!$B$2:$B$200,MATCH(E136,Tariffe!$A$2:$A$200,0)),"DA DEFINIRE")</f>
        <v/>
      </c>
      <c r="G136" s="12" t="n">
        <v>15</v>
      </c>
      <c r="H136" s="11">
        <f>Q136*R136</f>
        <v/>
      </c>
      <c r="I136" s="11" t="n">
        <v>0</v>
      </c>
      <c r="J136" s="12" t="n">
        <v>30</v>
      </c>
      <c r="K136" s="12" t="n">
        <v>0</v>
      </c>
      <c r="L136" s="12" t="n">
        <v>27.28</v>
      </c>
      <c r="M136" s="12" t="n">
        <v>2.72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20261102_2215</t>
        </is>
      </c>
      <c r="B137" s="13" t="n">
        <v>46328</v>
      </c>
      <c r="C137" s="14" t="n">
        <v>0.9270833333333334</v>
      </c>
      <c r="D137" s="23" t="inlineStr">
        <is>
          <t>UN Unico</t>
        </is>
      </c>
      <c r="E137" s="23" t="inlineStr">
        <is>
          <t>I1 15€</t>
        </is>
      </c>
      <c r="F137" s="23">
        <f>IFERROR(INDEX(Tariffe!$B$2:$B$200,MATCH(E137,Tariffe!$A$2:$A$200,0)),"DA DEFINIRE")</f>
        <v/>
      </c>
      <c r="G137" s="16" t="n">
        <v>15</v>
      </c>
      <c r="H137" s="15">
        <f>Q137*R137</f>
        <v/>
      </c>
      <c r="I137" s="15" t="n">
        <v>0</v>
      </c>
      <c r="J137" s="16" t="n">
        <v>90</v>
      </c>
      <c r="K137" s="16" t="n">
        <v>0</v>
      </c>
      <c r="L137" s="16" t="n">
        <v>81.84</v>
      </c>
      <c r="M137" s="16" t="n">
        <v>8.16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6</v>
      </c>
      <c r="R137" s="15">
        <f>IFERROR(INDEX(Tariffe!$E$2:$E$200,MATCH(E137,Tariffe!$A$2:$A$200,0))*1,1)</f>
        <v/>
      </c>
    </row>
    <row r="138">
      <c r="A138" s="22" t="inlineStr">
        <is>
          <t>20261102_2315</t>
        </is>
      </c>
      <c r="B138" s="9" t="n">
        <v>46328</v>
      </c>
      <c r="C138" s="10" t="n">
        <v>0.96875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45</v>
      </c>
      <c r="K138" s="12" t="n">
        <v>0</v>
      </c>
      <c r="L138" s="12" t="n">
        <v>40.92</v>
      </c>
      <c r="M138" s="12" t="n">
        <v>4.08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20261102_2359</t>
        </is>
      </c>
      <c r="B139" s="13" t="n">
        <v>46328</v>
      </c>
      <c r="C139" s="14" t="n">
        <v>0.9993055555555556</v>
      </c>
      <c r="D139" s="23" t="inlineStr">
        <is>
          <t>UN Unico</t>
        </is>
      </c>
      <c r="E139" s="23" t="inlineStr">
        <is>
          <t>I1 15€</t>
        </is>
      </c>
      <c r="F139" s="23">
        <f>IFERROR(INDEX(Tariffe!$B$2:$B$200,MATCH(E139,Tariffe!$A$2:$A$200,0)),"DA DEFINIRE")</f>
        <v/>
      </c>
      <c r="G139" s="16" t="n">
        <v>15</v>
      </c>
      <c r="H139" s="15">
        <f>Q139*R139</f>
        <v/>
      </c>
      <c r="I139" s="15" t="n">
        <v>0</v>
      </c>
      <c r="J139" s="16" t="n">
        <v>15</v>
      </c>
      <c r="K139" s="16" t="n">
        <v>0</v>
      </c>
      <c r="L139" s="16" t="n">
        <v>13.64</v>
      </c>
      <c r="M139" s="16" t="n">
        <v>1.36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1</v>
      </c>
      <c r="R139" s="15">
        <f>IFERROR(INDEX(Tariffe!$E$2:$E$200,MATCH(E139,Tariffe!$A$2:$A$200,0))*1,1)</f>
        <v/>
      </c>
    </row>
  </sheetData>
  <autoFilter ref="A1:R1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</sheetData>
  <autoFilter ref="A1:G77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</sheetData>
  <autoFilter ref="A1:K12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162</v>
      </c>
      <c r="M5" s="11" t="n">
        <v>508</v>
      </c>
      <c r="N5" s="12" t="n">
        <v>6096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64</v>
      </c>
      <c r="C26" s="11" t="n">
        <v>219</v>
      </c>
      <c r="D26" s="12" t="n">
        <v>2628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2026-10-27T12:37:56Z</dcterms:created>
  <dcterms:modified xsi:type="dcterms:W3CDTF">2026-10-27T12:37:57Z</dcterms:modified>
</cp:coreProperties>
</file>