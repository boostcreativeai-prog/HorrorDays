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iffe" sheetId="2" state="visible" r:id="rId4"/>
    <sheet name="Spettacoli" sheetId="3" state="visible" r:id="rId5"/>
    <sheet name="Vendite" sheetId="4" state="visible" r:id="rId6"/>
    <sheet name="Per tariffa" sheetId="5" state="visible" r:id="rId7"/>
    <sheet name="Per serata" sheetId="6" state="visible" r:id="rId8"/>
    <sheet name="Storico" sheetId="7" state="visible" r:id="rId9"/>
  </sheets>
  <definedNames>
    <definedName function="false" hidden="true" localSheetId="5" name="_xlnm._FilterDatabase" vbProcedure="false">'Per serata'!$A$1:$I$8</definedName>
    <definedName function="false" hidden="true" localSheetId="4" name="_xlnm._FilterDatabase" vbProcedure="false">'Per tariffa'!$A$1:$E$3</definedName>
    <definedName function="false" hidden="true" localSheetId="2" name="_xlnm._FilterDatabase" vbProcedure="false">Spettacoli!$A$1:$M$36</definedName>
    <definedName function="false" hidden="true" localSheetId="6" name="_xlnm._FilterDatabase" vbProcedure="false">Storico!$A$1:$E$2</definedName>
    <definedName function="false" hidden="true" localSheetId="1" name="_xlnm._FilterDatabase" vbProcedure="false">Tariffe!$A$1:$D$3</definedName>
    <definedName function="false" hidden="true" localSheetId="3" name="_xlnm._FilterDatabase" vbProcedure="false">Vendite!$A$1:$N$5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<sst xmlns="http://schemas.openxmlformats.org/spreadsheetml/2006/main" count="125" uniqueCount="94">
  <si>
    <t xml:space="preserve">HORROR DAYS · Vendite biglietti</t>
  </si>
  <si>
    <t xml:space="preserve">Drive In Pozzuoli · MIX MARK S.R.L. · fonte: Riepiloghi mensili C1 (18Tickets)</t>
  </si>
  <si>
    <t xml:space="preserve">Top 5 spettacoli per biglietti venduti</t>
  </si>
  <si>
    <t xml:space="preserve">Incasso lordo totale</t>
  </si>
  <si>
    <t xml:space="preserve">Biglietti venduti</t>
  </si>
  <si>
    <t xml:space="preserve">Spettacoli con vendite / totali</t>
  </si>
  <si>
    <t xml:space="preserve">Data</t>
  </si>
  <si>
    <t xml:space="preserve">Ora</t>
  </si>
  <si>
    <t xml:space="preserve">Biglietti</t>
  </si>
  <si>
    <t xml:space="preserve">Incasso</t>
  </si>
  <si>
    <t xml:space="preserve">Prezzo medio</t>
  </si>
  <si>
    <t xml:space="preserve">Occupazione media</t>
  </si>
  <si>
    <t xml:space="preserve">Ultimo aggiornamento</t>
  </si>
  <si>
    <t xml:space="preserve">Codice titolo</t>
  </si>
  <si>
    <t xml:space="preserve">Descrizione</t>
  </si>
  <si>
    <t xml:space="preserve">Tipologia (Intero/Ridotto/Omaggio)</t>
  </si>
  <si>
    <t xml:space="preserve">Persone per titolo</t>
  </si>
  <si>
    <t xml:space="preserve">I1</t>
  </si>
  <si>
    <t xml:space="preserve">Tariffa 48 €</t>
  </si>
  <si>
    <t xml:space="preserve">Intero</t>
  </si>
  <si>
    <t xml:space="preserve">I8</t>
  </si>
  <si>
    <t xml:space="preserve">Tariffa 24 €</t>
  </si>
  <si>
    <t xml:space="preserve">ID</t>
  </si>
  <si>
    <t xml:space="preserve">Giorno settimana</t>
  </si>
  <si>
    <t xml:space="preserve">Capienza</t>
  </si>
  <si>
    <t xml:space="preserve">Biglietti emessi</t>
  </si>
  <si>
    <t xml:space="preserve">Annullati</t>
  </si>
  <si>
    <t xml:space="preserve">Incasso lordo</t>
  </si>
  <si>
    <t xml:space="preserve">Imponibile IVA</t>
  </si>
  <si>
    <t xml:space="preserve">IVA</t>
  </si>
  <si>
    <t xml:space="preserve">Occupazione %</t>
  </si>
  <si>
    <t xml:space="preserve">Stato</t>
  </si>
  <si>
    <t xml:space="preserve">Chiave ordinamento</t>
  </si>
  <si>
    <t xml:space="preserve">20261023_2015</t>
  </si>
  <si>
    <t xml:space="preserve">20261023_2115</t>
  </si>
  <si>
    <t xml:space="preserve">20261023_2215</t>
  </si>
  <si>
    <t xml:space="preserve">20261023_2315</t>
  </si>
  <si>
    <t xml:space="preserve">20261023_2358</t>
  </si>
  <si>
    <t xml:space="preserve">20261024_2015</t>
  </si>
  <si>
    <t xml:space="preserve">20261024_2115</t>
  </si>
  <si>
    <t xml:space="preserve">20261024_2215</t>
  </si>
  <si>
    <t xml:space="preserve">20261024_2315</t>
  </si>
  <si>
    <t xml:space="preserve">20261024_2359</t>
  </si>
  <si>
    <t xml:space="preserve">20261025_2015</t>
  </si>
  <si>
    <t xml:space="preserve">20261025_2115</t>
  </si>
  <si>
    <t xml:space="preserve">20261025_2215</t>
  </si>
  <si>
    <t xml:space="preserve">20261025_2315</t>
  </si>
  <si>
    <t xml:space="preserve">20261025_2359</t>
  </si>
  <si>
    <t xml:space="preserve">20261029_2015</t>
  </si>
  <si>
    <t xml:space="preserve">20261029_2115</t>
  </si>
  <si>
    <t xml:space="preserve">20261029_2215</t>
  </si>
  <si>
    <t xml:space="preserve">20261029_2315</t>
  </si>
  <si>
    <t xml:space="preserve">20261029_2359</t>
  </si>
  <si>
    <t xml:space="preserve">20261030_2015</t>
  </si>
  <si>
    <t xml:space="preserve">20261030_2115</t>
  </si>
  <si>
    <t xml:space="preserve">20261030_2215</t>
  </si>
  <si>
    <t xml:space="preserve">20261030_2315</t>
  </si>
  <si>
    <t xml:space="preserve">20261030_2359</t>
  </si>
  <si>
    <t xml:space="preserve">20261031_2015</t>
  </si>
  <si>
    <t xml:space="preserve">20261031_2115</t>
  </si>
  <si>
    <t xml:space="preserve">20261031_2215</t>
  </si>
  <si>
    <t xml:space="preserve">20261031_2315</t>
  </si>
  <si>
    <t xml:space="preserve">20261031_2359</t>
  </si>
  <si>
    <t xml:space="preserve">20261101_2015</t>
  </si>
  <si>
    <t xml:space="preserve">20261101_2115</t>
  </si>
  <si>
    <t xml:space="preserve">20261101_2215</t>
  </si>
  <si>
    <t xml:space="preserve">20261101_2315</t>
  </si>
  <si>
    <t xml:space="preserve">20261101_2359</t>
  </si>
  <si>
    <t xml:space="preserve">ID spettacolo</t>
  </si>
  <si>
    <t xml:space="preserve">Settore</t>
  </si>
  <si>
    <t xml:space="preserve">Descrizione tariffa</t>
  </si>
  <si>
    <t xml:space="preserve">Prezzo unitario</t>
  </si>
  <si>
    <t xml:space="preserve">N° emessi</t>
  </si>
  <si>
    <t xml:space="preserve">N° annullati</t>
  </si>
  <si>
    <t xml:space="preserve">Prevendita</t>
  </si>
  <si>
    <t xml:space="preserve">Mese C1 di origine</t>
  </si>
  <si>
    <t xml:space="preserve">UN Unico</t>
  </si>
  <si>
    <t xml:space="preserve">10/2026</t>
  </si>
  <si>
    <t xml:space="preserve">N° biglietti</t>
  </si>
  <si>
    <t xml:space="preserve">% sull'incasso totale</t>
  </si>
  <si>
    <t xml:space="preserve">Totale</t>
  </si>
  <si>
    <t xml:space="preserve">Giorno</t>
  </si>
  <si>
    <t xml:space="preserve">Biglietti totali</t>
  </si>
  <si>
    <t xml:space="preserve">Incasso totale</t>
  </si>
  <si>
    <t xml:space="preserve">20:15</t>
  </si>
  <si>
    <t xml:space="preserve">21:15</t>
  </si>
  <si>
    <t xml:space="preserve">22:15</t>
  </si>
  <si>
    <t xml:space="preserve">23:15</t>
  </si>
  <si>
    <t xml:space="preserve">23:59</t>
  </si>
  <si>
    <t xml:space="preserve">Etichetta grafico</t>
  </si>
  <si>
    <t xml:space="preserve">Data estrazione</t>
  </si>
  <si>
    <t xml:space="preserve">Delta biglietti</t>
  </si>
  <si>
    <t xml:space="preserve">Delta incasso</t>
  </si>
  <si>
    <t xml:space="preserve">n.d.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</si>
</sst>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&quot; €&quot;"/>
    <numFmt numFmtId="166" formatCode="#,##0"/>
    <numFmt numFmtId="167" formatCode="@"/>
    <numFmt numFmtId="168" formatCode="dd/mm/yyyy"/>
    <numFmt numFmtId="169" formatCode="hh:mm"/>
    <numFmt numFmtId="170" formatCode="0.00%"/>
    <numFmt numFmtId="171" formatCode="dd/mm/yyyy\ hh:mm"/>
    <numFmt numFmtId="172" formatCode="#,##0&quot; €&quot;"/>
    <numFmt numFmtId="173" formatCode="0.0%"/>
    <numFmt numFmtId="174" formatCode="\+#,##0;\-#,##0;0"/>
    <numFmt numFmtId="175" formatCode="\+#,##0.00&quot; €&quot;;\-#,##0.00&quot; €&quot;;000&quot; €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430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430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1F243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6B728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FFFFF"/>
      </patternFill>
    </fill>
    <fill>
      <patternFill patternType="solid">
        <fgColor rgb="FF1F2430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CE1"/>
      </bottom>
      <diagonal/>
    </border>
    <border diagonalUp="false" diagonalDown="false">
      <left/>
      <right/>
      <top style="thin">
        <color rgb="FF1F243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2F3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1E6B3A"/>
          <bgColor rgb="FF000000"/>
        </patternFill>
      </fill>
    </dxf>
    <dxf>
      <font>
        <b val="1"/>
        <color rgb="FF1E6B3A"/>
      </font>
    </dxf>
    <dxf>
      <fill>
        <patternFill patternType="solid">
          <fgColor rgb="FFB326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2F3F5"/>
      <rgbColor rgb="FFCCFFFF"/>
      <rgbColor rgb="FF660066"/>
      <rgbColor rgb="FFFF8080"/>
      <rgbColor rgb="FF0066CC"/>
      <rgbColor rgb="FFD9DC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8B1E1E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Incasso per serata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'Per serata'!D1</c:f>
              <c:strCache>
                <c:ptCount val="1"/>
                <c:pt idx="0">
                  <c:v>Incasso totale</c:v>
                </c:pt>
              </c:strCache>
            </c:strRef>
          </c:tx>
          <c:spPr>
            <a:solidFill>
              <a:srgbClr val="8b1e1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'Per serata'!$J$2:$J$8</c:f>
              <c:strCache>
                <c:ptCount val="7"/>
                <c:pt idx="0">
                  <c:v>23/10</c:v>
                </c:pt>
                <c:pt idx="1">
                  <c:v>24/10</c:v>
                </c:pt>
                <c:pt idx="2">
                  <c:v>25/10</c:v>
                </c:pt>
                <c:pt idx="3">
                  <c:v>29/10</c:v>
                </c:pt>
                <c:pt idx="4">
                  <c:v>30/10</c:v>
                </c:pt>
                <c:pt idx="5">
                  <c:v>31/10</c:v>
                </c:pt>
                <c:pt idx="6">
                  <c:v>01/11</c:v>
                </c:pt>
              </c:strCache>
            </c:strRef>
          </c:cat>
          <c:val>
            <c:numRef>
              <c:f>'Per serata'!$D$2:$D$8</c:f>
              <c:numCache>
                <c:formatCode>#,##0.00" €"</c:formatCode>
                <c:ptCount val="7"/>
                <c:pt idx="0">
                  <c:v>48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48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3182253"/>
        <c:axId val="46624909"/>
      </c:barChart>
      <c:catAx>
        <c:axId val="33182253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24909"/>
        <c:crosses val="autoZero"/>
        <c:auto val="1"/>
        <c:lblAlgn val="ctr"/>
        <c:lblOffset val="100"/>
        <c:noMultiLvlLbl val="0"/>
      </c:catAx>
      <c:valAx>
        <c:axId val="46624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822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Incasso per tariffa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'Per tariffa'!D1</c:f>
              <c:strCache>
                <c:ptCount val="1"/>
                <c:pt idx="0">
                  <c:v>Incasso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'Per tariffa'!$B$2:$B$3</c:f>
              <c:strCache>
                <c:ptCount val="2"/>
                <c:pt idx="0">
                  <c:v>Tariffa 48 €</c:v>
                </c:pt>
                <c:pt idx="1">
                  <c:v>Tariffa 24 €</c:v>
                </c:pt>
              </c:strCache>
            </c:strRef>
          </c:cat>
          <c:val>
            <c:numRef>
              <c:f>'Per tariffa'!$D$2:$D$3</c:f>
              <c:numCache>
                <c:formatCode>#,##0.00" €"</c:formatCode>
                <c:ptCount val="2"/>
                <c:pt idx="0">
                  <c:v>48</c:v>
                </c:pt>
                <c:pt idx="1">
                  <c:v>72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Andamento vendite (incasso cumulato)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Storico!C1</c:f>
              <c:strCache>
                <c:ptCount val="1"/>
                <c:pt idx="0">
                  <c:v>Incasso totale</c:v>
                </c:pt>
              </c:strCache>
            </c:strRef>
          </c:tx>
          <c:spPr>
            <a:solidFill>
              <a:srgbClr val="1f2430"/>
            </a:solidFill>
            <a:ln w="28440">
              <a:solidFill>
                <a:srgbClr val="1f2430"/>
              </a:solidFill>
              <a:round/>
            </a:ln>
          </c:spPr>
          <c:marker>
            <c:symbol val="circle"/>
            <c:size val="5"/>
            <c:spPr>
              <a:solidFill>
                <a:srgbClr val="1f243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Storico!$F$2</c:f>
              <c:strCache>
                <c:ptCount val="1"/>
                <c:pt idx="0">
                  <c:v>05/10 15:55</c:v>
                </c:pt>
              </c:strCache>
            </c:strRef>
          </c:cat>
          <c:val>
            <c:numRef>
              <c:f>Storico!$C$2</c:f>
              <c:numCache>
                <c:formatCode>#,##0.00" €"</c:formatCode>
                <c:ptCount val="1"/>
                <c:pt idx="0">
                  <c:v>120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0396377"/>
        <c:axId val="63509325"/>
      </c:lineChart>
      <c:catAx>
        <c:axId val="20396377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09325"/>
        <c:crosses val="autoZero"/>
        <c:auto val="1"/>
        <c:lblAlgn val="ctr"/>
        <c:lblOffset val="100"/>
        <c:noMultiLvlLbl val="0"/>
      </c:catAx>
      <c:valAx>
        <c:axId val="63509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963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101160</xdr:rowOff>
    </xdr:from>
    <xdr:to>
      <xdr:col>5</xdr:col>
      <xdr:colOff>1178280</xdr:colOff>
      <xdr:row>24</xdr:row>
      <xdr:rowOff>133560</xdr:rowOff>
    </xdr:to>
    <xdr:graphicFrame>
      <xdr:nvGraphicFramePr>
        <xdr:cNvPr id="0" name="Chart 1"/>
        <xdr:cNvGraphicFramePr/>
      </xdr:nvGraphicFramePr>
      <xdr:xfrm>
        <a:off x="141120" y="23623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10</xdr:row>
      <xdr:rowOff>101160</xdr:rowOff>
    </xdr:from>
    <xdr:to>
      <xdr:col>10</xdr:col>
      <xdr:colOff>928800</xdr:colOff>
      <xdr:row>24</xdr:row>
      <xdr:rowOff>133560</xdr:rowOff>
    </xdr:to>
    <xdr:graphicFrame>
      <xdr:nvGraphicFramePr>
        <xdr:cNvPr id="1" name="Chart 2"/>
        <xdr:cNvGraphicFramePr/>
      </xdr:nvGraphicFramePr>
      <xdr:xfrm>
        <a:off x="6202800" y="2362320"/>
        <a:ext cx="39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100800</xdr:rowOff>
    </xdr:from>
    <xdr:to>
      <xdr:col>5</xdr:col>
      <xdr:colOff>1178280</xdr:colOff>
      <xdr:row>40</xdr:row>
      <xdr:rowOff>133560</xdr:rowOff>
    </xdr:to>
    <xdr:graphicFrame>
      <xdr:nvGraphicFramePr>
        <xdr:cNvPr id="2" name="Chart 3"/>
        <xdr:cNvGraphicFramePr/>
      </xdr:nvGraphicFramePr>
      <xdr:xfrm>
        <a:off x="141120" y="54100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B2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3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3"/>
    <col collapsed="false" customWidth="true" hidden="false" outlineLevel="0" max="14" min="11" style="0" width="14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K4" s="3" t="s">
        <v>2</v>
      </c>
    </row>
    <row r="5" customFormat="false" ht="15" hidden="false" customHeight="false" outlineLevel="0" collapsed="false">
      <c r="B5" s="4" t="s">
        <v>3</v>
      </c>
      <c r="C5" s="4"/>
      <c r="E5" s="4" t="s">
        <v>4</v>
      </c>
      <c r="F5" s="4"/>
      <c r="H5" s="4" t="s">
        <v>5</v>
      </c>
      <c r="I5" s="4"/>
      <c r="K5" s="5" t="s">
        <v>6</v>
      </c>
      <c r="L5" s="5" t="s">
        <v>7</v>
      </c>
      <c r="M5" s="5" t="s">
        <v>8</v>
      </c>
      <c r="N5" s="5" t="s">
        <v>9</v>
      </c>
    </row>
    <row r="6" customFormat="false" ht="25.5" hidden="false" customHeight="true" outlineLevel="0" collapsed="false">
      <c r="B6" s="6" t="n">
        <f aca="false">SUM(Vendite!$J$2:$J$1000)</f>
        <v>120</v>
      </c>
      <c r="C6" s="6"/>
      <c r="E6" s="7" t="n">
        <f aca="false">SUM(Vendite!$H$2:$H$1000)</f>
        <v>4</v>
      </c>
      <c r="F6" s="7"/>
      <c r="H6" s="8" t="str">
        <f aca="false">COUNTIF(Spettacoli!L2:L36,"Venduto")&amp;" / "&amp;COUNTA(Spettacoli!A2:A36)</f>
        <v>4 / 35</v>
      </c>
      <c r="I6" s="8"/>
      <c r="K6" s="9" t="n">
        <f aca="false">INDEX(Spettacoli!$B$2:$B$36,MATCH(LARGE(Spettacoli!$M$2:$M$36,1),Spettacoli!$M$2:$M$36,0))</f>
        <v>46325</v>
      </c>
      <c r="L6" s="10" t="n">
        <f aca="false">INDEX(Spettacoli!$D$2:$D$36,MATCH(LARGE(Spettacoli!$M$2:$M$36,1),Spettacoli!$M$2:$M$36,0))</f>
        <v>0.96875</v>
      </c>
      <c r="M6" s="11" t="n">
        <f aca="false">INDEX(Spettacoli!$F$2:$F$36,MATCH(LARGE(Spettacoli!$M$2:$M$36,1),Spettacoli!$M$2:$M$36,0))</f>
        <v>1</v>
      </c>
      <c r="N6" s="12" t="n">
        <f aca="false">INDEX(Spettacoli!$H$2:$H$36,MATCH(LARGE(Spettacoli!$M$2:$M$36,1),Spettacoli!$M$2:$M$36,0))</f>
        <v>48</v>
      </c>
    </row>
    <row r="7" customFormat="false" ht="15" hidden="false" customHeight="false" outlineLevel="0" collapsed="false">
      <c r="K7" s="13" t="n">
        <f aca="false">INDEX(Spettacoli!$B$2:$B$36,MATCH(LARGE(Spettacoli!$M$2:$M$36,2),Spettacoli!$M$2:$M$36,0))</f>
        <v>46318</v>
      </c>
      <c r="L7" s="14" t="n">
        <f aca="false">INDEX(Spettacoli!$D$2:$D$36,MATCH(LARGE(Spettacoli!$M$2:$M$36,2),Spettacoli!$M$2:$M$36,0))</f>
        <v>0.84375</v>
      </c>
      <c r="M7" s="15" t="n">
        <f aca="false">INDEX(Spettacoli!$F$2:$F$36,MATCH(LARGE(Spettacoli!$M$2:$M$36,2),Spettacoli!$M$2:$M$36,0))</f>
        <v>1</v>
      </c>
      <c r="N7" s="16" t="n">
        <f aca="false">INDEX(Spettacoli!$H$2:$H$36,MATCH(LARGE(Spettacoli!$M$2:$M$36,2),Spettacoli!$M$2:$M$36,0))</f>
        <v>24</v>
      </c>
    </row>
    <row r="8" customFormat="false" ht="15" hidden="false" customHeight="false" outlineLevel="0" collapsed="false">
      <c r="B8" s="4" t="s">
        <v>10</v>
      </c>
      <c r="C8" s="4"/>
      <c r="E8" s="4" t="s">
        <v>11</v>
      </c>
      <c r="F8" s="4"/>
      <c r="H8" s="4" t="s">
        <v>12</v>
      </c>
      <c r="I8" s="4"/>
      <c r="K8" s="9" t="n">
        <f aca="false">INDEX(Spettacoli!$B$2:$B$36,MATCH(LARGE(Spettacoli!$M$2:$M$36,3),Spettacoli!$M$2:$M$36,0))</f>
        <v>46318</v>
      </c>
      <c r="L8" s="10" t="n">
        <f aca="false">INDEX(Spettacoli!$D$2:$D$36,MATCH(LARGE(Spettacoli!$M$2:$M$36,3),Spettacoli!$M$2:$M$36,0))</f>
        <v>0.96875</v>
      </c>
      <c r="M8" s="11" t="n">
        <f aca="false">INDEX(Spettacoli!$F$2:$F$36,MATCH(LARGE(Spettacoli!$M$2:$M$36,3),Spettacoli!$M$2:$M$36,0))</f>
        <v>1</v>
      </c>
      <c r="N8" s="12" t="n">
        <f aca="false">INDEX(Spettacoli!$H$2:$H$36,MATCH(LARGE(Spettacoli!$M$2:$M$36,3),Spettacoli!$M$2:$M$36,0))</f>
        <v>24</v>
      </c>
    </row>
    <row r="9" customFormat="false" ht="25.5" hidden="false" customHeight="true" outlineLevel="0" collapsed="false">
      <c r="B9" s="6" t="n">
        <f aca="false">IF(SUM(Vendite!$H$2:$H$1000)&gt;0,SUM(Vendite!$J$2:$J$1000)/SUM(Vendite!$H$2:$H$1000),0)</f>
        <v>30</v>
      </c>
      <c r="C9" s="6"/>
      <c r="E9" s="17" t="n">
        <f aca="false">IF(SUM(Spettacoli!E2:E36)&gt;0,SUM(Spettacoli!F2:F36)/SUM(Spettacoli!E2:E36),0)</f>
        <v>0.000571428571428572</v>
      </c>
      <c r="F9" s="17"/>
      <c r="H9" s="18" t="n">
        <f aca="false">MAX(Storico!A2:A2)</f>
        <v>46300.6631944445</v>
      </c>
      <c r="I9" s="18"/>
      <c r="K9" s="13" t="n">
        <f aca="false">INDEX(Spettacoli!$B$2:$B$36,MATCH(LARGE(Spettacoli!$M$2:$M$36,4),Spettacoli!$M$2:$M$36,0))</f>
        <v>46320</v>
      </c>
      <c r="L9" s="14" t="n">
        <f aca="false">INDEX(Spettacoli!$D$2:$D$36,MATCH(LARGE(Spettacoli!$M$2:$M$36,4),Spettacoli!$M$2:$M$36,0))</f>
        <v>0.927083333333333</v>
      </c>
      <c r="M9" s="15" t="n">
        <f aca="false">INDEX(Spettacoli!$F$2:$F$36,MATCH(LARGE(Spettacoli!$M$2:$M$36,4),Spettacoli!$M$2:$M$36,0))</f>
        <v>1</v>
      </c>
      <c r="N9" s="16" t="n">
        <f aca="false">INDEX(Spettacoli!$H$2:$H$36,MATCH(LARGE(Spettacoli!$M$2:$M$36,4),Spettacoli!$M$2:$M$36,0))</f>
        <v>24</v>
      </c>
    </row>
    <row r="10" customFormat="false" ht="15" hidden="false" customHeight="false" outlineLevel="0" collapsed="false">
      <c r="K10" s="9" t="n">
        <f aca="false">INDEX(Spettacoli!$B$2:$B$36,MATCH(LARGE(Spettacoli!$M$2:$M$36,5),Spettacoli!$M$2:$M$36,0))</f>
        <v>46318</v>
      </c>
      <c r="L10" s="10" t="n">
        <f aca="false">INDEX(Spettacoli!$D$2:$D$36,MATCH(LARGE(Spettacoli!$M$2:$M$36,5),Spettacoli!$M$2:$M$36,0))</f>
        <v>0.885416666666667</v>
      </c>
      <c r="M10" s="11" t="n">
        <f aca="false">INDEX(Spettacoli!$F$2:$F$36,MATCH(LARGE(Spettacoli!$M$2:$M$36,5),Spettacoli!$M$2:$M$36,0))</f>
        <v>0</v>
      </c>
      <c r="N10" s="12" t="n">
        <f aca="false">INDEX(Spettacoli!$H$2:$H$36,MATCH(LARGE(Spettacoli!$M$2:$M$36,5),Spettacoli!$M$2:$M$36,0))</f>
        <v>0</v>
      </c>
    </row>
  </sheetData>
  <mergeCells count="12">
    <mergeCell ref="B5:C5"/>
    <mergeCell ref="E5:F5"/>
    <mergeCell ref="H5:I5"/>
    <mergeCell ref="B6:C6"/>
    <mergeCell ref="E6:F6"/>
    <mergeCell ref="H6:I6"/>
    <mergeCell ref="B8:C8"/>
    <mergeCell ref="E8:F8"/>
    <mergeCell ref="H8:I8"/>
    <mergeCell ref="B9:C9"/>
    <mergeCell ref="E9:F9"/>
    <mergeCell ref="H9:I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8"/>
  </cols>
  <sheetData>
    <row r="1" customFormat="false" ht="30" hidden="false" customHeight="true" outlineLevel="0" collapsed="false">
      <c r="A1" s="19" t="s">
        <v>13</v>
      </c>
      <c r="B1" s="19" t="s">
        <v>14</v>
      </c>
      <c r="C1" s="19" t="s">
        <v>15</v>
      </c>
      <c r="D1" s="19" t="s">
        <v>16</v>
      </c>
    </row>
    <row r="2" customFormat="false" ht="15" hidden="false" customHeight="false" outlineLevel="0" collapsed="false">
      <c r="A2" s="20" t="s">
        <v>17</v>
      </c>
      <c r="B2" s="20" t="s">
        <v>18</v>
      </c>
      <c r="C2" s="20" t="s">
        <v>19</v>
      </c>
      <c r="D2" s="20"/>
    </row>
    <row r="3" customFormat="false" ht="15" hidden="false" customHeight="false" outlineLevel="0" collapsed="false">
      <c r="A3" s="21" t="s">
        <v>20</v>
      </c>
      <c r="B3" s="21" t="s">
        <v>21</v>
      </c>
      <c r="C3" s="21" t="s">
        <v>19</v>
      </c>
      <c r="D3" s="21"/>
    </row>
  </sheetData>
  <autoFilter ref="A1:D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true" outlineLevel="0" max="13" min="13" style="0" width="10"/>
  </cols>
  <sheetData>
    <row r="1" customFormat="false" ht="30" hidden="false" customHeight="true" outlineLevel="0" collapsed="false">
      <c r="A1" s="19" t="s">
        <v>22</v>
      </c>
      <c r="B1" s="19" t="s">
        <v>6</v>
      </c>
      <c r="C1" s="19" t="s">
        <v>23</v>
      </c>
      <c r="D1" s="19" t="s">
        <v>7</v>
      </c>
      <c r="E1" s="19" t="s">
        <v>24</v>
      </c>
      <c r="F1" s="19" t="s">
        <v>25</v>
      </c>
      <c r="G1" s="19" t="s">
        <v>26</v>
      </c>
      <c r="H1" s="19" t="s">
        <v>27</v>
      </c>
      <c r="I1" s="19" t="s">
        <v>28</v>
      </c>
      <c r="J1" s="19" t="s">
        <v>29</v>
      </c>
      <c r="K1" s="19" t="s">
        <v>30</v>
      </c>
      <c r="L1" s="19" t="s">
        <v>31</v>
      </c>
      <c r="M1" s="19" t="s">
        <v>32</v>
      </c>
    </row>
    <row r="2" customFormat="false" ht="15" hidden="false" customHeight="false" outlineLevel="0" collapsed="false">
      <c r="A2" s="20" t="s">
        <v>33</v>
      </c>
      <c r="B2" s="9" t="n">
        <v>46318</v>
      </c>
      <c r="C2" s="20" t="str">
        <f aca="false">CHOOSE(WEEKDAY(B2,2),"Lunedì","Martedì","Mercoledì","Giovedì","Venerdì","Sabato","Domenica")</f>
        <v>Venerdì</v>
      </c>
      <c r="D2" s="10" t="n">
        <v>0.84375</v>
      </c>
      <c r="E2" s="11" t="n">
        <v>200</v>
      </c>
      <c r="F2" s="11" t="n">
        <f aca="false">SUMIF(Vendite!$A$2:$A$1000,A2,Vendite!$H$2:$H$1000)</f>
        <v>1</v>
      </c>
      <c r="G2" s="11" t="n">
        <f aca="false">SUMIF(Vendite!$A$2:$A$1000,A2,Vendite!$I$2:$I$1000)</f>
        <v>0</v>
      </c>
      <c r="H2" s="12" t="n">
        <f aca="false">SUMIF(Vendite!$A$2:$A$1000,A2,Vendite!$J$2:$J$1000)</f>
        <v>24</v>
      </c>
      <c r="I2" s="12" t="n">
        <f aca="false">SUMIF(Vendite!$A$2:$A$1000,A2,Vendite!$L$2:$L$1000)</f>
        <v>21.82</v>
      </c>
      <c r="J2" s="12" t="n">
        <f aca="false">SUMIF(Vendite!$A$2:$A$1000,A2,Vendite!$M$2:$M$1000)</f>
        <v>2.18</v>
      </c>
      <c r="K2" s="22" t="n">
        <f aca="false">IF(E2&gt;0,F2/E2,0)</f>
        <v>0.005</v>
      </c>
      <c r="L2" s="20" t="str">
        <f aca="false">IF(F2&gt;0,"Venduto","Zero vendite")</f>
        <v>Venduto</v>
      </c>
      <c r="M2" s="20" t="n">
        <f aca="false">F2+H2/100000+(1000-ROW())/100000000</f>
        <v>1.00024998</v>
      </c>
    </row>
    <row r="3" customFormat="false" ht="15" hidden="false" customHeight="false" outlineLevel="0" collapsed="false">
      <c r="A3" s="21" t="s">
        <v>34</v>
      </c>
      <c r="B3" s="13" t="n">
        <v>46318</v>
      </c>
      <c r="C3" s="21" t="str">
        <f aca="false">CHOOSE(WEEKDAY(B3,2),"Lunedì","Martedì","Mercoledì","Giovedì","Venerdì","Sabato","Domenica")</f>
        <v>Venerdì</v>
      </c>
      <c r="D3" s="14" t="n">
        <v>0.885416666666667</v>
      </c>
      <c r="E3" s="23" t="n">
        <v>200</v>
      </c>
      <c r="F3" s="15" t="n">
        <f aca="false">SUMIF(Vendite!$A$2:$A$1000,A3,Vendite!$H$2:$H$1000)</f>
        <v>0</v>
      </c>
      <c r="G3" s="15" t="n">
        <f aca="false">SUMIF(Vendite!$A$2:$A$1000,A3,Vendite!$I$2:$I$1000)</f>
        <v>0</v>
      </c>
      <c r="H3" s="16" t="n">
        <f aca="false">SUMIF(Vendite!$A$2:$A$1000,A3,Vendite!$J$2:$J$1000)</f>
        <v>0</v>
      </c>
      <c r="I3" s="16" t="n">
        <f aca="false">SUMIF(Vendite!$A$2:$A$1000,A3,Vendite!$L$2:$L$1000)</f>
        <v>0</v>
      </c>
      <c r="J3" s="16" t="n">
        <f aca="false">SUMIF(Vendite!$A$2:$A$1000,A3,Vendite!$M$2:$M$1000)</f>
        <v>0</v>
      </c>
      <c r="K3" s="24" t="n">
        <f aca="false">IF(E3&gt;0,F3/E3,0)</f>
        <v>0</v>
      </c>
      <c r="L3" s="21" t="str">
        <f aca="false">IF(F3&gt;0,"Venduto","Zero vendite")</f>
        <v>Zero vendite</v>
      </c>
      <c r="M3" s="21" t="n">
        <f aca="false">F3+H3/100000+(1000-ROW())/100000000</f>
        <v>9.97E-006</v>
      </c>
    </row>
    <row r="4" customFormat="false" ht="15" hidden="false" customHeight="false" outlineLevel="0" collapsed="false">
      <c r="A4" s="20" t="s">
        <v>35</v>
      </c>
      <c r="B4" s="9" t="n">
        <v>46318</v>
      </c>
      <c r="C4" s="20" t="str">
        <f aca="false">CHOOSE(WEEKDAY(B4,2),"Lunedì","Martedì","Mercoledì","Giovedì","Venerdì","Sabato","Domenica")</f>
        <v>Venerdì</v>
      </c>
      <c r="D4" s="10" t="n">
        <v>0.927083333333333</v>
      </c>
      <c r="E4" s="25" t="n">
        <v>200</v>
      </c>
      <c r="F4" s="11" t="n">
        <f aca="false">SUMIF(Vendite!$A$2:$A$1000,A4,Vendite!$H$2:$H$1000)</f>
        <v>0</v>
      </c>
      <c r="G4" s="11" t="n">
        <f aca="false">SUMIF(Vendite!$A$2:$A$1000,A4,Vendite!$I$2:$I$1000)</f>
        <v>0</v>
      </c>
      <c r="H4" s="12" t="n">
        <f aca="false">SUMIF(Vendite!$A$2:$A$1000,A4,Vendite!$J$2:$J$1000)</f>
        <v>0</v>
      </c>
      <c r="I4" s="12" t="n">
        <f aca="false">SUMIF(Vendite!$A$2:$A$1000,A4,Vendite!$L$2:$L$1000)</f>
        <v>0</v>
      </c>
      <c r="J4" s="12" t="n">
        <f aca="false">SUMIF(Vendite!$A$2:$A$1000,A4,Vendite!$M$2:$M$1000)</f>
        <v>0</v>
      </c>
      <c r="K4" s="22" t="n">
        <f aca="false">IF(E4&gt;0,F4/E4,0)</f>
        <v>0</v>
      </c>
      <c r="L4" s="20" t="str">
        <f aca="false">IF(F4&gt;0,"Venduto","Zero vendite")</f>
        <v>Zero vendite</v>
      </c>
      <c r="M4" s="20" t="n">
        <f aca="false">F4+H4/100000+(1000-ROW())/100000000</f>
        <v>9.96E-006</v>
      </c>
    </row>
    <row r="5" customFormat="false" ht="15" hidden="false" customHeight="false" outlineLevel="0" collapsed="false">
      <c r="A5" s="21" t="s">
        <v>36</v>
      </c>
      <c r="B5" s="13" t="n">
        <v>46318</v>
      </c>
      <c r="C5" s="21" t="str">
        <f aca="false">CHOOSE(WEEKDAY(B5,2),"Lunedì","Martedì","Mercoledì","Giovedì","Venerdì","Sabato","Domenica")</f>
        <v>Venerdì</v>
      </c>
      <c r="D5" s="14" t="n">
        <v>0.96875</v>
      </c>
      <c r="E5" s="15" t="n">
        <v>200</v>
      </c>
      <c r="F5" s="15" t="n">
        <f aca="false">SUMIF(Vendite!$A$2:$A$1000,A5,Vendite!$H$2:$H$1000)</f>
        <v>1</v>
      </c>
      <c r="G5" s="15" t="n">
        <f aca="false">SUMIF(Vendite!$A$2:$A$1000,A5,Vendite!$I$2:$I$1000)</f>
        <v>0</v>
      </c>
      <c r="H5" s="16" t="n">
        <f aca="false">SUMIF(Vendite!$A$2:$A$1000,A5,Vendite!$J$2:$J$1000)</f>
        <v>24</v>
      </c>
      <c r="I5" s="16" t="n">
        <f aca="false">SUMIF(Vendite!$A$2:$A$1000,A5,Vendite!$L$2:$L$1000)</f>
        <v>21.82</v>
      </c>
      <c r="J5" s="16" t="n">
        <f aca="false">SUMIF(Vendite!$A$2:$A$1000,A5,Vendite!$M$2:$M$1000)</f>
        <v>2.18</v>
      </c>
      <c r="K5" s="24" t="n">
        <f aca="false">IF(E5&gt;0,F5/E5,0)</f>
        <v>0.005</v>
      </c>
      <c r="L5" s="21" t="str">
        <f aca="false">IF(F5&gt;0,"Venduto","Zero vendite")</f>
        <v>Venduto</v>
      </c>
      <c r="M5" s="21" t="n">
        <f aca="false">F5+H5/100000+(1000-ROW())/100000000</f>
        <v>1.00024995</v>
      </c>
    </row>
    <row r="6" customFormat="false" ht="15" hidden="false" customHeight="false" outlineLevel="0" collapsed="false">
      <c r="A6" s="20" t="s">
        <v>37</v>
      </c>
      <c r="B6" s="9" t="n">
        <v>46318</v>
      </c>
      <c r="C6" s="20" t="str">
        <f aca="false">CHOOSE(WEEKDAY(B6,2),"Lunedì","Martedì","Mercoledì","Giovedì","Venerdì","Sabato","Domenica")</f>
        <v>Venerdì</v>
      </c>
      <c r="D6" s="10" t="n">
        <v>0.998611111111111</v>
      </c>
      <c r="E6" s="25" t="n">
        <v>200</v>
      </c>
      <c r="F6" s="11" t="n">
        <f aca="false">SUMIF(Vendite!$A$2:$A$1000,A6,Vendite!$H$2:$H$1000)</f>
        <v>0</v>
      </c>
      <c r="G6" s="11" t="n">
        <f aca="false">SUMIF(Vendite!$A$2:$A$1000,A6,Vendite!$I$2:$I$1000)</f>
        <v>0</v>
      </c>
      <c r="H6" s="12" t="n">
        <f aca="false">SUMIF(Vendite!$A$2:$A$1000,A6,Vendite!$J$2:$J$1000)</f>
        <v>0</v>
      </c>
      <c r="I6" s="12" t="n">
        <f aca="false">SUMIF(Vendite!$A$2:$A$1000,A6,Vendite!$L$2:$L$1000)</f>
        <v>0</v>
      </c>
      <c r="J6" s="12" t="n">
        <f aca="false">SUMIF(Vendite!$A$2:$A$1000,A6,Vendite!$M$2:$M$1000)</f>
        <v>0</v>
      </c>
      <c r="K6" s="22" t="n">
        <f aca="false">IF(E6&gt;0,F6/E6,0)</f>
        <v>0</v>
      </c>
      <c r="L6" s="20" t="str">
        <f aca="false">IF(F6&gt;0,"Venduto","Zero vendite")</f>
        <v>Zero vendite</v>
      </c>
      <c r="M6" s="20" t="n">
        <f aca="false">F6+H6/100000+(1000-ROW())/100000000</f>
        <v>9.94E-006</v>
      </c>
    </row>
    <row r="7" customFormat="false" ht="15" hidden="false" customHeight="false" outlineLevel="0" collapsed="false">
      <c r="A7" s="21" t="s">
        <v>38</v>
      </c>
      <c r="B7" s="13" t="n">
        <v>46319</v>
      </c>
      <c r="C7" s="21" t="str">
        <f aca="false">CHOOSE(WEEKDAY(B7,2),"Lunedì","Martedì","Mercoledì","Giovedì","Venerdì","Sabato","Domenica")</f>
        <v>Sabato</v>
      </c>
      <c r="D7" s="14" t="n">
        <v>0.84375</v>
      </c>
      <c r="E7" s="23" t="n">
        <v>200</v>
      </c>
      <c r="F7" s="15" t="n">
        <f aca="false">SUMIF(Vendite!$A$2:$A$1000,A7,Vendite!$H$2:$H$1000)</f>
        <v>0</v>
      </c>
      <c r="G7" s="15" t="n">
        <f aca="false">SUMIF(Vendite!$A$2:$A$1000,A7,Vendite!$I$2:$I$1000)</f>
        <v>0</v>
      </c>
      <c r="H7" s="16" t="n">
        <f aca="false">SUMIF(Vendite!$A$2:$A$1000,A7,Vendite!$J$2:$J$1000)</f>
        <v>0</v>
      </c>
      <c r="I7" s="16" t="n">
        <f aca="false">SUMIF(Vendite!$A$2:$A$1000,A7,Vendite!$L$2:$L$1000)</f>
        <v>0</v>
      </c>
      <c r="J7" s="16" t="n">
        <f aca="false">SUMIF(Vendite!$A$2:$A$1000,A7,Vendite!$M$2:$M$1000)</f>
        <v>0</v>
      </c>
      <c r="K7" s="24" t="n">
        <f aca="false">IF(E7&gt;0,F7/E7,0)</f>
        <v>0</v>
      </c>
      <c r="L7" s="21" t="str">
        <f aca="false">IF(F7&gt;0,"Venduto","Zero vendite")</f>
        <v>Zero vendite</v>
      </c>
      <c r="M7" s="21" t="n">
        <f aca="false">F7+H7/100000+(1000-ROW())/100000000</f>
        <v>9.93E-006</v>
      </c>
    </row>
    <row r="8" customFormat="false" ht="15" hidden="false" customHeight="false" outlineLevel="0" collapsed="false">
      <c r="A8" s="20" t="s">
        <v>39</v>
      </c>
      <c r="B8" s="9" t="n">
        <v>46319</v>
      </c>
      <c r="C8" s="20" t="str">
        <f aca="false">CHOOSE(WEEKDAY(B8,2),"Lunedì","Martedì","Mercoledì","Giovedì","Venerdì","Sabato","Domenica")</f>
        <v>Sabato</v>
      </c>
      <c r="D8" s="10" t="n">
        <v>0.885416666666667</v>
      </c>
      <c r="E8" s="25" t="n">
        <v>200</v>
      </c>
      <c r="F8" s="11" t="n">
        <f aca="false">SUMIF(Vendite!$A$2:$A$1000,A8,Vendite!$H$2:$H$1000)</f>
        <v>0</v>
      </c>
      <c r="G8" s="11" t="n">
        <f aca="false">SUMIF(Vendite!$A$2:$A$1000,A8,Vendite!$I$2:$I$1000)</f>
        <v>0</v>
      </c>
      <c r="H8" s="12" t="n">
        <f aca="false">SUMIF(Vendite!$A$2:$A$1000,A8,Vendite!$J$2:$J$1000)</f>
        <v>0</v>
      </c>
      <c r="I8" s="12" t="n">
        <f aca="false">SUMIF(Vendite!$A$2:$A$1000,A8,Vendite!$L$2:$L$1000)</f>
        <v>0</v>
      </c>
      <c r="J8" s="12" t="n">
        <f aca="false">SUMIF(Vendite!$A$2:$A$1000,A8,Vendite!$M$2:$M$1000)</f>
        <v>0</v>
      </c>
      <c r="K8" s="22" t="n">
        <f aca="false">IF(E8&gt;0,F8/E8,0)</f>
        <v>0</v>
      </c>
      <c r="L8" s="20" t="str">
        <f aca="false">IF(F8&gt;0,"Venduto","Zero vendite")</f>
        <v>Zero vendite</v>
      </c>
      <c r="M8" s="20" t="n">
        <f aca="false">F8+H8/100000+(1000-ROW())/100000000</f>
        <v>9.92E-006</v>
      </c>
    </row>
    <row r="9" customFormat="false" ht="15" hidden="false" customHeight="false" outlineLevel="0" collapsed="false">
      <c r="A9" s="21" t="s">
        <v>40</v>
      </c>
      <c r="B9" s="13" t="n">
        <v>46319</v>
      </c>
      <c r="C9" s="21" t="str">
        <f aca="false">CHOOSE(WEEKDAY(B9,2),"Lunedì","Martedì","Mercoledì","Giovedì","Venerdì","Sabato","Domenica")</f>
        <v>Sabato</v>
      </c>
      <c r="D9" s="14" t="n">
        <v>0.927083333333333</v>
      </c>
      <c r="E9" s="23" t="n">
        <v>200</v>
      </c>
      <c r="F9" s="15" t="n">
        <f aca="false">SUMIF(Vendite!$A$2:$A$1000,A9,Vendite!$H$2:$H$1000)</f>
        <v>0</v>
      </c>
      <c r="G9" s="15" t="n">
        <f aca="false">SUMIF(Vendite!$A$2:$A$1000,A9,Vendite!$I$2:$I$1000)</f>
        <v>0</v>
      </c>
      <c r="H9" s="16" t="n">
        <f aca="false">SUMIF(Vendite!$A$2:$A$1000,A9,Vendite!$J$2:$J$1000)</f>
        <v>0</v>
      </c>
      <c r="I9" s="16" t="n">
        <f aca="false">SUMIF(Vendite!$A$2:$A$1000,A9,Vendite!$L$2:$L$1000)</f>
        <v>0</v>
      </c>
      <c r="J9" s="16" t="n">
        <f aca="false">SUMIF(Vendite!$A$2:$A$1000,A9,Vendite!$M$2:$M$1000)</f>
        <v>0</v>
      </c>
      <c r="K9" s="24" t="n">
        <f aca="false">IF(E9&gt;0,F9/E9,0)</f>
        <v>0</v>
      </c>
      <c r="L9" s="21" t="str">
        <f aca="false">IF(F9&gt;0,"Venduto","Zero vendite")</f>
        <v>Zero vendite</v>
      </c>
      <c r="M9" s="21" t="n">
        <f aca="false">F9+H9/100000+(1000-ROW())/100000000</f>
        <v>9.91E-006</v>
      </c>
    </row>
    <row r="10" customFormat="false" ht="15" hidden="false" customHeight="false" outlineLevel="0" collapsed="false">
      <c r="A10" s="20" t="s">
        <v>41</v>
      </c>
      <c r="B10" s="9" t="n">
        <v>46319</v>
      </c>
      <c r="C10" s="20" t="str">
        <f aca="false">CHOOSE(WEEKDAY(B10,2),"Lunedì","Martedì","Mercoledì","Giovedì","Venerdì","Sabato","Domenica")</f>
        <v>Sabato</v>
      </c>
      <c r="D10" s="10" t="n">
        <v>0.96875</v>
      </c>
      <c r="E10" s="25" t="n">
        <v>200</v>
      </c>
      <c r="F10" s="11" t="n">
        <f aca="false">SUMIF(Vendite!$A$2:$A$1000,A10,Vendite!$H$2:$H$1000)</f>
        <v>0</v>
      </c>
      <c r="G10" s="11" t="n">
        <f aca="false">SUMIF(Vendite!$A$2:$A$1000,A10,Vendite!$I$2:$I$1000)</f>
        <v>0</v>
      </c>
      <c r="H10" s="12" t="n">
        <f aca="false">SUMIF(Vendite!$A$2:$A$1000,A10,Vendite!$J$2:$J$1000)</f>
        <v>0</v>
      </c>
      <c r="I10" s="12" t="n">
        <f aca="false">SUMIF(Vendite!$A$2:$A$1000,A10,Vendite!$L$2:$L$1000)</f>
        <v>0</v>
      </c>
      <c r="J10" s="12" t="n">
        <f aca="false">SUMIF(Vendite!$A$2:$A$1000,A10,Vendite!$M$2:$M$1000)</f>
        <v>0</v>
      </c>
      <c r="K10" s="22" t="n">
        <f aca="false">IF(E10&gt;0,F10/E10,0)</f>
        <v>0</v>
      </c>
      <c r="L10" s="20" t="str">
        <f aca="false">IF(F10&gt;0,"Venduto","Zero vendite")</f>
        <v>Zero vendite</v>
      </c>
      <c r="M10" s="20" t="n">
        <f aca="false">F10+H10/100000+(1000-ROW())/100000000</f>
        <v>9.9E-006</v>
      </c>
    </row>
    <row r="11" customFormat="false" ht="15" hidden="false" customHeight="false" outlineLevel="0" collapsed="false">
      <c r="A11" s="21" t="s">
        <v>42</v>
      </c>
      <c r="B11" s="13" t="n">
        <v>46319</v>
      </c>
      <c r="C11" s="21" t="str">
        <f aca="false">CHOOSE(WEEKDAY(B11,2),"Lunedì","Martedì","Mercoledì","Giovedì","Venerdì","Sabato","Domenica")</f>
        <v>Sabato</v>
      </c>
      <c r="D11" s="14" t="n">
        <v>0.999305555555556</v>
      </c>
      <c r="E11" s="23" t="n">
        <v>200</v>
      </c>
      <c r="F11" s="15" t="n">
        <f aca="false">SUMIF(Vendite!$A$2:$A$1000,A11,Vendite!$H$2:$H$1000)</f>
        <v>0</v>
      </c>
      <c r="G11" s="15" t="n">
        <f aca="false">SUMIF(Vendite!$A$2:$A$1000,A11,Vendite!$I$2:$I$1000)</f>
        <v>0</v>
      </c>
      <c r="H11" s="16" t="n">
        <f aca="false">SUMIF(Vendite!$A$2:$A$1000,A11,Vendite!$J$2:$J$1000)</f>
        <v>0</v>
      </c>
      <c r="I11" s="16" t="n">
        <f aca="false">SUMIF(Vendite!$A$2:$A$1000,A11,Vendite!$L$2:$L$1000)</f>
        <v>0</v>
      </c>
      <c r="J11" s="16" t="n">
        <f aca="false">SUMIF(Vendite!$A$2:$A$1000,A11,Vendite!$M$2:$M$1000)</f>
        <v>0</v>
      </c>
      <c r="K11" s="24" t="n">
        <f aca="false">IF(E11&gt;0,F11/E11,0)</f>
        <v>0</v>
      </c>
      <c r="L11" s="21" t="str">
        <f aca="false">IF(F11&gt;0,"Venduto","Zero vendite")</f>
        <v>Zero vendite</v>
      </c>
      <c r="M11" s="21" t="n">
        <f aca="false">F11+H11/100000+(1000-ROW())/100000000</f>
        <v>9.89E-006</v>
      </c>
    </row>
    <row r="12" customFormat="false" ht="15" hidden="false" customHeight="false" outlineLevel="0" collapsed="false">
      <c r="A12" s="20" t="s">
        <v>43</v>
      </c>
      <c r="B12" s="9" t="n">
        <v>46320</v>
      </c>
      <c r="C12" s="20" t="str">
        <f aca="false">CHOOSE(WEEKDAY(B12,2),"Lunedì","Martedì","Mercoledì","Giovedì","Venerdì","Sabato","Domenica")</f>
        <v>Domenica</v>
      </c>
      <c r="D12" s="10" t="n">
        <v>0.84375</v>
      </c>
      <c r="E12" s="25" t="n">
        <v>200</v>
      </c>
      <c r="F12" s="11" t="n">
        <f aca="false">SUMIF(Vendite!$A$2:$A$1000,A12,Vendite!$H$2:$H$1000)</f>
        <v>0</v>
      </c>
      <c r="G12" s="11" t="n">
        <f aca="false">SUMIF(Vendite!$A$2:$A$1000,A12,Vendite!$I$2:$I$1000)</f>
        <v>0</v>
      </c>
      <c r="H12" s="12" t="n">
        <f aca="false">SUMIF(Vendite!$A$2:$A$1000,A12,Vendite!$J$2:$J$1000)</f>
        <v>0</v>
      </c>
      <c r="I12" s="12" t="n">
        <f aca="false">SUMIF(Vendite!$A$2:$A$1000,A12,Vendite!$L$2:$L$1000)</f>
        <v>0</v>
      </c>
      <c r="J12" s="12" t="n">
        <f aca="false">SUMIF(Vendite!$A$2:$A$1000,A12,Vendite!$M$2:$M$1000)</f>
        <v>0</v>
      </c>
      <c r="K12" s="22" t="n">
        <f aca="false">IF(E12&gt;0,F12/E12,0)</f>
        <v>0</v>
      </c>
      <c r="L12" s="20" t="str">
        <f aca="false">IF(F12&gt;0,"Venduto","Zero vendite")</f>
        <v>Zero vendite</v>
      </c>
      <c r="M12" s="20" t="n">
        <f aca="false">F12+H12/100000+(1000-ROW())/100000000</f>
        <v>9.88E-006</v>
      </c>
    </row>
    <row r="13" customFormat="false" ht="15" hidden="false" customHeight="false" outlineLevel="0" collapsed="false">
      <c r="A13" s="21" t="s">
        <v>44</v>
      </c>
      <c r="B13" s="13" t="n">
        <v>46320</v>
      </c>
      <c r="C13" s="21" t="str">
        <f aca="false">CHOOSE(WEEKDAY(B13,2),"Lunedì","Martedì","Mercoledì","Giovedì","Venerdì","Sabato","Domenica")</f>
        <v>Domenica</v>
      </c>
      <c r="D13" s="14" t="n">
        <v>0.885416666666667</v>
      </c>
      <c r="E13" s="23" t="n">
        <v>200</v>
      </c>
      <c r="F13" s="15" t="n">
        <f aca="false">SUMIF(Vendite!$A$2:$A$1000,A13,Vendite!$H$2:$H$1000)</f>
        <v>0</v>
      </c>
      <c r="G13" s="15" t="n">
        <f aca="false">SUMIF(Vendite!$A$2:$A$1000,A13,Vendite!$I$2:$I$1000)</f>
        <v>0</v>
      </c>
      <c r="H13" s="16" t="n">
        <f aca="false">SUMIF(Vendite!$A$2:$A$1000,A13,Vendite!$J$2:$J$1000)</f>
        <v>0</v>
      </c>
      <c r="I13" s="16" t="n">
        <f aca="false">SUMIF(Vendite!$A$2:$A$1000,A13,Vendite!$L$2:$L$1000)</f>
        <v>0</v>
      </c>
      <c r="J13" s="16" t="n">
        <f aca="false">SUMIF(Vendite!$A$2:$A$1000,A13,Vendite!$M$2:$M$1000)</f>
        <v>0</v>
      </c>
      <c r="K13" s="24" t="n">
        <f aca="false">IF(E13&gt;0,F13/E13,0)</f>
        <v>0</v>
      </c>
      <c r="L13" s="21" t="str">
        <f aca="false">IF(F13&gt;0,"Venduto","Zero vendite")</f>
        <v>Zero vendite</v>
      </c>
      <c r="M13" s="21" t="n">
        <f aca="false">F13+H13/100000+(1000-ROW())/100000000</f>
        <v>9.87E-006</v>
      </c>
    </row>
    <row r="14" customFormat="false" ht="15" hidden="false" customHeight="false" outlineLevel="0" collapsed="false">
      <c r="A14" s="20" t="s">
        <v>45</v>
      </c>
      <c r="B14" s="9" t="n">
        <v>46320</v>
      </c>
      <c r="C14" s="20" t="str">
        <f aca="false">CHOOSE(WEEKDAY(B14,2),"Lunedì","Martedì","Mercoledì","Giovedì","Venerdì","Sabato","Domenica")</f>
        <v>Domenica</v>
      </c>
      <c r="D14" s="10" t="n">
        <v>0.927083333333333</v>
      </c>
      <c r="E14" s="11" t="n">
        <v>200</v>
      </c>
      <c r="F14" s="11" t="n">
        <f aca="false">SUMIF(Vendite!$A$2:$A$1000,A14,Vendite!$H$2:$H$1000)</f>
        <v>1</v>
      </c>
      <c r="G14" s="11" t="n">
        <f aca="false">SUMIF(Vendite!$A$2:$A$1000,A14,Vendite!$I$2:$I$1000)</f>
        <v>0</v>
      </c>
      <c r="H14" s="12" t="n">
        <f aca="false">SUMIF(Vendite!$A$2:$A$1000,A14,Vendite!$J$2:$J$1000)</f>
        <v>24</v>
      </c>
      <c r="I14" s="12" t="n">
        <f aca="false">SUMIF(Vendite!$A$2:$A$1000,A14,Vendite!$L$2:$L$1000)</f>
        <v>21.82</v>
      </c>
      <c r="J14" s="12" t="n">
        <f aca="false">SUMIF(Vendite!$A$2:$A$1000,A14,Vendite!$M$2:$M$1000)</f>
        <v>2.18</v>
      </c>
      <c r="K14" s="22" t="n">
        <f aca="false">IF(E14&gt;0,F14/E14,0)</f>
        <v>0.005</v>
      </c>
      <c r="L14" s="20" t="str">
        <f aca="false">IF(F14&gt;0,"Venduto","Zero vendite")</f>
        <v>Venduto</v>
      </c>
      <c r="M14" s="20" t="n">
        <f aca="false">F14+H14/100000+(1000-ROW())/100000000</f>
        <v>1.00024986</v>
      </c>
    </row>
    <row r="15" customFormat="false" ht="15" hidden="false" customHeight="false" outlineLevel="0" collapsed="false">
      <c r="A15" s="21" t="s">
        <v>46</v>
      </c>
      <c r="B15" s="13" t="n">
        <v>46320</v>
      </c>
      <c r="C15" s="21" t="str">
        <f aca="false">CHOOSE(WEEKDAY(B15,2),"Lunedì","Martedì","Mercoledì","Giovedì","Venerdì","Sabato","Domenica")</f>
        <v>Domenica</v>
      </c>
      <c r="D15" s="14" t="n">
        <v>0.96875</v>
      </c>
      <c r="E15" s="23" t="n">
        <v>200</v>
      </c>
      <c r="F15" s="15" t="n">
        <f aca="false">SUMIF(Vendite!$A$2:$A$1000,A15,Vendite!$H$2:$H$1000)</f>
        <v>0</v>
      </c>
      <c r="G15" s="15" t="n">
        <f aca="false">SUMIF(Vendite!$A$2:$A$1000,A15,Vendite!$I$2:$I$1000)</f>
        <v>0</v>
      </c>
      <c r="H15" s="16" t="n">
        <f aca="false">SUMIF(Vendite!$A$2:$A$1000,A15,Vendite!$J$2:$J$1000)</f>
        <v>0</v>
      </c>
      <c r="I15" s="16" t="n">
        <f aca="false">SUMIF(Vendite!$A$2:$A$1000,A15,Vendite!$L$2:$L$1000)</f>
        <v>0</v>
      </c>
      <c r="J15" s="16" t="n">
        <f aca="false">SUMIF(Vendite!$A$2:$A$1000,A15,Vendite!$M$2:$M$1000)</f>
        <v>0</v>
      </c>
      <c r="K15" s="24" t="n">
        <f aca="false">IF(E15&gt;0,F15/E15,0)</f>
        <v>0</v>
      </c>
      <c r="L15" s="21" t="str">
        <f aca="false">IF(F15&gt;0,"Venduto","Zero vendite")</f>
        <v>Zero vendite</v>
      </c>
      <c r="M15" s="21" t="n">
        <f aca="false">F15+H15/100000+(1000-ROW())/100000000</f>
        <v>9.85E-006</v>
      </c>
    </row>
    <row r="16" customFormat="false" ht="15" hidden="false" customHeight="false" outlineLevel="0" collapsed="false">
      <c r="A16" s="20" t="s">
        <v>47</v>
      </c>
      <c r="B16" s="9" t="n">
        <v>46320</v>
      </c>
      <c r="C16" s="20" t="str">
        <f aca="false">CHOOSE(WEEKDAY(B16,2),"Lunedì","Martedì","Mercoledì","Giovedì","Venerdì","Sabato","Domenica")</f>
        <v>Domenica</v>
      </c>
      <c r="D16" s="10" t="n">
        <v>0.999305555555556</v>
      </c>
      <c r="E16" s="25" t="n">
        <v>200</v>
      </c>
      <c r="F16" s="11" t="n">
        <f aca="false">SUMIF(Vendite!$A$2:$A$1000,A16,Vendite!$H$2:$H$1000)</f>
        <v>0</v>
      </c>
      <c r="G16" s="11" t="n">
        <f aca="false">SUMIF(Vendite!$A$2:$A$1000,A16,Vendite!$I$2:$I$1000)</f>
        <v>0</v>
      </c>
      <c r="H16" s="12" t="n">
        <f aca="false">SUMIF(Vendite!$A$2:$A$1000,A16,Vendite!$J$2:$J$1000)</f>
        <v>0</v>
      </c>
      <c r="I16" s="12" t="n">
        <f aca="false">SUMIF(Vendite!$A$2:$A$1000,A16,Vendite!$L$2:$L$1000)</f>
        <v>0</v>
      </c>
      <c r="J16" s="12" t="n">
        <f aca="false">SUMIF(Vendite!$A$2:$A$1000,A16,Vendite!$M$2:$M$1000)</f>
        <v>0</v>
      </c>
      <c r="K16" s="22" t="n">
        <f aca="false">IF(E16&gt;0,F16/E16,0)</f>
        <v>0</v>
      </c>
      <c r="L16" s="20" t="str">
        <f aca="false">IF(F16&gt;0,"Venduto","Zero vendite")</f>
        <v>Zero vendite</v>
      </c>
      <c r="M16" s="20" t="n">
        <f aca="false">F16+H16/100000+(1000-ROW())/100000000</f>
        <v>9.84E-006</v>
      </c>
    </row>
    <row r="17" customFormat="false" ht="15" hidden="false" customHeight="false" outlineLevel="0" collapsed="false">
      <c r="A17" s="21" t="s">
        <v>48</v>
      </c>
      <c r="B17" s="13" t="n">
        <v>46324</v>
      </c>
      <c r="C17" s="21" t="str">
        <f aca="false">CHOOSE(WEEKDAY(B17,2),"Lunedì","Martedì","Mercoledì","Giovedì","Venerdì","Sabato","Domenica")</f>
        <v>Giovedì</v>
      </c>
      <c r="D17" s="14" t="n">
        <v>0.84375</v>
      </c>
      <c r="E17" s="23" t="n">
        <v>200</v>
      </c>
      <c r="F17" s="15" t="n">
        <f aca="false">SUMIF(Vendite!$A$2:$A$1000,A17,Vendite!$H$2:$H$1000)</f>
        <v>0</v>
      </c>
      <c r="G17" s="15" t="n">
        <f aca="false">SUMIF(Vendite!$A$2:$A$1000,A17,Vendite!$I$2:$I$1000)</f>
        <v>0</v>
      </c>
      <c r="H17" s="16" t="n">
        <f aca="false">SUMIF(Vendite!$A$2:$A$1000,A17,Vendite!$J$2:$J$1000)</f>
        <v>0</v>
      </c>
      <c r="I17" s="16" t="n">
        <f aca="false">SUMIF(Vendite!$A$2:$A$1000,A17,Vendite!$L$2:$L$1000)</f>
        <v>0</v>
      </c>
      <c r="J17" s="16" t="n">
        <f aca="false">SUMIF(Vendite!$A$2:$A$1000,A17,Vendite!$M$2:$M$1000)</f>
        <v>0</v>
      </c>
      <c r="K17" s="24" t="n">
        <f aca="false">IF(E17&gt;0,F17/E17,0)</f>
        <v>0</v>
      </c>
      <c r="L17" s="21" t="str">
        <f aca="false">IF(F17&gt;0,"Venduto","Zero vendite")</f>
        <v>Zero vendite</v>
      </c>
      <c r="M17" s="21" t="n">
        <f aca="false">F17+H17/100000+(1000-ROW())/100000000</f>
        <v>9.83E-006</v>
      </c>
    </row>
    <row r="18" customFormat="false" ht="15" hidden="false" customHeight="false" outlineLevel="0" collapsed="false">
      <c r="A18" s="20" t="s">
        <v>49</v>
      </c>
      <c r="B18" s="9" t="n">
        <v>46324</v>
      </c>
      <c r="C18" s="20" t="str">
        <f aca="false">CHOOSE(WEEKDAY(B18,2),"Lunedì","Martedì","Mercoledì","Giovedì","Venerdì","Sabato","Domenica")</f>
        <v>Giovedì</v>
      </c>
      <c r="D18" s="10" t="n">
        <v>0.885416666666667</v>
      </c>
      <c r="E18" s="25" t="n">
        <v>200</v>
      </c>
      <c r="F18" s="11" t="n">
        <f aca="false">SUMIF(Vendite!$A$2:$A$1000,A18,Vendite!$H$2:$H$1000)</f>
        <v>0</v>
      </c>
      <c r="G18" s="11" t="n">
        <f aca="false">SUMIF(Vendite!$A$2:$A$1000,A18,Vendite!$I$2:$I$1000)</f>
        <v>0</v>
      </c>
      <c r="H18" s="12" t="n">
        <f aca="false">SUMIF(Vendite!$A$2:$A$1000,A18,Vendite!$J$2:$J$1000)</f>
        <v>0</v>
      </c>
      <c r="I18" s="12" t="n">
        <f aca="false">SUMIF(Vendite!$A$2:$A$1000,A18,Vendite!$L$2:$L$1000)</f>
        <v>0</v>
      </c>
      <c r="J18" s="12" t="n">
        <f aca="false">SUMIF(Vendite!$A$2:$A$1000,A18,Vendite!$M$2:$M$1000)</f>
        <v>0</v>
      </c>
      <c r="K18" s="22" t="n">
        <f aca="false">IF(E18&gt;0,F18/E18,0)</f>
        <v>0</v>
      </c>
      <c r="L18" s="20" t="str">
        <f aca="false">IF(F18&gt;0,"Venduto","Zero vendite")</f>
        <v>Zero vendite</v>
      </c>
      <c r="M18" s="20" t="n">
        <f aca="false">F18+H18/100000+(1000-ROW())/100000000</f>
        <v>9.82E-006</v>
      </c>
    </row>
    <row r="19" customFormat="false" ht="15" hidden="false" customHeight="false" outlineLevel="0" collapsed="false">
      <c r="A19" s="21" t="s">
        <v>50</v>
      </c>
      <c r="B19" s="13" t="n">
        <v>46324</v>
      </c>
      <c r="C19" s="21" t="str">
        <f aca="false">CHOOSE(WEEKDAY(B19,2),"Lunedì","Martedì","Mercoledì","Giovedì","Venerdì","Sabato","Domenica")</f>
        <v>Giovedì</v>
      </c>
      <c r="D19" s="14" t="n">
        <v>0.927083333333333</v>
      </c>
      <c r="E19" s="23" t="n">
        <v>200</v>
      </c>
      <c r="F19" s="15" t="n">
        <f aca="false">SUMIF(Vendite!$A$2:$A$1000,A19,Vendite!$H$2:$H$1000)</f>
        <v>0</v>
      </c>
      <c r="G19" s="15" t="n">
        <f aca="false">SUMIF(Vendite!$A$2:$A$1000,A19,Vendite!$I$2:$I$1000)</f>
        <v>0</v>
      </c>
      <c r="H19" s="16" t="n">
        <f aca="false">SUMIF(Vendite!$A$2:$A$1000,A19,Vendite!$J$2:$J$1000)</f>
        <v>0</v>
      </c>
      <c r="I19" s="16" t="n">
        <f aca="false">SUMIF(Vendite!$A$2:$A$1000,A19,Vendite!$L$2:$L$1000)</f>
        <v>0</v>
      </c>
      <c r="J19" s="16" t="n">
        <f aca="false">SUMIF(Vendite!$A$2:$A$1000,A19,Vendite!$M$2:$M$1000)</f>
        <v>0</v>
      </c>
      <c r="K19" s="24" t="n">
        <f aca="false">IF(E19&gt;0,F19/E19,0)</f>
        <v>0</v>
      </c>
      <c r="L19" s="21" t="str">
        <f aca="false">IF(F19&gt;0,"Venduto","Zero vendite")</f>
        <v>Zero vendite</v>
      </c>
      <c r="M19" s="21" t="n">
        <f aca="false">F19+H19/100000+(1000-ROW())/100000000</f>
        <v>9.81E-006</v>
      </c>
    </row>
    <row r="20" customFormat="false" ht="15" hidden="false" customHeight="false" outlineLevel="0" collapsed="false">
      <c r="A20" s="20" t="s">
        <v>51</v>
      </c>
      <c r="B20" s="9" t="n">
        <v>46324</v>
      </c>
      <c r="C20" s="20" t="str">
        <f aca="false">CHOOSE(WEEKDAY(B20,2),"Lunedì","Martedì","Mercoledì","Giovedì","Venerdì","Sabato","Domenica")</f>
        <v>Giovedì</v>
      </c>
      <c r="D20" s="10" t="n">
        <v>0.96875</v>
      </c>
      <c r="E20" s="25" t="n">
        <v>200</v>
      </c>
      <c r="F20" s="11" t="n">
        <f aca="false">SUMIF(Vendite!$A$2:$A$1000,A20,Vendite!$H$2:$H$1000)</f>
        <v>0</v>
      </c>
      <c r="G20" s="11" t="n">
        <f aca="false">SUMIF(Vendite!$A$2:$A$1000,A20,Vendite!$I$2:$I$1000)</f>
        <v>0</v>
      </c>
      <c r="H20" s="12" t="n">
        <f aca="false">SUMIF(Vendite!$A$2:$A$1000,A20,Vendite!$J$2:$J$1000)</f>
        <v>0</v>
      </c>
      <c r="I20" s="12" t="n">
        <f aca="false">SUMIF(Vendite!$A$2:$A$1000,A20,Vendite!$L$2:$L$1000)</f>
        <v>0</v>
      </c>
      <c r="J20" s="12" t="n">
        <f aca="false">SUMIF(Vendite!$A$2:$A$1000,A20,Vendite!$M$2:$M$1000)</f>
        <v>0</v>
      </c>
      <c r="K20" s="22" t="n">
        <f aca="false">IF(E20&gt;0,F20/E20,0)</f>
        <v>0</v>
      </c>
      <c r="L20" s="20" t="str">
        <f aca="false">IF(F20&gt;0,"Venduto","Zero vendite")</f>
        <v>Zero vendite</v>
      </c>
      <c r="M20" s="20" t="n">
        <f aca="false">F20+H20/100000+(1000-ROW())/100000000</f>
        <v>9.8E-006</v>
      </c>
    </row>
    <row r="21" customFormat="false" ht="15" hidden="false" customHeight="false" outlineLevel="0" collapsed="false">
      <c r="A21" s="21" t="s">
        <v>52</v>
      </c>
      <c r="B21" s="13" t="n">
        <v>46324</v>
      </c>
      <c r="C21" s="21" t="str">
        <f aca="false">CHOOSE(WEEKDAY(B21,2),"Lunedì","Martedì","Mercoledì","Giovedì","Venerdì","Sabato","Domenica")</f>
        <v>Giovedì</v>
      </c>
      <c r="D21" s="14" t="n">
        <v>0.999305555555556</v>
      </c>
      <c r="E21" s="23" t="n">
        <v>200</v>
      </c>
      <c r="F21" s="15" t="n">
        <f aca="false">SUMIF(Vendite!$A$2:$A$1000,A21,Vendite!$H$2:$H$1000)</f>
        <v>0</v>
      </c>
      <c r="G21" s="15" t="n">
        <f aca="false">SUMIF(Vendite!$A$2:$A$1000,A21,Vendite!$I$2:$I$1000)</f>
        <v>0</v>
      </c>
      <c r="H21" s="16" t="n">
        <f aca="false">SUMIF(Vendite!$A$2:$A$1000,A21,Vendite!$J$2:$J$1000)</f>
        <v>0</v>
      </c>
      <c r="I21" s="16" t="n">
        <f aca="false">SUMIF(Vendite!$A$2:$A$1000,A21,Vendite!$L$2:$L$1000)</f>
        <v>0</v>
      </c>
      <c r="J21" s="16" t="n">
        <f aca="false">SUMIF(Vendite!$A$2:$A$1000,A21,Vendite!$M$2:$M$1000)</f>
        <v>0</v>
      </c>
      <c r="K21" s="24" t="n">
        <f aca="false">IF(E21&gt;0,F21/E21,0)</f>
        <v>0</v>
      </c>
      <c r="L21" s="21" t="str">
        <f aca="false">IF(F21&gt;0,"Venduto","Zero vendite")</f>
        <v>Zero vendite</v>
      </c>
      <c r="M21" s="21" t="n">
        <f aca="false">F21+H21/100000+(1000-ROW())/100000000</f>
        <v>9.79E-006</v>
      </c>
    </row>
    <row r="22" customFormat="false" ht="15" hidden="false" customHeight="false" outlineLevel="0" collapsed="false">
      <c r="A22" s="20" t="s">
        <v>53</v>
      </c>
      <c r="B22" s="9" t="n">
        <v>46325</v>
      </c>
      <c r="C22" s="20" t="str">
        <f aca="false">CHOOSE(WEEKDAY(B22,2),"Lunedì","Martedì","Mercoledì","Giovedì","Venerdì","Sabato","Domenica")</f>
        <v>Venerdì</v>
      </c>
      <c r="D22" s="10" t="n">
        <v>0.84375</v>
      </c>
      <c r="E22" s="25" t="n">
        <v>200</v>
      </c>
      <c r="F22" s="11" t="n">
        <f aca="false">SUMIF(Vendite!$A$2:$A$1000,A22,Vendite!$H$2:$H$1000)</f>
        <v>0</v>
      </c>
      <c r="G22" s="11" t="n">
        <f aca="false">SUMIF(Vendite!$A$2:$A$1000,A22,Vendite!$I$2:$I$1000)</f>
        <v>0</v>
      </c>
      <c r="H22" s="12" t="n">
        <f aca="false">SUMIF(Vendite!$A$2:$A$1000,A22,Vendite!$J$2:$J$1000)</f>
        <v>0</v>
      </c>
      <c r="I22" s="12" t="n">
        <f aca="false">SUMIF(Vendite!$A$2:$A$1000,A22,Vendite!$L$2:$L$1000)</f>
        <v>0</v>
      </c>
      <c r="J22" s="12" t="n">
        <f aca="false">SUMIF(Vendite!$A$2:$A$1000,A22,Vendite!$M$2:$M$1000)</f>
        <v>0</v>
      </c>
      <c r="K22" s="22" t="n">
        <f aca="false">IF(E22&gt;0,F22/E22,0)</f>
        <v>0</v>
      </c>
      <c r="L22" s="20" t="str">
        <f aca="false">IF(F22&gt;0,"Venduto","Zero vendite")</f>
        <v>Zero vendite</v>
      </c>
      <c r="M22" s="20" t="n">
        <f aca="false">F22+H22/100000+(1000-ROW())/100000000</f>
        <v>9.78E-006</v>
      </c>
    </row>
    <row r="23" customFormat="false" ht="15" hidden="false" customHeight="false" outlineLevel="0" collapsed="false">
      <c r="A23" s="21" t="s">
        <v>54</v>
      </c>
      <c r="B23" s="13" t="n">
        <v>46325</v>
      </c>
      <c r="C23" s="21" t="str">
        <f aca="false">CHOOSE(WEEKDAY(B23,2),"Lunedì","Martedì","Mercoledì","Giovedì","Venerdì","Sabato","Domenica")</f>
        <v>Venerdì</v>
      </c>
      <c r="D23" s="14" t="n">
        <v>0.885416666666667</v>
      </c>
      <c r="E23" s="23" t="n">
        <v>200</v>
      </c>
      <c r="F23" s="15" t="n">
        <f aca="false">SUMIF(Vendite!$A$2:$A$1000,A23,Vendite!$H$2:$H$1000)</f>
        <v>0</v>
      </c>
      <c r="G23" s="15" t="n">
        <f aca="false">SUMIF(Vendite!$A$2:$A$1000,A23,Vendite!$I$2:$I$1000)</f>
        <v>0</v>
      </c>
      <c r="H23" s="16" t="n">
        <f aca="false">SUMIF(Vendite!$A$2:$A$1000,A23,Vendite!$J$2:$J$1000)</f>
        <v>0</v>
      </c>
      <c r="I23" s="16" t="n">
        <f aca="false">SUMIF(Vendite!$A$2:$A$1000,A23,Vendite!$L$2:$L$1000)</f>
        <v>0</v>
      </c>
      <c r="J23" s="16" t="n">
        <f aca="false">SUMIF(Vendite!$A$2:$A$1000,A23,Vendite!$M$2:$M$1000)</f>
        <v>0</v>
      </c>
      <c r="K23" s="24" t="n">
        <f aca="false">IF(E23&gt;0,F23/E23,0)</f>
        <v>0</v>
      </c>
      <c r="L23" s="21" t="str">
        <f aca="false">IF(F23&gt;0,"Venduto","Zero vendite")</f>
        <v>Zero vendite</v>
      </c>
      <c r="M23" s="21" t="n">
        <f aca="false">F23+H23/100000+(1000-ROW())/100000000</f>
        <v>9.77E-006</v>
      </c>
    </row>
    <row r="24" customFormat="false" ht="15" hidden="false" customHeight="false" outlineLevel="0" collapsed="false">
      <c r="A24" s="20" t="s">
        <v>55</v>
      </c>
      <c r="B24" s="9" t="n">
        <v>46325</v>
      </c>
      <c r="C24" s="20" t="str">
        <f aca="false">CHOOSE(WEEKDAY(B24,2),"Lunedì","Martedì","Mercoledì","Giovedì","Venerdì","Sabato","Domenica")</f>
        <v>Venerdì</v>
      </c>
      <c r="D24" s="10" t="n">
        <v>0.927083333333333</v>
      </c>
      <c r="E24" s="25" t="n">
        <v>200</v>
      </c>
      <c r="F24" s="11" t="n">
        <f aca="false">SUMIF(Vendite!$A$2:$A$1000,A24,Vendite!$H$2:$H$1000)</f>
        <v>0</v>
      </c>
      <c r="G24" s="11" t="n">
        <f aca="false">SUMIF(Vendite!$A$2:$A$1000,A24,Vendite!$I$2:$I$1000)</f>
        <v>0</v>
      </c>
      <c r="H24" s="12" t="n">
        <f aca="false">SUMIF(Vendite!$A$2:$A$1000,A24,Vendite!$J$2:$J$1000)</f>
        <v>0</v>
      </c>
      <c r="I24" s="12" t="n">
        <f aca="false">SUMIF(Vendite!$A$2:$A$1000,A24,Vendite!$L$2:$L$1000)</f>
        <v>0</v>
      </c>
      <c r="J24" s="12" t="n">
        <f aca="false">SUMIF(Vendite!$A$2:$A$1000,A24,Vendite!$M$2:$M$1000)</f>
        <v>0</v>
      </c>
      <c r="K24" s="22" t="n">
        <f aca="false">IF(E24&gt;0,F24/E24,0)</f>
        <v>0</v>
      </c>
      <c r="L24" s="20" t="str">
        <f aca="false">IF(F24&gt;0,"Venduto","Zero vendite")</f>
        <v>Zero vendite</v>
      </c>
      <c r="M24" s="20" t="n">
        <f aca="false">F24+H24/100000+(1000-ROW())/100000000</f>
        <v>9.76E-006</v>
      </c>
    </row>
    <row r="25" customFormat="false" ht="15" hidden="false" customHeight="false" outlineLevel="0" collapsed="false">
      <c r="A25" s="21" t="s">
        <v>56</v>
      </c>
      <c r="B25" s="13" t="n">
        <v>46325</v>
      </c>
      <c r="C25" s="21" t="str">
        <f aca="false">CHOOSE(WEEKDAY(B25,2),"Lunedì","Martedì","Mercoledì","Giovedì","Venerdì","Sabato","Domenica")</f>
        <v>Venerdì</v>
      </c>
      <c r="D25" s="14" t="n">
        <v>0.96875</v>
      </c>
      <c r="E25" s="15" t="n">
        <v>200</v>
      </c>
      <c r="F25" s="15" t="n">
        <f aca="false">SUMIF(Vendite!$A$2:$A$1000,A25,Vendite!$H$2:$H$1000)</f>
        <v>1</v>
      </c>
      <c r="G25" s="15" t="n">
        <f aca="false">SUMIF(Vendite!$A$2:$A$1000,A25,Vendite!$I$2:$I$1000)</f>
        <v>0</v>
      </c>
      <c r="H25" s="16" t="n">
        <f aca="false">SUMIF(Vendite!$A$2:$A$1000,A25,Vendite!$J$2:$J$1000)</f>
        <v>48</v>
      </c>
      <c r="I25" s="16" t="n">
        <f aca="false">SUMIF(Vendite!$A$2:$A$1000,A25,Vendite!$L$2:$L$1000)</f>
        <v>43.64</v>
      </c>
      <c r="J25" s="16" t="n">
        <f aca="false">SUMIF(Vendite!$A$2:$A$1000,A25,Vendite!$M$2:$M$1000)</f>
        <v>4.36</v>
      </c>
      <c r="K25" s="24" t="n">
        <f aca="false">IF(E25&gt;0,F25/E25,0)</f>
        <v>0.005</v>
      </c>
      <c r="L25" s="21" t="str">
        <f aca="false">IF(F25&gt;0,"Venduto","Zero vendite")</f>
        <v>Venduto</v>
      </c>
      <c r="M25" s="21" t="n">
        <f aca="false">F25+H25/100000+(1000-ROW())/100000000</f>
        <v>1.00048975</v>
      </c>
    </row>
    <row r="26" customFormat="false" ht="15" hidden="false" customHeight="false" outlineLevel="0" collapsed="false">
      <c r="A26" s="20" t="s">
        <v>57</v>
      </c>
      <c r="B26" s="9" t="n">
        <v>46325</v>
      </c>
      <c r="C26" s="20" t="str">
        <f aca="false">CHOOSE(WEEKDAY(B26,2),"Lunedì","Martedì","Mercoledì","Giovedì","Venerdì","Sabato","Domenica")</f>
        <v>Venerdì</v>
      </c>
      <c r="D26" s="10" t="n">
        <v>0.999305555555556</v>
      </c>
      <c r="E26" s="25" t="n">
        <v>200</v>
      </c>
      <c r="F26" s="11" t="n">
        <f aca="false">SUMIF(Vendite!$A$2:$A$1000,A26,Vendite!$H$2:$H$1000)</f>
        <v>0</v>
      </c>
      <c r="G26" s="11" t="n">
        <f aca="false">SUMIF(Vendite!$A$2:$A$1000,A26,Vendite!$I$2:$I$1000)</f>
        <v>0</v>
      </c>
      <c r="H26" s="12" t="n">
        <f aca="false">SUMIF(Vendite!$A$2:$A$1000,A26,Vendite!$J$2:$J$1000)</f>
        <v>0</v>
      </c>
      <c r="I26" s="12" t="n">
        <f aca="false">SUMIF(Vendite!$A$2:$A$1000,A26,Vendite!$L$2:$L$1000)</f>
        <v>0</v>
      </c>
      <c r="J26" s="12" t="n">
        <f aca="false">SUMIF(Vendite!$A$2:$A$1000,A26,Vendite!$M$2:$M$1000)</f>
        <v>0</v>
      </c>
      <c r="K26" s="22" t="n">
        <f aca="false">IF(E26&gt;0,F26/E26,0)</f>
        <v>0</v>
      </c>
      <c r="L26" s="20" t="str">
        <f aca="false">IF(F26&gt;0,"Venduto","Zero vendite")</f>
        <v>Zero vendite</v>
      </c>
      <c r="M26" s="20" t="n">
        <f aca="false">F26+H26/100000+(1000-ROW())/100000000</f>
        <v>9.74E-006</v>
      </c>
    </row>
    <row r="27" customFormat="false" ht="15" hidden="false" customHeight="false" outlineLevel="0" collapsed="false">
      <c r="A27" s="21" t="s">
        <v>58</v>
      </c>
      <c r="B27" s="13" t="n">
        <v>46326</v>
      </c>
      <c r="C27" s="21" t="str">
        <f aca="false">CHOOSE(WEEKDAY(B27,2),"Lunedì","Martedì","Mercoledì","Giovedì","Venerdì","Sabato","Domenica")</f>
        <v>Sabato</v>
      </c>
      <c r="D27" s="14" t="n">
        <v>0.84375</v>
      </c>
      <c r="E27" s="23" t="n">
        <v>200</v>
      </c>
      <c r="F27" s="15" t="n">
        <f aca="false">SUMIF(Vendite!$A$2:$A$1000,A27,Vendite!$H$2:$H$1000)</f>
        <v>0</v>
      </c>
      <c r="G27" s="15" t="n">
        <f aca="false">SUMIF(Vendite!$A$2:$A$1000,A27,Vendite!$I$2:$I$1000)</f>
        <v>0</v>
      </c>
      <c r="H27" s="16" t="n">
        <f aca="false">SUMIF(Vendite!$A$2:$A$1000,A27,Vendite!$J$2:$J$1000)</f>
        <v>0</v>
      </c>
      <c r="I27" s="16" t="n">
        <f aca="false">SUMIF(Vendite!$A$2:$A$1000,A27,Vendite!$L$2:$L$1000)</f>
        <v>0</v>
      </c>
      <c r="J27" s="16" t="n">
        <f aca="false">SUMIF(Vendite!$A$2:$A$1000,A27,Vendite!$M$2:$M$1000)</f>
        <v>0</v>
      </c>
      <c r="K27" s="24" t="n">
        <f aca="false">IF(E27&gt;0,F27/E27,0)</f>
        <v>0</v>
      </c>
      <c r="L27" s="21" t="str">
        <f aca="false">IF(F27&gt;0,"Venduto","Zero vendite")</f>
        <v>Zero vendite</v>
      </c>
      <c r="M27" s="21" t="n">
        <f aca="false">F27+H27/100000+(1000-ROW())/100000000</f>
        <v>9.73E-006</v>
      </c>
    </row>
    <row r="28" customFormat="false" ht="15" hidden="false" customHeight="false" outlineLevel="0" collapsed="false">
      <c r="A28" s="20" t="s">
        <v>59</v>
      </c>
      <c r="B28" s="9" t="n">
        <v>46326</v>
      </c>
      <c r="C28" s="20" t="str">
        <f aca="false">CHOOSE(WEEKDAY(B28,2),"Lunedì","Martedì","Mercoledì","Giovedì","Venerdì","Sabato","Domenica")</f>
        <v>Sabato</v>
      </c>
      <c r="D28" s="10" t="n">
        <v>0.885416666666667</v>
      </c>
      <c r="E28" s="25" t="n">
        <v>200</v>
      </c>
      <c r="F28" s="11" t="n">
        <f aca="false">SUMIF(Vendite!$A$2:$A$1000,A28,Vendite!$H$2:$H$1000)</f>
        <v>0</v>
      </c>
      <c r="G28" s="11" t="n">
        <f aca="false">SUMIF(Vendite!$A$2:$A$1000,A28,Vendite!$I$2:$I$1000)</f>
        <v>0</v>
      </c>
      <c r="H28" s="12" t="n">
        <f aca="false">SUMIF(Vendite!$A$2:$A$1000,A28,Vendite!$J$2:$J$1000)</f>
        <v>0</v>
      </c>
      <c r="I28" s="12" t="n">
        <f aca="false">SUMIF(Vendite!$A$2:$A$1000,A28,Vendite!$L$2:$L$1000)</f>
        <v>0</v>
      </c>
      <c r="J28" s="12" t="n">
        <f aca="false">SUMIF(Vendite!$A$2:$A$1000,A28,Vendite!$M$2:$M$1000)</f>
        <v>0</v>
      </c>
      <c r="K28" s="22" t="n">
        <f aca="false">IF(E28&gt;0,F28/E28,0)</f>
        <v>0</v>
      </c>
      <c r="L28" s="20" t="str">
        <f aca="false">IF(F28&gt;0,"Venduto","Zero vendite")</f>
        <v>Zero vendite</v>
      </c>
      <c r="M28" s="20" t="n">
        <f aca="false">F28+H28/100000+(1000-ROW())/100000000</f>
        <v>9.72E-006</v>
      </c>
    </row>
    <row r="29" customFormat="false" ht="15" hidden="false" customHeight="false" outlineLevel="0" collapsed="false">
      <c r="A29" s="21" t="s">
        <v>60</v>
      </c>
      <c r="B29" s="13" t="n">
        <v>46326</v>
      </c>
      <c r="C29" s="21" t="str">
        <f aca="false">CHOOSE(WEEKDAY(B29,2),"Lunedì","Martedì","Mercoledì","Giovedì","Venerdì","Sabato","Domenica")</f>
        <v>Sabato</v>
      </c>
      <c r="D29" s="14" t="n">
        <v>0.927083333333333</v>
      </c>
      <c r="E29" s="23" t="n">
        <v>200</v>
      </c>
      <c r="F29" s="15" t="n">
        <f aca="false">SUMIF(Vendite!$A$2:$A$1000,A29,Vendite!$H$2:$H$1000)</f>
        <v>0</v>
      </c>
      <c r="G29" s="15" t="n">
        <f aca="false">SUMIF(Vendite!$A$2:$A$1000,A29,Vendite!$I$2:$I$1000)</f>
        <v>0</v>
      </c>
      <c r="H29" s="16" t="n">
        <f aca="false">SUMIF(Vendite!$A$2:$A$1000,A29,Vendite!$J$2:$J$1000)</f>
        <v>0</v>
      </c>
      <c r="I29" s="16" t="n">
        <f aca="false">SUMIF(Vendite!$A$2:$A$1000,A29,Vendite!$L$2:$L$1000)</f>
        <v>0</v>
      </c>
      <c r="J29" s="16" t="n">
        <f aca="false">SUMIF(Vendite!$A$2:$A$1000,A29,Vendite!$M$2:$M$1000)</f>
        <v>0</v>
      </c>
      <c r="K29" s="24" t="n">
        <f aca="false">IF(E29&gt;0,F29/E29,0)</f>
        <v>0</v>
      </c>
      <c r="L29" s="21" t="str">
        <f aca="false">IF(F29&gt;0,"Venduto","Zero vendite")</f>
        <v>Zero vendite</v>
      </c>
      <c r="M29" s="21" t="n">
        <f aca="false">F29+H29/100000+(1000-ROW())/100000000</f>
        <v>9.71E-006</v>
      </c>
    </row>
    <row r="30" customFormat="false" ht="15" hidden="false" customHeight="false" outlineLevel="0" collapsed="false">
      <c r="A30" s="20" t="s">
        <v>61</v>
      </c>
      <c r="B30" s="9" t="n">
        <v>46326</v>
      </c>
      <c r="C30" s="20" t="str">
        <f aca="false">CHOOSE(WEEKDAY(B30,2),"Lunedì","Martedì","Mercoledì","Giovedì","Venerdì","Sabato","Domenica")</f>
        <v>Sabato</v>
      </c>
      <c r="D30" s="10" t="n">
        <v>0.96875</v>
      </c>
      <c r="E30" s="25" t="n">
        <v>200</v>
      </c>
      <c r="F30" s="11" t="n">
        <f aca="false">SUMIF(Vendite!$A$2:$A$1000,A30,Vendite!$H$2:$H$1000)</f>
        <v>0</v>
      </c>
      <c r="G30" s="11" t="n">
        <f aca="false">SUMIF(Vendite!$A$2:$A$1000,A30,Vendite!$I$2:$I$1000)</f>
        <v>0</v>
      </c>
      <c r="H30" s="12" t="n">
        <f aca="false">SUMIF(Vendite!$A$2:$A$1000,A30,Vendite!$J$2:$J$1000)</f>
        <v>0</v>
      </c>
      <c r="I30" s="12" t="n">
        <f aca="false">SUMIF(Vendite!$A$2:$A$1000,A30,Vendite!$L$2:$L$1000)</f>
        <v>0</v>
      </c>
      <c r="J30" s="12" t="n">
        <f aca="false">SUMIF(Vendite!$A$2:$A$1000,A30,Vendite!$M$2:$M$1000)</f>
        <v>0</v>
      </c>
      <c r="K30" s="22" t="n">
        <f aca="false">IF(E30&gt;0,F30/E30,0)</f>
        <v>0</v>
      </c>
      <c r="L30" s="20" t="str">
        <f aca="false">IF(F30&gt;0,"Venduto","Zero vendite")</f>
        <v>Zero vendite</v>
      </c>
      <c r="M30" s="20" t="n">
        <f aca="false">F30+H30/100000+(1000-ROW())/100000000</f>
        <v>9.7E-006</v>
      </c>
    </row>
    <row r="31" customFormat="false" ht="15" hidden="false" customHeight="false" outlineLevel="0" collapsed="false">
      <c r="A31" s="21" t="s">
        <v>62</v>
      </c>
      <c r="B31" s="13" t="n">
        <v>46326</v>
      </c>
      <c r="C31" s="21" t="str">
        <f aca="false">CHOOSE(WEEKDAY(B31,2),"Lunedì","Martedì","Mercoledì","Giovedì","Venerdì","Sabato","Domenica")</f>
        <v>Sabato</v>
      </c>
      <c r="D31" s="14" t="n">
        <v>0.999305555555556</v>
      </c>
      <c r="E31" s="23" t="n">
        <v>200</v>
      </c>
      <c r="F31" s="15" t="n">
        <f aca="false">SUMIF(Vendite!$A$2:$A$1000,A31,Vendite!$H$2:$H$1000)</f>
        <v>0</v>
      </c>
      <c r="G31" s="15" t="n">
        <f aca="false">SUMIF(Vendite!$A$2:$A$1000,A31,Vendite!$I$2:$I$1000)</f>
        <v>0</v>
      </c>
      <c r="H31" s="16" t="n">
        <f aca="false">SUMIF(Vendite!$A$2:$A$1000,A31,Vendite!$J$2:$J$1000)</f>
        <v>0</v>
      </c>
      <c r="I31" s="16" t="n">
        <f aca="false">SUMIF(Vendite!$A$2:$A$1000,A31,Vendite!$L$2:$L$1000)</f>
        <v>0</v>
      </c>
      <c r="J31" s="16" t="n">
        <f aca="false">SUMIF(Vendite!$A$2:$A$1000,A31,Vendite!$M$2:$M$1000)</f>
        <v>0</v>
      </c>
      <c r="K31" s="24" t="n">
        <f aca="false">IF(E31&gt;0,F31/E31,0)</f>
        <v>0</v>
      </c>
      <c r="L31" s="21" t="str">
        <f aca="false">IF(F31&gt;0,"Venduto","Zero vendite")</f>
        <v>Zero vendite</v>
      </c>
      <c r="M31" s="21" t="n">
        <f aca="false">F31+H31/100000+(1000-ROW())/100000000</f>
        <v>9.69E-006</v>
      </c>
    </row>
    <row r="32" customFormat="false" ht="15" hidden="false" customHeight="false" outlineLevel="0" collapsed="false">
      <c r="A32" s="20" t="s">
        <v>63</v>
      </c>
      <c r="B32" s="9" t="n">
        <v>46327</v>
      </c>
      <c r="C32" s="20" t="str">
        <f aca="false">CHOOSE(WEEKDAY(B32,2),"Lunedì","Martedì","Mercoledì","Giovedì","Venerdì","Sabato","Domenica")</f>
        <v>Domenica</v>
      </c>
      <c r="D32" s="10" t="n">
        <v>0.84375</v>
      </c>
      <c r="E32" s="25" t="n">
        <v>200</v>
      </c>
      <c r="F32" s="11" t="n">
        <f aca="false">SUMIF(Vendite!$A$2:$A$1000,A32,Vendite!$H$2:$H$1000)</f>
        <v>0</v>
      </c>
      <c r="G32" s="11" t="n">
        <f aca="false">SUMIF(Vendite!$A$2:$A$1000,A32,Vendite!$I$2:$I$1000)</f>
        <v>0</v>
      </c>
      <c r="H32" s="12" t="n">
        <f aca="false">SUMIF(Vendite!$A$2:$A$1000,A32,Vendite!$J$2:$J$1000)</f>
        <v>0</v>
      </c>
      <c r="I32" s="12" t="n">
        <f aca="false">SUMIF(Vendite!$A$2:$A$1000,A32,Vendite!$L$2:$L$1000)</f>
        <v>0</v>
      </c>
      <c r="J32" s="12" t="n">
        <f aca="false">SUMIF(Vendite!$A$2:$A$1000,A32,Vendite!$M$2:$M$1000)</f>
        <v>0</v>
      </c>
      <c r="K32" s="22" t="n">
        <f aca="false">IF(E32&gt;0,F32/E32,0)</f>
        <v>0</v>
      </c>
      <c r="L32" s="20" t="str">
        <f aca="false">IF(F32&gt;0,"Venduto","Zero vendite")</f>
        <v>Zero vendite</v>
      </c>
      <c r="M32" s="20" t="n">
        <f aca="false">F32+H32/100000+(1000-ROW())/100000000</f>
        <v>9.68E-006</v>
      </c>
    </row>
    <row r="33" customFormat="false" ht="15" hidden="false" customHeight="false" outlineLevel="0" collapsed="false">
      <c r="A33" s="21" t="s">
        <v>64</v>
      </c>
      <c r="B33" s="13" t="n">
        <v>46327</v>
      </c>
      <c r="C33" s="21" t="str">
        <f aca="false">CHOOSE(WEEKDAY(B33,2),"Lunedì","Martedì","Mercoledì","Giovedì","Venerdì","Sabato","Domenica")</f>
        <v>Domenica</v>
      </c>
      <c r="D33" s="14" t="n">
        <v>0.885416666666667</v>
      </c>
      <c r="E33" s="23" t="n">
        <v>200</v>
      </c>
      <c r="F33" s="15" t="n">
        <f aca="false">SUMIF(Vendite!$A$2:$A$1000,A33,Vendite!$H$2:$H$1000)</f>
        <v>0</v>
      </c>
      <c r="G33" s="15" t="n">
        <f aca="false">SUMIF(Vendite!$A$2:$A$1000,A33,Vendite!$I$2:$I$1000)</f>
        <v>0</v>
      </c>
      <c r="H33" s="16" t="n">
        <f aca="false">SUMIF(Vendite!$A$2:$A$1000,A33,Vendite!$J$2:$J$1000)</f>
        <v>0</v>
      </c>
      <c r="I33" s="16" t="n">
        <f aca="false">SUMIF(Vendite!$A$2:$A$1000,A33,Vendite!$L$2:$L$1000)</f>
        <v>0</v>
      </c>
      <c r="J33" s="16" t="n">
        <f aca="false">SUMIF(Vendite!$A$2:$A$1000,A33,Vendite!$M$2:$M$1000)</f>
        <v>0</v>
      </c>
      <c r="K33" s="24" t="n">
        <f aca="false">IF(E33&gt;0,F33/E33,0)</f>
        <v>0</v>
      </c>
      <c r="L33" s="21" t="str">
        <f aca="false">IF(F33&gt;0,"Venduto","Zero vendite")</f>
        <v>Zero vendite</v>
      </c>
      <c r="M33" s="21" t="n">
        <f aca="false">F33+H33/100000+(1000-ROW())/100000000</f>
        <v>9.67E-006</v>
      </c>
    </row>
    <row r="34" customFormat="false" ht="15" hidden="false" customHeight="false" outlineLevel="0" collapsed="false">
      <c r="A34" s="20" t="s">
        <v>65</v>
      </c>
      <c r="B34" s="9" t="n">
        <v>46327</v>
      </c>
      <c r="C34" s="20" t="str">
        <f aca="false">CHOOSE(WEEKDAY(B34,2),"Lunedì","Martedì","Mercoledì","Giovedì","Venerdì","Sabato","Domenica")</f>
        <v>Domenica</v>
      </c>
      <c r="D34" s="10" t="n">
        <v>0.927083333333333</v>
      </c>
      <c r="E34" s="25" t="n">
        <v>200</v>
      </c>
      <c r="F34" s="11" t="n">
        <f aca="false">SUMIF(Vendite!$A$2:$A$1000,A34,Vendite!$H$2:$H$1000)</f>
        <v>0</v>
      </c>
      <c r="G34" s="11" t="n">
        <f aca="false">SUMIF(Vendite!$A$2:$A$1000,A34,Vendite!$I$2:$I$1000)</f>
        <v>0</v>
      </c>
      <c r="H34" s="12" t="n">
        <f aca="false">SUMIF(Vendite!$A$2:$A$1000,A34,Vendite!$J$2:$J$1000)</f>
        <v>0</v>
      </c>
      <c r="I34" s="12" t="n">
        <f aca="false">SUMIF(Vendite!$A$2:$A$1000,A34,Vendite!$L$2:$L$1000)</f>
        <v>0</v>
      </c>
      <c r="J34" s="12" t="n">
        <f aca="false">SUMIF(Vendite!$A$2:$A$1000,A34,Vendite!$M$2:$M$1000)</f>
        <v>0</v>
      </c>
      <c r="K34" s="22" t="n">
        <f aca="false">IF(E34&gt;0,F34/E34,0)</f>
        <v>0</v>
      </c>
      <c r="L34" s="20" t="str">
        <f aca="false">IF(F34&gt;0,"Venduto","Zero vendite")</f>
        <v>Zero vendite</v>
      </c>
      <c r="M34" s="20" t="n">
        <f aca="false">F34+H34/100000+(1000-ROW())/100000000</f>
        <v>9.66E-006</v>
      </c>
    </row>
    <row r="35" customFormat="false" ht="15" hidden="false" customHeight="false" outlineLevel="0" collapsed="false">
      <c r="A35" s="21" t="s">
        <v>66</v>
      </c>
      <c r="B35" s="13" t="n">
        <v>46327</v>
      </c>
      <c r="C35" s="21" t="str">
        <f aca="false">CHOOSE(WEEKDAY(B35,2),"Lunedì","Martedì","Mercoledì","Giovedì","Venerdì","Sabato","Domenica")</f>
        <v>Domenica</v>
      </c>
      <c r="D35" s="14" t="n">
        <v>0.96875</v>
      </c>
      <c r="E35" s="23" t="n">
        <v>200</v>
      </c>
      <c r="F35" s="15" t="n">
        <f aca="false">SUMIF(Vendite!$A$2:$A$1000,A35,Vendite!$H$2:$H$1000)</f>
        <v>0</v>
      </c>
      <c r="G35" s="15" t="n">
        <f aca="false">SUMIF(Vendite!$A$2:$A$1000,A35,Vendite!$I$2:$I$1000)</f>
        <v>0</v>
      </c>
      <c r="H35" s="16" t="n">
        <f aca="false">SUMIF(Vendite!$A$2:$A$1000,A35,Vendite!$J$2:$J$1000)</f>
        <v>0</v>
      </c>
      <c r="I35" s="16" t="n">
        <f aca="false">SUMIF(Vendite!$A$2:$A$1000,A35,Vendite!$L$2:$L$1000)</f>
        <v>0</v>
      </c>
      <c r="J35" s="16" t="n">
        <f aca="false">SUMIF(Vendite!$A$2:$A$1000,A35,Vendite!$M$2:$M$1000)</f>
        <v>0</v>
      </c>
      <c r="K35" s="24" t="n">
        <f aca="false">IF(E35&gt;0,F35/E35,0)</f>
        <v>0</v>
      </c>
      <c r="L35" s="21" t="str">
        <f aca="false">IF(F35&gt;0,"Venduto","Zero vendite")</f>
        <v>Zero vendite</v>
      </c>
      <c r="M35" s="21" t="n">
        <f aca="false">F35+H35/100000+(1000-ROW())/100000000</f>
        <v>9.65E-006</v>
      </c>
    </row>
    <row r="36" customFormat="false" ht="15" hidden="false" customHeight="false" outlineLevel="0" collapsed="false">
      <c r="A36" s="20" t="s">
        <v>67</v>
      </c>
      <c r="B36" s="9" t="n">
        <v>46327</v>
      </c>
      <c r="C36" s="20" t="str">
        <f aca="false">CHOOSE(WEEKDAY(B36,2),"Lunedì","Martedì","Mercoledì","Giovedì","Venerdì","Sabato","Domenica")</f>
        <v>Domenica</v>
      </c>
      <c r="D36" s="10" t="n">
        <v>0.999305555555556</v>
      </c>
      <c r="E36" s="25" t="n">
        <v>200</v>
      </c>
      <c r="F36" s="11" t="n">
        <f aca="false">SUMIF(Vendite!$A$2:$A$1000,A36,Vendite!$H$2:$H$1000)</f>
        <v>0</v>
      </c>
      <c r="G36" s="11" t="n">
        <f aca="false">SUMIF(Vendite!$A$2:$A$1000,A36,Vendite!$I$2:$I$1000)</f>
        <v>0</v>
      </c>
      <c r="H36" s="12" t="n">
        <f aca="false">SUMIF(Vendite!$A$2:$A$1000,A36,Vendite!$J$2:$J$1000)</f>
        <v>0</v>
      </c>
      <c r="I36" s="12" t="n">
        <f aca="false">SUMIF(Vendite!$A$2:$A$1000,A36,Vendite!$L$2:$L$1000)</f>
        <v>0</v>
      </c>
      <c r="J36" s="12" t="n">
        <f aca="false">SUMIF(Vendite!$A$2:$A$1000,A36,Vendite!$M$2:$M$1000)</f>
        <v>0</v>
      </c>
      <c r="K36" s="22" t="n">
        <f aca="false">IF(E36&gt;0,F36/E36,0)</f>
        <v>0</v>
      </c>
      <c r="L36" s="20" t="str">
        <f aca="false">IF(F36&gt;0,"Venduto","Zero vendite")</f>
        <v>Zero vendite</v>
      </c>
      <c r="M36" s="20" t="n">
        <f aca="false">F36+H36/100000+(1000-ROW())/100000000</f>
        <v>9.64E-006</v>
      </c>
    </row>
  </sheetData>
  <autoFilter ref="A1:M36"/>
  <conditionalFormatting sqref="L2:L36">
    <cfRule type="expression" priority="2" aboveAverage="0" equalAverage="0" bottom="0" percent="0" rank="0" text="" dxfId="6">
      <formula>L2="Venduto"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5" min="4" style="0" width="12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2"/>
  </cols>
  <sheetData>
    <row r="1" customFormat="false" ht="30" hidden="false" customHeight="true" outlineLevel="0" collapsed="false">
      <c r="A1" s="19" t="s">
        <v>68</v>
      </c>
      <c r="B1" s="19" t="s">
        <v>6</v>
      </c>
      <c r="C1" s="19" t="s">
        <v>7</v>
      </c>
      <c r="D1" s="19" t="s">
        <v>69</v>
      </c>
      <c r="E1" s="19" t="s">
        <v>13</v>
      </c>
      <c r="F1" s="19" t="s">
        <v>70</v>
      </c>
      <c r="G1" s="19" t="s">
        <v>71</v>
      </c>
      <c r="H1" s="19" t="s">
        <v>72</v>
      </c>
      <c r="I1" s="19" t="s">
        <v>73</v>
      </c>
      <c r="J1" s="19" t="s">
        <v>27</v>
      </c>
      <c r="K1" s="19" t="s">
        <v>74</v>
      </c>
      <c r="L1" s="19" t="s">
        <v>28</v>
      </c>
      <c r="M1" s="19" t="s">
        <v>29</v>
      </c>
      <c r="N1" s="19" t="s">
        <v>75</v>
      </c>
    </row>
    <row r="2" customFormat="false" ht="15" hidden="false" customHeight="false" outlineLevel="0" collapsed="false">
      <c r="A2" s="20" t="s">
        <v>33</v>
      </c>
      <c r="B2" s="9" t="n">
        <v>46318</v>
      </c>
      <c r="C2" s="10" t="n">
        <v>0.84375</v>
      </c>
      <c r="D2" s="20" t="s">
        <v>76</v>
      </c>
      <c r="E2" s="20" t="s">
        <v>20</v>
      </c>
      <c r="F2" s="20" t="str">
        <f aca="false">IFERROR(INDEX(Tariffe!$B$2:$B$200,MATCH(E2,Tariffe!$A$2:$A$200,0)),"DA DEFINIRE")</f>
        <v>Tariffa 24 €</v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0" t="s">
        <v>77</v>
      </c>
    </row>
    <row r="3" customFormat="false" ht="15" hidden="false" customHeight="false" outlineLevel="0" collapsed="false">
      <c r="A3" s="21" t="s">
        <v>36</v>
      </c>
      <c r="B3" s="13" t="n">
        <v>46318</v>
      </c>
      <c r="C3" s="14" t="n">
        <v>0.96875</v>
      </c>
      <c r="D3" s="21" t="s">
        <v>76</v>
      </c>
      <c r="E3" s="21" t="s">
        <v>20</v>
      </c>
      <c r="F3" s="21" t="str">
        <f aca="false">IFERROR(INDEX(Tariffe!$B$2:$B$200,MATCH(E3,Tariffe!$A$2:$A$200,0)),"DA DEFINIRE")</f>
        <v>Tariffa 24 €</v>
      </c>
      <c r="G3" s="16" t="n">
        <v>24</v>
      </c>
      <c r="H3" s="15" t="n">
        <v>1</v>
      </c>
      <c r="I3" s="15" t="n">
        <v>0</v>
      </c>
      <c r="J3" s="16" t="n">
        <v>24</v>
      </c>
      <c r="K3" s="16" t="n">
        <v>0</v>
      </c>
      <c r="L3" s="16" t="n">
        <v>21.82</v>
      </c>
      <c r="M3" s="16" t="n">
        <v>2.18</v>
      </c>
      <c r="N3" s="21" t="s">
        <v>77</v>
      </c>
    </row>
    <row r="4" customFormat="false" ht="15" hidden="false" customHeight="false" outlineLevel="0" collapsed="false">
      <c r="A4" s="20" t="s">
        <v>45</v>
      </c>
      <c r="B4" s="9" t="n">
        <v>46320</v>
      </c>
      <c r="C4" s="10" t="n">
        <v>0.927083333333333</v>
      </c>
      <c r="D4" s="20" t="s">
        <v>76</v>
      </c>
      <c r="E4" s="20" t="s">
        <v>20</v>
      </c>
      <c r="F4" s="20" t="str">
        <f aca="false">IFERROR(INDEX(Tariffe!$B$2:$B$200,MATCH(E4,Tariffe!$A$2:$A$200,0)),"DA DEFINIRE")</f>
        <v>Tariffa 24 €</v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0" t="s">
        <v>77</v>
      </c>
    </row>
    <row r="5" customFormat="false" ht="15" hidden="false" customHeight="false" outlineLevel="0" collapsed="false">
      <c r="A5" s="21" t="s">
        <v>56</v>
      </c>
      <c r="B5" s="13" t="n">
        <v>46325</v>
      </c>
      <c r="C5" s="14" t="n">
        <v>0.96875</v>
      </c>
      <c r="D5" s="21" t="s">
        <v>76</v>
      </c>
      <c r="E5" s="21" t="s">
        <v>17</v>
      </c>
      <c r="F5" s="21" t="str">
        <f aca="false">IFERROR(INDEX(Tariffe!$B$2:$B$200,MATCH(E5,Tariffe!$A$2:$A$200,0)),"DA DEFINIRE")</f>
        <v>Tariffa 48 €</v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1" t="s">
        <v>77</v>
      </c>
    </row>
  </sheetData>
  <autoFilter ref="A1:N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8"/>
  </cols>
  <sheetData>
    <row r="1" customFormat="false" ht="30" hidden="false" customHeight="true" outlineLevel="0" collapsed="false">
      <c r="A1" s="19" t="s">
        <v>13</v>
      </c>
      <c r="B1" s="19" t="s">
        <v>14</v>
      </c>
      <c r="C1" s="19" t="s">
        <v>78</v>
      </c>
      <c r="D1" s="19" t="s">
        <v>9</v>
      </c>
      <c r="E1" s="19" t="s">
        <v>79</v>
      </c>
    </row>
    <row r="2" customFormat="false" ht="15" hidden="false" customHeight="false" outlineLevel="0" collapsed="false">
      <c r="A2" s="20" t="str">
        <f aca="false">Tariffe!A2</f>
        <v>I1</v>
      </c>
      <c r="B2" s="20" t="str">
        <f aca="false">Tariffe!B2</f>
        <v>Tariffa 48 €</v>
      </c>
      <c r="C2" s="11" t="n">
        <f aca="false">SUMIF(Vendite!$E$2:$E$1000,A2,Vendite!$H$2:$H$1000)</f>
        <v>1</v>
      </c>
      <c r="D2" s="12" t="n">
        <f aca="false">SUMIF(Vendite!$E$2:$E$1000,A2,Vendite!$J$2:$J$1000)</f>
        <v>48</v>
      </c>
      <c r="E2" s="22" t="n">
        <f aca="false">IF(SUM($D$2:$D$3)&gt;0,D2/SUM($D$2:$D$3),0)</f>
        <v>0.4</v>
      </c>
    </row>
    <row r="3" customFormat="false" ht="15" hidden="false" customHeight="false" outlineLevel="0" collapsed="false">
      <c r="A3" s="21" t="str">
        <f aca="false">Tariffe!A3</f>
        <v>I8</v>
      </c>
      <c r="B3" s="21" t="str">
        <f aca="false">Tariffe!B3</f>
        <v>Tariffa 24 €</v>
      </c>
      <c r="C3" s="15" t="n">
        <f aca="false">SUMIF(Vendite!$E$2:$E$1000,A3,Vendite!$H$2:$H$1000)</f>
        <v>3</v>
      </c>
      <c r="D3" s="16" t="n">
        <f aca="false">SUMIF(Vendite!$E$2:$E$1000,A3,Vendite!$J$2:$J$1000)</f>
        <v>72</v>
      </c>
      <c r="E3" s="24" t="n">
        <f aca="false">IF(SUM($D$2:$D$3)&gt;0,D3/SUM($D$2:$D$3),0)</f>
        <v>0.6</v>
      </c>
    </row>
    <row r="4" customFormat="false" ht="15" hidden="false" customHeight="false" outlineLevel="0" collapsed="false">
      <c r="A4" s="26" t="s">
        <v>80</v>
      </c>
      <c r="B4" s="26"/>
      <c r="C4" s="27" t="n">
        <f aca="false">SUM(C2:C3)</f>
        <v>4</v>
      </c>
      <c r="D4" s="28" t="n">
        <f aca="false">SUM(D2:D3)</f>
        <v>120</v>
      </c>
      <c r="E4" s="29" t="n">
        <f aca="false">SUM(E2:E3)</f>
        <v>1</v>
      </c>
    </row>
  </sheetData>
  <autoFilter ref="A1:E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9" min="5" style="0" width="9"/>
  </cols>
  <sheetData>
    <row r="1" customFormat="false" ht="30" hidden="false" customHeight="true" outlineLevel="0" collapsed="false">
      <c r="A1" s="19" t="s">
        <v>6</v>
      </c>
      <c r="B1" s="19" t="s">
        <v>81</v>
      </c>
      <c r="C1" s="19" t="s">
        <v>82</v>
      </c>
      <c r="D1" s="19" t="s">
        <v>83</v>
      </c>
      <c r="E1" s="19" t="s">
        <v>84</v>
      </c>
      <c r="F1" s="19" t="s">
        <v>85</v>
      </c>
      <c r="G1" s="19" t="s">
        <v>86</v>
      </c>
      <c r="H1" s="19" t="s">
        <v>87</v>
      </c>
      <c r="I1" s="19" t="s">
        <v>88</v>
      </c>
      <c r="J1" s="30" t="s">
        <v>89</v>
      </c>
    </row>
    <row r="2" customFormat="false" ht="15" hidden="false" customHeight="false" outlineLevel="0" collapsed="false">
      <c r="A2" s="9" t="n">
        <v>46318</v>
      </c>
      <c r="B2" s="20" t="str">
        <f aca="false">CHOOSE(WEEKDAY(A2,2),"Lunedì","Martedì","Mercoledì","Giovedì","Venerdì","Sabato","Domenica")</f>
        <v>Venerdì</v>
      </c>
      <c r="C2" s="11" t="n">
        <f aca="false">SUM(E2:I2)</f>
        <v>2</v>
      </c>
      <c r="D2" s="12" t="n">
        <f aca="false">SUMIF(Vendite!$B$2:$B$1000,A2,Vendite!$J$2:$J$1000)</f>
        <v>48</v>
      </c>
      <c r="E2" s="11" t="n">
        <f aca="false">SUMIFS(Vendite!$H$2:$H$1000,Vendite!$B$2:$B$1000,A2,Vendite!$C$2:$C$1000,"&gt;="&amp;TIMEVALUE("20:00"),Vendite!$C$2:$C$1000,"&lt;"&amp;TIMEVALUE("21:00"))</f>
        <v>1</v>
      </c>
      <c r="F2" s="11" t="n">
        <f aca="false">SUMIFS(Vendite!$H$2:$H$1000,Vendite!$B$2:$B$1000,A2,Vendite!$C$2:$C$1000,"&gt;="&amp;TIMEVALUE("21:00"),Vendite!$C$2:$C$1000,"&lt;"&amp;TIMEVALUE("22:00"))</f>
        <v>0</v>
      </c>
      <c r="G2" s="11" t="n">
        <f aca="false">SUMIFS(Vendite!$H$2:$H$1000,Vendite!$B$2:$B$1000,A2,Vendite!$C$2:$C$1000,"&gt;="&amp;TIMEVALUE("22:00"),Vendite!$C$2:$C$1000,"&lt;"&amp;TIMEVALUE("23:00"))</f>
        <v>0</v>
      </c>
      <c r="H2" s="11" t="n">
        <f aca="false">SUMIFS(Vendite!$H$2:$H$1000,Vendite!$B$2:$B$1000,A2,Vendite!$C$2:$C$1000,"&gt;="&amp;TIMEVALUE("23:00"),Vendite!$C$2:$C$1000,"&lt;"&amp;TIMEVALUE("23:30"))</f>
        <v>1</v>
      </c>
      <c r="I2" s="11" t="n">
        <f aca="false">SUMIFS(Vendite!$H$2:$H$1000,Vendite!$B$2:$B$1000,A2,Vendite!$C$2:$C$1000,"&gt;="&amp;TIMEVALUE("23:30"))</f>
        <v>0</v>
      </c>
      <c r="J2" s="0" t="str">
        <f aca="false">TEXT(A2,"DD/MM")</f>
        <v>23/10</v>
      </c>
    </row>
    <row r="3" customFormat="false" ht="15" hidden="false" customHeight="false" outlineLevel="0" collapsed="false">
      <c r="A3" s="13" t="n">
        <v>46319</v>
      </c>
      <c r="B3" s="21" t="str">
        <f aca="false">CHOOSE(WEEKDAY(A3,2),"Lunedì","Martedì","Mercoledì","Giovedì","Venerdì","Sabato","Domenica")</f>
        <v>Sabato</v>
      </c>
      <c r="C3" s="15" t="n">
        <f aca="false">SUM(E3:I3)</f>
        <v>0</v>
      </c>
      <c r="D3" s="16" t="n">
        <f aca="false">SUMIF(Vendite!$B$2:$B$1000,A3,Vendite!$J$2:$J$1000)</f>
        <v>0</v>
      </c>
      <c r="E3" s="15" t="n">
        <f aca="false">SUMIFS(Vendite!$H$2:$H$1000,Vendite!$B$2:$B$1000,A3,Vendite!$C$2:$C$1000,"&gt;="&amp;TIMEVALUE("20:00"),Vendite!$C$2:$C$1000,"&lt;"&amp;TIMEVALUE("21:00"))</f>
        <v>0</v>
      </c>
      <c r="F3" s="15" t="n">
        <f aca="false">SUMIFS(Vendite!$H$2:$H$1000,Vendite!$B$2:$B$1000,A3,Vendite!$C$2:$C$1000,"&gt;="&amp;TIMEVALUE("21:00"),Vendite!$C$2:$C$1000,"&lt;"&amp;TIMEVALUE("22:00"))</f>
        <v>0</v>
      </c>
      <c r="G3" s="15" t="n">
        <f aca="false">SUMIFS(Vendite!$H$2:$H$1000,Vendite!$B$2:$B$1000,A3,Vendite!$C$2:$C$1000,"&gt;="&amp;TIMEVALUE("22:00"),Vendite!$C$2:$C$1000,"&lt;"&amp;TIMEVALUE("23:00"))</f>
        <v>0</v>
      </c>
      <c r="H3" s="15" t="n">
        <f aca="false">SUMIFS(Vendite!$H$2:$H$1000,Vendite!$B$2:$B$1000,A3,Vendite!$C$2:$C$1000,"&gt;="&amp;TIMEVALUE("23:00"),Vendite!$C$2:$C$1000,"&lt;"&amp;TIMEVALUE("23:30"))</f>
        <v>0</v>
      </c>
      <c r="I3" s="15" t="n">
        <f aca="false">SUMIFS(Vendite!$H$2:$H$1000,Vendite!$B$2:$B$1000,A3,Vendite!$C$2:$C$1000,"&gt;="&amp;TIMEVALUE("23:30"))</f>
        <v>0</v>
      </c>
      <c r="J3" s="0" t="str">
        <f aca="false">TEXT(A3,"DD/MM")</f>
        <v>24/10</v>
      </c>
    </row>
    <row r="4" customFormat="false" ht="15" hidden="false" customHeight="false" outlineLevel="0" collapsed="false">
      <c r="A4" s="9" t="n">
        <v>46320</v>
      </c>
      <c r="B4" s="20" t="str">
        <f aca="false">CHOOSE(WEEKDAY(A4,2),"Lunedì","Martedì","Mercoledì","Giovedì","Venerdì","Sabato","Domenica")</f>
        <v>Domenica</v>
      </c>
      <c r="C4" s="11" t="n">
        <f aca="false">SUM(E4:I4)</f>
        <v>1</v>
      </c>
      <c r="D4" s="12" t="n">
        <f aca="false">SUMIF(Vendite!$B$2:$B$1000,A4,Vendite!$J$2:$J$1000)</f>
        <v>24</v>
      </c>
      <c r="E4" s="11" t="n">
        <f aca="false">SUMIFS(Vendite!$H$2:$H$1000,Vendite!$B$2:$B$1000,A4,Vendite!$C$2:$C$1000,"&gt;="&amp;TIMEVALUE("20:00"),Vendite!$C$2:$C$1000,"&lt;"&amp;TIMEVALUE("21:00"))</f>
        <v>0</v>
      </c>
      <c r="F4" s="11" t="n">
        <f aca="false">SUMIFS(Vendite!$H$2:$H$1000,Vendite!$B$2:$B$1000,A4,Vendite!$C$2:$C$1000,"&gt;="&amp;TIMEVALUE("21:00"),Vendite!$C$2:$C$1000,"&lt;"&amp;TIMEVALUE("22:00"))</f>
        <v>0</v>
      </c>
      <c r="G4" s="11" t="n">
        <f aca="false">SUMIFS(Vendite!$H$2:$H$1000,Vendite!$B$2:$B$1000,A4,Vendite!$C$2:$C$1000,"&gt;="&amp;TIMEVALUE("22:00"),Vendite!$C$2:$C$1000,"&lt;"&amp;TIMEVALUE("23:00"))</f>
        <v>1</v>
      </c>
      <c r="H4" s="11" t="n">
        <f aca="false">SUMIFS(Vendite!$H$2:$H$1000,Vendite!$B$2:$B$1000,A4,Vendite!$C$2:$C$1000,"&gt;="&amp;TIMEVALUE("23:00"),Vendite!$C$2:$C$1000,"&lt;"&amp;TIMEVALUE("23:30"))</f>
        <v>0</v>
      </c>
      <c r="I4" s="11" t="n">
        <f aca="false">SUMIFS(Vendite!$H$2:$H$1000,Vendite!$B$2:$B$1000,A4,Vendite!$C$2:$C$1000,"&gt;="&amp;TIMEVALUE("23:30"))</f>
        <v>0</v>
      </c>
      <c r="J4" s="0" t="str">
        <f aca="false">TEXT(A4,"DD/MM")</f>
        <v>25/10</v>
      </c>
    </row>
    <row r="5" customFormat="false" ht="15" hidden="false" customHeight="false" outlineLevel="0" collapsed="false">
      <c r="A5" s="13" t="n">
        <v>46324</v>
      </c>
      <c r="B5" s="21" t="str">
        <f aca="false">CHOOSE(WEEKDAY(A5,2),"Lunedì","Martedì","Mercoledì","Giovedì","Venerdì","Sabato","Domenica")</f>
        <v>Giovedì</v>
      </c>
      <c r="C5" s="15" t="n">
        <f aca="false">SUM(E5:I5)</f>
        <v>0</v>
      </c>
      <c r="D5" s="16" t="n">
        <f aca="false">SUMIF(Vendite!$B$2:$B$1000,A5,Vendite!$J$2:$J$1000)</f>
        <v>0</v>
      </c>
      <c r="E5" s="15" t="n">
        <f aca="false">SUMIFS(Vendite!$H$2:$H$1000,Vendite!$B$2:$B$1000,A5,Vendite!$C$2:$C$1000,"&gt;="&amp;TIMEVALUE("20:00"),Vendite!$C$2:$C$1000,"&lt;"&amp;TIMEVALUE("21:00"))</f>
        <v>0</v>
      </c>
      <c r="F5" s="15" t="n">
        <f aca="false">SUMIFS(Vendite!$H$2:$H$1000,Vendite!$B$2:$B$1000,A5,Vendite!$C$2:$C$1000,"&gt;="&amp;TIMEVALUE("21:00"),Vendite!$C$2:$C$1000,"&lt;"&amp;TIMEVALUE("22:00"))</f>
        <v>0</v>
      </c>
      <c r="G5" s="15" t="n">
        <f aca="false">SUMIFS(Vendite!$H$2:$H$1000,Vendite!$B$2:$B$1000,A5,Vendite!$C$2:$C$1000,"&gt;="&amp;TIMEVALUE("22:00"),Vendite!$C$2:$C$1000,"&lt;"&amp;TIMEVALUE("23:00"))</f>
        <v>0</v>
      </c>
      <c r="H5" s="15" t="n">
        <f aca="false">SUMIFS(Vendite!$H$2:$H$1000,Vendite!$B$2:$B$1000,A5,Vendite!$C$2:$C$1000,"&gt;="&amp;TIMEVALUE("23:00"),Vendite!$C$2:$C$1000,"&lt;"&amp;TIMEVALUE("23:30"))</f>
        <v>0</v>
      </c>
      <c r="I5" s="15" t="n">
        <f aca="false">SUMIFS(Vendite!$H$2:$H$1000,Vendite!$B$2:$B$1000,A5,Vendite!$C$2:$C$1000,"&gt;="&amp;TIMEVALUE("23:30"))</f>
        <v>0</v>
      </c>
      <c r="J5" s="0" t="str">
        <f aca="false">TEXT(A5,"DD/MM")</f>
        <v>29/10</v>
      </c>
    </row>
    <row r="6" customFormat="false" ht="15" hidden="false" customHeight="false" outlineLevel="0" collapsed="false">
      <c r="A6" s="9" t="n">
        <v>46325</v>
      </c>
      <c r="B6" s="20" t="str">
        <f aca="false">CHOOSE(WEEKDAY(A6,2),"Lunedì","Martedì","Mercoledì","Giovedì","Venerdì","Sabato","Domenica")</f>
        <v>Venerdì</v>
      </c>
      <c r="C6" s="11" t="n">
        <f aca="false">SUM(E6:I6)</f>
        <v>1</v>
      </c>
      <c r="D6" s="12" t="n">
        <f aca="false">SUMIF(Vendite!$B$2:$B$1000,A6,Vendite!$J$2:$J$1000)</f>
        <v>48</v>
      </c>
      <c r="E6" s="11" t="n">
        <f aca="false">SUMIFS(Vendite!$H$2:$H$1000,Vendite!$B$2:$B$1000,A6,Vendite!$C$2:$C$1000,"&gt;="&amp;TIMEVALUE("20:00"),Vendite!$C$2:$C$1000,"&lt;"&amp;TIMEVALUE("21:00"))</f>
        <v>0</v>
      </c>
      <c r="F6" s="11" t="n">
        <f aca="false">SUMIFS(Vendite!$H$2:$H$1000,Vendite!$B$2:$B$1000,A6,Vendite!$C$2:$C$1000,"&gt;="&amp;TIMEVALUE("21:00"),Vendite!$C$2:$C$1000,"&lt;"&amp;TIMEVALUE("22:00"))</f>
        <v>0</v>
      </c>
      <c r="G6" s="11" t="n">
        <f aca="false">SUMIFS(Vendite!$H$2:$H$1000,Vendite!$B$2:$B$1000,A6,Vendite!$C$2:$C$1000,"&gt;="&amp;TIMEVALUE("22:00"),Vendite!$C$2:$C$1000,"&lt;"&amp;TIMEVALUE("23:00"))</f>
        <v>0</v>
      </c>
      <c r="H6" s="11" t="n">
        <f aca="false">SUMIFS(Vendite!$H$2:$H$1000,Vendite!$B$2:$B$1000,A6,Vendite!$C$2:$C$1000,"&gt;="&amp;TIMEVALUE("23:00"),Vendite!$C$2:$C$1000,"&lt;"&amp;TIMEVALUE("23:30"))</f>
        <v>1</v>
      </c>
      <c r="I6" s="11" t="n">
        <f aca="false">SUMIFS(Vendite!$H$2:$H$1000,Vendite!$B$2:$B$1000,A6,Vendite!$C$2:$C$1000,"&gt;="&amp;TIMEVALUE("23:30"))</f>
        <v>0</v>
      </c>
      <c r="J6" s="0" t="str">
        <f aca="false">TEXT(A6,"DD/MM")</f>
        <v>30/10</v>
      </c>
    </row>
    <row r="7" customFormat="false" ht="15" hidden="false" customHeight="false" outlineLevel="0" collapsed="false">
      <c r="A7" s="13" t="n">
        <v>46326</v>
      </c>
      <c r="B7" s="21" t="str">
        <f aca="false">CHOOSE(WEEKDAY(A7,2),"Lunedì","Martedì","Mercoledì","Giovedì","Venerdì","Sabato","Domenica")</f>
        <v>Sabato</v>
      </c>
      <c r="C7" s="15" t="n">
        <f aca="false">SUM(E7:I7)</f>
        <v>0</v>
      </c>
      <c r="D7" s="16" t="n">
        <f aca="false">SUMIF(Vendite!$B$2:$B$1000,A7,Vendite!$J$2:$J$1000)</f>
        <v>0</v>
      </c>
      <c r="E7" s="15" t="n">
        <f aca="false">SUMIFS(Vendite!$H$2:$H$1000,Vendite!$B$2:$B$1000,A7,Vendite!$C$2:$C$1000,"&gt;="&amp;TIMEVALUE("20:00"),Vendite!$C$2:$C$1000,"&lt;"&amp;TIMEVALUE("21:00"))</f>
        <v>0</v>
      </c>
      <c r="F7" s="15" t="n">
        <f aca="false">SUMIFS(Vendite!$H$2:$H$1000,Vendite!$B$2:$B$1000,A7,Vendite!$C$2:$C$1000,"&gt;="&amp;TIMEVALUE("21:00"),Vendite!$C$2:$C$1000,"&lt;"&amp;TIMEVALUE("22:00"))</f>
        <v>0</v>
      </c>
      <c r="G7" s="15" t="n">
        <f aca="false">SUMIFS(Vendite!$H$2:$H$1000,Vendite!$B$2:$B$1000,A7,Vendite!$C$2:$C$1000,"&gt;="&amp;TIMEVALUE("22:00"),Vendite!$C$2:$C$1000,"&lt;"&amp;TIMEVALUE("23:00"))</f>
        <v>0</v>
      </c>
      <c r="H7" s="15" t="n">
        <f aca="false">SUMIFS(Vendite!$H$2:$H$1000,Vendite!$B$2:$B$1000,A7,Vendite!$C$2:$C$1000,"&gt;="&amp;TIMEVALUE("23:00"),Vendite!$C$2:$C$1000,"&lt;"&amp;TIMEVALUE("23:30"))</f>
        <v>0</v>
      </c>
      <c r="I7" s="15" t="n">
        <f aca="false">SUMIFS(Vendite!$H$2:$H$1000,Vendite!$B$2:$B$1000,A7,Vendite!$C$2:$C$1000,"&gt;="&amp;TIMEVALUE("23:30"))</f>
        <v>0</v>
      </c>
      <c r="J7" s="0" t="str">
        <f aca="false">TEXT(A7,"DD/MM")</f>
        <v>31/10</v>
      </c>
    </row>
    <row r="8" customFormat="false" ht="15" hidden="false" customHeight="false" outlineLevel="0" collapsed="false">
      <c r="A8" s="9" t="n">
        <v>46327</v>
      </c>
      <c r="B8" s="20" t="str">
        <f aca="false">CHOOSE(WEEKDAY(A8,2),"Lunedì","Martedì","Mercoledì","Giovedì","Venerdì","Sabato","Domenica")</f>
        <v>Domenica</v>
      </c>
      <c r="C8" s="11" t="n">
        <f aca="false">SUM(E8:I8)</f>
        <v>0</v>
      </c>
      <c r="D8" s="12" t="n">
        <f aca="false">SUMIF(Vendite!$B$2:$B$1000,A8,Vendite!$J$2:$J$1000)</f>
        <v>0</v>
      </c>
      <c r="E8" s="11" t="n">
        <f aca="false">SUMIFS(Vendite!$H$2:$H$1000,Vendite!$B$2:$B$1000,A8,Vendite!$C$2:$C$1000,"&gt;="&amp;TIMEVALUE("20:00"),Vendite!$C$2:$C$1000,"&lt;"&amp;TIMEVALUE("21:00"))</f>
        <v>0</v>
      </c>
      <c r="F8" s="11" t="n">
        <f aca="false">SUMIFS(Vendite!$H$2:$H$1000,Vendite!$B$2:$B$1000,A8,Vendite!$C$2:$C$1000,"&gt;="&amp;TIMEVALUE("21:00"),Vendite!$C$2:$C$1000,"&lt;"&amp;TIMEVALUE("22:00"))</f>
        <v>0</v>
      </c>
      <c r="G8" s="11" t="n">
        <f aca="false">SUMIFS(Vendite!$H$2:$H$1000,Vendite!$B$2:$B$1000,A8,Vendite!$C$2:$C$1000,"&gt;="&amp;TIMEVALUE("22:00"),Vendite!$C$2:$C$1000,"&lt;"&amp;TIMEVALUE("23:00"))</f>
        <v>0</v>
      </c>
      <c r="H8" s="11" t="n">
        <f aca="false">SUMIFS(Vendite!$H$2:$H$1000,Vendite!$B$2:$B$1000,A8,Vendite!$C$2:$C$1000,"&gt;="&amp;TIMEVALUE("23:00"),Vendite!$C$2:$C$1000,"&lt;"&amp;TIMEVALUE("23:30"))</f>
        <v>0</v>
      </c>
      <c r="I8" s="11" t="n">
        <f aca="false">SUMIFS(Vendite!$H$2:$H$1000,Vendite!$B$2:$B$1000,A8,Vendite!$C$2:$C$1000,"&gt;="&amp;TIMEVALUE("23:30"))</f>
        <v>0</v>
      </c>
      <c r="J8" s="0" t="str">
        <f aca="false">TEXT(A8,"DD/MM")</f>
        <v>01/11</v>
      </c>
    </row>
  </sheetData>
  <autoFilter ref="A1:I8"/>
  <conditionalFormatting sqref="E2:I8">
    <cfRule type="colorScale" priority="2">
      <colorScale>
        <cfvo type="min" val="0"/>
        <cfvo type="percentile" val="50"/>
        <cfvo type="max" val="0"/>
        <color rgb="FFFFFFFF"/>
        <color rgb="FFF4B6A6"/>
        <color rgb="FFB3261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5"/>
  </cols>
  <sheetData>
    <row r="1" customFormat="false" ht="30" hidden="false" customHeight="true" outlineLevel="0" collapsed="false">
      <c r="A1" s="19" t="s">
        <v>90</v>
      </c>
      <c r="B1" s="19" t="s">
        <v>82</v>
      </c>
      <c r="C1" s="19" t="s">
        <v>83</v>
      </c>
      <c r="D1" s="19" t="s">
        <v>91</v>
      </c>
      <c r="E1" s="19" t="s">
        <v>92</v>
      </c>
      <c r="F1" s="30" t="s">
        <v>89</v>
      </c>
    </row>
    <row r="2" customFormat="false" ht="15" hidden="false" customHeight="false" outlineLevel="0" collapsed="false">
      <c r="A2" s="31" t="n">
        <v>46300.6631944445</v>
      </c>
      <c r="B2" s="11" t="n">
        <v>4</v>
      </c>
      <c r="C2" s="12" t="n">
        <v>120</v>
      </c>
      <c r="D2" s="32" t="s">
        <v>93</v>
      </c>
      <c r="E2" s="33" t="s">
        <v>93</v>
      </c>
      <c r="F2" s="0" t="str">
        <f aca="false">TEXT(A2,"DD/MM HH:MM")</f>
        <v>05/10 15:55</v>
      </c>
    </row>
  </sheetData>
  <autoFilter ref="A1:E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2026-10-05T13:55:39Z</dcterms:created>
  <dc:creator>openpyxl</dc:creator>
  <dc:description/>
  <dc:language>en-US</dc:language>
  <cp:lastModifiedBy/>
  <dcterms:modified xsi:type="dcterms:W3CDTF">2026-10-05T15:55:41Z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