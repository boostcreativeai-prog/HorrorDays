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'Vendite'!$A$1:$R$148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'Storico'!$A$1:$G$814</definedName>
    <definedName name="_xlnm._FilterDatabase" localSheetId="8" hidden="1">'Registro vendite'!$A$1:$K$1427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'Storico'!$H$2:$H$814</f>
            </numRef>
          </cat>
          <val>
            <numRef>
              <f>'Storico'!$C$2:$C$814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MAX(Storico!A2:A814)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336</v>
      </c>
      <c r="K62" s="12" t="n">
        <v>0</v>
      </c>
      <c r="L62" s="12" t="n">
        <v>305.48</v>
      </c>
      <c r="M62" s="12" t="n">
        <v>30.52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7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9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420</v>
      </c>
      <c r="K79" s="16" t="n">
        <v>0</v>
      </c>
      <c r="L79" s="16" t="n">
        <v>381.85</v>
      </c>
      <c r="M79" s="16" t="n">
        <v>38.15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408</v>
      </c>
      <c r="K80" s="12" t="n">
        <v>0</v>
      </c>
      <c r="L80" s="12" t="n">
        <v>370.94</v>
      </c>
      <c r="M80" s="12" t="n">
        <v>37.06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17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504</v>
      </c>
      <c r="K86" s="12" t="n">
        <v>0</v>
      </c>
      <c r="L86" s="12" t="n">
        <v>458.22</v>
      </c>
      <c r="M86" s="12" t="n">
        <v>45.78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21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1632</v>
      </c>
      <c r="K87" s="16" t="n">
        <v>0</v>
      </c>
      <c r="L87" s="16" t="n">
        <v>1483.76</v>
      </c>
      <c r="M87" s="16" t="n">
        <v>148.24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4</v>
      </c>
      <c r="J90" s="12" t="n">
        <v>816</v>
      </c>
      <c r="K90" s="12" t="n">
        <v>0</v>
      </c>
      <c r="L90" s="12" t="n">
        <v>741.88</v>
      </c>
      <c r="M90" s="12" t="n">
        <v>74.12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1152</v>
      </c>
      <c r="K91" s="16" t="n">
        <v>0</v>
      </c>
      <c r="L91" s="16" t="n">
        <v>1047.36</v>
      </c>
      <c r="M91" s="16" t="n">
        <v>104.64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432</v>
      </c>
      <c r="K92" s="12" t="n">
        <v>0</v>
      </c>
      <c r="L92" s="12" t="n">
        <v>392.76</v>
      </c>
      <c r="M92" s="12" t="n">
        <v>39.24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780</v>
      </c>
      <c r="K93" s="16" t="n">
        <v>0</v>
      </c>
      <c r="L93" s="16" t="n">
        <v>709.15</v>
      </c>
      <c r="M93" s="16" t="n">
        <v>70.84999999999999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13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744</v>
      </c>
      <c r="K94" s="12" t="n">
        <v>0</v>
      </c>
      <c r="L94" s="12" t="n">
        <v>676.42</v>
      </c>
      <c r="M94" s="12" t="n">
        <v>67.58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31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528</v>
      </c>
      <c r="K95" s="16" t="n">
        <v>0</v>
      </c>
      <c r="L95" s="16" t="n">
        <v>480.04</v>
      </c>
      <c r="M95" s="16" t="n">
        <v>47.96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11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144</v>
      </c>
      <c r="K96" s="12" t="n">
        <v>0</v>
      </c>
      <c r="L96" s="12" t="n">
        <v>130.92</v>
      </c>
      <c r="M96" s="12" t="n">
        <v>13.08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4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0</v>
      </c>
      <c r="J97" s="16" t="n">
        <v>420</v>
      </c>
      <c r="K97" s="16" t="n">
        <v>0</v>
      </c>
      <c r="L97" s="16" t="n">
        <v>381.85</v>
      </c>
      <c r="M97" s="16" t="n">
        <v>38.15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7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432</v>
      </c>
      <c r="K98" s="12" t="n">
        <v>0</v>
      </c>
      <c r="L98" s="12" t="n">
        <v>392.76</v>
      </c>
      <c r="M98" s="12" t="n">
        <v>39.24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18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48</v>
      </c>
      <c r="K99" s="16" t="n">
        <v>0</v>
      </c>
      <c r="L99" s="16" t="n">
        <v>43.64</v>
      </c>
      <c r="M99" s="16" t="n">
        <v>4.36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9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0</v>
      </c>
      <c r="J103" s="16" t="n">
        <v>1584</v>
      </c>
      <c r="K103" s="16" t="n">
        <v>0</v>
      </c>
      <c r="L103" s="16" t="n">
        <v>1440.12</v>
      </c>
      <c r="M103" s="16" t="n">
        <v>143.88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33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288</v>
      </c>
      <c r="K104" s="12" t="n">
        <v>0</v>
      </c>
      <c r="L104" s="12" t="n">
        <v>261.84</v>
      </c>
      <c r="M104" s="12" t="n">
        <v>26.16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8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2</v>
      </c>
      <c r="J105" s="16" t="n">
        <v>660</v>
      </c>
      <c r="K105" s="16" t="n">
        <v>0</v>
      </c>
      <c r="L105" s="16" t="n">
        <v>600.05</v>
      </c>
      <c r="M105" s="16" t="n">
        <v>59.95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11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672</v>
      </c>
      <c r="K106" s="12" t="n">
        <v>0</v>
      </c>
      <c r="L106" s="12" t="n">
        <v>610.96</v>
      </c>
      <c r="M106" s="12" t="n">
        <v>61.04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28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1440</v>
      </c>
      <c r="K107" s="16" t="n">
        <v>0</v>
      </c>
      <c r="L107" s="16" t="n">
        <v>1309.2</v>
      </c>
      <c r="M107" s="16" t="n">
        <v>130.8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30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216</v>
      </c>
      <c r="K108" s="12" t="n">
        <v>0</v>
      </c>
      <c r="L108" s="12" t="n">
        <v>196.38</v>
      </c>
      <c r="M108" s="12" t="n">
        <v>19.62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6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360</v>
      </c>
      <c r="K109" s="16" t="n">
        <v>0</v>
      </c>
      <c r="L109" s="16" t="n">
        <v>327.3</v>
      </c>
      <c r="M109" s="16" t="n">
        <v>32.7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912</v>
      </c>
      <c r="K110" s="12" t="n">
        <v>0</v>
      </c>
      <c r="L110" s="12" t="n">
        <v>829.16</v>
      </c>
      <c r="M110" s="12" t="n">
        <v>82.84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38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3</v>
      </c>
      <c r="J111" s="16" t="n">
        <v>1296</v>
      </c>
      <c r="K111" s="16" t="n">
        <v>0</v>
      </c>
      <c r="L111" s="16" t="n">
        <v>1178.28</v>
      </c>
      <c r="M111" s="16" t="n">
        <v>117.72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27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180</v>
      </c>
      <c r="K112" s="12" t="n">
        <v>0</v>
      </c>
      <c r="L112" s="12" t="n">
        <v>163.65</v>
      </c>
      <c r="M112" s="12" t="n">
        <v>16.35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5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1056</v>
      </c>
      <c r="K114" s="12" t="n">
        <v>0</v>
      </c>
      <c r="L114" s="12" t="n">
        <v>960.08</v>
      </c>
      <c r="M114" s="12" t="n">
        <v>95.92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44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1968</v>
      </c>
      <c r="K115" s="16" t="n">
        <v>0</v>
      </c>
      <c r="L115" s="16" t="n">
        <v>1789.24</v>
      </c>
      <c r="M115" s="16" t="n">
        <v>178.76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41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108</v>
      </c>
      <c r="K116" s="12" t="n">
        <v>0</v>
      </c>
      <c r="L116" s="12" t="n">
        <v>98.19</v>
      </c>
      <c r="M116" s="12" t="n">
        <v>9.81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300</v>
      </c>
      <c r="K117" s="16" t="n">
        <v>0</v>
      </c>
      <c r="L117" s="16" t="n">
        <v>272.75</v>
      </c>
      <c r="M117" s="16" t="n">
        <v>27.25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5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744</v>
      </c>
      <c r="K118" s="12" t="n">
        <v>0</v>
      </c>
      <c r="L118" s="12" t="n">
        <v>676.42</v>
      </c>
      <c r="M118" s="12" t="n">
        <v>67.58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2256</v>
      </c>
      <c r="K119" s="16" t="n">
        <v>0</v>
      </c>
      <c r="L119" s="16" t="n">
        <v>2051.08</v>
      </c>
      <c r="M119" s="16" t="n">
        <v>204.92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47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300</v>
      </c>
      <c r="K121" s="16" t="n">
        <v>0</v>
      </c>
      <c r="L121" s="16" t="n">
        <v>272.75</v>
      </c>
      <c r="M121" s="16" t="n">
        <v>27.25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648</v>
      </c>
      <c r="K122" s="12" t="n">
        <v>0</v>
      </c>
      <c r="L122" s="12" t="n">
        <v>589.14</v>
      </c>
      <c r="M122" s="12" t="n">
        <v>58.86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27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48</v>
      </c>
      <c r="K123" s="16" t="n">
        <v>0</v>
      </c>
      <c r="L123" s="16" t="n">
        <v>43.64</v>
      </c>
      <c r="M123" s="16" t="n">
        <v>4.36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36</v>
      </c>
      <c r="K124" s="12" t="n">
        <v>0</v>
      </c>
      <c r="L124" s="12" t="n">
        <v>32.73</v>
      </c>
      <c r="M124" s="12" t="n">
        <v>3.27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432</v>
      </c>
      <c r="K126" s="12" t="n">
        <v>0</v>
      </c>
      <c r="L126" s="12" t="n">
        <v>392.76</v>
      </c>
      <c r="M126" s="12" t="n">
        <v>39.24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9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120</v>
      </c>
      <c r="K128" s="12" t="n">
        <v>0</v>
      </c>
      <c r="L128" s="12" t="n">
        <v>109.1</v>
      </c>
      <c r="M128" s="12" t="n">
        <v>10.9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120</v>
      </c>
      <c r="K129" s="16" t="n">
        <v>0</v>
      </c>
      <c r="L129" s="16" t="n">
        <v>109.1</v>
      </c>
      <c r="M129" s="16" t="n">
        <v>10.9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5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480</v>
      </c>
      <c r="K130" s="12" t="n">
        <v>0</v>
      </c>
      <c r="L130" s="12" t="n">
        <v>436.4</v>
      </c>
      <c r="M130" s="12" t="n">
        <v>43.6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10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4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312</v>
      </c>
      <c r="K133" s="16" t="n">
        <v>0</v>
      </c>
      <c r="L133" s="16" t="n">
        <v>283.66</v>
      </c>
      <c r="M133" s="16" t="n">
        <v>28.34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13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960</v>
      </c>
      <c r="K134" s="12" t="n">
        <v>0</v>
      </c>
      <c r="L134" s="12" t="n">
        <v>872.8</v>
      </c>
      <c r="M134" s="12" t="n">
        <v>87.2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20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108</v>
      </c>
      <c r="K135" s="16" t="n">
        <v>0</v>
      </c>
      <c r="L135" s="16" t="n">
        <v>98.19</v>
      </c>
      <c r="M135" s="16" t="n">
        <v>9.81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180</v>
      </c>
      <c r="K136" s="12" t="n">
        <v>0</v>
      </c>
      <c r="L136" s="12" t="n">
        <v>163.65</v>
      </c>
      <c r="M136" s="12" t="n">
        <v>16.35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3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504</v>
      </c>
      <c r="K137" s="16" t="n">
        <v>0</v>
      </c>
      <c r="L137" s="16" t="n">
        <v>458.22</v>
      </c>
      <c r="M137" s="16" t="n">
        <v>45.78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21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72</v>
      </c>
      <c r="K139" s="16" t="n">
        <v>0</v>
      </c>
      <c r="L139" s="16" t="n">
        <v>65.45999999999999</v>
      </c>
      <c r="M139" s="16" t="n">
        <v>6.54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240</v>
      </c>
      <c r="K140" s="12" t="n">
        <v>0</v>
      </c>
      <c r="L140" s="12" t="n">
        <v>218.2</v>
      </c>
      <c r="M140" s="12" t="n">
        <v>21.8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96</v>
      </c>
      <c r="K141" s="16" t="n">
        <v>0</v>
      </c>
      <c r="L141" s="16" t="n">
        <v>87.28</v>
      </c>
      <c r="M141" s="16" t="n">
        <v>8.720000000000001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4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192</v>
      </c>
      <c r="K142" s="12" t="n">
        <v>0</v>
      </c>
      <c r="L142" s="12" t="n">
        <v>174.56</v>
      </c>
      <c r="M142" s="12" t="n">
        <v>17.44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4</v>
      </c>
      <c r="R142" s="11">
        <f>IFERROR(INDEX(Tariffe!$E$2:$E$200,MATCH(E142,Tariffe!$A$2:$A$200,0))*1,1)</f>
        <v/>
      </c>
    </row>
    <row r="143">
      <c r="A143" s="23" t="inlineStr">
        <is>
          <t>20261101_2359</t>
        </is>
      </c>
      <c r="B143" s="13" t="n">
        <v>46327</v>
      </c>
      <c r="C143" s="14" t="n">
        <v>0.9993055555555556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60</v>
      </c>
      <c r="K143" s="16" t="n">
        <v>0</v>
      </c>
      <c r="L143" s="16" t="n">
        <v>54.55</v>
      </c>
      <c r="M143" s="16" t="n">
        <v>5.45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48</v>
      </c>
      <c r="K144" s="12" t="n">
        <v>0</v>
      </c>
      <c r="L144" s="12" t="n">
        <v>43.64</v>
      </c>
      <c r="M144" s="12" t="n">
        <v>4.36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2</v>
      </c>
      <c r="R144" s="11">
        <f>IFERROR(INDEX(Tariffe!$E$2:$E$200,MATCH(E144,Tariffe!$A$2:$A$200,0))*1,1)</f>
        <v/>
      </c>
    </row>
    <row r="145">
      <c r="A145" s="23" t="inlineStr">
        <is>
          <t>20261102_2015</t>
        </is>
      </c>
      <c r="B145" s="13" t="n">
        <v>46328</v>
      </c>
      <c r="C145" s="14" t="n">
        <v>0.84375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30</v>
      </c>
      <c r="K145" s="16" t="n">
        <v>0</v>
      </c>
      <c r="L145" s="16" t="n">
        <v>27.28</v>
      </c>
      <c r="M145" s="16" t="n">
        <v>2.72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</v>
      </c>
      <c r="R145" s="15">
        <f>IFERROR(INDEX(Tariffe!$E$2:$E$200,MATCH(E145,Tariffe!$A$2:$A$200,0))*1,1)</f>
        <v/>
      </c>
    </row>
    <row r="146">
      <c r="A146" s="22" t="inlineStr">
        <is>
          <t>20261102_2215</t>
        </is>
      </c>
      <c r="B146" s="9" t="n">
        <v>46328</v>
      </c>
      <c r="C146" s="10" t="n">
        <v>0.9270833333333334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90</v>
      </c>
      <c r="K146" s="12" t="n">
        <v>0</v>
      </c>
      <c r="L146" s="12" t="n">
        <v>81.84</v>
      </c>
      <c r="M146" s="12" t="n">
        <v>8.16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6</v>
      </c>
      <c r="R146" s="11">
        <f>IFERROR(INDEX(Tariffe!$E$2:$E$200,MATCH(E146,Tariffe!$A$2:$A$200,0))*1,1)</f>
        <v/>
      </c>
    </row>
    <row r="147">
      <c r="A147" s="23" t="inlineStr">
        <is>
          <t>20261102_2315</t>
        </is>
      </c>
      <c r="B147" s="13" t="n">
        <v>46328</v>
      </c>
      <c r="C147" s="14" t="n">
        <v>0.96875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45</v>
      </c>
      <c r="K147" s="16" t="n">
        <v>0</v>
      </c>
      <c r="L147" s="16" t="n">
        <v>40.92</v>
      </c>
      <c r="M147" s="16" t="n">
        <v>4.08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3</v>
      </c>
      <c r="R147" s="15">
        <f>IFERROR(INDEX(Tariffe!$E$2:$E$200,MATCH(E147,Tariffe!$A$2:$A$200,0))*1,1)</f>
        <v/>
      </c>
    </row>
    <row r="148">
      <c r="A148" s="22" t="inlineStr">
        <is>
          <t>20261102_2359</t>
        </is>
      </c>
      <c r="B148" s="9" t="n">
        <v>46328</v>
      </c>
      <c r="C148" s="10" t="n">
        <v>0.9993055555555556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15</v>
      </c>
      <c r="K148" s="12" t="n">
        <v>0</v>
      </c>
      <c r="L148" s="12" t="n">
        <v>13.64</v>
      </c>
      <c r="M148" s="12" t="n">
        <v>1.36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</sheetData>
  <autoFilter ref="A1:R14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</sheetData>
  <autoFilter ref="A1:G81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</sheetData>
  <autoFilter ref="A1:K142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238</v>
      </c>
      <c r="M6" s="11" t="n">
        <v>755</v>
      </c>
      <c r="N6" s="12" t="n">
        <v>9060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146</v>
      </c>
      <c r="C27" s="11" t="n">
        <v>490</v>
      </c>
      <c r="D27" s="12" t="n">
        <v>5880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2026-10-28T16:58:20Z</dcterms:created>
  <dcterms:modified xsi:type="dcterms:W3CDTF">2026-10-28T16:58:20Z</dcterms:modified>
</cp:coreProperties>
</file>