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'Vendite'!$A$1:$P$44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'Storico'!$A$1:$G$97</definedName>
    <definedName name="_xlnm._FilterDatabase" localSheetId="8" hidden="1">'Registro vendite'!$A$1:$K$71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'Storico'!$H$2:$H$97</f>
            </numRef>
          </cat>
          <val>
            <numRef>
              <f>'Storico'!$C$2:$C$97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vendite'!$A$4:$A$6</f>
            </numRef>
          </cat>
          <val>
            <numRef>
              <f>'Picchi vendite'!$B$4:$B$6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MAX(Storico!A2:A97)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3</v>
      </c>
      <c r="I5" s="15" t="n">
        <v>0</v>
      </c>
      <c r="J5" s="16" t="n">
        <v>72</v>
      </c>
      <c r="K5" s="16" t="n">
        <v>0</v>
      </c>
      <c r="L5" s="16" t="n">
        <v>65.45999999999999</v>
      </c>
      <c r="M5" s="16" t="n">
        <v>6.54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5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3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</v>
      </c>
      <c r="I9" s="15" t="n">
        <v>0</v>
      </c>
      <c r="J9" s="16" t="n">
        <v>48</v>
      </c>
      <c r="K9" s="16" t="n">
        <v>0</v>
      </c>
      <c r="L9" s="16" t="n">
        <v>43.64</v>
      </c>
      <c r="M9" s="16" t="n">
        <v>4.36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1</v>
      </c>
      <c r="I10" s="11" t="n">
        <v>0</v>
      </c>
      <c r="J10" s="12" t="n">
        <v>36</v>
      </c>
      <c r="K10" s="12" t="n">
        <v>0</v>
      </c>
      <c r="L10" s="12" t="n">
        <v>32.73</v>
      </c>
      <c r="M10" s="12" t="n">
        <v>3.27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1</v>
      </c>
      <c r="I11" s="15" t="n">
        <v>0</v>
      </c>
      <c r="J11" s="16" t="n">
        <v>60</v>
      </c>
      <c r="K11" s="16" t="n">
        <v>0</v>
      </c>
      <c r="L11" s="16" t="n">
        <v>54.55</v>
      </c>
      <c r="M11" s="16" t="n">
        <v>5.45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5</v>
      </c>
      <c r="I12" s="11" t="n">
        <v>0</v>
      </c>
      <c r="J12" s="12" t="n">
        <v>120</v>
      </c>
      <c r="K12" s="12" t="n">
        <v>0</v>
      </c>
      <c r="L12" s="12" t="n">
        <v>109.1</v>
      </c>
      <c r="M12" s="12" t="n">
        <v>10.9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20261023_2358</t>
        </is>
      </c>
      <c r="B13" s="13" t="n">
        <v>46318</v>
      </c>
      <c r="C13" s="14" t="n">
        <v>0.9986111111111111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1</v>
      </c>
      <c r="I13" s="15" t="n">
        <v>0</v>
      </c>
      <c r="J13" s="16" t="n">
        <v>48</v>
      </c>
      <c r="K13" s="16" t="n">
        <v>0</v>
      </c>
      <c r="L13" s="16" t="n">
        <v>43.64</v>
      </c>
      <c r="M13" s="16" t="n">
        <v>4.36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3</v>
      </c>
      <c r="I14" s="11" t="n">
        <v>0</v>
      </c>
      <c r="J14" s="12" t="n">
        <v>72</v>
      </c>
      <c r="K14" s="12" t="n">
        <v>0</v>
      </c>
      <c r="L14" s="12" t="n">
        <v>65.45999999999999</v>
      </c>
      <c r="M14" s="12" t="n">
        <v>6.54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20261024_2015</t>
        </is>
      </c>
      <c r="B15" s="13" t="n">
        <v>46319</v>
      </c>
      <c r="C15" s="14" t="n">
        <v>0.84375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1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20261024_2015</t>
        </is>
      </c>
      <c r="B16" s="9" t="n">
        <v>46319</v>
      </c>
      <c r="C16" s="10" t="n">
        <v>0.84375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</v>
      </c>
      <c r="I16" s="11" t="n">
        <v>0</v>
      </c>
      <c r="J16" s="12" t="n">
        <v>24</v>
      </c>
      <c r="K16" s="12" t="n">
        <v>0</v>
      </c>
      <c r="L16" s="12" t="n">
        <v>21.82</v>
      </c>
      <c r="M16" s="12" t="n">
        <v>2.18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20261024_2115</t>
        </is>
      </c>
      <c r="B17" s="13" t="n">
        <v>46319</v>
      </c>
      <c r="C17" s="14" t="n">
        <v>0.8854166666666666</v>
      </c>
      <c r="D17" s="23" t="inlineStr">
        <is>
          <t>UN Unico</t>
        </is>
      </c>
      <c r="E17" s="23" t="inlineStr">
        <is>
          <t>I5</t>
        </is>
      </c>
      <c r="F17" s="23">
        <f>IFERROR(INDEX(Tariffe!$B$2:$B$200,MATCH(E17,Tariffe!$A$2:$A$200,0)),"DA DEFINIRE")</f>
        <v/>
      </c>
      <c r="G17" s="16" t="n">
        <v>60</v>
      </c>
      <c r="H17" s="15" t="n">
        <v>1</v>
      </c>
      <c r="I17" s="15" t="n">
        <v>0</v>
      </c>
      <c r="J17" s="16" t="n">
        <v>60</v>
      </c>
      <c r="K17" s="16" t="n">
        <v>0</v>
      </c>
      <c r="L17" s="16" t="n">
        <v>54.55</v>
      </c>
      <c r="M17" s="16" t="n">
        <v>5.45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20261024_2115</t>
        </is>
      </c>
      <c r="B18" s="9" t="n">
        <v>46319</v>
      </c>
      <c r="C18" s="10" t="n">
        <v>0.8854166666666666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3</v>
      </c>
      <c r="I18" s="11" t="n">
        <v>0</v>
      </c>
      <c r="J18" s="12" t="n">
        <v>72</v>
      </c>
      <c r="K18" s="12" t="n">
        <v>0</v>
      </c>
      <c r="L18" s="12" t="n">
        <v>65.45999999999999</v>
      </c>
      <c r="M18" s="12" t="n">
        <v>6.54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20261024_2215</t>
        </is>
      </c>
      <c r="B19" s="13" t="n">
        <v>46319</v>
      </c>
      <c r="C19" s="14" t="n">
        <v>0.9270833333333334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2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20261024_2215</t>
        </is>
      </c>
      <c r="B20" s="9" t="n">
        <v>46319</v>
      </c>
      <c r="C20" s="10" t="n">
        <v>0.9270833333333334</v>
      </c>
      <c r="D20" s="22" t="inlineStr">
        <is>
          <t>UN Unico</t>
        </is>
      </c>
      <c r="E20" s="22" t="inlineStr">
        <is>
          <t>I2</t>
        </is>
      </c>
      <c r="F20" s="22">
        <f>IFERROR(INDEX(Tariffe!$B$2:$B$200,MATCH(E20,Tariffe!$A$2:$A$200,0)),"DA DEFINIRE")</f>
        <v/>
      </c>
      <c r="G20" s="12" t="n">
        <v>36</v>
      </c>
      <c r="H20" s="11" t="n">
        <v>1</v>
      </c>
      <c r="I20" s="11" t="n">
        <v>0</v>
      </c>
      <c r="J20" s="12" t="n">
        <v>36</v>
      </c>
      <c r="K20" s="12" t="n">
        <v>0</v>
      </c>
      <c r="L20" s="12" t="n">
        <v>32.73</v>
      </c>
      <c r="M20" s="12" t="n">
        <v>3.27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5</v>
      </c>
      <c r="I21" s="15" t="n">
        <v>0</v>
      </c>
      <c r="J21" s="16" t="n">
        <v>120</v>
      </c>
      <c r="K21" s="16" t="n">
        <v>0</v>
      </c>
      <c r="L21" s="16" t="n">
        <v>109.1</v>
      </c>
      <c r="M21" s="16" t="n">
        <v>10.9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20261024_2315</t>
        </is>
      </c>
      <c r="B22" s="9" t="n">
        <v>46319</v>
      </c>
      <c r="C22" s="10" t="n">
        <v>0.96875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20261024_2315</t>
        </is>
      </c>
      <c r="B23" s="13" t="n">
        <v>46319</v>
      </c>
      <c r="C23" s="14" t="n">
        <v>0.96875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2</v>
      </c>
      <c r="I23" s="15" t="n">
        <v>0</v>
      </c>
      <c r="J23" s="16" t="n">
        <v>48</v>
      </c>
      <c r="K23" s="16" t="n">
        <v>0</v>
      </c>
      <c r="L23" s="16" t="n">
        <v>43.64</v>
      </c>
      <c r="M23" s="16" t="n">
        <v>4.36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20261024_2359</t>
        </is>
      </c>
      <c r="B24" s="9" t="n">
        <v>46319</v>
      </c>
      <c r="C24" s="10" t="n">
        <v>0.9993055555555556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1</v>
      </c>
      <c r="I24" s="11" t="n">
        <v>0</v>
      </c>
      <c r="J24" s="12" t="n">
        <v>48</v>
      </c>
      <c r="K24" s="12" t="n">
        <v>0</v>
      </c>
      <c r="L24" s="12" t="n">
        <v>43.64</v>
      </c>
      <c r="M24" s="12" t="n">
        <v>4.36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20261024_2359</t>
        </is>
      </c>
      <c r="B25" s="13" t="n">
        <v>46319</v>
      </c>
      <c r="C25" s="14" t="n">
        <v>0.9993055555555556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2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20261025_2015</t>
        </is>
      </c>
      <c r="B26" s="9" t="n">
        <v>46320</v>
      </c>
      <c r="C26" s="10" t="n">
        <v>0.84375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20261025_2015</t>
        </is>
      </c>
      <c r="B27" s="13" t="n">
        <v>46320</v>
      </c>
      <c r="C27" s="14" t="n">
        <v>0.84375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1</v>
      </c>
      <c r="I27" s="15" t="n">
        <v>0</v>
      </c>
      <c r="J27" s="16" t="n">
        <v>24</v>
      </c>
      <c r="K27" s="16" t="n">
        <v>0</v>
      </c>
      <c r="L27" s="16" t="n">
        <v>21.82</v>
      </c>
      <c r="M27" s="16" t="n">
        <v>2.18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20261025_2115</t>
        </is>
      </c>
      <c r="B28" s="9" t="n">
        <v>46320</v>
      </c>
      <c r="C28" s="10" t="n">
        <v>0.8854166666666666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</v>
      </c>
      <c r="I28" s="11" t="n">
        <v>0</v>
      </c>
      <c r="J28" s="12" t="n">
        <v>24</v>
      </c>
      <c r="K28" s="12" t="n">
        <v>0</v>
      </c>
      <c r="L28" s="12" t="n">
        <v>21.82</v>
      </c>
      <c r="M28" s="12" t="n">
        <v>2.18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20261025_2215</t>
        </is>
      </c>
      <c r="B29" s="13" t="n">
        <v>46320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20261025_2315</t>
        </is>
      </c>
      <c r="B30" s="9" t="n">
        <v>46320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20261029_2015</t>
        </is>
      </c>
      <c r="B31" s="13" t="n">
        <v>46324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20261029_2215</t>
        </is>
      </c>
      <c r="B32" s="9" t="n">
        <v>46324</v>
      </c>
      <c r="C32" s="10" t="n">
        <v>0.9270833333333334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2</v>
      </c>
      <c r="I32" s="11" t="n">
        <v>0</v>
      </c>
      <c r="J32" s="12" t="n">
        <v>96</v>
      </c>
      <c r="K32" s="12" t="n">
        <v>0</v>
      </c>
      <c r="L32" s="12" t="n">
        <v>87.28</v>
      </c>
      <c r="M32" s="12" t="n">
        <v>8.720000000000001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20261029_2215</t>
        </is>
      </c>
      <c r="B33" s="13" t="n">
        <v>46324</v>
      </c>
      <c r="C33" s="14" t="n">
        <v>0.9270833333333334</v>
      </c>
      <c r="D33" s="23" t="inlineStr">
        <is>
          <t>UN Unico</t>
        </is>
      </c>
      <c r="E33" s="23" t="inlineStr">
        <is>
          <t>I2</t>
        </is>
      </c>
      <c r="F33" s="23">
        <f>IFERROR(INDEX(Tariffe!$B$2:$B$200,MATCH(E33,Tariffe!$A$2:$A$200,0)),"DA DEFINIRE")</f>
        <v/>
      </c>
      <c r="G33" s="16" t="n">
        <v>36</v>
      </c>
      <c r="H33" s="15" t="n">
        <v>1</v>
      </c>
      <c r="I33" s="15" t="n">
        <v>0</v>
      </c>
      <c r="J33" s="16" t="n">
        <v>36</v>
      </c>
      <c r="K33" s="16" t="n">
        <v>0</v>
      </c>
      <c r="L33" s="16" t="n">
        <v>32.73</v>
      </c>
      <c r="M33" s="16" t="n">
        <v>3.27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20261029_2215</t>
        </is>
      </c>
      <c r="B34" s="9" t="n">
        <v>46324</v>
      </c>
      <c r="C34" s="10" t="n">
        <v>0.9270833333333334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2</v>
      </c>
      <c r="I34" s="11" t="n">
        <v>0</v>
      </c>
      <c r="J34" s="12" t="n">
        <v>48</v>
      </c>
      <c r="K34" s="12" t="n">
        <v>0</v>
      </c>
      <c r="L34" s="12" t="n">
        <v>43.64</v>
      </c>
      <c r="M34" s="12" t="n">
        <v>4.36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20261029_2359</t>
        </is>
      </c>
      <c r="B35" s="13" t="n">
        <v>46324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20261030_2015</t>
        </is>
      </c>
      <c r="B36" s="9" t="n">
        <v>46325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1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20261030_2115</t>
        </is>
      </c>
      <c r="B37" s="13" t="n">
        <v>46325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20261030_2215</t>
        </is>
      </c>
      <c r="B38" s="9" t="n">
        <v>46325</v>
      </c>
      <c r="C38" s="10" t="n">
        <v>0.9270833333333334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20261030_2315</t>
        </is>
      </c>
      <c r="B39" s="13" t="n">
        <v>46325</v>
      </c>
      <c r="C39" s="14" t="n">
        <v>0.96875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2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20261030_2359</t>
        </is>
      </c>
      <c r="B40" s="9" t="n">
        <v>46325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20261031_2115</t>
        </is>
      </c>
      <c r="B41" s="13" t="n">
        <v>46326</v>
      </c>
      <c r="C41" s="14" t="n">
        <v>0.8854166666666666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1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20261031_2315</t>
        </is>
      </c>
      <c r="B42" s="9" t="n">
        <v>46326</v>
      </c>
      <c r="C42" s="10" t="n">
        <v>0.96875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2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20261031_2315</t>
        </is>
      </c>
      <c r="B43" s="13" t="n">
        <v>46326</v>
      </c>
      <c r="C43" s="14" t="n">
        <v>0.96875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20261031_2359</t>
        </is>
      </c>
      <c r="B44" s="9" t="n">
        <v>46326</v>
      </c>
      <c r="C44" s="10" t="n">
        <v>0.9993055555555556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1</v>
      </c>
      <c r="I44" s="11" t="n">
        <v>0</v>
      </c>
      <c r="J44" s="12" t="n">
        <v>24</v>
      </c>
      <c r="K44" s="12" t="n">
        <v>0</v>
      </c>
      <c r="L44" s="12" t="n">
        <v>21.82</v>
      </c>
      <c r="M44" s="12" t="n">
        <v>2.18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</sheetData>
  <autoFilter ref="A1:P4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</sheetData>
  <autoFilter ref="A1:G9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</sheetData>
  <autoFilter ref="A1:K7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4</v>
      </c>
      <c r="H16" s="11" t="n">
        <v>12</v>
      </c>
      <c r="I16" s="12" t="n">
        <v>144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1</v>
      </c>
      <c r="H21" s="11" t="n">
        <v>2</v>
      </c>
      <c r="I21" s="12" t="n">
        <v>24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3</v>
      </c>
      <c r="H23" s="11" t="n">
        <v>10</v>
      </c>
      <c r="I23" s="12" t="n">
        <v>120</v>
      </c>
    </row>
    <row r="24">
      <c r="F24" s="38" t="inlineStr">
        <is>
          <t>20:00-21:00</t>
        </is>
      </c>
      <c r="G24" s="11" t="n">
        <v>8</v>
      </c>
      <c r="H24" s="11" t="n">
        <v>22</v>
      </c>
      <c r="I24" s="12" t="n">
        <v>264</v>
      </c>
    </row>
    <row r="25">
      <c r="F25" s="38" t="inlineStr">
        <is>
          <t>21:00-22:00</t>
        </is>
      </c>
      <c r="G25" s="11" t="n">
        <v>6</v>
      </c>
      <c r="H25" s="11" t="n">
        <v>17</v>
      </c>
      <c r="I25" s="12" t="n">
        <v>204</v>
      </c>
    </row>
    <row r="26">
      <c r="F26" s="38" t="inlineStr">
        <is>
          <t>22:00-23:00</t>
        </is>
      </c>
      <c r="G26" s="11" t="n">
        <v>17</v>
      </c>
      <c r="H26" s="11" t="n">
        <v>45</v>
      </c>
      <c r="I26" s="12" t="n">
        <v>540</v>
      </c>
    </row>
    <row r="27">
      <c r="F27" s="38" t="inlineStr">
        <is>
          <t>23:00-00:00</t>
        </is>
      </c>
      <c r="G27" s="11" t="n">
        <v>6</v>
      </c>
      <c r="H27" s="11" t="n">
        <v>19</v>
      </c>
      <c r="I27" s="12" t="n">
        <v>228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2026-10-07T23:00:16Z</dcterms:created>
  <dcterms:modified xsi:type="dcterms:W3CDTF">2026-10-07T23:00:16Z</dcterms:modified>
</cp:coreProperties>
</file>