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'Vendite'!$A$1:$R$130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'Storico'!$A$1:$G$677</definedName>
    <definedName name="_xlnm._FilterDatabase" localSheetId="8" hidden="1">'Registro vendite'!$A$1:$K$916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'Storico'!$H$2:$H$677</f>
            </numRef>
          </cat>
          <val>
            <numRef>
              <f>'Storico'!$C$2:$C$677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MAX(Storico!A2:A677)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816</v>
      </c>
      <c r="K42" s="12" t="n">
        <v>0</v>
      </c>
      <c r="L42" s="12" t="n">
        <v>741.88</v>
      </c>
      <c r="M42" s="12" t="n">
        <v>74.12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17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7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672</v>
      </c>
      <c r="K45" s="16" t="n">
        <v>0</v>
      </c>
      <c r="L45" s="16" t="n">
        <v>610.96</v>
      </c>
      <c r="M45" s="16" t="n">
        <v>61.04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28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912</v>
      </c>
      <c r="K49" s="16" t="n">
        <v>0</v>
      </c>
      <c r="L49" s="16" t="n">
        <v>829.16</v>
      </c>
      <c r="M49" s="16" t="n">
        <v>82.84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38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1296</v>
      </c>
      <c r="K50" s="12" t="n">
        <v>0</v>
      </c>
      <c r="L50" s="12" t="n">
        <v>1178.28</v>
      </c>
      <c r="M50" s="12" t="n">
        <v>117.72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27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3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912</v>
      </c>
      <c r="K53" s="16" t="n">
        <v>0</v>
      </c>
      <c r="L53" s="16" t="n">
        <v>829.16</v>
      </c>
      <c r="M53" s="16" t="n">
        <v>82.84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38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1200</v>
      </c>
      <c r="K54" s="12" t="n">
        <v>0</v>
      </c>
      <c r="L54" s="12" t="n">
        <v>1091</v>
      </c>
      <c r="M54" s="12" t="n">
        <v>109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25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180</v>
      </c>
      <c r="K55" s="16" t="n">
        <v>0</v>
      </c>
      <c r="L55" s="16" t="n">
        <v>163.65</v>
      </c>
      <c r="M55" s="16" t="n">
        <v>16.35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5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480</v>
      </c>
      <c r="K56" s="12" t="n">
        <v>0</v>
      </c>
      <c r="L56" s="12" t="n">
        <v>436.4</v>
      </c>
      <c r="M56" s="12" t="n">
        <v>43.6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8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312</v>
      </c>
      <c r="K57" s="16" t="n">
        <v>0</v>
      </c>
      <c r="L57" s="16" t="n">
        <v>283.66</v>
      </c>
      <c r="M57" s="16" t="n">
        <v>28.34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13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384</v>
      </c>
      <c r="K58" s="12" t="n">
        <v>0</v>
      </c>
      <c r="L58" s="12" t="n">
        <v>349.12</v>
      </c>
      <c r="M58" s="12" t="n">
        <v>34.88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8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108</v>
      </c>
      <c r="K59" s="16" t="n">
        <v>0</v>
      </c>
      <c r="L59" s="16" t="n">
        <v>98.19</v>
      </c>
      <c r="M59" s="16" t="n">
        <v>9.81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3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1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216</v>
      </c>
      <c r="K61" s="16" t="n">
        <v>0</v>
      </c>
      <c r="L61" s="16" t="n">
        <v>196.38</v>
      </c>
      <c r="M61" s="16" t="n">
        <v>19.62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9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384</v>
      </c>
      <c r="K71" s="16" t="n">
        <v>0</v>
      </c>
      <c r="L71" s="16" t="n">
        <v>349.12</v>
      </c>
      <c r="M71" s="16" t="n">
        <v>34.88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16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168</v>
      </c>
      <c r="K81" s="16" t="n">
        <v>0</v>
      </c>
      <c r="L81" s="16" t="n">
        <v>152.74</v>
      </c>
      <c r="M81" s="16" t="n">
        <v>15.26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7</v>
      </c>
      <c r="R81" s="15">
        <f>IFERROR(INDEX(Tariffe!$E$2:$E$200,MATCH(E81,Tariffe!$A$2:$A$200,0))*1,1)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12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10</v>
      </c>
      <c r="R85" s="15">
        <f>IFERROR(INDEX(Tariffe!$E$2:$E$200,MATCH(E85,Tariffe!$A$2:$A$200,0))*1,1)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5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12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3</v>
      </c>
      <c r="J101" s="16" t="n">
        <v>576</v>
      </c>
      <c r="K101" s="16" t="n">
        <v>0</v>
      </c>
      <c r="L101" s="16" t="n">
        <v>523.6799999999999</v>
      </c>
      <c r="M101" s="16" t="n">
        <v>52.32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12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696</v>
      </c>
      <c r="K104" s="12" t="n">
        <v>0</v>
      </c>
      <c r="L104" s="12" t="n">
        <v>632.78</v>
      </c>
      <c r="M104" s="12" t="n">
        <v>63.22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29</v>
      </c>
      <c r="R104" s="11">
        <f>IFERROR(INDEX(Tariffe!$E$2:$E$200,MATCH(E104,Tariffe!$A$2:$A$200,0))*1,1)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24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19</v>
      </c>
      <c r="R108" s="11">
        <f>IFERROR(INDEX(Tariffe!$E$2:$E$200,MATCH(E108,Tariffe!$A$2:$A$200,0))*1,1)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816</v>
      </c>
      <c r="K109" s="16" t="n">
        <v>0</v>
      </c>
      <c r="L109" s="16" t="n">
        <v>741.88</v>
      </c>
      <c r="M109" s="16" t="n">
        <v>74.12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17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14</v>
      </c>
      <c r="R112" s="11">
        <f>IFERROR(INDEX(Tariffe!$E$2:$E$200,MATCH(E112,Tariffe!$A$2:$A$200,0))*1,1)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</v>
      </c>
      <c r="R115" s="15">
        <f>IFERROR(INDEX(Tariffe!$E$2:$E$200,MATCH(E115,Tariffe!$A$2:$A$200,0))*1,1)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168</v>
      </c>
      <c r="K118" s="12" t="n">
        <v>0</v>
      </c>
      <c r="L118" s="12" t="n">
        <v>152.74</v>
      </c>
      <c r="M118" s="12" t="n">
        <v>15.26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7</v>
      </c>
      <c r="R118" s="11">
        <f>IFERROR(INDEX(Tariffe!$E$2:$E$200,MATCH(E118,Tariffe!$A$2:$A$200,0))*1,1)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 15€</t>
        </is>
      </c>
      <c r="F127" s="23">
        <f>IFERROR(INDEX(Tariffe!$B$2:$B$200,MATCH(E127,Tariffe!$A$2:$A$200,0)),"DA DEFINIRE")</f>
        <v/>
      </c>
      <c r="G127" s="16" t="n">
        <v>15</v>
      </c>
      <c r="H127" s="15">
        <f>Q127*R127</f>
        <v/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</sheetData>
  <autoFilter ref="A1:R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</sheetData>
  <autoFilter ref="A1:G6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</sheetData>
  <autoFilter ref="A1:K9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276</v>
      </c>
      <c r="M10" s="11" t="n">
        <v>877</v>
      </c>
      <c r="N10" s="12" t="n">
        <v>10524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70</v>
      </c>
      <c r="H21" s="11" t="n">
        <v>198</v>
      </c>
      <c r="I21" s="12" t="n">
        <v>2376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199</v>
      </c>
      <c r="C24" s="11" t="n">
        <v>628</v>
      </c>
      <c r="D24" s="12" t="n">
        <v>7536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2026-10-25T16:33:24Z</dcterms:created>
  <dcterms:modified xsi:type="dcterms:W3CDTF">2026-10-25T16:33:25Z</dcterms:modified>
</cp:coreProperties>
</file>