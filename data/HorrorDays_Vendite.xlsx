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'Storico'!$A$1:$G$141</definedName>
    <definedName name="_xlnm._FilterDatabase" localSheetId="8" hidden="1">'Registro vendite'!$A$1:$K$107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'Storico'!$H$2:$H$141</f>
            </numRef>
          </cat>
          <val>
            <numRef>
              <f>'Storico'!$C$2:$C$141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MAX(Storico!A2:A141)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7</v>
      </c>
      <c r="I6" s="11" t="n">
        <v>0</v>
      </c>
      <c r="J6" s="12" t="n">
        <v>336</v>
      </c>
      <c r="K6" s="12" t="n">
        <v>0</v>
      </c>
      <c r="L6" s="12" t="n">
        <v>305.48</v>
      </c>
      <c r="M6" s="12" t="n">
        <v>30.52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1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7</v>
      </c>
      <c r="I13" s="15" t="n">
        <v>0</v>
      </c>
      <c r="J13" s="16" t="n">
        <v>168</v>
      </c>
      <c r="K13" s="16" t="n">
        <v>0</v>
      </c>
      <c r="L13" s="16" t="n">
        <v>152.74</v>
      </c>
      <c r="M13" s="16" t="n">
        <v>15.26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2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20261031_2315</t>
        </is>
      </c>
      <c r="B55" s="13" t="n">
        <v>46326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20261031_2359</t>
        </is>
      </c>
      <c r="B57" s="13" t="n">
        <v>46326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20261101_2015</t>
        </is>
      </c>
      <c r="B58" s="9" t="n">
        <v>46327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11/2026</t>
        </is>
      </c>
      <c r="O58" s="11">
        <f>IFERROR(INDEX(Tariffe!$D$2:$D$200,MATCH(E58,Tariffe!$A$2:$A$200,0))*1,0)</f>
        <v/>
      </c>
      <c r="P58" s="11">
        <f>H58*O58</f>
        <v/>
      </c>
    </row>
  </sheetData>
  <autoFilter ref="A1:P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</sheetData>
  <autoFilter ref="A1:G14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</sheetData>
  <autoFilter ref="A1:K10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1</v>
      </c>
      <c r="C8" s="11" t="n">
        <v>4</v>
      </c>
      <c r="D8" s="12" t="n">
        <v>48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1</v>
      </c>
      <c r="M8" s="11" t="n">
        <v>4</v>
      </c>
      <c r="N8" s="12" t="n">
        <v>48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2026-10-09T03:16:31Z</dcterms:created>
  <dcterms:modified xsi:type="dcterms:W3CDTF">2026-10-09T03:16:31Z</dcterms:modified>
</cp:coreProperties>
</file>