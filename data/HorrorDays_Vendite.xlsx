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'Vendite'!$A$1:$P$117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'Storico'!$A$1:$G$559</definedName>
    <definedName name="_xlnm._FilterDatabase" localSheetId="8" hidden="1">'Registro vendite'!$A$1:$K$546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'Storico'!$H$2:$H$559</f>
            </numRef>
          </cat>
          <val>
            <numRef>
              <f>'Storico'!$C$2:$C$559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22</v>
      </c>
      <c r="I13" s="15" t="n">
        <v>0</v>
      </c>
      <c r="J13" s="16" t="n">
        <v>528</v>
      </c>
      <c r="K13" s="16" t="n">
        <v>0</v>
      </c>
      <c r="L13" s="16" t="n">
        <v>480.04</v>
      </c>
      <c r="M13" s="16" t="n">
        <v>47.96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9</v>
      </c>
      <c r="I90" s="11" t="n">
        <v>0</v>
      </c>
      <c r="J90" s="12" t="n">
        <v>432</v>
      </c>
      <c r="K90" s="12" t="n">
        <v>0</v>
      </c>
      <c r="L90" s="12" t="n">
        <v>392.76</v>
      </c>
      <c r="M90" s="12" t="n">
        <v>39.24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I2</t>
        </is>
      </c>
      <c r="F91" s="23">
        <f>IFERROR(INDEX(Tariffe!$B$2:$B$200,MATCH(E91,Tariffe!$A$2:$A$200,0)),"DA DEFINIRE")</f>
        <v/>
      </c>
      <c r="G91" s="16" t="n">
        <v>36</v>
      </c>
      <c r="H91" s="15" t="n">
        <v>1</v>
      </c>
      <c r="I91" s="15" t="n">
        <v>0</v>
      </c>
      <c r="J91" s="16" t="n">
        <v>36</v>
      </c>
      <c r="K91" s="16" t="n">
        <v>0</v>
      </c>
      <c r="L91" s="16" t="n">
        <v>32.73</v>
      </c>
      <c r="M91" s="16" t="n">
        <v>3.27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2</v>
      </c>
      <c r="I92" s="11" t="n">
        <v>0</v>
      </c>
      <c r="J92" s="12" t="n">
        <v>120</v>
      </c>
      <c r="K92" s="12" t="n">
        <v>0</v>
      </c>
      <c r="L92" s="12" t="n">
        <v>109.1</v>
      </c>
      <c r="M92" s="12" t="n">
        <v>10.9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6</v>
      </c>
      <c r="I93" s="15" t="n">
        <v>0</v>
      </c>
      <c r="J93" s="16" t="n">
        <v>144</v>
      </c>
      <c r="K93" s="16" t="n">
        <v>0</v>
      </c>
      <c r="L93" s="16" t="n">
        <v>130.92</v>
      </c>
      <c r="M93" s="16" t="n">
        <v>13.08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6</v>
      </c>
      <c r="I94" s="11" t="n">
        <v>3</v>
      </c>
      <c r="J94" s="12" t="n">
        <v>288</v>
      </c>
      <c r="K94" s="12" t="n">
        <v>0</v>
      </c>
      <c r="L94" s="12" t="n">
        <v>261.84</v>
      </c>
      <c r="M94" s="12" t="n">
        <v>26.16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I2</t>
        </is>
      </c>
      <c r="F95" s="23">
        <f>IFERROR(INDEX(Tariffe!$B$2:$B$200,MATCH(E95,Tariffe!$A$2:$A$200,0)),"DA DEFINIRE")</f>
        <v/>
      </c>
      <c r="G95" s="16" t="n">
        <v>36</v>
      </c>
      <c r="H95" s="15" t="n">
        <v>2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20</v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15</v>
      </c>
      <c r="I97" s="15" t="n">
        <v>0</v>
      </c>
      <c r="J97" s="16" t="n">
        <v>720</v>
      </c>
      <c r="K97" s="16" t="n">
        <v>0</v>
      </c>
      <c r="L97" s="16" t="n">
        <v>654.6</v>
      </c>
      <c r="M97" s="16" t="n">
        <v>65.40000000000001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3</v>
      </c>
      <c r="I99" s="15" t="n">
        <v>0</v>
      </c>
      <c r="J99" s="16" t="n">
        <v>180</v>
      </c>
      <c r="K99" s="16" t="n">
        <v>0</v>
      </c>
      <c r="L99" s="16" t="n">
        <v>163.65</v>
      </c>
      <c r="M99" s="16" t="n">
        <v>16.35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15</v>
      </c>
      <c r="I100" s="11" t="n">
        <v>0</v>
      </c>
      <c r="J100" s="12" t="n">
        <v>360</v>
      </c>
      <c r="K100" s="12" t="n">
        <v>0</v>
      </c>
      <c r="L100" s="12" t="n">
        <v>327.3</v>
      </c>
      <c r="M100" s="12" t="n">
        <v>32.7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8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7</v>
      </c>
      <c r="I104" s="11" t="n">
        <v>0</v>
      </c>
      <c r="J104" s="12" t="n">
        <v>168</v>
      </c>
      <c r="K104" s="12" t="n">
        <v>0</v>
      </c>
      <c r="L104" s="12" t="n">
        <v>152.74</v>
      </c>
      <c r="M104" s="12" t="n">
        <v>15.26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20261101_2015</t>
        </is>
      </c>
      <c r="B105" s="13" t="n">
        <v>46327</v>
      </c>
      <c r="C105" s="14" t="n">
        <v>0.84375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</v>
      </c>
      <c r="I107" s="15" t="n">
        <v>0</v>
      </c>
      <c r="J107" s="16" t="n">
        <v>24</v>
      </c>
      <c r="K107" s="16" t="n">
        <v>0</v>
      </c>
      <c r="L107" s="16" t="n">
        <v>21.82</v>
      </c>
      <c r="M107" s="16" t="n">
        <v>2.18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20261101_2115</t>
        </is>
      </c>
      <c r="B108" s="9" t="n">
        <v>46327</v>
      </c>
      <c r="C108" s="10" t="n">
        <v>0.8854166666666666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2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3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20261101_2215</t>
        </is>
      </c>
      <c r="B111" s="13" t="n">
        <v>46327</v>
      </c>
      <c r="C111" s="14" t="n">
        <v>0.9270833333333334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4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20261101_2315</t>
        </is>
      </c>
      <c r="B114" s="9" t="n">
        <v>46327</v>
      </c>
      <c r="C114" s="10" t="n">
        <v>0.96875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1</v>
      </c>
      <c r="I115" s="15" t="n">
        <v>0</v>
      </c>
      <c r="J115" s="16" t="n">
        <v>24</v>
      </c>
      <c r="K115" s="16" t="n">
        <v>0</v>
      </c>
      <c r="L115" s="16" t="n">
        <v>21.82</v>
      </c>
      <c r="M115" s="16" t="n">
        <v>2.18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20261101_2359</t>
        </is>
      </c>
      <c r="B116" s="9" t="n">
        <v>46327</v>
      </c>
      <c r="C116" s="10" t="n">
        <v>0.9993055555555556</v>
      </c>
      <c r="D116" s="22" t="inlineStr">
        <is>
          <t>UN Unico</t>
        </is>
      </c>
      <c r="E116" s="22" t="inlineStr">
        <is>
          <t>I5</t>
        </is>
      </c>
      <c r="F116" s="22">
        <f>IFERROR(INDEX(Tariffe!$B$2:$B$200,MATCH(E116,Tariffe!$A$2:$A$200,0)),"DA DEFINIRE")</f>
        <v/>
      </c>
      <c r="G116" s="12" t="n">
        <v>60</v>
      </c>
      <c r="H116" s="11" t="n">
        <v>1</v>
      </c>
      <c r="I116" s="11" t="n">
        <v>0</v>
      </c>
      <c r="J116" s="12" t="n">
        <v>60</v>
      </c>
      <c r="K116" s="12" t="n">
        <v>0</v>
      </c>
      <c r="L116" s="12" t="n">
        <v>54.55</v>
      </c>
      <c r="M116" s="12" t="n">
        <v>5.45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1</v>
      </c>
      <c r="I117" s="15" t="n">
        <v>0</v>
      </c>
      <c r="J117" s="16" t="n">
        <v>24</v>
      </c>
      <c r="K117" s="16" t="n">
        <v>0</v>
      </c>
      <c r="L117" s="16" t="n">
        <v>21.82</v>
      </c>
      <c r="M117" s="16" t="n">
        <v>2.18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</sheetData>
  <autoFilter ref="A1:P1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</sheetData>
  <autoFilter ref="A1:G5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</sheetData>
  <autoFilter ref="A1:K5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89</v>
      </c>
      <c r="M7" s="11" t="n">
        <v>274</v>
      </c>
      <c r="N7" s="12" t="n">
        <v>3288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18</v>
      </c>
      <c r="C21" s="11" t="n">
        <v>53</v>
      </c>
      <c r="D21" s="12" t="n">
        <v>636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2026-10-22T19:37:49Z</dcterms:created>
  <dcterms:modified xsi:type="dcterms:W3CDTF">2026-10-22T19:37:50Z</dcterms:modified>
</cp:coreProperties>
</file>