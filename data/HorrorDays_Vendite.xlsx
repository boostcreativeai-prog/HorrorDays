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'Storico'!$A$1:$G$774</definedName>
    <definedName name="_xlnm._FilterDatabase" localSheetId="8" hidden="1">'Registro vendite'!$A$1:$K$1250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'Storico'!$H$2:$H$774</f>
            </numRef>
          </cat>
          <val>
            <numRef>
              <f>'Storico'!$C$2:$C$774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1200</v>
      </c>
      <c r="K70" s="12" t="n">
        <v>0</v>
      </c>
      <c r="L70" s="12" t="n">
        <v>1091</v>
      </c>
      <c r="M70" s="12" t="n">
        <v>109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25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0</v>
      </c>
      <c r="J72" s="12" t="n">
        <v>720</v>
      </c>
      <c r="K72" s="12" t="n">
        <v>0</v>
      </c>
      <c r="L72" s="12" t="n">
        <v>654.6</v>
      </c>
      <c r="M72" s="12" t="n">
        <v>65.40000000000001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12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744</v>
      </c>
      <c r="K73" s="16" t="n">
        <v>0</v>
      </c>
      <c r="L73" s="16" t="n">
        <v>676.42</v>
      </c>
      <c r="M73" s="16" t="n">
        <v>67.58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31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816</v>
      </c>
      <c r="K74" s="12" t="n">
        <v>0</v>
      </c>
      <c r="L74" s="12" t="n">
        <v>741.88</v>
      </c>
      <c r="M74" s="12" t="n">
        <v>74.12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17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4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600</v>
      </c>
      <c r="K76" s="12" t="n">
        <v>0</v>
      </c>
      <c r="L76" s="12" t="n">
        <v>545.5</v>
      </c>
      <c r="M76" s="12" t="n">
        <v>54.5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16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10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5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15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1392</v>
      </c>
      <c r="K87" s="16" t="n">
        <v>0</v>
      </c>
      <c r="L87" s="16" t="n">
        <v>1265.56</v>
      </c>
      <c r="M87" s="16" t="n">
        <v>126.44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29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300</v>
      </c>
      <c r="K89" s="16" t="n">
        <v>0</v>
      </c>
      <c r="L89" s="16" t="n">
        <v>272.75</v>
      </c>
      <c r="M89" s="16" t="n">
        <v>27.25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5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768</v>
      </c>
      <c r="K90" s="12" t="n">
        <v>0</v>
      </c>
      <c r="L90" s="12" t="n">
        <v>698.24</v>
      </c>
      <c r="M90" s="12" t="n">
        <v>69.76000000000001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720</v>
      </c>
      <c r="K91" s="16" t="n">
        <v>0</v>
      </c>
      <c r="L91" s="16" t="n">
        <v>654.6</v>
      </c>
      <c r="M91" s="16" t="n">
        <v>65.40000000000001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15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420</v>
      </c>
      <c r="K93" s="16" t="n">
        <v>0</v>
      </c>
      <c r="L93" s="16" t="n">
        <v>381.85</v>
      </c>
      <c r="M93" s="16" t="n">
        <v>38.15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7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144</v>
      </c>
      <c r="K95" s="16" t="n">
        <v>0</v>
      </c>
      <c r="L95" s="16" t="n">
        <v>130.92</v>
      </c>
      <c r="M95" s="16" t="n">
        <v>13.08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300</v>
      </c>
      <c r="K96" s="12" t="n">
        <v>0</v>
      </c>
      <c r="L96" s="12" t="n">
        <v>272.75</v>
      </c>
      <c r="M96" s="12" t="n">
        <v>27.25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5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14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576</v>
      </c>
      <c r="K98" s="12" t="n">
        <v>0</v>
      </c>
      <c r="L98" s="12" t="n">
        <v>523.6799999999999</v>
      </c>
      <c r="M98" s="12" t="n">
        <v>52.32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12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108</v>
      </c>
      <c r="K99" s="16" t="n">
        <v>0</v>
      </c>
      <c r="L99" s="16" t="n">
        <v>98.19</v>
      </c>
      <c r="M99" s="16" t="n">
        <v>9.81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3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2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4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1296</v>
      </c>
      <c r="K102" s="12" t="n">
        <v>0</v>
      </c>
      <c r="L102" s="12" t="n">
        <v>1178.28</v>
      </c>
      <c r="M102" s="12" t="n">
        <v>117.72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27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696</v>
      </c>
      <c r="K105" s="16" t="n">
        <v>0</v>
      </c>
      <c r="L105" s="16" t="n">
        <v>632.78</v>
      </c>
      <c r="M105" s="16" t="n">
        <v>63.22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29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3</v>
      </c>
      <c r="J106" s="12" t="n">
        <v>1296</v>
      </c>
      <c r="K106" s="12" t="n">
        <v>0</v>
      </c>
      <c r="L106" s="12" t="n">
        <v>1178.28</v>
      </c>
      <c r="M106" s="12" t="n">
        <v>117.72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27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5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240</v>
      </c>
      <c r="K108" s="12" t="n">
        <v>0</v>
      </c>
      <c r="L108" s="12" t="n">
        <v>218.2</v>
      </c>
      <c r="M108" s="12" t="n">
        <v>21.8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1056</v>
      </c>
      <c r="K109" s="16" t="n">
        <v>0</v>
      </c>
      <c r="L109" s="16" t="n">
        <v>960.08</v>
      </c>
      <c r="M109" s="16" t="n">
        <v>95.92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1968</v>
      </c>
      <c r="K110" s="12" t="n">
        <v>0</v>
      </c>
      <c r="L110" s="12" t="n">
        <v>1789.24</v>
      </c>
      <c r="M110" s="12" t="n">
        <v>178.76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41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108</v>
      </c>
      <c r="K111" s="16" t="n">
        <v>0</v>
      </c>
      <c r="L111" s="16" t="n">
        <v>98.19</v>
      </c>
      <c r="M111" s="16" t="n">
        <v>9.81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300</v>
      </c>
      <c r="K112" s="12" t="n">
        <v>0</v>
      </c>
      <c r="L112" s="12" t="n">
        <v>272.75</v>
      </c>
      <c r="M112" s="12" t="n">
        <v>27.25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744</v>
      </c>
      <c r="K113" s="16" t="n">
        <v>0</v>
      </c>
      <c r="L113" s="16" t="n">
        <v>676.42</v>
      </c>
      <c r="M113" s="16" t="n">
        <v>67.58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2256</v>
      </c>
      <c r="K114" s="12" t="n">
        <v>0</v>
      </c>
      <c r="L114" s="12" t="n">
        <v>2051.08</v>
      </c>
      <c r="M114" s="12" t="n">
        <v>204.92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47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300</v>
      </c>
      <c r="K116" s="12" t="n">
        <v>0</v>
      </c>
      <c r="L116" s="12" t="n">
        <v>272.75</v>
      </c>
      <c r="M116" s="12" t="n">
        <v>27.25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648</v>
      </c>
      <c r="K117" s="16" t="n">
        <v>0</v>
      </c>
      <c r="L117" s="16" t="n">
        <v>589.14</v>
      </c>
      <c r="M117" s="16" t="n">
        <v>58.86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27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336</v>
      </c>
      <c r="K118" s="12" t="n">
        <v>0</v>
      </c>
      <c r="L118" s="12" t="n">
        <v>305.48</v>
      </c>
      <c r="M118" s="12" t="n">
        <v>30.52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288</v>
      </c>
      <c r="K122" s="12" t="n">
        <v>0</v>
      </c>
      <c r="L122" s="12" t="n">
        <v>261.84</v>
      </c>
      <c r="M122" s="12" t="n">
        <v>26.16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6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144</v>
      </c>
      <c r="K123" s="16" t="n">
        <v>0</v>
      </c>
      <c r="L123" s="16" t="n">
        <v>130.92</v>
      </c>
      <c r="M123" s="16" t="n">
        <v>13.08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4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264</v>
      </c>
      <c r="K125" s="16" t="n">
        <v>0</v>
      </c>
      <c r="L125" s="16" t="n">
        <v>240.02</v>
      </c>
      <c r="M125" s="16" t="n">
        <v>23.98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11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</v>
      </c>
      <c r="K130" s="12" t="n">
        <v>0</v>
      </c>
      <c r="L130" s="12" t="n">
        <v>43.64</v>
      </c>
      <c r="M130" s="12" t="n">
        <v>4.36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60</v>
      </c>
      <c r="K132" s="12" t="n">
        <v>0</v>
      </c>
      <c r="L132" s="12" t="n">
        <v>54.55</v>
      </c>
      <c r="M132" s="12" t="n">
        <v>5.45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48</v>
      </c>
      <c r="K133" s="16" t="n">
        <v>0</v>
      </c>
      <c r="L133" s="16" t="n">
        <v>43.64</v>
      </c>
      <c r="M133" s="16" t="n">
        <v>4.36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60</v>
      </c>
      <c r="K135" s="16" t="n">
        <v>0</v>
      </c>
      <c r="L135" s="16" t="n">
        <v>54.55</v>
      </c>
      <c r="M135" s="16" t="n">
        <v>5.45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24</v>
      </c>
      <c r="K136" s="12" t="n">
        <v>0</v>
      </c>
      <c r="L136" s="12" t="n">
        <v>21.82</v>
      </c>
      <c r="M136" s="12" t="n">
        <v>2.18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20261102_2015</t>
        </is>
      </c>
      <c r="B137" s="13" t="n">
        <v>46328</v>
      </c>
      <c r="C137" s="14" t="n">
        <v>0.84375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30</v>
      </c>
      <c r="K137" s="16" t="n">
        <v>0</v>
      </c>
      <c r="L137" s="16" t="n">
        <v>27.28</v>
      </c>
      <c r="M137" s="16" t="n">
        <v>2.72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20261102_2215</t>
        </is>
      </c>
      <c r="B138" s="9" t="n">
        <v>46328</v>
      </c>
      <c r="C138" s="10" t="n">
        <v>0.9270833333333334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90</v>
      </c>
      <c r="K138" s="12" t="n">
        <v>0</v>
      </c>
      <c r="L138" s="12" t="n">
        <v>81.84</v>
      </c>
      <c r="M138" s="12" t="n">
        <v>8.16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6</v>
      </c>
      <c r="R138" s="11">
        <f>IFERROR(INDEX(Tariffe!$E$2:$E$200,MATCH(E138,Tariffe!$A$2:$A$200,0))*1,1)</f>
        <v/>
      </c>
    </row>
    <row r="139">
      <c r="A139" s="23" t="inlineStr">
        <is>
          <t>20261102_2315</t>
        </is>
      </c>
      <c r="B139" s="13" t="n">
        <v>46328</v>
      </c>
      <c r="C139" s="14" t="n">
        <v>0.96875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45</v>
      </c>
      <c r="K139" s="16" t="n">
        <v>0</v>
      </c>
      <c r="L139" s="16" t="n">
        <v>40.92</v>
      </c>
      <c r="M139" s="16" t="n">
        <v>4.08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20261102_2359</t>
        </is>
      </c>
      <c r="B140" s="9" t="n">
        <v>46328</v>
      </c>
      <c r="C140" s="10" t="n">
        <v>0.9993055555555556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15</v>
      </c>
      <c r="K140" s="12" t="n">
        <v>0</v>
      </c>
      <c r="L140" s="12" t="n">
        <v>13.64</v>
      </c>
      <c r="M140" s="12" t="n">
        <v>1.36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</sheetData>
  <autoFilter ref="A1:R14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</sheetData>
  <autoFilter ref="A1:G7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</sheetData>
  <autoFilter ref="A1:K12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210</v>
      </c>
      <c r="M5" s="11" t="n">
        <v>663</v>
      </c>
      <c r="N5" s="12" t="n">
        <v>7956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148</v>
      </c>
      <c r="H20" s="11" t="n">
        <v>468</v>
      </c>
      <c r="I20" s="12" t="n">
        <v>5616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112</v>
      </c>
      <c r="C26" s="11" t="n">
        <v>374</v>
      </c>
      <c r="D26" s="12" t="n">
        <v>4488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2026-10-27T15:43:47Z</dcterms:created>
  <dcterms:modified xsi:type="dcterms:W3CDTF">2026-10-27T15:43:49Z</dcterms:modified>
</cp:coreProperties>
</file>