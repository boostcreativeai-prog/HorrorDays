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'Spettacoli'!$A$1:$R$53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serata'!$A$1:$U$10</definedName>
    <definedName name="_xlnm._FilterDatabase" localSheetId="7" hidden="1">'Storico'!$A$1:$G$893</definedName>
    <definedName name="_xlnm._FilterDatabase" localSheetId="8" hidden="1">'Registro vendite'!$A$1:$K$1696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serata'!$R$2:$R$10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serata'!$S$2:$S$10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serata'!$T$2:$T$10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serata'!$V$2:$V$10</f>
            </numRef>
          </cat>
          <val>
            <numRef>
              <f>'Per serata'!$U$2:$U$10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'Storico'!$H$2:$H$893</f>
            </numRef>
          </cat>
          <val>
            <numRef>
              <f>'Storico'!$C$2:$C$893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INDEX(Spettacoli!$B$2:$B$53,MATCH(LARGE(Spettacoli!$R$2:$R$53,1),Spettacoli!$R$2:$R$53,0))</f>
        <v/>
      </c>
      <c r="L6" s="10">
        <f>INDEX(Spettacoli!$D$2:$D$53,MATCH(LARGE(Spettacoli!$R$2:$R$53,1),Spettacoli!$R$2:$R$53,0))</f>
        <v/>
      </c>
      <c r="M6" s="11">
        <f>INDEX(Spettacoli!$F$2:$F$53,MATCH(LARGE(Spettacoli!$R$2:$R$53,1),Spettacoli!$R$2:$R$53,0))</f>
        <v/>
      </c>
      <c r="N6" s="11">
        <f>INDEX(Spettacoli!$G$2:$G$53,MATCH(LARGE(Spettacoli!$R$2:$R$53,1),Spettacoli!$R$2:$R$53,0))</f>
        <v/>
      </c>
      <c r="O6" s="12">
        <f>INDEX(Spettacoli!$M$2:$M$53,MATCH(LARGE(Spettacoli!$R$2:$R$53,1),Spettacoli!$R$2:$R$53,0))</f>
        <v/>
      </c>
    </row>
    <row r="7">
      <c r="K7" s="13">
        <f>INDEX(Spettacoli!$B$2:$B$53,MATCH(LARGE(Spettacoli!$R$2:$R$53,2),Spettacoli!$R$2:$R$53,0))</f>
        <v/>
      </c>
      <c r="L7" s="14">
        <f>INDEX(Spettacoli!$D$2:$D$53,MATCH(LARGE(Spettacoli!$R$2:$R$53,2),Spettacoli!$R$2:$R$53,0))</f>
        <v/>
      </c>
      <c r="M7" s="15">
        <f>INDEX(Spettacoli!$F$2:$F$53,MATCH(LARGE(Spettacoli!$R$2:$R$53,2),Spettacoli!$R$2:$R$53,0))</f>
        <v/>
      </c>
      <c r="N7" s="15">
        <f>INDEX(Spettacoli!$G$2:$G$53,MATCH(LARGE(Spettacoli!$R$2:$R$53,2),Spettacoli!$R$2:$R$53,0))</f>
        <v/>
      </c>
      <c r="O7" s="16">
        <f>INDEX(Spettacoli!$M$2:$M$53,MATCH(LARGE(Spettacoli!$R$2:$R$53,2),Spettacoli!$R$2:$R$53,0))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INDEX(Spettacoli!$B$2:$B$53,MATCH(LARGE(Spettacoli!$R$2:$R$53,3),Spettacoli!$R$2:$R$53,0))</f>
        <v/>
      </c>
      <c r="L8" s="10">
        <f>INDEX(Spettacoli!$D$2:$D$53,MATCH(LARGE(Spettacoli!$R$2:$R$53,3),Spettacoli!$R$2:$R$53,0))</f>
        <v/>
      </c>
      <c r="M8" s="11">
        <f>INDEX(Spettacoli!$F$2:$F$53,MATCH(LARGE(Spettacoli!$R$2:$R$53,3),Spettacoli!$R$2:$R$53,0))</f>
        <v/>
      </c>
      <c r="N8" s="11">
        <f>INDEX(Spettacoli!$G$2:$G$53,MATCH(LARGE(Spettacoli!$R$2:$R$53,3),Spettacoli!$R$2:$R$53,0))</f>
        <v/>
      </c>
      <c r="O8" s="12">
        <f>INDEX(Spettacoli!$M$2:$M$53,MATCH(LARGE(Spettacoli!$R$2:$R$53,3),Spettacoli!$R$2:$R$53,0))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IF(SUM(Spettacoli!E2:E53)&gt;0,SUM(Spettacoli!F2:F53)/SUM(Spettacoli!E2:E53),0)</f>
        <v/>
      </c>
      <c r="F9" s="5" t="n"/>
      <c r="H9" s="19">
        <f>COUNTIF(Spettacoli!$Q$2:$Q$53,"Venduto")&amp;" / "&amp;COUNTA(Spettacoli!A2:A53)</f>
        <v/>
      </c>
      <c r="I9" s="5" t="n"/>
      <c r="K9" s="13">
        <f>INDEX(Spettacoli!$B$2:$B$53,MATCH(LARGE(Spettacoli!$R$2:$R$53,4),Spettacoli!$R$2:$R$53,0))</f>
        <v/>
      </c>
      <c r="L9" s="14">
        <f>INDEX(Spettacoli!$D$2:$D$53,MATCH(LARGE(Spettacoli!$R$2:$R$53,4),Spettacoli!$R$2:$R$53,0))</f>
        <v/>
      </c>
      <c r="M9" s="15">
        <f>INDEX(Spettacoli!$F$2:$F$53,MATCH(LARGE(Spettacoli!$R$2:$R$53,4),Spettacoli!$R$2:$R$53,0))</f>
        <v/>
      </c>
      <c r="N9" s="15">
        <f>INDEX(Spettacoli!$G$2:$G$53,MATCH(LARGE(Spettacoli!$R$2:$R$53,4),Spettacoli!$R$2:$R$53,0))</f>
        <v/>
      </c>
      <c r="O9" s="16">
        <f>INDEX(Spettacoli!$M$2:$M$53,MATCH(LARGE(Spettacoli!$R$2:$R$53,4),Spettacoli!$R$2:$R$53,0))</f>
        <v/>
      </c>
    </row>
    <row r="10">
      <c r="K10" s="9">
        <f>INDEX(Spettacoli!$B$2:$B$53,MATCH(LARGE(Spettacoli!$R$2:$R$53,5),Spettacoli!$R$2:$R$53,0))</f>
        <v/>
      </c>
      <c r="L10" s="10">
        <f>INDEX(Spettacoli!$D$2:$D$53,MATCH(LARGE(Spettacoli!$R$2:$R$53,5),Spettacoli!$R$2:$R$53,0))</f>
        <v/>
      </c>
      <c r="M10" s="11">
        <f>INDEX(Spettacoli!$F$2:$F$53,MATCH(LARGE(Spettacoli!$R$2:$R$53,5),Spettacoli!$R$2:$R$53,0))</f>
        <v/>
      </c>
      <c r="N10" s="11">
        <f>INDEX(Spettacoli!$G$2:$G$53,MATCH(LARGE(Spettacoli!$R$2:$R$53,5),Spettacoli!$R$2:$R$53,0))</f>
        <v/>
      </c>
      <c r="O10" s="12">
        <f>INDEX(Spettacoli!$M$2:$M$53,MATCH(LARGE(Spettacoli!$R$2:$R$53,5),Spettacoli!$R$2:$R$53,0))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20261102_2016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0.8444444444444444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20261102_2115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0.8854166666666666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20261102_2116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0.8861111111111111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20261102_2215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0.9270833333333334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  <row r="44">
      <c r="A44" s="22" t="inlineStr">
        <is>
          <t>20261102_2216</t>
        </is>
      </c>
      <c r="B44" s="9" t="n">
        <v>46328</v>
      </c>
      <c r="C44" s="22">
        <f>CHOOSE(WEEKDAY(B44,2),"Lunedì","Martedì","Mercoledì","Giovedì","Venerdì","Sabato","Domenica")</f>
        <v/>
      </c>
      <c r="D44" s="10" t="n">
        <v>0.9277777777777778</v>
      </c>
      <c r="E44" s="11" t="n">
        <v>80</v>
      </c>
      <c r="F44" s="11">
        <f>SUMIF(Vendite!$A$2:$A$1000,A44,Vendite!$H$2:$H$1000)</f>
        <v/>
      </c>
      <c r="G44" s="11">
        <f>SUMIF(Vendite!$A$2:$A$1000,A44,Vendite!$P$2:$P$1000)</f>
        <v/>
      </c>
      <c r="H44" s="11">
        <f>SUMIFS(Vendite!$H$2:$H$1000,Vendite!$A$2:$A$1000,A44,Vendite!$O$2:$O$1000,2)</f>
        <v/>
      </c>
      <c r="I44" s="11">
        <f>SUMIFS(Vendite!$H$2:$H$1000,Vendite!$A$2:$A$1000,A44,Vendite!$O$2:$O$1000,3)</f>
        <v/>
      </c>
      <c r="J44" s="11">
        <f>SUMIFS(Vendite!$H$2:$H$1000,Vendite!$A$2:$A$1000,A44,Vendite!$O$2:$O$1000,4)</f>
        <v/>
      </c>
      <c r="K44" s="11">
        <f>SUMIFS(Vendite!$H$2:$H$1000,Vendite!$A$2:$A$1000,A44,Vendite!$O$2:$O$1000,5)</f>
        <v/>
      </c>
      <c r="L44" s="11">
        <f>SUMIF(Vendite!$A$2:$A$1000,A44,Vendite!$I$2:$I$1000)</f>
        <v/>
      </c>
      <c r="M44" s="12">
        <f>SUMIF(Vendite!$A$2:$A$1000,A44,Vendite!$J$2:$J$1000)</f>
        <v/>
      </c>
      <c r="N44" s="12">
        <f>SUMIF(Vendite!$A$2:$A$1000,A44,Vendite!$L$2:$L$1000)</f>
        <v/>
      </c>
      <c r="O44" s="12">
        <f>SUMIF(Vendite!$A$2:$A$1000,A44,Vendite!$M$2:$M$1000)</f>
        <v/>
      </c>
      <c r="P44" s="24">
        <f>IF(E44&gt;0,F44/E44,0)</f>
        <v/>
      </c>
      <c r="Q44" s="22">
        <f>IF(F44&gt;0,"Venduto","Zero vendite")</f>
        <v/>
      </c>
      <c r="R44" s="22">
        <f>F44+M44/100000+(1000-ROW())/100000000</f>
        <v/>
      </c>
    </row>
    <row r="45">
      <c r="A45" s="23" t="inlineStr">
        <is>
          <t>20261102_2315</t>
        </is>
      </c>
      <c r="B45" s="13" t="n">
        <v>46328</v>
      </c>
      <c r="C45" s="23">
        <f>CHOOSE(WEEKDAY(B45,2),"Lunedì","Martedì","Mercoledì","Giovedì","Venerdì","Sabato","Domenica")</f>
        <v/>
      </c>
      <c r="D45" s="14" t="n">
        <v>0.96875</v>
      </c>
      <c r="E45" s="15" t="n">
        <v>80</v>
      </c>
      <c r="F45" s="15">
        <f>SUMIF(Vendite!$A$2:$A$1000,A45,Vendite!$H$2:$H$1000)</f>
        <v/>
      </c>
      <c r="G45" s="15">
        <f>SUMIF(Vendite!$A$2:$A$1000,A45,Vendite!$P$2:$P$1000)</f>
        <v/>
      </c>
      <c r="H45" s="15">
        <f>SUMIFS(Vendite!$H$2:$H$1000,Vendite!$A$2:$A$1000,A45,Vendite!$O$2:$O$1000,2)</f>
        <v/>
      </c>
      <c r="I45" s="15">
        <f>SUMIFS(Vendite!$H$2:$H$1000,Vendite!$A$2:$A$1000,A45,Vendite!$O$2:$O$1000,3)</f>
        <v/>
      </c>
      <c r="J45" s="15">
        <f>SUMIFS(Vendite!$H$2:$H$1000,Vendite!$A$2:$A$1000,A45,Vendite!$O$2:$O$1000,4)</f>
        <v/>
      </c>
      <c r="K45" s="15">
        <f>SUMIFS(Vendite!$H$2:$H$1000,Vendite!$A$2:$A$1000,A45,Vendite!$O$2:$O$1000,5)</f>
        <v/>
      </c>
      <c r="L45" s="15">
        <f>SUMIF(Vendite!$A$2:$A$1000,A45,Vendite!$I$2:$I$1000)</f>
        <v/>
      </c>
      <c r="M45" s="16">
        <f>SUMIF(Vendite!$A$2:$A$1000,A45,Vendite!$J$2:$J$1000)</f>
        <v/>
      </c>
      <c r="N45" s="16">
        <f>SUMIF(Vendite!$A$2:$A$1000,A45,Vendite!$L$2:$L$1000)</f>
        <v/>
      </c>
      <c r="O45" s="16">
        <f>SUMIF(Vendite!$A$2:$A$1000,A45,Vendite!$M$2:$M$1000)</f>
        <v/>
      </c>
      <c r="P45" s="25">
        <f>IF(E45&gt;0,F45/E45,0)</f>
        <v/>
      </c>
      <c r="Q45" s="23">
        <f>IF(F45&gt;0,"Venduto","Zero vendite")</f>
        <v/>
      </c>
      <c r="R45" s="23">
        <f>F45+M45/100000+(1000-ROW())/100000000</f>
        <v/>
      </c>
    </row>
    <row r="46">
      <c r="A46" s="22" t="inlineStr">
        <is>
          <t>20261102_2316</t>
        </is>
      </c>
      <c r="B46" s="9" t="n">
        <v>46328</v>
      </c>
      <c r="C46" s="22">
        <f>CHOOSE(WEEKDAY(B46,2),"Lunedì","Martedì","Mercoledì","Giovedì","Venerdì","Sabato","Domenica")</f>
        <v/>
      </c>
      <c r="D46" s="10" t="n">
        <v>0.9694444444444444</v>
      </c>
      <c r="E46" s="11" t="n">
        <v>80</v>
      </c>
      <c r="F46" s="11">
        <f>SUMIF(Vendite!$A$2:$A$1000,A46,Vendite!$H$2:$H$1000)</f>
        <v/>
      </c>
      <c r="G46" s="11">
        <f>SUMIF(Vendite!$A$2:$A$1000,A46,Vendite!$P$2:$P$1000)</f>
        <v/>
      </c>
      <c r="H46" s="11">
        <f>SUMIFS(Vendite!$H$2:$H$1000,Vendite!$A$2:$A$1000,A46,Vendite!$O$2:$O$1000,2)</f>
        <v/>
      </c>
      <c r="I46" s="11">
        <f>SUMIFS(Vendite!$H$2:$H$1000,Vendite!$A$2:$A$1000,A46,Vendite!$O$2:$O$1000,3)</f>
        <v/>
      </c>
      <c r="J46" s="11">
        <f>SUMIFS(Vendite!$H$2:$H$1000,Vendite!$A$2:$A$1000,A46,Vendite!$O$2:$O$1000,4)</f>
        <v/>
      </c>
      <c r="K46" s="11">
        <f>SUMIFS(Vendite!$H$2:$H$1000,Vendite!$A$2:$A$1000,A46,Vendite!$O$2:$O$1000,5)</f>
        <v/>
      </c>
      <c r="L46" s="11">
        <f>SUMIF(Vendite!$A$2:$A$1000,A46,Vendite!$I$2:$I$1000)</f>
        <v/>
      </c>
      <c r="M46" s="12">
        <f>SUMIF(Vendite!$A$2:$A$1000,A46,Vendite!$J$2:$J$1000)</f>
        <v/>
      </c>
      <c r="N46" s="12">
        <f>SUMIF(Vendite!$A$2:$A$1000,A46,Vendite!$L$2:$L$1000)</f>
        <v/>
      </c>
      <c r="O46" s="12">
        <f>SUMIF(Vendite!$A$2:$A$1000,A46,Vendite!$M$2:$M$1000)</f>
        <v/>
      </c>
      <c r="P46" s="24">
        <f>IF(E46&gt;0,F46/E46,0)</f>
        <v/>
      </c>
      <c r="Q46" s="22">
        <f>IF(F46&gt;0,"Venduto","Zero vendite")</f>
        <v/>
      </c>
      <c r="R46" s="22">
        <f>F46+M46/100000+(1000-ROW())/100000000</f>
        <v/>
      </c>
    </row>
    <row r="47">
      <c r="A47" s="23" t="inlineStr">
        <is>
          <t>20261102_2358</t>
        </is>
      </c>
      <c r="B47" s="13" t="n">
        <v>46328</v>
      </c>
      <c r="C47" s="23">
        <f>CHOOSE(WEEKDAY(B47,2),"Lunedì","Martedì","Mercoledì","Giovedì","Venerdì","Sabato","Domenica")</f>
        <v/>
      </c>
      <c r="D47" s="14" t="n">
        <v>0.9986111111111111</v>
      </c>
      <c r="E47" s="15" t="n">
        <v>80</v>
      </c>
      <c r="F47" s="15">
        <f>SUMIF(Vendite!$A$2:$A$1000,A47,Vendite!$H$2:$H$1000)</f>
        <v/>
      </c>
      <c r="G47" s="15">
        <f>SUMIF(Vendite!$A$2:$A$1000,A47,Vendite!$P$2:$P$1000)</f>
        <v/>
      </c>
      <c r="H47" s="15">
        <f>SUMIFS(Vendite!$H$2:$H$1000,Vendite!$A$2:$A$1000,A47,Vendite!$O$2:$O$1000,2)</f>
        <v/>
      </c>
      <c r="I47" s="15">
        <f>SUMIFS(Vendite!$H$2:$H$1000,Vendite!$A$2:$A$1000,A47,Vendite!$O$2:$O$1000,3)</f>
        <v/>
      </c>
      <c r="J47" s="15">
        <f>SUMIFS(Vendite!$H$2:$H$1000,Vendite!$A$2:$A$1000,A47,Vendite!$O$2:$O$1000,4)</f>
        <v/>
      </c>
      <c r="K47" s="15">
        <f>SUMIFS(Vendite!$H$2:$H$1000,Vendite!$A$2:$A$1000,A47,Vendite!$O$2:$O$1000,5)</f>
        <v/>
      </c>
      <c r="L47" s="15">
        <f>SUMIF(Vendite!$A$2:$A$1000,A47,Vendite!$I$2:$I$1000)</f>
        <v/>
      </c>
      <c r="M47" s="16">
        <f>SUMIF(Vendite!$A$2:$A$1000,A47,Vendite!$J$2:$J$1000)</f>
        <v/>
      </c>
      <c r="N47" s="16">
        <f>SUMIF(Vendite!$A$2:$A$1000,A47,Vendite!$L$2:$L$1000)</f>
        <v/>
      </c>
      <c r="O47" s="16">
        <f>SUMIF(Vendite!$A$2:$A$1000,A47,Vendite!$M$2:$M$1000)</f>
        <v/>
      </c>
      <c r="P47" s="25">
        <f>IF(E47&gt;0,F47/E47,0)</f>
        <v/>
      </c>
      <c r="Q47" s="23">
        <f>IF(F47&gt;0,"Venduto","Zero vendite")</f>
        <v/>
      </c>
      <c r="R47" s="23">
        <f>F47+M47/100000+(1000-ROW())/100000000</f>
        <v/>
      </c>
    </row>
    <row r="48">
      <c r="A48" s="22" t="inlineStr">
        <is>
          <t>20261102_2359</t>
        </is>
      </c>
      <c r="B48" s="9" t="n">
        <v>46328</v>
      </c>
      <c r="C48" s="22">
        <f>CHOOSE(WEEKDAY(B48,2),"Lunedì","Martedì","Mercoledì","Giovedì","Venerdì","Sabato","Domenica")</f>
        <v/>
      </c>
      <c r="D48" s="10" t="n">
        <v>0.9993055555555556</v>
      </c>
      <c r="E48" s="11" t="n">
        <v>80</v>
      </c>
      <c r="F48" s="11">
        <f>SUMIF(Vendite!$A$2:$A$1000,A48,Vendite!$H$2:$H$1000)</f>
        <v/>
      </c>
      <c r="G48" s="11">
        <f>SUMIF(Vendite!$A$2:$A$1000,A48,Vendite!$P$2:$P$1000)</f>
        <v/>
      </c>
      <c r="H48" s="11">
        <f>SUMIFS(Vendite!$H$2:$H$1000,Vendite!$A$2:$A$1000,A48,Vendite!$O$2:$O$1000,2)</f>
        <v/>
      </c>
      <c r="I48" s="11">
        <f>SUMIFS(Vendite!$H$2:$H$1000,Vendite!$A$2:$A$1000,A48,Vendite!$O$2:$O$1000,3)</f>
        <v/>
      </c>
      <c r="J48" s="11">
        <f>SUMIFS(Vendite!$H$2:$H$1000,Vendite!$A$2:$A$1000,A48,Vendite!$O$2:$O$1000,4)</f>
        <v/>
      </c>
      <c r="K48" s="11">
        <f>SUMIFS(Vendite!$H$2:$H$1000,Vendite!$A$2:$A$1000,A48,Vendite!$O$2:$O$1000,5)</f>
        <v/>
      </c>
      <c r="L48" s="11">
        <f>SUMIF(Vendite!$A$2:$A$1000,A48,Vendite!$I$2:$I$1000)</f>
        <v/>
      </c>
      <c r="M48" s="12">
        <f>SUMIF(Vendite!$A$2:$A$1000,A48,Vendite!$J$2:$J$1000)</f>
        <v/>
      </c>
      <c r="N48" s="12">
        <f>SUMIF(Vendite!$A$2:$A$1000,A48,Vendite!$L$2:$L$1000)</f>
        <v/>
      </c>
      <c r="O48" s="12">
        <f>SUMIF(Vendite!$A$2:$A$1000,A48,Vendite!$M$2:$M$1000)</f>
        <v/>
      </c>
      <c r="P48" s="24">
        <f>IF(E48&gt;0,F48/E48,0)</f>
        <v/>
      </c>
      <c r="Q48" s="22">
        <f>IF(F48&gt;0,"Venduto","Zero vendite")</f>
        <v/>
      </c>
      <c r="R48" s="22">
        <f>F48+M48/100000+(1000-ROW())/100000000</f>
        <v/>
      </c>
    </row>
    <row r="49">
      <c r="A49" s="23" t="inlineStr">
        <is>
          <t>20261109_2015</t>
        </is>
      </c>
      <c r="B49" s="13" t="n">
        <v>46335</v>
      </c>
      <c r="C49" s="23">
        <f>CHOOSE(WEEKDAY(B49,2),"Lunedì","Martedì","Mercoledì","Giovedì","Venerdì","Sabato","Domenica")</f>
        <v/>
      </c>
      <c r="D49" s="14" t="n">
        <v>0.84375</v>
      </c>
      <c r="E49" s="15" t="n">
        <v>80</v>
      </c>
      <c r="F49" s="15">
        <f>SUMIF(Vendite!$A$2:$A$1000,A49,Vendite!$H$2:$H$1000)</f>
        <v/>
      </c>
      <c r="G49" s="15">
        <f>SUMIF(Vendite!$A$2:$A$1000,A49,Vendite!$P$2:$P$1000)</f>
        <v/>
      </c>
      <c r="H49" s="15">
        <f>SUMIFS(Vendite!$H$2:$H$1000,Vendite!$A$2:$A$1000,A49,Vendite!$O$2:$O$1000,2)</f>
        <v/>
      </c>
      <c r="I49" s="15">
        <f>SUMIFS(Vendite!$H$2:$H$1000,Vendite!$A$2:$A$1000,A49,Vendite!$O$2:$O$1000,3)</f>
        <v/>
      </c>
      <c r="J49" s="15">
        <f>SUMIFS(Vendite!$H$2:$H$1000,Vendite!$A$2:$A$1000,A49,Vendite!$O$2:$O$1000,4)</f>
        <v/>
      </c>
      <c r="K49" s="15">
        <f>SUMIFS(Vendite!$H$2:$H$1000,Vendite!$A$2:$A$1000,A49,Vendite!$O$2:$O$1000,5)</f>
        <v/>
      </c>
      <c r="L49" s="15">
        <f>SUMIF(Vendite!$A$2:$A$1000,A49,Vendite!$I$2:$I$1000)</f>
        <v/>
      </c>
      <c r="M49" s="16">
        <f>SUMIF(Vendite!$A$2:$A$1000,A49,Vendite!$J$2:$J$1000)</f>
        <v/>
      </c>
      <c r="N49" s="16">
        <f>SUMIF(Vendite!$A$2:$A$1000,A49,Vendite!$L$2:$L$1000)</f>
        <v/>
      </c>
      <c r="O49" s="16">
        <f>SUMIF(Vendite!$A$2:$A$1000,A49,Vendite!$M$2:$M$1000)</f>
        <v/>
      </c>
      <c r="P49" s="25">
        <f>IF(E49&gt;0,F49/E49,0)</f>
        <v/>
      </c>
      <c r="Q49" s="23">
        <f>IF(F49&gt;0,"Venduto","Zero vendite")</f>
        <v/>
      </c>
      <c r="R49" s="23">
        <f>F49+M49/100000+(1000-ROW())/100000000</f>
        <v/>
      </c>
    </row>
    <row r="50">
      <c r="A50" s="22" t="inlineStr">
        <is>
          <t>20261109_2115</t>
        </is>
      </c>
      <c r="B50" s="9" t="n">
        <v>46335</v>
      </c>
      <c r="C50" s="22">
        <f>CHOOSE(WEEKDAY(B50,2),"Lunedì","Martedì","Mercoledì","Giovedì","Venerdì","Sabato","Domenica")</f>
        <v/>
      </c>
      <c r="D50" s="10" t="n">
        <v>0.8854166666666666</v>
      </c>
      <c r="E50" s="11" t="n">
        <v>80</v>
      </c>
      <c r="F50" s="11">
        <f>SUMIF(Vendite!$A$2:$A$1000,A50,Vendite!$H$2:$H$1000)</f>
        <v/>
      </c>
      <c r="G50" s="11">
        <f>SUMIF(Vendite!$A$2:$A$1000,A50,Vendite!$P$2:$P$1000)</f>
        <v/>
      </c>
      <c r="H50" s="11">
        <f>SUMIFS(Vendite!$H$2:$H$1000,Vendite!$A$2:$A$1000,A50,Vendite!$O$2:$O$1000,2)</f>
        <v/>
      </c>
      <c r="I50" s="11">
        <f>SUMIFS(Vendite!$H$2:$H$1000,Vendite!$A$2:$A$1000,A50,Vendite!$O$2:$O$1000,3)</f>
        <v/>
      </c>
      <c r="J50" s="11">
        <f>SUMIFS(Vendite!$H$2:$H$1000,Vendite!$A$2:$A$1000,A50,Vendite!$O$2:$O$1000,4)</f>
        <v/>
      </c>
      <c r="K50" s="11">
        <f>SUMIFS(Vendite!$H$2:$H$1000,Vendite!$A$2:$A$1000,A50,Vendite!$O$2:$O$1000,5)</f>
        <v/>
      </c>
      <c r="L50" s="11">
        <f>SUMIF(Vendite!$A$2:$A$1000,A50,Vendite!$I$2:$I$1000)</f>
        <v/>
      </c>
      <c r="M50" s="12">
        <f>SUMIF(Vendite!$A$2:$A$1000,A50,Vendite!$J$2:$J$1000)</f>
        <v/>
      </c>
      <c r="N50" s="12">
        <f>SUMIF(Vendite!$A$2:$A$1000,A50,Vendite!$L$2:$L$1000)</f>
        <v/>
      </c>
      <c r="O50" s="12">
        <f>SUMIF(Vendite!$A$2:$A$1000,A50,Vendite!$M$2:$M$1000)</f>
        <v/>
      </c>
      <c r="P50" s="24">
        <f>IF(E50&gt;0,F50/E50,0)</f>
        <v/>
      </c>
      <c r="Q50" s="22">
        <f>IF(F50&gt;0,"Venduto","Zero vendite")</f>
        <v/>
      </c>
      <c r="R50" s="22">
        <f>F50+M50/100000+(1000-ROW())/100000000</f>
        <v/>
      </c>
    </row>
    <row r="51">
      <c r="A51" s="23" t="inlineStr">
        <is>
          <t>20261109_2215</t>
        </is>
      </c>
      <c r="B51" s="13" t="n">
        <v>46335</v>
      </c>
      <c r="C51" s="23">
        <f>CHOOSE(WEEKDAY(B51,2),"Lunedì","Martedì","Mercoledì","Giovedì","Venerdì","Sabato","Domenica")</f>
        <v/>
      </c>
      <c r="D51" s="14" t="n">
        <v>0.9270833333333334</v>
      </c>
      <c r="E51" s="15" t="n">
        <v>80</v>
      </c>
      <c r="F51" s="15">
        <f>SUMIF(Vendite!$A$2:$A$1000,A51,Vendite!$H$2:$H$1000)</f>
        <v/>
      </c>
      <c r="G51" s="15">
        <f>SUMIF(Vendite!$A$2:$A$1000,A51,Vendite!$P$2:$P$1000)</f>
        <v/>
      </c>
      <c r="H51" s="15">
        <f>SUMIFS(Vendite!$H$2:$H$1000,Vendite!$A$2:$A$1000,A51,Vendite!$O$2:$O$1000,2)</f>
        <v/>
      </c>
      <c r="I51" s="15">
        <f>SUMIFS(Vendite!$H$2:$H$1000,Vendite!$A$2:$A$1000,A51,Vendite!$O$2:$O$1000,3)</f>
        <v/>
      </c>
      <c r="J51" s="15">
        <f>SUMIFS(Vendite!$H$2:$H$1000,Vendite!$A$2:$A$1000,A51,Vendite!$O$2:$O$1000,4)</f>
        <v/>
      </c>
      <c r="K51" s="15">
        <f>SUMIFS(Vendite!$H$2:$H$1000,Vendite!$A$2:$A$1000,A51,Vendite!$O$2:$O$1000,5)</f>
        <v/>
      </c>
      <c r="L51" s="15">
        <f>SUMIF(Vendite!$A$2:$A$1000,A51,Vendite!$I$2:$I$1000)</f>
        <v/>
      </c>
      <c r="M51" s="16">
        <f>SUMIF(Vendite!$A$2:$A$1000,A51,Vendite!$J$2:$J$1000)</f>
        <v/>
      </c>
      <c r="N51" s="16">
        <f>SUMIF(Vendite!$A$2:$A$1000,A51,Vendite!$L$2:$L$1000)</f>
        <v/>
      </c>
      <c r="O51" s="16">
        <f>SUMIF(Vendite!$A$2:$A$1000,A51,Vendite!$M$2:$M$1000)</f>
        <v/>
      </c>
      <c r="P51" s="25">
        <f>IF(E51&gt;0,F51/E51,0)</f>
        <v/>
      </c>
      <c r="Q51" s="23">
        <f>IF(F51&gt;0,"Venduto","Zero vendite")</f>
        <v/>
      </c>
      <c r="R51" s="23">
        <f>F51+M51/100000+(1000-ROW())/100000000</f>
        <v/>
      </c>
    </row>
    <row r="52">
      <c r="A52" s="22" t="inlineStr">
        <is>
          <t>20261109_2315</t>
        </is>
      </c>
      <c r="B52" s="9" t="n">
        <v>46335</v>
      </c>
      <c r="C52" s="22">
        <f>CHOOSE(WEEKDAY(B52,2),"Lunedì","Martedì","Mercoledì","Giovedì","Venerdì","Sabato","Domenica")</f>
        <v/>
      </c>
      <c r="D52" s="10" t="n">
        <v>0.96875</v>
      </c>
      <c r="E52" s="11" t="n">
        <v>80</v>
      </c>
      <c r="F52" s="11">
        <f>SUMIF(Vendite!$A$2:$A$1000,A52,Vendite!$H$2:$H$1000)</f>
        <v/>
      </c>
      <c r="G52" s="11">
        <f>SUMIF(Vendite!$A$2:$A$1000,A52,Vendite!$P$2:$P$1000)</f>
        <v/>
      </c>
      <c r="H52" s="11">
        <f>SUMIFS(Vendite!$H$2:$H$1000,Vendite!$A$2:$A$1000,A52,Vendite!$O$2:$O$1000,2)</f>
        <v/>
      </c>
      <c r="I52" s="11">
        <f>SUMIFS(Vendite!$H$2:$H$1000,Vendite!$A$2:$A$1000,A52,Vendite!$O$2:$O$1000,3)</f>
        <v/>
      </c>
      <c r="J52" s="11">
        <f>SUMIFS(Vendite!$H$2:$H$1000,Vendite!$A$2:$A$1000,A52,Vendite!$O$2:$O$1000,4)</f>
        <v/>
      </c>
      <c r="K52" s="11">
        <f>SUMIFS(Vendite!$H$2:$H$1000,Vendite!$A$2:$A$1000,A52,Vendite!$O$2:$O$1000,5)</f>
        <v/>
      </c>
      <c r="L52" s="11">
        <f>SUMIF(Vendite!$A$2:$A$1000,A52,Vendite!$I$2:$I$1000)</f>
        <v/>
      </c>
      <c r="M52" s="12">
        <f>SUMIF(Vendite!$A$2:$A$1000,A52,Vendite!$J$2:$J$1000)</f>
        <v/>
      </c>
      <c r="N52" s="12">
        <f>SUMIF(Vendite!$A$2:$A$1000,A52,Vendite!$L$2:$L$1000)</f>
        <v/>
      </c>
      <c r="O52" s="12">
        <f>SUMIF(Vendite!$A$2:$A$1000,A52,Vendite!$M$2:$M$1000)</f>
        <v/>
      </c>
      <c r="P52" s="24">
        <f>IF(E52&gt;0,F52/E52,0)</f>
        <v/>
      </c>
      <c r="Q52" s="22">
        <f>IF(F52&gt;0,"Venduto","Zero vendite")</f>
        <v/>
      </c>
      <c r="R52" s="22">
        <f>F52+M52/100000+(1000-ROW())/100000000</f>
        <v/>
      </c>
    </row>
    <row r="53">
      <c r="A53" s="23" t="inlineStr">
        <is>
          <t>20261109_2359</t>
        </is>
      </c>
      <c r="B53" s="13" t="n">
        <v>46335</v>
      </c>
      <c r="C53" s="23">
        <f>CHOOSE(WEEKDAY(B53,2),"Lunedì","Martedì","Mercoledì","Giovedì","Venerdì","Sabato","Domenica")</f>
        <v/>
      </c>
      <c r="D53" s="14" t="n">
        <v>0.9993055555555556</v>
      </c>
      <c r="E53" s="15" t="n">
        <v>80</v>
      </c>
      <c r="F53" s="15">
        <f>SUMIF(Vendite!$A$2:$A$1000,A53,Vendite!$H$2:$H$1000)</f>
        <v/>
      </c>
      <c r="G53" s="15">
        <f>SUMIF(Vendite!$A$2:$A$1000,A53,Vendite!$P$2:$P$1000)</f>
        <v/>
      </c>
      <c r="H53" s="15">
        <f>SUMIFS(Vendite!$H$2:$H$1000,Vendite!$A$2:$A$1000,A53,Vendite!$O$2:$O$1000,2)</f>
        <v/>
      </c>
      <c r="I53" s="15">
        <f>SUMIFS(Vendite!$H$2:$H$1000,Vendite!$A$2:$A$1000,A53,Vendite!$O$2:$O$1000,3)</f>
        <v/>
      </c>
      <c r="J53" s="15">
        <f>SUMIFS(Vendite!$H$2:$H$1000,Vendite!$A$2:$A$1000,A53,Vendite!$O$2:$O$1000,4)</f>
        <v/>
      </c>
      <c r="K53" s="15">
        <f>SUMIFS(Vendite!$H$2:$H$1000,Vendite!$A$2:$A$1000,A53,Vendite!$O$2:$O$1000,5)</f>
        <v/>
      </c>
      <c r="L53" s="15">
        <f>SUMIF(Vendite!$A$2:$A$1000,A53,Vendite!$I$2:$I$1000)</f>
        <v/>
      </c>
      <c r="M53" s="16">
        <f>SUMIF(Vendite!$A$2:$A$1000,A53,Vendite!$J$2:$J$1000)</f>
        <v/>
      </c>
      <c r="N53" s="16">
        <f>SUMIF(Vendite!$A$2:$A$1000,A53,Vendite!$L$2:$L$1000)</f>
        <v/>
      </c>
      <c r="O53" s="16">
        <f>SUMIF(Vendite!$A$2:$A$1000,A53,Vendite!$M$2:$M$1000)</f>
        <v/>
      </c>
      <c r="P53" s="25">
        <f>IF(E53&gt;0,F53/E53,0)</f>
        <v/>
      </c>
      <c r="Q53" s="23">
        <f>IF(F53&gt;0,"Venduto","Zero vendite")</f>
        <v/>
      </c>
      <c r="R53" s="23">
        <f>F53+M53/100000+(1000-ROW())/100000000</f>
        <v/>
      </c>
    </row>
  </sheetData>
  <autoFilter ref="A1:R53"/>
  <conditionalFormatting sqref="Q2:Q5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768</v>
      </c>
      <c r="K130" s="12" t="n">
        <v>0</v>
      </c>
      <c r="L130" s="12" t="n">
        <v>698.24</v>
      </c>
      <c r="M130" s="12" t="n">
        <v>69.76000000000001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16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552</v>
      </c>
      <c r="K133" s="16" t="n">
        <v>0</v>
      </c>
      <c r="L133" s="16" t="n">
        <v>501.86</v>
      </c>
      <c r="M133" s="16" t="n">
        <v>50.14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23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1104</v>
      </c>
      <c r="K146" s="12" t="n">
        <v>0</v>
      </c>
      <c r="L146" s="12" t="n">
        <v>1003.72</v>
      </c>
      <c r="M146" s="12" t="n">
        <v>100.28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23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180</v>
      </c>
      <c r="K147" s="16" t="n">
        <v>0</v>
      </c>
      <c r="L147" s="16" t="n">
        <v>163.65</v>
      </c>
      <c r="M147" s="16" t="n">
        <v>16.35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5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180</v>
      </c>
      <c r="K148" s="12" t="n">
        <v>0</v>
      </c>
      <c r="L148" s="12" t="n">
        <v>163.65</v>
      </c>
      <c r="M148" s="12" t="n">
        <v>16.35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3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576</v>
      </c>
      <c r="K149" s="16" t="n">
        <v>0</v>
      </c>
      <c r="L149" s="16" t="n">
        <v>523.6799999999999</v>
      </c>
      <c r="M149" s="16" t="n">
        <v>52.32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  <row r="10">
      <c r="A10" s="9" t="n">
        <v>46335</v>
      </c>
      <c r="B10" s="22">
        <f>CHOOSE(WEEKDAY(A10,2),"Lunedì","Martedì","Mercoledì","Giovedì","Venerdì","Sabato","Domenica")</f>
        <v/>
      </c>
      <c r="C10" s="11">
        <f>SUM(F10:K10)</f>
        <v/>
      </c>
      <c r="D10" s="11">
        <f>SUM(L10:Q10)</f>
        <v/>
      </c>
      <c r="E10" s="12">
        <f>SUMIF(Vendite!$B$2:$B$1000,A10,Vendite!$J$2:$J$1000)</f>
        <v/>
      </c>
      <c r="F10" s="11">
        <f>SUMIFS(Vendite!$H$2:$H$1000,Vendite!$B$2:$B$1000,A10,Vendite!$C$2:$C$1000,"&gt;="&amp;TIMEVALUE("19:00"),Vendite!$C$2:$C$1000,"&lt;"&amp;TIMEVALUE("20:00"))</f>
        <v/>
      </c>
      <c r="G10" s="11">
        <f>SUMIFS(Vendite!$H$2:$H$1000,Vendite!$B$2:$B$1000,A10,Vendite!$C$2:$C$1000,"&gt;="&amp;TIMEVALUE("20:00"),Vendite!$C$2:$C$1000,"&lt;"&amp;TIMEVALUE("21:00"))</f>
        <v/>
      </c>
      <c r="H10" s="11">
        <f>SUMIFS(Vendite!$H$2:$H$1000,Vendite!$B$2:$B$1000,A10,Vendite!$C$2:$C$1000,"&gt;="&amp;TIMEVALUE("21:00"),Vendite!$C$2:$C$1000,"&lt;"&amp;TIMEVALUE("22:00"))</f>
        <v/>
      </c>
      <c r="I10" s="11">
        <f>SUMIFS(Vendite!$H$2:$H$1000,Vendite!$B$2:$B$1000,A10,Vendite!$C$2:$C$1000,"&gt;="&amp;TIMEVALUE("22:00"),Vendite!$C$2:$C$1000,"&lt;"&amp;TIMEVALUE("23:00"))</f>
        <v/>
      </c>
      <c r="J10" s="11">
        <f>SUMIFS(Vendite!$H$2:$H$1000,Vendite!$B$2:$B$1000,A10,Vendite!$C$2:$C$1000,"&gt;="&amp;TIMEVALUE("23:00"),Vendite!$C$2:$C$1000,"&lt;"&amp;TIMEVALUE("23:30"))</f>
        <v/>
      </c>
      <c r="K10" s="11">
        <f>SUMIFS(Vendite!$H$2:$H$1000,Vendite!$B$2:$B$1000,A10,Vendite!$C$2:$C$1000,"&gt;="&amp;TIMEVALUE("23:30"))</f>
        <v/>
      </c>
      <c r="L10" s="11">
        <f>SUMIFS(Vendite!$P$2:$P$1000,Vendite!$B$2:$B$1000,A10,Vendite!$C$2:$C$1000,"&gt;="&amp;TIMEVALUE("19:00"),Vendite!$C$2:$C$1000,"&lt;"&amp;TIMEVALUE("20:00"))</f>
        <v/>
      </c>
      <c r="M10" s="11">
        <f>SUMIFS(Vendite!$P$2:$P$1000,Vendite!$B$2:$B$1000,A10,Vendite!$C$2:$C$1000,"&gt;="&amp;TIMEVALUE("20:00"),Vendite!$C$2:$C$1000,"&lt;"&amp;TIMEVALUE("21:00"))</f>
        <v/>
      </c>
      <c r="N10" s="11">
        <f>SUMIFS(Vendite!$P$2:$P$1000,Vendite!$B$2:$B$1000,A10,Vendite!$C$2:$C$1000,"&gt;="&amp;TIMEVALUE("21:00"),Vendite!$C$2:$C$1000,"&lt;"&amp;TIMEVALUE("22:00"))</f>
        <v/>
      </c>
      <c r="O10" s="11">
        <f>SUMIFS(Vendite!$P$2:$P$1000,Vendite!$B$2:$B$1000,A10,Vendite!$C$2:$C$1000,"&gt;="&amp;TIMEVALUE("22:00"),Vendite!$C$2:$C$1000,"&lt;"&amp;TIMEVALUE("23:00"))</f>
        <v/>
      </c>
      <c r="P10" s="11">
        <f>SUMIFS(Vendite!$P$2:$P$1000,Vendite!$B$2:$B$1000,A10,Vendite!$C$2:$C$1000,"&gt;="&amp;TIMEVALUE("23:00"),Vendite!$C$2:$C$1000,"&lt;"&amp;TIMEVALUE("23:30"))</f>
        <v/>
      </c>
      <c r="Q10" s="11">
        <f>SUMIFS(Vendite!$P$2:$P$1000,Vendite!$B$2:$B$1000,A10,Vendite!$C$2:$C$1000,"&gt;="&amp;TIMEVALUE("23:30"))</f>
        <v/>
      </c>
      <c r="R10" s="11">
        <f>SUMIFS(Vendite!$H$2:$H$1000,Vendite!$B$2:$B$1000,A10,Vendite!$O$2:$O$1000,2)</f>
        <v/>
      </c>
      <c r="S10" s="11">
        <f>SUMIFS(Vendite!$H$2:$H$1000,Vendite!$B$2:$B$1000,A10,Vendite!$O$2:$O$1000,3)</f>
        <v/>
      </c>
      <c r="T10" s="11">
        <f>SUMIFS(Vendite!$H$2:$H$1000,Vendite!$B$2:$B$1000,A10,Vendite!$O$2:$O$1000,4)</f>
        <v/>
      </c>
      <c r="U10" s="11">
        <f>SUMIFS(Vendite!$H$2:$H$1000,Vendite!$B$2:$B$1000,A10,Vendite!$O$2:$O$1000,5)</f>
        <v/>
      </c>
      <c r="V10">
        <f>TEXT(A10,"DD/MM")</f>
        <v/>
      </c>
    </row>
  </sheetData>
  <autoFilter ref="A1:U10"/>
  <conditionalFormatting sqref="F2:K10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10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8267</v>
      </c>
      <c r="D887" s="16" t="n">
        <v>99246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8286</v>
      </c>
      <c r="D888" s="12" t="n">
        <v>99474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8291</v>
      </c>
      <c r="D889" s="16" t="n">
        <v>99534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8296</v>
      </c>
      <c r="D890" s="12" t="n">
        <v>99594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8336</v>
      </c>
      <c r="D891" s="16" t="n">
        <v>100074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8340</v>
      </c>
      <c r="D892" s="12" t="n">
        <v>100122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8355</v>
      </c>
      <c r="D893" s="16" t="n">
        <v>100302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</sheetData>
  <autoFilter ref="A1:G8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46325.72430555556</v>
      </c>
      <c r="B1681" s="33" t="n">
        <v>46325.75347222222</v>
      </c>
      <c r="C1681" s="13" t="n">
        <v>46327</v>
      </c>
      <c r="D1681" s="14" t="n">
        <v>0.8020833333333334</v>
      </c>
      <c r="E1681" s="37" t="n">
        <v>3</v>
      </c>
      <c r="F1681" s="37" t="n">
        <v>2</v>
      </c>
      <c r="G1681" s="37" t="n">
        <v>0</v>
      </c>
      <c r="H1681" s="37" t="n">
        <v>1</v>
      </c>
      <c r="I1681" s="37" t="n">
        <v>0</v>
      </c>
      <c r="J1681" s="37" t="n">
        <v>8</v>
      </c>
      <c r="K1681" s="16" t="n">
        <v>96</v>
      </c>
    </row>
    <row r="1682">
      <c r="A1682" s="30" t="n">
        <v>46325.72430555556</v>
      </c>
      <c r="B1682" s="30" t="n">
        <v>46325.75347222222</v>
      </c>
      <c r="C1682" s="9" t="n">
        <v>46327</v>
      </c>
      <c r="D1682" s="10" t="n">
        <v>0.84375</v>
      </c>
      <c r="E1682" s="36" t="n">
        <v>2</v>
      </c>
      <c r="F1682" s="36" t="n">
        <v>2</v>
      </c>
      <c r="G1682" s="36" t="n">
        <v>0</v>
      </c>
      <c r="H1682" s="36" t="n">
        <v>0</v>
      </c>
      <c r="I1682" s="36" t="n">
        <v>0</v>
      </c>
      <c r="J1682" s="36" t="n">
        <v>4</v>
      </c>
      <c r="K1682" s="12" t="n">
        <v>48</v>
      </c>
    </row>
    <row r="1683">
      <c r="A1683" s="33" t="n">
        <v>46325.72430555556</v>
      </c>
      <c r="B1683" s="33" t="n">
        <v>46325.75347222222</v>
      </c>
      <c r="C1683" s="13" t="n">
        <v>46327</v>
      </c>
      <c r="D1683" s="14" t="n">
        <v>0.96875</v>
      </c>
      <c r="E1683" s="37" t="n">
        <v>2</v>
      </c>
      <c r="F1683" s="37" t="n">
        <v>0</v>
      </c>
      <c r="G1683" s="37" t="n">
        <v>0</v>
      </c>
      <c r="H1683" s="37" t="n">
        <v>1</v>
      </c>
      <c r="I1683" s="37" t="n">
        <v>1</v>
      </c>
      <c r="J1683" s="37" t="n">
        <v>9</v>
      </c>
      <c r="K1683" s="16" t="n">
        <v>108</v>
      </c>
    </row>
    <row r="1684">
      <c r="A1684" s="30" t="n">
        <v>46325.72430555556</v>
      </c>
      <c r="B1684" s="30" t="n">
        <v>46325.75347222222</v>
      </c>
      <c r="C1684" s="9" t="n">
        <v>46327</v>
      </c>
      <c r="D1684" s="10" t="n">
        <v>0.9993055555555556</v>
      </c>
      <c r="E1684" s="36" t="n">
        <v>1</v>
      </c>
      <c r="F1684" s="36" t="n">
        <v>0</v>
      </c>
      <c r="G1684" s="36" t="n">
        <v>0</v>
      </c>
      <c r="H1684" s="36" t="n">
        <v>1</v>
      </c>
      <c r="I1684" s="36" t="n">
        <v>0</v>
      </c>
      <c r="J1684" s="36" t="n">
        <v>4</v>
      </c>
      <c r="K1684" s="12" t="n">
        <v>48</v>
      </c>
    </row>
    <row r="1685">
      <c r="A1685" s="33" t="n">
        <v>46325.75347222222</v>
      </c>
      <c r="B1685" s="33" t="n">
        <v>46325.77569444444</v>
      </c>
      <c r="C1685" s="13" t="n">
        <v>46327</v>
      </c>
      <c r="D1685" s="14" t="n">
        <v>0.84375</v>
      </c>
      <c r="E1685" s="37" t="n">
        <v>3</v>
      </c>
      <c r="F1685" s="37" t="n">
        <v>3</v>
      </c>
      <c r="G1685" s="37" t="n">
        <v>0</v>
      </c>
      <c r="H1685" s="37" t="n">
        <v>0</v>
      </c>
      <c r="I1685" s="37" t="n">
        <v>0</v>
      </c>
      <c r="J1685" s="37" t="n">
        <v>6</v>
      </c>
      <c r="K1685" s="16" t="n">
        <v>72</v>
      </c>
    </row>
    <row r="1686">
      <c r="A1686" s="30" t="n">
        <v>46325.75347222222</v>
      </c>
      <c r="B1686" s="30" t="n">
        <v>46325.77569444444</v>
      </c>
      <c r="C1686" s="9" t="n">
        <v>46327</v>
      </c>
      <c r="D1686" s="10" t="n">
        <v>0.96875</v>
      </c>
      <c r="E1686" s="36" t="n">
        <v>1</v>
      </c>
      <c r="F1686" s="36" t="n">
        <v>0</v>
      </c>
      <c r="G1686" s="36" t="n">
        <v>0</v>
      </c>
      <c r="H1686" s="36" t="n">
        <v>1</v>
      </c>
      <c r="I1686" s="36" t="n">
        <v>0</v>
      </c>
      <c r="J1686" s="36" t="n">
        <v>4</v>
      </c>
      <c r="K1686" s="12" t="n">
        <v>48</v>
      </c>
    </row>
    <row r="1687">
      <c r="A1687" s="33" t="n">
        <v>46325.75347222222</v>
      </c>
      <c r="B1687" s="33" t="n">
        <v>46325.77569444444</v>
      </c>
      <c r="C1687" s="13" t="n">
        <v>46327</v>
      </c>
      <c r="D1687" s="14" t="n">
        <v>0.9993055555555556</v>
      </c>
      <c r="E1687" s="37" t="n">
        <v>3</v>
      </c>
      <c r="F1687" s="37" t="n">
        <v>2</v>
      </c>
      <c r="G1687" s="37" t="n">
        <v>0</v>
      </c>
      <c r="H1687" s="37" t="n">
        <v>0</v>
      </c>
      <c r="I1687" s="37" t="n">
        <v>1</v>
      </c>
      <c r="J1687" s="37" t="n">
        <v>9</v>
      </c>
      <c r="K1687" s="16" t="n">
        <v>108</v>
      </c>
    </row>
    <row r="1688">
      <c r="A1688" s="30" t="n">
        <v>46325.77569444444</v>
      </c>
      <c r="B1688" s="30" t="n">
        <v>46325.7875</v>
      </c>
      <c r="C1688" s="9" t="n">
        <v>46327</v>
      </c>
      <c r="D1688" s="10" t="n">
        <v>0.84375</v>
      </c>
      <c r="E1688" s="36" t="n">
        <v>1</v>
      </c>
      <c r="F1688" s="36" t="n">
        <v>0</v>
      </c>
      <c r="G1688" s="36" t="n">
        <v>0</v>
      </c>
      <c r="H1688" s="36" t="n">
        <v>0</v>
      </c>
      <c r="I1688" s="36" t="n">
        <v>1</v>
      </c>
      <c r="J1688" s="36" t="n">
        <v>5</v>
      </c>
      <c r="K1688" s="12" t="n">
        <v>60</v>
      </c>
    </row>
    <row r="1689">
      <c r="A1689" s="33" t="n">
        <v>46325.7875</v>
      </c>
      <c r="B1689" s="33" t="n">
        <v>46325.79791666667</v>
      </c>
      <c r="C1689" s="13" t="n">
        <v>46327</v>
      </c>
      <c r="D1689" s="14" t="n">
        <v>0.9993055555555556</v>
      </c>
      <c r="E1689" s="37" t="n">
        <v>1</v>
      </c>
      <c r="F1689" s="37" t="n">
        <v>0</v>
      </c>
      <c r="G1689" s="37" t="n">
        <v>0</v>
      </c>
      <c r="H1689" s="37" t="n">
        <v>0</v>
      </c>
      <c r="I1689" s="37" t="n">
        <v>1</v>
      </c>
      <c r="J1689" s="37" t="n">
        <v>5</v>
      </c>
      <c r="K1689" s="16" t="n">
        <v>60</v>
      </c>
    </row>
    <row r="1690">
      <c r="A1690" s="30" t="n">
        <v>46325.79791666667</v>
      </c>
      <c r="B1690" s="30" t="n">
        <v>46325.84236111111</v>
      </c>
      <c r="C1690" s="9" t="n">
        <v>46327</v>
      </c>
      <c r="D1690" s="10" t="n">
        <v>0.8020833333333334</v>
      </c>
      <c r="E1690" s="36" t="n">
        <v>2</v>
      </c>
      <c r="F1690" s="36" t="n">
        <v>2</v>
      </c>
      <c r="G1690" s="36" t="n">
        <v>0</v>
      </c>
      <c r="H1690" s="36" t="n">
        <v>0</v>
      </c>
      <c r="I1690" s="36" t="n">
        <v>0</v>
      </c>
      <c r="J1690" s="36" t="n">
        <v>4</v>
      </c>
      <c r="K1690" s="12" t="n">
        <v>48</v>
      </c>
    </row>
    <row r="1691">
      <c r="A1691" s="33" t="n">
        <v>46325.79791666667</v>
      </c>
      <c r="B1691" s="33" t="n">
        <v>46325.84236111111</v>
      </c>
      <c r="C1691" s="13" t="n">
        <v>46327</v>
      </c>
      <c r="D1691" s="14" t="n">
        <v>0.84375</v>
      </c>
      <c r="E1691" s="37" t="n">
        <v>7</v>
      </c>
      <c r="F1691" s="37" t="n">
        <v>3</v>
      </c>
      <c r="G1691" s="37" t="n">
        <v>0</v>
      </c>
      <c r="H1691" s="37" t="n">
        <v>2</v>
      </c>
      <c r="I1691" s="37" t="n">
        <v>2</v>
      </c>
      <c r="J1691" s="37" t="n">
        <v>24</v>
      </c>
      <c r="K1691" s="16" t="n">
        <v>288</v>
      </c>
    </row>
    <row r="1692">
      <c r="A1692" s="30" t="n">
        <v>46325.79791666667</v>
      </c>
      <c r="B1692" s="30" t="n">
        <v>46325.84236111111</v>
      </c>
      <c r="C1692" s="9" t="n">
        <v>46327</v>
      </c>
      <c r="D1692" s="10" t="n">
        <v>0.9993055555555556</v>
      </c>
      <c r="E1692" s="36" t="n">
        <v>3</v>
      </c>
      <c r="F1692" s="36" t="n">
        <v>0</v>
      </c>
      <c r="G1692" s="36" t="n">
        <v>0</v>
      </c>
      <c r="H1692" s="36" t="n">
        <v>3</v>
      </c>
      <c r="I1692" s="36" t="n">
        <v>0</v>
      </c>
      <c r="J1692" s="36" t="n">
        <v>12</v>
      </c>
      <c r="K1692" s="12" t="n">
        <v>144</v>
      </c>
    </row>
    <row r="1693">
      <c r="A1693" s="33" t="n">
        <v>46325.84236111111</v>
      </c>
      <c r="B1693" s="33" t="n">
        <v>46325.84722222222</v>
      </c>
      <c r="C1693" s="13" t="n">
        <v>46327</v>
      </c>
      <c r="D1693" s="14" t="n">
        <v>0.8020833333333334</v>
      </c>
      <c r="E1693" s="37" t="n">
        <v>1</v>
      </c>
      <c r="F1693" s="37" t="n">
        <v>0</v>
      </c>
      <c r="G1693" s="37" t="n">
        <v>0</v>
      </c>
      <c r="H1693" s="37" t="n">
        <v>1</v>
      </c>
      <c r="I1693" s="37" t="n">
        <v>0</v>
      </c>
      <c r="J1693" s="37" t="n">
        <v>4</v>
      </c>
      <c r="K1693" s="16" t="n">
        <v>48</v>
      </c>
    </row>
    <row r="1694">
      <c r="A1694" s="30" t="n">
        <v>46325.84722222222</v>
      </c>
      <c r="B1694" s="30" t="n">
        <v>46325.86875</v>
      </c>
      <c r="C1694" s="9" t="n">
        <v>46327</v>
      </c>
      <c r="D1694" s="10" t="n">
        <v>0.8020833333333334</v>
      </c>
      <c r="E1694" s="36" t="n">
        <v>1</v>
      </c>
      <c r="F1694" s="36" t="n">
        <v>1</v>
      </c>
      <c r="G1694" s="36" t="n">
        <v>0</v>
      </c>
      <c r="H1694" s="36" t="n">
        <v>0</v>
      </c>
      <c r="I1694" s="36" t="n">
        <v>0</v>
      </c>
      <c r="J1694" s="36" t="n">
        <v>2</v>
      </c>
      <c r="K1694" s="12" t="n">
        <v>24</v>
      </c>
    </row>
    <row r="1695">
      <c r="A1695" s="33" t="n">
        <v>46325.84722222222</v>
      </c>
      <c r="B1695" s="33" t="n">
        <v>46325.86875</v>
      </c>
      <c r="C1695" s="13" t="n">
        <v>46327</v>
      </c>
      <c r="D1695" s="14" t="n">
        <v>0.84375</v>
      </c>
      <c r="E1695" s="37" t="n">
        <v>1</v>
      </c>
      <c r="F1695" s="37" t="n">
        <v>1</v>
      </c>
      <c r="G1695" s="37" t="n">
        <v>0</v>
      </c>
      <c r="H1695" s="37" t="n">
        <v>0</v>
      </c>
      <c r="I1695" s="37" t="n">
        <v>0</v>
      </c>
      <c r="J1695" s="37" t="n">
        <v>2</v>
      </c>
      <c r="K1695" s="16" t="n">
        <v>24</v>
      </c>
    </row>
    <row r="1696">
      <c r="A1696" s="30" t="n">
        <v>46325.84722222222</v>
      </c>
      <c r="B1696" s="30" t="n">
        <v>46325.86875</v>
      </c>
      <c r="C1696" s="9" t="n">
        <v>46327</v>
      </c>
      <c r="D1696" s="10" t="n">
        <v>0.9993055555555556</v>
      </c>
      <c r="E1696" s="36" t="n">
        <v>3</v>
      </c>
      <c r="F1696" s="36" t="n">
        <v>0</v>
      </c>
      <c r="G1696" s="36" t="n">
        <v>1</v>
      </c>
      <c r="H1696" s="36" t="n">
        <v>2</v>
      </c>
      <c r="I1696" s="36" t="n">
        <v>0</v>
      </c>
      <c r="J1696" s="36" t="n">
        <v>11</v>
      </c>
      <c r="K1696" s="12" t="n">
        <v>132</v>
      </c>
    </row>
  </sheetData>
  <autoFilter ref="A1:K16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341</v>
      </c>
      <c r="M8" s="11" t="n">
        <v>1039</v>
      </c>
      <c r="N8" s="12" t="n">
        <v>12483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152</v>
      </c>
      <c r="H24" s="11" t="n">
        <v>477</v>
      </c>
      <c r="I24" s="12" t="n">
        <v>5730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135</v>
      </c>
      <c r="C29" s="11" t="n">
        <v>413</v>
      </c>
      <c r="D29" s="12" t="n">
        <v>4956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2026-10-30T19:51:52Z</dcterms:created>
  <dcterms:modified xsi:type="dcterms:W3CDTF">2026-10-30T19:51:53Z</dcterms:modified>
</cp:coreProperties>
</file>