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'Vendite'!$A$1:$P$128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'Storico'!$A$1:$G$641</definedName>
    <definedName name="_xlnm._FilterDatabase" localSheetId="8" hidden="1">'Registro vendite'!$A$1:$K$800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'Storico'!$H$2:$H$641</f>
            </numRef>
          </cat>
          <val>
            <numRef>
              <f>'Storico'!$C$2:$C$641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MAX(Storico!A2:A641)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14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15</v>
      </c>
      <c r="I46" s="11" t="n">
        <v>0</v>
      </c>
      <c r="J46" s="12" t="n">
        <v>720</v>
      </c>
      <c r="K46" s="12" t="n">
        <v>0</v>
      </c>
      <c r="L46" s="12" t="n">
        <v>654.6</v>
      </c>
      <c r="M46" s="12" t="n">
        <v>65.40000000000001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6</v>
      </c>
      <c r="I48" s="11" t="n">
        <v>0</v>
      </c>
      <c r="J48" s="12" t="n">
        <v>360</v>
      </c>
      <c r="K48" s="12" t="n">
        <v>0</v>
      </c>
      <c r="L48" s="12" t="n">
        <v>327.3</v>
      </c>
      <c r="M48" s="12" t="n">
        <v>32.7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19</v>
      </c>
      <c r="I49" s="15" t="n">
        <v>0</v>
      </c>
      <c r="J49" s="16" t="n">
        <v>456</v>
      </c>
      <c r="K49" s="16" t="n">
        <v>0</v>
      </c>
      <c r="L49" s="16" t="n">
        <v>414.58</v>
      </c>
      <c r="M49" s="16" t="n">
        <v>41.42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10</v>
      </c>
      <c r="I50" s="11" t="n">
        <v>0</v>
      </c>
      <c r="J50" s="12" t="n">
        <v>480</v>
      </c>
      <c r="K50" s="12" t="n">
        <v>0</v>
      </c>
      <c r="L50" s="12" t="n">
        <v>436.4</v>
      </c>
      <c r="M50" s="12" t="n">
        <v>43.6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10</v>
      </c>
      <c r="I54" s="11" t="n">
        <v>0</v>
      </c>
      <c r="J54" s="12" t="n">
        <v>480</v>
      </c>
      <c r="K54" s="12" t="n">
        <v>0</v>
      </c>
      <c r="L54" s="12" t="n">
        <v>436.4</v>
      </c>
      <c r="M54" s="12" t="n">
        <v>43.6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6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1</v>
      </c>
      <c r="I58" s="11" t="n">
        <v>0</v>
      </c>
      <c r="J58" s="12" t="n">
        <v>60</v>
      </c>
      <c r="K58" s="12" t="n">
        <v>0</v>
      </c>
      <c r="L58" s="12" t="n">
        <v>54.55</v>
      </c>
      <c r="M58" s="12" t="n">
        <v>5.45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3</v>
      </c>
      <c r="I59" s="15" t="n">
        <v>0</v>
      </c>
      <c r="J59" s="16" t="n">
        <v>72</v>
      </c>
      <c r="K59" s="16" t="n">
        <v>0</v>
      </c>
      <c r="L59" s="16" t="n">
        <v>65.45999999999999</v>
      </c>
      <c r="M59" s="16" t="n">
        <v>6.54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1</v>
      </c>
      <c r="I64" s="11" t="n">
        <v>0</v>
      </c>
      <c r="J64" s="12" t="n">
        <v>36</v>
      </c>
      <c r="K64" s="12" t="n">
        <v>0</v>
      </c>
      <c r="L64" s="12" t="n">
        <v>32.73</v>
      </c>
      <c r="M64" s="12" t="n">
        <v>3.27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2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5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20261029_2215</t>
        </is>
      </c>
      <c r="B67" s="13" t="n">
        <v>46324</v>
      </c>
      <c r="C67" s="14" t="n">
        <v>0.9270833333333334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8</v>
      </c>
      <c r="I67" s="15" t="n">
        <v>0</v>
      </c>
      <c r="J67" s="16" t="n">
        <v>384</v>
      </c>
      <c r="K67" s="16" t="n">
        <v>0</v>
      </c>
      <c r="L67" s="16" t="n">
        <v>349.12</v>
      </c>
      <c r="M67" s="16" t="n">
        <v>34.88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4</v>
      </c>
      <c r="I68" s="11" t="n">
        <v>0</v>
      </c>
      <c r="J68" s="12" t="n">
        <v>144</v>
      </c>
      <c r="K68" s="12" t="n">
        <v>0</v>
      </c>
      <c r="L68" s="12" t="n">
        <v>130.92</v>
      </c>
      <c r="M68" s="12" t="n">
        <v>13.08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14</v>
      </c>
      <c r="I69" s="15" t="n">
        <v>0</v>
      </c>
      <c r="J69" s="16" t="n">
        <v>336</v>
      </c>
      <c r="K69" s="16" t="n">
        <v>0</v>
      </c>
      <c r="L69" s="16" t="n">
        <v>305.48</v>
      </c>
      <c r="M69" s="16" t="n">
        <v>30.52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6</v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2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I5</t>
        </is>
      </c>
      <c r="F72" s="22">
        <f>IFERROR(INDEX(Tariffe!$B$2:$B$200,MATCH(E72,Tariffe!$A$2:$A$200,0)),"DA DEFINIRE")</f>
        <v/>
      </c>
      <c r="G72" s="12" t="n">
        <v>60</v>
      </c>
      <c r="H72" s="11" t="n">
        <v>4</v>
      </c>
      <c r="I72" s="11" t="n">
        <v>0</v>
      </c>
      <c r="J72" s="12" t="n">
        <v>240</v>
      </c>
      <c r="K72" s="12" t="n">
        <v>0</v>
      </c>
      <c r="L72" s="12" t="n">
        <v>218.2</v>
      </c>
      <c r="M72" s="12" t="n">
        <v>21.8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8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20261029_2359</t>
        </is>
      </c>
      <c r="B74" s="9" t="n">
        <v>46324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20261030_2015</t>
        </is>
      </c>
      <c r="B76" s="9" t="n">
        <v>46325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3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20261030_2115</t>
        </is>
      </c>
      <c r="B78" s="9" t="n">
        <v>46325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1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20261030_2215</t>
        </is>
      </c>
      <c r="B80" s="9" t="n">
        <v>46325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10</v>
      </c>
      <c r="I80" s="11" t="n">
        <v>0</v>
      </c>
      <c r="J80" s="12" t="n">
        <v>480</v>
      </c>
      <c r="K80" s="12" t="n">
        <v>0</v>
      </c>
      <c r="L80" s="12" t="n">
        <v>436.4</v>
      </c>
      <c r="M80" s="12" t="n">
        <v>43.6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2</v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2</v>
      </c>
      <c r="I82" s="11" t="n">
        <v>0</v>
      </c>
      <c r="J82" s="12" t="n">
        <v>120</v>
      </c>
      <c r="K82" s="12" t="n">
        <v>0</v>
      </c>
      <c r="L82" s="12" t="n">
        <v>109.1</v>
      </c>
      <c r="M82" s="12" t="n">
        <v>10.9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10</v>
      </c>
      <c r="I83" s="15" t="n">
        <v>3</v>
      </c>
      <c r="J83" s="16" t="n">
        <v>240</v>
      </c>
      <c r="K83" s="16" t="n">
        <v>0</v>
      </c>
      <c r="L83" s="16" t="n">
        <v>218.2</v>
      </c>
      <c r="M83" s="16" t="n">
        <v>21.8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20261030_2315</t>
        </is>
      </c>
      <c r="B84" s="9" t="n">
        <v>46325</v>
      </c>
      <c r="C84" s="10" t="n">
        <v>0.96875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5</v>
      </c>
      <c r="I84" s="11" t="n">
        <v>0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I2</t>
        </is>
      </c>
      <c r="F85" s="23">
        <f>IFERROR(INDEX(Tariffe!$B$2:$B$200,MATCH(E85,Tariffe!$A$2:$A$200,0)),"DA DEFINIRE")</f>
        <v/>
      </c>
      <c r="G85" s="16" t="n">
        <v>36</v>
      </c>
      <c r="H85" s="15" t="n">
        <v>2</v>
      </c>
      <c r="I85" s="15" t="n">
        <v>0</v>
      </c>
      <c r="J85" s="16" t="n">
        <v>72</v>
      </c>
      <c r="K85" s="16" t="n">
        <v>0</v>
      </c>
      <c r="L85" s="16" t="n">
        <v>65.45999999999999</v>
      </c>
      <c r="M85" s="16" t="n">
        <v>6.54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6</v>
      </c>
      <c r="I87" s="15" t="n">
        <v>0</v>
      </c>
      <c r="J87" s="16" t="n">
        <v>144</v>
      </c>
      <c r="K87" s="16" t="n">
        <v>0</v>
      </c>
      <c r="L87" s="16" t="n">
        <v>130.92</v>
      </c>
      <c r="M87" s="16" t="n">
        <v>13.08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20261030_2359</t>
        </is>
      </c>
      <c r="B88" s="9" t="n">
        <v>46325</v>
      </c>
      <c r="C88" s="10" t="n">
        <v>0.9993055555555556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1</v>
      </c>
      <c r="I88" s="11" t="n">
        <v>0</v>
      </c>
      <c r="J88" s="12" t="n">
        <v>48</v>
      </c>
      <c r="K88" s="12" t="n">
        <v>0</v>
      </c>
      <c r="L88" s="12" t="n">
        <v>43.64</v>
      </c>
      <c r="M88" s="12" t="n">
        <v>4.36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8</v>
      </c>
      <c r="I90" s="11" t="n">
        <v>0</v>
      </c>
      <c r="J90" s="12" t="n">
        <v>192</v>
      </c>
      <c r="K90" s="12" t="n">
        <v>0</v>
      </c>
      <c r="L90" s="12" t="n">
        <v>174.56</v>
      </c>
      <c r="M90" s="12" t="n">
        <v>17.44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20261031_2015</t>
        </is>
      </c>
      <c r="B91" s="13" t="n">
        <v>46326</v>
      </c>
      <c r="C91" s="14" t="n">
        <v>0.84375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4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3</v>
      </c>
      <c r="I93" s="15" t="n">
        <v>2</v>
      </c>
      <c r="J93" s="16" t="n">
        <v>180</v>
      </c>
      <c r="K93" s="16" t="n">
        <v>0</v>
      </c>
      <c r="L93" s="16" t="n">
        <v>163.65</v>
      </c>
      <c r="M93" s="16" t="n">
        <v>16.35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3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20261031_2115</t>
        </is>
      </c>
      <c r="B95" s="13" t="n">
        <v>46326</v>
      </c>
      <c r="C95" s="14" t="n">
        <v>0.8854166666666666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10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2</v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I5</t>
        </is>
      </c>
      <c r="F97" s="23">
        <f>IFERROR(INDEX(Tariffe!$B$2:$B$200,MATCH(E97,Tariffe!$A$2:$A$200,0)),"DA DEFINIRE")</f>
        <v/>
      </c>
      <c r="G97" s="16" t="n">
        <v>60</v>
      </c>
      <c r="H97" s="15" t="n">
        <v>2</v>
      </c>
      <c r="I97" s="15" t="n">
        <v>0</v>
      </c>
      <c r="J97" s="16" t="n">
        <v>120</v>
      </c>
      <c r="K97" s="16" t="n">
        <v>0</v>
      </c>
      <c r="L97" s="16" t="n">
        <v>109.1</v>
      </c>
      <c r="M97" s="16" t="n">
        <v>10.9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I8</t>
        </is>
      </c>
      <c r="F98" s="22">
        <f>IFERROR(INDEX(Tariffe!$B$2:$B$200,MATCH(E98,Tariffe!$A$2:$A$200,0)),"DA DEFINIRE")</f>
        <v/>
      </c>
      <c r="G98" s="12" t="n">
        <v>24</v>
      </c>
      <c r="H98" s="11" t="n">
        <v>7</v>
      </c>
      <c r="I98" s="11" t="n">
        <v>0</v>
      </c>
      <c r="J98" s="12" t="n">
        <v>168</v>
      </c>
      <c r="K98" s="12" t="n">
        <v>0</v>
      </c>
      <c r="L98" s="12" t="n">
        <v>152.74</v>
      </c>
      <c r="M98" s="12" t="n">
        <v>15.26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20261031_2215</t>
        </is>
      </c>
      <c r="B99" s="13" t="n">
        <v>46326</v>
      </c>
      <c r="C99" s="14" t="n">
        <v>0.9270833333333334</v>
      </c>
      <c r="D99" s="23" t="inlineStr">
        <is>
          <t>UN Unico</t>
        </is>
      </c>
      <c r="E99" s="23" t="inlineStr">
        <is>
          <t>I1</t>
        </is>
      </c>
      <c r="F99" s="23">
        <f>IFERROR(INDEX(Tariffe!$B$2:$B$200,MATCH(E99,Tariffe!$A$2:$A$200,0)),"DA DEFINIRE")</f>
        <v/>
      </c>
      <c r="G99" s="16" t="n">
        <v>48</v>
      </c>
      <c r="H99" s="15" t="n">
        <v>10</v>
      </c>
      <c r="I99" s="15" t="n">
        <v>3</v>
      </c>
      <c r="J99" s="16" t="n">
        <v>480</v>
      </c>
      <c r="K99" s="16" t="n">
        <v>0</v>
      </c>
      <c r="L99" s="16" t="n">
        <v>436.4</v>
      </c>
      <c r="M99" s="16" t="n">
        <v>43.6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I2</t>
        </is>
      </c>
      <c r="F100" s="22">
        <f>IFERROR(INDEX(Tariffe!$B$2:$B$200,MATCH(E100,Tariffe!$A$2:$A$200,0)),"DA DEFINIRE")</f>
        <v/>
      </c>
      <c r="G100" s="12" t="n">
        <v>36</v>
      </c>
      <c r="H100" s="11" t="n">
        <v>3</v>
      </c>
      <c r="I100" s="11" t="n">
        <v>0</v>
      </c>
      <c r="J100" s="12" t="n">
        <v>108</v>
      </c>
      <c r="K100" s="12" t="n">
        <v>0</v>
      </c>
      <c r="L100" s="12" t="n">
        <v>98.19</v>
      </c>
      <c r="M100" s="12" t="n">
        <v>9.81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I5</t>
        </is>
      </c>
      <c r="F101" s="23">
        <f>IFERROR(INDEX(Tariffe!$B$2:$B$200,MATCH(E101,Tariffe!$A$2:$A$200,0)),"DA DEFINIRE")</f>
        <v/>
      </c>
      <c r="G101" s="16" t="n">
        <v>60</v>
      </c>
      <c r="H101" s="15" t="n">
        <v>2</v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I8</t>
        </is>
      </c>
      <c r="F102" s="22">
        <f>IFERROR(INDEX(Tariffe!$B$2:$B$200,MATCH(E102,Tariffe!$A$2:$A$200,0)),"DA DEFINIRE")</f>
        <v/>
      </c>
      <c r="G102" s="12" t="n">
        <v>24</v>
      </c>
      <c r="H102" s="11" t="n">
        <v>25</v>
      </c>
      <c r="I102" s="11" t="n">
        <v>0</v>
      </c>
      <c r="J102" s="12" t="n">
        <v>600</v>
      </c>
      <c r="K102" s="12" t="n">
        <v>0</v>
      </c>
      <c r="L102" s="12" t="n">
        <v>545.5</v>
      </c>
      <c r="M102" s="12" t="n">
        <v>54.5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20261031_2315</t>
        </is>
      </c>
      <c r="B103" s="13" t="n">
        <v>46326</v>
      </c>
      <c r="C103" s="14" t="n">
        <v>0.96875</v>
      </c>
      <c r="D103" s="23" t="inlineStr">
        <is>
          <t>UN Unico</t>
        </is>
      </c>
      <c r="E103" s="23" t="inlineStr">
        <is>
          <t>I1</t>
        </is>
      </c>
      <c r="F103" s="23">
        <f>IFERROR(INDEX(Tariffe!$B$2:$B$200,MATCH(E103,Tariffe!$A$2:$A$200,0)),"DA DEFINIRE")</f>
        <v/>
      </c>
      <c r="G103" s="16" t="n">
        <v>48</v>
      </c>
      <c r="H103" s="15" t="n">
        <v>21</v>
      </c>
      <c r="I103" s="15" t="n">
        <v>0</v>
      </c>
      <c r="J103" s="16" t="n">
        <v>1008</v>
      </c>
      <c r="K103" s="16" t="n">
        <v>0</v>
      </c>
      <c r="L103" s="16" t="n">
        <v>916.4400000000001</v>
      </c>
      <c r="M103" s="16" t="n">
        <v>91.56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I2</t>
        </is>
      </c>
      <c r="F104" s="22">
        <f>IFERROR(INDEX(Tariffe!$B$2:$B$200,MATCH(E104,Tariffe!$A$2:$A$200,0)),"DA DEFINIRE")</f>
        <v/>
      </c>
      <c r="G104" s="12" t="n">
        <v>36</v>
      </c>
      <c r="H104" s="11" t="n">
        <v>2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I5</t>
        </is>
      </c>
      <c r="F105" s="23">
        <f>IFERROR(INDEX(Tariffe!$B$2:$B$200,MATCH(E105,Tariffe!$A$2:$A$200,0)),"DA DEFINIRE")</f>
        <v/>
      </c>
      <c r="G105" s="16" t="n">
        <v>60</v>
      </c>
      <c r="H105" s="15" t="n">
        <v>3</v>
      </c>
      <c r="I105" s="15" t="n">
        <v>0</v>
      </c>
      <c r="J105" s="16" t="n">
        <v>180</v>
      </c>
      <c r="K105" s="16" t="n">
        <v>0</v>
      </c>
      <c r="L105" s="16" t="n">
        <v>163.65</v>
      </c>
      <c r="M105" s="16" t="n">
        <v>16.35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I8</t>
        </is>
      </c>
      <c r="F106" s="22">
        <f>IFERROR(INDEX(Tariffe!$B$2:$B$200,MATCH(E106,Tariffe!$A$2:$A$200,0)),"DA DEFINIRE")</f>
        <v/>
      </c>
      <c r="G106" s="12" t="n">
        <v>24</v>
      </c>
      <c r="H106" s="11" t="n">
        <v>18</v>
      </c>
      <c r="I106" s="11" t="n">
        <v>0</v>
      </c>
      <c r="J106" s="12" t="n">
        <v>432</v>
      </c>
      <c r="K106" s="12" t="n">
        <v>0</v>
      </c>
      <c r="L106" s="12" t="n">
        <v>392.76</v>
      </c>
      <c r="M106" s="12" t="n">
        <v>39.24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20261031_2359</t>
        </is>
      </c>
      <c r="B107" s="13" t="n">
        <v>46326</v>
      </c>
      <c r="C107" s="14" t="n">
        <v>0.9993055555555556</v>
      </c>
      <c r="D107" s="23" t="inlineStr">
        <is>
          <t>UN Unico</t>
        </is>
      </c>
      <c r="E107" s="23" t="inlineStr">
        <is>
          <t>I1</t>
        </is>
      </c>
      <c r="F107" s="23">
        <f>IFERROR(INDEX(Tariffe!$B$2:$B$200,MATCH(E107,Tariffe!$A$2:$A$200,0)),"DA DEFINIRE")</f>
        <v/>
      </c>
      <c r="G107" s="16" t="n">
        <v>48</v>
      </c>
      <c r="H107" s="15" t="n">
        <v>15</v>
      </c>
      <c r="I107" s="15" t="n">
        <v>0</v>
      </c>
      <c r="J107" s="16" t="n">
        <v>720</v>
      </c>
      <c r="K107" s="16" t="n">
        <v>0</v>
      </c>
      <c r="L107" s="16" t="n">
        <v>654.6</v>
      </c>
      <c r="M107" s="16" t="n">
        <v>65.40000000000001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2</v>
      </c>
      <c r="I109" s="15" t="n">
        <v>0</v>
      </c>
      <c r="J109" s="16" t="n">
        <v>120</v>
      </c>
      <c r="K109" s="16" t="n">
        <v>0</v>
      </c>
      <c r="L109" s="16" t="n">
        <v>109.1</v>
      </c>
      <c r="M109" s="16" t="n">
        <v>10.9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11</v>
      </c>
      <c r="I110" s="11" t="n">
        <v>0</v>
      </c>
      <c r="J110" s="12" t="n">
        <v>264</v>
      </c>
      <c r="K110" s="12" t="n">
        <v>0</v>
      </c>
      <c r="L110" s="12" t="n">
        <v>240.02</v>
      </c>
      <c r="M110" s="12" t="n">
        <v>23.98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20261101_2015</t>
        </is>
      </c>
      <c r="B111" s="13" t="n">
        <v>46327</v>
      </c>
      <c r="C111" s="14" t="n">
        <v>0.84375</v>
      </c>
      <c r="D111" s="23" t="inlineStr">
        <is>
          <t>UN Unico</t>
        </is>
      </c>
      <c r="E111" s="23" t="inlineStr">
        <is>
          <t>I1</t>
        </is>
      </c>
      <c r="F111" s="23">
        <f>IFERROR(INDEX(Tariffe!$B$2:$B$200,MATCH(E111,Tariffe!$A$2:$A$200,0)),"DA DEFINIRE")</f>
        <v/>
      </c>
      <c r="G111" s="16" t="n">
        <v>48</v>
      </c>
      <c r="H111" s="15" t="n">
        <v>2</v>
      </c>
      <c r="I111" s="15" t="n">
        <v>0</v>
      </c>
      <c r="J111" s="16" t="n">
        <v>96</v>
      </c>
      <c r="K111" s="16" t="n">
        <v>0</v>
      </c>
      <c r="L111" s="16" t="n">
        <v>87.28</v>
      </c>
      <c r="M111" s="16" t="n">
        <v>8.720000000000001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I8</t>
        </is>
      </c>
      <c r="F113" s="23">
        <f>IFERROR(INDEX(Tariffe!$B$2:$B$200,MATCH(E113,Tariffe!$A$2:$A$200,0)),"DA DEFINIRE")</f>
        <v/>
      </c>
      <c r="G113" s="16" t="n">
        <v>24</v>
      </c>
      <c r="H113" s="15" t="n">
        <v>2</v>
      </c>
      <c r="I113" s="15" t="n">
        <v>0</v>
      </c>
      <c r="J113" s="16" t="n">
        <v>48</v>
      </c>
      <c r="K113" s="16" t="n">
        <v>0</v>
      </c>
      <c r="L113" s="16" t="n">
        <v>43.64</v>
      </c>
      <c r="M113" s="16" t="n">
        <v>4.36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20261101_2115</t>
        </is>
      </c>
      <c r="B114" s="9" t="n">
        <v>46327</v>
      </c>
      <c r="C114" s="10" t="n">
        <v>0.8854166666666666</v>
      </c>
      <c r="D114" s="22" t="inlineStr">
        <is>
          <t>UN Unico</t>
        </is>
      </c>
      <c r="E114" s="22" t="inlineStr">
        <is>
          <t>I1</t>
        </is>
      </c>
      <c r="F114" s="22">
        <f>IFERROR(INDEX(Tariffe!$B$2:$B$200,MATCH(E114,Tariffe!$A$2:$A$200,0)),"DA DEFINIRE")</f>
        <v/>
      </c>
      <c r="G114" s="12" t="n">
        <v>48</v>
      </c>
      <c r="H114" s="11" t="n">
        <v>4</v>
      </c>
      <c r="I114" s="11" t="n">
        <v>0</v>
      </c>
      <c r="J114" s="12" t="n">
        <v>192</v>
      </c>
      <c r="K114" s="12" t="n">
        <v>0</v>
      </c>
      <c r="L114" s="12" t="n">
        <v>174.56</v>
      </c>
      <c r="M114" s="12" t="n">
        <v>17.44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4</v>
      </c>
      <c r="I115" s="15" t="n">
        <v>0</v>
      </c>
      <c r="J115" s="16" t="n">
        <v>144</v>
      </c>
      <c r="K115" s="16" t="n">
        <v>0</v>
      </c>
      <c r="L115" s="16" t="n">
        <v>130.92</v>
      </c>
      <c r="M115" s="16" t="n">
        <v>13.08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3</v>
      </c>
      <c r="I116" s="11" t="n">
        <v>0</v>
      </c>
      <c r="J116" s="12" t="n">
        <v>72</v>
      </c>
      <c r="K116" s="12" t="n">
        <v>0</v>
      </c>
      <c r="L116" s="12" t="n">
        <v>65.45999999999999</v>
      </c>
      <c r="M116" s="12" t="n">
        <v>6.54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20261101_2215</t>
        </is>
      </c>
      <c r="B117" s="13" t="n">
        <v>46327</v>
      </c>
      <c r="C117" s="14" t="n">
        <v>0.9270833333333334</v>
      </c>
      <c r="D117" s="23" t="inlineStr">
        <is>
          <t>UN Unico</t>
        </is>
      </c>
      <c r="E117" s="23" t="inlineStr">
        <is>
          <t>I1</t>
        </is>
      </c>
      <c r="F117" s="23">
        <f>IFERROR(INDEX(Tariffe!$B$2:$B$200,MATCH(E117,Tariffe!$A$2:$A$200,0)),"DA DEFINIRE")</f>
        <v/>
      </c>
      <c r="G117" s="16" t="n">
        <v>48</v>
      </c>
      <c r="H117" s="15" t="n">
        <v>1</v>
      </c>
      <c r="I117" s="15" t="n">
        <v>0</v>
      </c>
      <c r="J117" s="16" t="n">
        <v>48</v>
      </c>
      <c r="K117" s="16" t="n">
        <v>0</v>
      </c>
      <c r="L117" s="16" t="n">
        <v>43.64</v>
      </c>
      <c r="M117" s="16" t="n">
        <v>4.36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I2</t>
        </is>
      </c>
      <c r="F118" s="22">
        <f>IFERROR(INDEX(Tariffe!$B$2:$B$200,MATCH(E118,Tariffe!$A$2:$A$200,0)),"DA DEFINIRE")</f>
        <v/>
      </c>
      <c r="G118" s="12" t="n">
        <v>36</v>
      </c>
      <c r="H118" s="11" t="n">
        <v>2</v>
      </c>
      <c r="I118" s="11" t="n">
        <v>0</v>
      </c>
      <c r="J118" s="12" t="n">
        <v>72</v>
      </c>
      <c r="K118" s="12" t="n">
        <v>0</v>
      </c>
      <c r="L118" s="12" t="n">
        <v>65.45999999999999</v>
      </c>
      <c r="M118" s="12" t="n">
        <v>6.54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I5</t>
        </is>
      </c>
      <c r="F119" s="23">
        <f>IFERROR(INDEX(Tariffe!$B$2:$B$200,MATCH(E119,Tariffe!$A$2:$A$200,0)),"DA DEFINIRE")</f>
        <v/>
      </c>
      <c r="G119" s="16" t="n">
        <v>60</v>
      </c>
      <c r="H119" s="15" t="n">
        <v>1</v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I8</t>
        </is>
      </c>
      <c r="F120" s="22">
        <f>IFERROR(INDEX(Tariffe!$B$2:$B$200,MATCH(E120,Tariffe!$A$2:$A$200,0)),"DA DEFINIRE")</f>
        <v/>
      </c>
      <c r="G120" s="12" t="n">
        <v>24</v>
      </c>
      <c r="H120" s="11" t="n">
        <v>4</v>
      </c>
      <c r="I120" s="11" t="n">
        <v>0</v>
      </c>
      <c r="J120" s="12" t="n">
        <v>96</v>
      </c>
      <c r="K120" s="12" t="n">
        <v>0</v>
      </c>
      <c r="L120" s="12" t="n">
        <v>87.28</v>
      </c>
      <c r="M120" s="12" t="n">
        <v>8.720000000000001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20261101_2315</t>
        </is>
      </c>
      <c r="B121" s="13" t="n">
        <v>46327</v>
      </c>
      <c r="C121" s="14" t="n">
        <v>0.96875</v>
      </c>
      <c r="D121" s="23" t="inlineStr">
        <is>
          <t>UN Unico</t>
        </is>
      </c>
      <c r="E121" s="23" t="inlineStr">
        <is>
          <t>I2</t>
        </is>
      </c>
      <c r="F121" s="23">
        <f>IFERROR(INDEX(Tariffe!$B$2:$B$200,MATCH(E121,Tariffe!$A$2:$A$200,0)),"DA DEFINIRE")</f>
        <v/>
      </c>
      <c r="G121" s="16" t="n">
        <v>36</v>
      </c>
      <c r="H121" s="15" t="n">
        <v>1</v>
      </c>
      <c r="I121" s="15" t="n">
        <v>0</v>
      </c>
      <c r="J121" s="16" t="n">
        <v>36</v>
      </c>
      <c r="K121" s="16" t="n">
        <v>0</v>
      </c>
      <c r="L121" s="16" t="n">
        <v>32.73</v>
      </c>
      <c r="M121" s="16" t="n">
        <v>3.27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I8</t>
        </is>
      </c>
      <c r="F122" s="22">
        <f>IFERROR(INDEX(Tariffe!$B$2:$B$200,MATCH(E122,Tariffe!$A$2:$A$200,0)),"DA DEFINIRE")</f>
        <v/>
      </c>
      <c r="G122" s="12" t="n">
        <v>24</v>
      </c>
      <c r="H122" s="11" t="n">
        <v>2</v>
      </c>
      <c r="I122" s="11" t="n">
        <v>0</v>
      </c>
      <c r="J122" s="12" t="n">
        <v>48</v>
      </c>
      <c r="K122" s="12" t="n">
        <v>0</v>
      </c>
      <c r="L122" s="12" t="n">
        <v>43.64</v>
      </c>
      <c r="M122" s="12" t="n">
        <v>4.36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20261101_2359</t>
        </is>
      </c>
      <c r="B123" s="13" t="n">
        <v>46327</v>
      </c>
      <c r="C123" s="14" t="n">
        <v>0.9993055555555556</v>
      </c>
      <c r="D123" s="23" t="inlineStr">
        <is>
          <t>UN Unico</t>
        </is>
      </c>
      <c r="E123" s="23" t="inlineStr">
        <is>
          <t>I5</t>
        </is>
      </c>
      <c r="F123" s="23">
        <f>IFERROR(INDEX(Tariffe!$B$2:$B$200,MATCH(E123,Tariffe!$A$2:$A$200,0)),"DA DEFINIRE")</f>
        <v/>
      </c>
      <c r="G123" s="16" t="n">
        <v>60</v>
      </c>
      <c r="H123" s="15" t="n">
        <v>1</v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I8</t>
        </is>
      </c>
      <c r="F124" s="22">
        <f>IFERROR(INDEX(Tariffe!$B$2:$B$200,MATCH(E124,Tariffe!$A$2:$A$200,0)),"DA DEFINIRE")</f>
        <v/>
      </c>
      <c r="G124" s="12" t="n">
        <v>24</v>
      </c>
      <c r="H124" s="11" t="n">
        <v>1</v>
      </c>
      <c r="I124" s="11" t="n">
        <v>0</v>
      </c>
      <c r="J124" s="12" t="n">
        <v>24</v>
      </c>
      <c r="K124" s="12" t="n">
        <v>0</v>
      </c>
      <c r="L124" s="12" t="n">
        <v>21.82</v>
      </c>
      <c r="M124" s="12" t="n">
        <v>2.18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20261102_2015</t>
        </is>
      </c>
      <c r="B125" s="13" t="n">
        <v>46328</v>
      </c>
      <c r="C125" s="14" t="n">
        <v>0.84375</v>
      </c>
      <c r="D125" s="23" t="inlineStr">
        <is>
          <t>UN Unico</t>
        </is>
      </c>
      <c r="E125" s="23" t="inlineStr">
        <is>
          <t>I1</t>
        </is>
      </c>
      <c r="F125" s="23">
        <f>IFERROR(INDEX(Tariffe!$B$2:$B$200,MATCH(E125,Tariffe!$A$2:$A$200,0)),"DA DEFINIRE")</f>
        <v/>
      </c>
      <c r="G125" s="16" t="n">
        <v>15</v>
      </c>
      <c r="H125" s="15" t="n">
        <v>2</v>
      </c>
      <c r="I125" s="15" t="n">
        <v>0</v>
      </c>
      <c r="J125" s="16" t="n">
        <v>30</v>
      </c>
      <c r="K125" s="16" t="n">
        <v>0</v>
      </c>
      <c r="L125" s="16" t="n">
        <v>27.28</v>
      </c>
      <c r="M125" s="16" t="n">
        <v>2.72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20261102_2215</t>
        </is>
      </c>
      <c r="B126" s="9" t="n">
        <v>46328</v>
      </c>
      <c r="C126" s="10" t="n">
        <v>0.9270833333333334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3</v>
      </c>
      <c r="I126" s="11" t="n">
        <v>0</v>
      </c>
      <c r="J126" s="12" t="n">
        <v>45</v>
      </c>
      <c r="K126" s="12" t="n">
        <v>0</v>
      </c>
      <c r="L126" s="12" t="n">
        <v>40.92</v>
      </c>
      <c r="M126" s="12" t="n">
        <v>4.08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20261102_2315</t>
        </is>
      </c>
      <c r="B127" s="13" t="n">
        <v>46328</v>
      </c>
      <c r="C127" s="14" t="n">
        <v>0.96875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20261102_2359</t>
        </is>
      </c>
      <c r="B128" s="9" t="n">
        <v>46328</v>
      </c>
      <c r="C128" s="10" t="n">
        <v>0.9993055555555556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1</v>
      </c>
      <c r="I128" s="11" t="n">
        <v>0</v>
      </c>
      <c r="J128" s="12" t="n">
        <v>15</v>
      </c>
      <c r="K128" s="12" t="n">
        <v>0</v>
      </c>
      <c r="L128" s="12" t="n">
        <v>13.64</v>
      </c>
      <c r="M128" s="12" t="n">
        <v>1.36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</sheetData>
  <autoFilter ref="A1:P12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</sheetData>
  <autoFilter ref="A1:G64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</sheetData>
  <autoFilter ref="A1:K80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2026-10-24T22:21:43Z</dcterms:created>
  <dcterms:modified xsi:type="dcterms:W3CDTF">2026-10-24T22:21:44Z</dcterms:modified>
</cp:coreProperties>
</file>