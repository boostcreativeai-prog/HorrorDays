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'Vendite'!$A$1:$P$117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'Storico'!$A$1:$G$560</definedName>
    <definedName name="_xlnm._FilterDatabase" localSheetId="8" hidden="1">'Registro vendite'!$A$1:$K$548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'Storico'!$H$2:$H$560</f>
            </numRef>
          </cat>
          <val>
            <numRef>
              <f>'Storico'!$C$2:$C$560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vendite'!$A$4:$A$21</f>
            </numRef>
          </cat>
          <val>
            <numRef>
              <f>'Picchi vendite'!$B$4:$B$21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MAX(Storico!A2:A560)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20</v>
      </c>
      <c r="I6" s="11" t="n">
        <v>1</v>
      </c>
      <c r="J6" s="12" t="n">
        <v>960</v>
      </c>
      <c r="K6" s="12" t="n">
        <v>0</v>
      </c>
      <c r="L6" s="12" t="n">
        <v>872.8</v>
      </c>
      <c r="M6" s="12" t="n">
        <v>87.2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24</v>
      </c>
      <c r="I13" s="15" t="n">
        <v>0</v>
      </c>
      <c r="J13" s="16" t="n">
        <v>576</v>
      </c>
      <c r="K13" s="16" t="n">
        <v>0</v>
      </c>
      <c r="L13" s="16" t="n">
        <v>523.6799999999999</v>
      </c>
      <c r="M13" s="16" t="n">
        <v>52.32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22</v>
      </c>
      <c r="I17" s="15" t="n">
        <v>0</v>
      </c>
      <c r="J17" s="16" t="n">
        <v>528</v>
      </c>
      <c r="K17" s="16" t="n">
        <v>0</v>
      </c>
      <c r="L17" s="16" t="n">
        <v>480.04</v>
      </c>
      <c r="M17" s="16" t="n">
        <v>47.96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3</v>
      </c>
      <c r="I19" s="15" t="n">
        <v>1</v>
      </c>
      <c r="J19" s="16" t="n">
        <v>108</v>
      </c>
      <c r="K19" s="16" t="n">
        <v>0</v>
      </c>
      <c r="L19" s="16" t="n">
        <v>98.19</v>
      </c>
      <c r="M19" s="16" t="n">
        <v>9.81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24</v>
      </c>
      <c r="I33" s="15" t="n">
        <v>0</v>
      </c>
      <c r="J33" s="16" t="n">
        <v>576</v>
      </c>
      <c r="K33" s="16" t="n">
        <v>0</v>
      </c>
      <c r="L33" s="16" t="n">
        <v>523.6799999999999</v>
      </c>
      <c r="M33" s="16" t="n">
        <v>52.32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7</v>
      </c>
      <c r="I34" s="11" t="n">
        <v>0</v>
      </c>
      <c r="J34" s="12" t="n">
        <v>336</v>
      </c>
      <c r="K34" s="12" t="n">
        <v>0</v>
      </c>
      <c r="L34" s="12" t="n">
        <v>305.48</v>
      </c>
      <c r="M34" s="12" t="n">
        <v>30.52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8</v>
      </c>
      <c r="I45" s="15" t="n">
        <v>0</v>
      </c>
      <c r="J45" s="16" t="n">
        <v>384</v>
      </c>
      <c r="K45" s="16" t="n">
        <v>0</v>
      </c>
      <c r="L45" s="16" t="n">
        <v>349.12</v>
      </c>
      <c r="M45" s="16" t="n">
        <v>34.88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2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2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9</v>
      </c>
      <c r="I90" s="11" t="n">
        <v>0</v>
      </c>
      <c r="J90" s="12" t="n">
        <v>432</v>
      </c>
      <c r="K90" s="12" t="n">
        <v>0</v>
      </c>
      <c r="L90" s="12" t="n">
        <v>392.76</v>
      </c>
      <c r="M90" s="12" t="n">
        <v>39.24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I2</t>
        </is>
      </c>
      <c r="F91" s="23">
        <f>IFERROR(INDEX(Tariffe!$B$2:$B$200,MATCH(E91,Tariffe!$A$2:$A$200,0)),"DA DEFINIRE")</f>
        <v/>
      </c>
      <c r="G91" s="16" t="n">
        <v>36</v>
      </c>
      <c r="H91" s="15" t="n">
        <v>1</v>
      </c>
      <c r="I91" s="15" t="n">
        <v>0</v>
      </c>
      <c r="J91" s="16" t="n">
        <v>36</v>
      </c>
      <c r="K91" s="16" t="n">
        <v>0</v>
      </c>
      <c r="L91" s="16" t="n">
        <v>32.73</v>
      </c>
      <c r="M91" s="16" t="n">
        <v>3.27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2</v>
      </c>
      <c r="I92" s="11" t="n">
        <v>0</v>
      </c>
      <c r="J92" s="12" t="n">
        <v>120</v>
      </c>
      <c r="K92" s="12" t="n">
        <v>0</v>
      </c>
      <c r="L92" s="12" t="n">
        <v>109.1</v>
      </c>
      <c r="M92" s="12" t="n">
        <v>10.9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6</v>
      </c>
      <c r="I93" s="15" t="n">
        <v>0</v>
      </c>
      <c r="J93" s="16" t="n">
        <v>144</v>
      </c>
      <c r="K93" s="16" t="n">
        <v>0</v>
      </c>
      <c r="L93" s="16" t="n">
        <v>130.92</v>
      </c>
      <c r="M93" s="16" t="n">
        <v>13.08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6</v>
      </c>
      <c r="I94" s="11" t="n">
        <v>3</v>
      </c>
      <c r="J94" s="12" t="n">
        <v>288</v>
      </c>
      <c r="K94" s="12" t="n">
        <v>0</v>
      </c>
      <c r="L94" s="12" t="n">
        <v>261.84</v>
      </c>
      <c r="M94" s="12" t="n">
        <v>26.16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I2</t>
        </is>
      </c>
      <c r="F95" s="23">
        <f>IFERROR(INDEX(Tariffe!$B$2:$B$200,MATCH(E95,Tariffe!$A$2:$A$200,0)),"DA DEFINIRE")</f>
        <v/>
      </c>
      <c r="G95" s="16" t="n">
        <v>36</v>
      </c>
      <c r="H95" s="15" t="n">
        <v>2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20</v>
      </c>
      <c r="I96" s="11" t="n">
        <v>0</v>
      </c>
      <c r="J96" s="12" t="n">
        <v>480</v>
      </c>
      <c r="K96" s="12" t="n">
        <v>0</v>
      </c>
      <c r="L96" s="12" t="n">
        <v>436.4</v>
      </c>
      <c r="M96" s="12" t="n">
        <v>43.6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15</v>
      </c>
      <c r="I97" s="15" t="n">
        <v>0</v>
      </c>
      <c r="J97" s="16" t="n">
        <v>720</v>
      </c>
      <c r="K97" s="16" t="n">
        <v>0</v>
      </c>
      <c r="L97" s="16" t="n">
        <v>654.6</v>
      </c>
      <c r="M97" s="16" t="n">
        <v>65.40000000000001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1</v>
      </c>
      <c r="I98" s="11" t="n">
        <v>0</v>
      </c>
      <c r="J98" s="12" t="n">
        <v>36</v>
      </c>
      <c r="K98" s="12" t="n">
        <v>0</v>
      </c>
      <c r="L98" s="12" t="n">
        <v>32.73</v>
      </c>
      <c r="M98" s="12" t="n">
        <v>3.27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3</v>
      </c>
      <c r="I99" s="15" t="n">
        <v>0</v>
      </c>
      <c r="J99" s="16" t="n">
        <v>180</v>
      </c>
      <c r="K99" s="16" t="n">
        <v>0</v>
      </c>
      <c r="L99" s="16" t="n">
        <v>163.65</v>
      </c>
      <c r="M99" s="16" t="n">
        <v>16.35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I8</t>
        </is>
      </c>
      <c r="F100" s="22">
        <f>IFERROR(INDEX(Tariffe!$B$2:$B$200,MATCH(E100,Tariffe!$A$2:$A$200,0)),"DA DEFINIRE")</f>
        <v/>
      </c>
      <c r="G100" s="12" t="n">
        <v>24</v>
      </c>
      <c r="H100" s="11" t="n">
        <v>15</v>
      </c>
      <c r="I100" s="11" t="n">
        <v>0</v>
      </c>
      <c r="J100" s="12" t="n">
        <v>360</v>
      </c>
      <c r="K100" s="12" t="n">
        <v>0</v>
      </c>
      <c r="L100" s="12" t="n">
        <v>327.3</v>
      </c>
      <c r="M100" s="12" t="n">
        <v>32.7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I1</t>
        </is>
      </c>
      <c r="F101" s="23">
        <f>IFERROR(INDEX(Tariffe!$B$2:$B$200,MATCH(E101,Tariffe!$A$2:$A$200,0)),"DA DEFINIRE")</f>
        <v/>
      </c>
      <c r="G101" s="16" t="n">
        <v>48</v>
      </c>
      <c r="H101" s="15" t="n">
        <v>8</v>
      </c>
      <c r="I101" s="15" t="n">
        <v>0</v>
      </c>
      <c r="J101" s="16" t="n">
        <v>384</v>
      </c>
      <c r="K101" s="16" t="n">
        <v>0</v>
      </c>
      <c r="L101" s="16" t="n">
        <v>349.12</v>
      </c>
      <c r="M101" s="16" t="n">
        <v>34.88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I2</t>
        </is>
      </c>
      <c r="F102" s="22">
        <f>IFERROR(INDEX(Tariffe!$B$2:$B$200,MATCH(E102,Tariffe!$A$2:$A$200,0)),"DA DEFINIRE")</f>
        <v/>
      </c>
      <c r="G102" s="12" t="n">
        <v>36</v>
      </c>
      <c r="H102" s="11" t="n">
        <v>1</v>
      </c>
      <c r="I102" s="11" t="n">
        <v>0</v>
      </c>
      <c r="J102" s="12" t="n">
        <v>36</v>
      </c>
      <c r="K102" s="12" t="n">
        <v>0</v>
      </c>
      <c r="L102" s="12" t="n">
        <v>32.73</v>
      </c>
      <c r="M102" s="12" t="n">
        <v>3.27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I5</t>
        </is>
      </c>
      <c r="F103" s="23">
        <f>IFERROR(INDEX(Tariffe!$B$2:$B$200,MATCH(E103,Tariffe!$A$2:$A$200,0)),"DA DEFINIRE")</f>
        <v/>
      </c>
      <c r="G103" s="16" t="n">
        <v>60</v>
      </c>
      <c r="H103" s="15" t="n">
        <v>2</v>
      </c>
      <c r="I103" s="15" t="n">
        <v>0</v>
      </c>
      <c r="J103" s="16" t="n">
        <v>120</v>
      </c>
      <c r="K103" s="16" t="n">
        <v>0</v>
      </c>
      <c r="L103" s="16" t="n">
        <v>109.1</v>
      </c>
      <c r="M103" s="16" t="n">
        <v>10.9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I8</t>
        </is>
      </c>
      <c r="F104" s="22">
        <f>IFERROR(INDEX(Tariffe!$B$2:$B$200,MATCH(E104,Tariffe!$A$2:$A$200,0)),"DA DEFINIRE")</f>
        <v/>
      </c>
      <c r="G104" s="12" t="n">
        <v>24</v>
      </c>
      <c r="H104" s="11" t="n">
        <v>7</v>
      </c>
      <c r="I104" s="11" t="n">
        <v>0</v>
      </c>
      <c r="J104" s="12" t="n">
        <v>168</v>
      </c>
      <c r="K104" s="12" t="n">
        <v>0</v>
      </c>
      <c r="L104" s="12" t="n">
        <v>152.74</v>
      </c>
      <c r="M104" s="12" t="n">
        <v>15.26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20261101_2015</t>
        </is>
      </c>
      <c r="B105" s="13" t="n">
        <v>46327</v>
      </c>
      <c r="C105" s="14" t="n">
        <v>0.84375</v>
      </c>
      <c r="D105" s="23" t="inlineStr">
        <is>
          <t>UN Unico</t>
        </is>
      </c>
      <c r="E105" s="23" t="inlineStr">
        <is>
          <t>I1</t>
        </is>
      </c>
      <c r="F105" s="23">
        <f>IFERROR(INDEX(Tariffe!$B$2:$B$200,MATCH(E105,Tariffe!$A$2:$A$200,0)),"DA DEFINIRE")</f>
        <v/>
      </c>
      <c r="G105" s="16" t="n">
        <v>48</v>
      </c>
      <c r="H105" s="15" t="n">
        <v>2</v>
      </c>
      <c r="I105" s="15" t="n">
        <v>0</v>
      </c>
      <c r="J105" s="16" t="n">
        <v>96</v>
      </c>
      <c r="K105" s="16" t="n">
        <v>0</v>
      </c>
      <c r="L105" s="16" t="n">
        <v>87.28</v>
      </c>
      <c r="M105" s="16" t="n">
        <v>8.720000000000001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1</v>
      </c>
      <c r="I107" s="15" t="n">
        <v>0</v>
      </c>
      <c r="J107" s="16" t="n">
        <v>24</v>
      </c>
      <c r="K107" s="16" t="n">
        <v>0</v>
      </c>
      <c r="L107" s="16" t="n">
        <v>21.82</v>
      </c>
      <c r="M107" s="16" t="n">
        <v>2.18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20261101_2115</t>
        </is>
      </c>
      <c r="B108" s="9" t="n">
        <v>46327</v>
      </c>
      <c r="C108" s="10" t="n">
        <v>0.8854166666666666</v>
      </c>
      <c r="D108" s="22" t="inlineStr">
        <is>
          <t>UN Unico</t>
        </is>
      </c>
      <c r="E108" s="22" t="inlineStr">
        <is>
          <t>I1</t>
        </is>
      </c>
      <c r="F108" s="22">
        <f>IFERROR(INDEX(Tariffe!$B$2:$B$200,MATCH(E108,Tariffe!$A$2:$A$200,0)),"DA DEFINIRE")</f>
        <v/>
      </c>
      <c r="G108" s="12" t="n">
        <v>48</v>
      </c>
      <c r="H108" s="11" t="n">
        <v>2</v>
      </c>
      <c r="I108" s="11" t="n">
        <v>0</v>
      </c>
      <c r="J108" s="12" t="n">
        <v>96</v>
      </c>
      <c r="K108" s="12" t="n">
        <v>0</v>
      </c>
      <c r="L108" s="12" t="n">
        <v>87.28</v>
      </c>
      <c r="M108" s="12" t="n">
        <v>8.720000000000001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I2</t>
        </is>
      </c>
      <c r="F109" s="23">
        <f>IFERROR(INDEX(Tariffe!$B$2:$B$200,MATCH(E109,Tariffe!$A$2:$A$200,0)),"DA DEFINIRE")</f>
        <v/>
      </c>
      <c r="G109" s="16" t="n">
        <v>36</v>
      </c>
      <c r="H109" s="15" t="n">
        <v>1</v>
      </c>
      <c r="I109" s="15" t="n">
        <v>0</v>
      </c>
      <c r="J109" s="16" t="n">
        <v>36</v>
      </c>
      <c r="K109" s="16" t="n">
        <v>0</v>
      </c>
      <c r="L109" s="16" t="n">
        <v>32.73</v>
      </c>
      <c r="M109" s="16" t="n">
        <v>3.27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3</v>
      </c>
      <c r="I110" s="11" t="n">
        <v>0</v>
      </c>
      <c r="J110" s="12" t="n">
        <v>72</v>
      </c>
      <c r="K110" s="12" t="n">
        <v>0</v>
      </c>
      <c r="L110" s="12" t="n">
        <v>65.45999999999999</v>
      </c>
      <c r="M110" s="12" t="n">
        <v>6.54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20261101_2215</t>
        </is>
      </c>
      <c r="B111" s="13" t="n">
        <v>46327</v>
      </c>
      <c r="C111" s="14" t="n">
        <v>0.9270833333333334</v>
      </c>
      <c r="D111" s="23" t="inlineStr">
        <is>
          <t>UN Unico</t>
        </is>
      </c>
      <c r="E111" s="23" t="inlineStr">
        <is>
          <t>I2</t>
        </is>
      </c>
      <c r="F111" s="23">
        <f>IFERROR(INDEX(Tariffe!$B$2:$B$200,MATCH(E111,Tariffe!$A$2:$A$200,0)),"DA DEFINIRE")</f>
        <v/>
      </c>
      <c r="G111" s="16" t="n">
        <v>36</v>
      </c>
      <c r="H111" s="15" t="n">
        <v>1</v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I5</t>
        </is>
      </c>
      <c r="F112" s="22">
        <f>IFERROR(INDEX(Tariffe!$B$2:$B$200,MATCH(E112,Tariffe!$A$2:$A$200,0)),"DA DEFINIRE")</f>
        <v/>
      </c>
      <c r="G112" s="12" t="n">
        <v>60</v>
      </c>
      <c r="H112" s="11" t="n">
        <v>1</v>
      </c>
      <c r="I112" s="11" t="n">
        <v>0</v>
      </c>
      <c r="J112" s="12" t="n">
        <v>60</v>
      </c>
      <c r="K112" s="12" t="n">
        <v>0</v>
      </c>
      <c r="L112" s="12" t="n">
        <v>54.55</v>
      </c>
      <c r="M112" s="12" t="n">
        <v>5.45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4</v>
      </c>
      <c r="I113" s="15" t="n">
        <v>0</v>
      </c>
      <c r="J113" s="16" t="n">
        <v>96</v>
      </c>
      <c r="K113" s="16" t="n">
        <v>0</v>
      </c>
      <c r="L113" s="16" t="n">
        <v>87.28</v>
      </c>
      <c r="M113" s="16" t="n">
        <v>8.720000000000001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20261101_2315</t>
        </is>
      </c>
      <c r="B114" s="9" t="n">
        <v>46327</v>
      </c>
      <c r="C114" s="10" t="n">
        <v>0.96875</v>
      </c>
      <c r="D114" s="22" t="inlineStr">
        <is>
          <t>UN Unico</t>
        </is>
      </c>
      <c r="E114" s="22" t="inlineStr">
        <is>
          <t>I2</t>
        </is>
      </c>
      <c r="F114" s="22">
        <f>IFERROR(INDEX(Tariffe!$B$2:$B$200,MATCH(E114,Tariffe!$A$2:$A$200,0)),"DA DEFINIRE")</f>
        <v/>
      </c>
      <c r="G114" s="12" t="n">
        <v>36</v>
      </c>
      <c r="H114" s="11" t="n">
        <v>1</v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I8</t>
        </is>
      </c>
      <c r="F115" s="23">
        <f>IFERROR(INDEX(Tariffe!$B$2:$B$200,MATCH(E115,Tariffe!$A$2:$A$200,0)),"DA DEFINIRE")</f>
        <v/>
      </c>
      <c r="G115" s="16" t="n">
        <v>24</v>
      </c>
      <c r="H115" s="15" t="n">
        <v>1</v>
      </c>
      <c r="I115" s="15" t="n">
        <v>0</v>
      </c>
      <c r="J115" s="16" t="n">
        <v>24</v>
      </c>
      <c r="K115" s="16" t="n">
        <v>0</v>
      </c>
      <c r="L115" s="16" t="n">
        <v>21.82</v>
      </c>
      <c r="M115" s="16" t="n">
        <v>2.18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20261101_2359</t>
        </is>
      </c>
      <c r="B116" s="9" t="n">
        <v>46327</v>
      </c>
      <c r="C116" s="10" t="n">
        <v>0.9993055555555556</v>
      </c>
      <c r="D116" s="22" t="inlineStr">
        <is>
          <t>UN Unico</t>
        </is>
      </c>
      <c r="E116" s="22" t="inlineStr">
        <is>
          <t>I5</t>
        </is>
      </c>
      <c r="F116" s="22">
        <f>IFERROR(INDEX(Tariffe!$B$2:$B$200,MATCH(E116,Tariffe!$A$2:$A$200,0)),"DA DEFINIRE")</f>
        <v/>
      </c>
      <c r="G116" s="12" t="n">
        <v>60</v>
      </c>
      <c r="H116" s="11" t="n">
        <v>1</v>
      </c>
      <c r="I116" s="11" t="n">
        <v>0</v>
      </c>
      <c r="J116" s="12" t="n">
        <v>60</v>
      </c>
      <c r="K116" s="12" t="n">
        <v>0</v>
      </c>
      <c r="L116" s="12" t="n">
        <v>54.55</v>
      </c>
      <c r="M116" s="12" t="n">
        <v>5.45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I8</t>
        </is>
      </c>
      <c r="F117" s="23">
        <f>IFERROR(INDEX(Tariffe!$B$2:$B$200,MATCH(E117,Tariffe!$A$2:$A$200,0)),"DA DEFINIRE")</f>
        <v/>
      </c>
      <c r="G117" s="16" t="n">
        <v>24</v>
      </c>
      <c r="H117" s="15" t="n">
        <v>1</v>
      </c>
      <c r="I117" s="15" t="n">
        <v>0</v>
      </c>
      <c r="J117" s="16" t="n">
        <v>24</v>
      </c>
      <c r="K117" s="16" t="n">
        <v>0</v>
      </c>
      <c r="L117" s="16" t="n">
        <v>21.82</v>
      </c>
      <c r="M117" s="16" t="n">
        <v>2.18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</sheetData>
  <autoFilter ref="A1:P11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</sheetData>
  <autoFilter ref="A1:G56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</sheetData>
  <autoFilter ref="A1:K54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92</v>
      </c>
      <c r="M7" s="11" t="n">
        <v>280</v>
      </c>
      <c r="N7" s="12" t="n">
        <v>3360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27</v>
      </c>
      <c r="H15" s="11" t="n">
        <v>78</v>
      </c>
      <c r="I15" s="12" t="n">
        <v>936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32</v>
      </c>
      <c r="H19" s="11" t="n">
        <v>92</v>
      </c>
      <c r="I19" s="12" t="n">
        <v>1104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21</v>
      </c>
      <c r="C21" s="11" t="n">
        <v>59</v>
      </c>
      <c r="D21" s="12" t="n">
        <v>708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54</v>
      </c>
      <c r="H23" s="11" t="n">
        <v>179</v>
      </c>
      <c r="I23" s="12" t="n">
        <v>2148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64</v>
      </c>
      <c r="H25" s="11" t="n">
        <v>190</v>
      </c>
      <c r="I25" s="12" t="n">
        <v>2280</v>
      </c>
    </row>
    <row r="26">
      <c r="F26" s="38" t="inlineStr">
        <is>
          <t>22:00-23:00</t>
        </is>
      </c>
      <c r="G26" s="11" t="n">
        <v>77</v>
      </c>
      <c r="H26" s="11" t="n">
        <v>230</v>
      </c>
      <c r="I26" s="12" t="n">
        <v>2760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2026-10-22T20:26:39Z</dcterms:created>
  <dcterms:modified xsi:type="dcterms:W3CDTF">2026-10-22T20:26:40Z</dcterms:modified>
</cp:coreProperties>
</file>