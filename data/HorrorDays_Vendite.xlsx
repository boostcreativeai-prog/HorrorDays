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'Storico'!$A$1:$G$420</definedName>
    <definedName name="_xlnm._FilterDatabase" localSheetId="8" hidden="1">'Registro vendite'!$A$1:$K$345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'Storico'!$H$2:$H$420</f>
            </numRef>
          </cat>
          <val>
            <numRef>
              <f>'Storico'!$C$2:$C$420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MAX(Storico!A2:A420)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18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4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1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11</v>
      </c>
      <c r="I35" s="15" t="n">
        <v>0</v>
      </c>
      <c r="J35" s="16" t="n">
        <v>264</v>
      </c>
      <c r="K35" s="16" t="n">
        <v>0</v>
      </c>
      <c r="L35" s="16" t="n">
        <v>240.02</v>
      </c>
      <c r="M35" s="16" t="n">
        <v>23.98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8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1</v>
      </c>
      <c r="I40" s="11" t="n">
        <v>0</v>
      </c>
      <c r="J40" s="12" t="n">
        <v>60</v>
      </c>
      <c r="K40" s="12" t="n">
        <v>0</v>
      </c>
      <c r="L40" s="12" t="n">
        <v>54.55</v>
      </c>
      <c r="M40" s="12" t="n">
        <v>5.45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4</v>
      </c>
      <c r="I42" s="11" t="n">
        <v>0</v>
      </c>
      <c r="J42" s="12" t="n">
        <v>192</v>
      </c>
      <c r="K42" s="12" t="n">
        <v>0</v>
      </c>
      <c r="L42" s="12" t="n">
        <v>174.56</v>
      </c>
      <c r="M42" s="12" t="n">
        <v>17.44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7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3</v>
      </c>
      <c r="I79" s="15" t="n">
        <v>2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1</v>
      </c>
      <c r="I80" s="11" t="n">
        <v>0</v>
      </c>
      <c r="J80" s="12" t="n">
        <v>24</v>
      </c>
      <c r="K80" s="12" t="n">
        <v>0</v>
      </c>
      <c r="L80" s="12" t="n">
        <v>21.82</v>
      </c>
      <c r="M80" s="12" t="n">
        <v>2.18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5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5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I2</t>
        </is>
      </c>
      <c r="F84" s="22">
        <f>IFERROR(INDEX(Tariffe!$B$2:$B$200,MATCH(E84,Tariffe!$A$2:$A$200,0)),"DA DEFINIRE")</f>
        <v/>
      </c>
      <c r="G84" s="12" t="n">
        <v>36</v>
      </c>
      <c r="H84" s="11" t="n">
        <v>1</v>
      </c>
      <c r="I84" s="11" t="n">
        <v>0</v>
      </c>
      <c r="J84" s="12" t="n">
        <v>36</v>
      </c>
      <c r="K84" s="12" t="n">
        <v>0</v>
      </c>
      <c r="L84" s="12" t="n">
        <v>32.73</v>
      </c>
      <c r="M84" s="12" t="n">
        <v>3.27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11</v>
      </c>
      <c r="I85" s="15" t="n">
        <v>0</v>
      </c>
      <c r="J85" s="16" t="n">
        <v>264</v>
      </c>
      <c r="K85" s="16" t="n">
        <v>0</v>
      </c>
      <c r="L85" s="16" t="n">
        <v>240.02</v>
      </c>
      <c r="M85" s="16" t="n">
        <v>23.98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12</v>
      </c>
      <c r="I86" s="11" t="n">
        <v>0</v>
      </c>
      <c r="J86" s="12" t="n">
        <v>576</v>
      </c>
      <c r="K86" s="12" t="n">
        <v>0</v>
      </c>
      <c r="L86" s="12" t="n">
        <v>523.6799999999999</v>
      </c>
      <c r="M86" s="12" t="n">
        <v>52.32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12</v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5</v>
      </c>
      <c r="I88" s="11" t="n">
        <v>0</v>
      </c>
      <c r="J88" s="12" t="n">
        <v>240</v>
      </c>
      <c r="K88" s="12" t="n">
        <v>0</v>
      </c>
      <c r="L88" s="12" t="n">
        <v>218.2</v>
      </c>
      <c r="M88" s="12" t="n">
        <v>21.8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5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20261101_2015</t>
        </is>
      </c>
      <c r="B90" s="9" t="n">
        <v>46327</v>
      </c>
      <c r="C90" s="10" t="n">
        <v>0.84375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1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20261101_2115</t>
        </is>
      </c>
      <c r="B91" s="13" t="n">
        <v>46327</v>
      </c>
      <c r="C91" s="14" t="n">
        <v>0.8854166666666666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3</v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20261101_2215</t>
        </is>
      </c>
      <c r="B92" s="9" t="n">
        <v>46327</v>
      </c>
      <c r="C92" s="10" t="n">
        <v>0.9270833333333334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20261101_2215</t>
        </is>
      </c>
      <c r="B93" s="13" t="n">
        <v>46327</v>
      </c>
      <c r="C93" s="14" t="n">
        <v>0.9270833333333334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3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20261101_2359</t>
        </is>
      </c>
      <c r="B94" s="9" t="n">
        <v>46327</v>
      </c>
      <c r="C94" s="10" t="n">
        <v>0.9993055555555556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1</v>
      </c>
      <c r="I94" s="11" t="n">
        <v>0</v>
      </c>
      <c r="J94" s="12" t="n">
        <v>60</v>
      </c>
      <c r="K94" s="12" t="n">
        <v>0</v>
      </c>
      <c r="L94" s="12" t="n">
        <v>54.55</v>
      </c>
      <c r="M94" s="12" t="n">
        <v>5.45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</sheetData>
  <autoFilter ref="A1:P9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</sheetData>
  <autoFilter ref="A1:G42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</sheetData>
  <autoFilter ref="A1:K34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26</v>
      </c>
      <c r="M10" s="11" t="n">
        <v>84</v>
      </c>
      <c r="N10" s="12" t="n">
        <v>1008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A17" s="9" t="n">
        <v>46313</v>
      </c>
      <c r="B17" s="11" t="n">
        <v>5</v>
      </c>
      <c r="C17" s="11" t="n">
        <v>21</v>
      </c>
      <c r="D17" s="12" t="n">
        <v>252</v>
      </c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2026-10-18T00:31:19Z</dcterms:created>
  <dcterms:modified xsi:type="dcterms:W3CDTF">2026-10-18T00:31:19Z</dcterms:modified>
</cp:coreProperties>
</file>