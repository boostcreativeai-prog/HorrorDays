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'Vendite'!$A$1:$R$131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'Storico'!$A$1:$G$691</definedName>
    <definedName name="_xlnm._FilterDatabase" localSheetId="8" hidden="1">'Registro vendite'!$A$1:$K$972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'Storico'!$H$2:$H$691</f>
            </numRef>
          </cat>
          <val>
            <numRef>
              <f>'Storico'!$C$2:$C$691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MAX(Storico!A2:A691)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1152</v>
      </c>
      <c r="K58" s="12" t="n">
        <v>0</v>
      </c>
      <c r="L58" s="12" t="n">
        <v>1047.36</v>
      </c>
      <c r="M58" s="12" t="n">
        <v>104.64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24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8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300</v>
      </c>
      <c r="K60" s="12" t="n">
        <v>0</v>
      </c>
      <c r="L60" s="12" t="n">
        <v>272.75</v>
      </c>
      <c r="M60" s="12" t="n">
        <v>27.25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5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432</v>
      </c>
      <c r="K61" s="16" t="n">
        <v>0</v>
      </c>
      <c r="L61" s="16" t="n">
        <v>392.76</v>
      </c>
      <c r="M61" s="16" t="n">
        <v>39.24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18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8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528</v>
      </c>
      <c r="K69" s="16" t="n">
        <v>0</v>
      </c>
      <c r="L69" s="16" t="n">
        <v>480.04</v>
      </c>
      <c r="M69" s="16" t="n">
        <v>47.96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I5 60€</t>
        </is>
      </c>
      <c r="F81" s="23">
        <f>IFERROR(INDEX(Tariffe!$B$2:$B$200,MATCH(E81,Tariffe!$A$2:$A$200,0)),"DA DEFINIRE")</f>
        <v/>
      </c>
      <c r="G81" s="16" t="n">
        <v>60</v>
      </c>
      <c r="H81" s="15">
        <f>Q81*R81</f>
        <v/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216</v>
      </c>
      <c r="K82" s="12" t="n">
        <v>0</v>
      </c>
      <c r="L82" s="12" t="n">
        <v>196.38</v>
      </c>
      <c r="M82" s="12" t="n">
        <v>19.62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9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576</v>
      </c>
      <c r="K83" s="16" t="n">
        <v>0</v>
      </c>
      <c r="L83" s="16" t="n">
        <v>523.6799999999999</v>
      </c>
      <c r="M83" s="16" t="n">
        <v>52.32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3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192</v>
      </c>
      <c r="K93" s="16" t="n">
        <v>0</v>
      </c>
      <c r="L93" s="16" t="n">
        <v>174.56</v>
      </c>
      <c r="M93" s="16" t="n">
        <v>17.44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5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2</v>
      </c>
      <c r="J96" s="12" t="n">
        <v>180</v>
      </c>
      <c r="K96" s="12" t="n">
        <v>0</v>
      </c>
      <c r="L96" s="12" t="n">
        <v>163.65</v>
      </c>
      <c r="M96" s="12" t="n">
        <v>16.35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624</v>
      </c>
      <c r="K98" s="12" t="n">
        <v>0</v>
      </c>
      <c r="L98" s="12" t="n">
        <v>567.3200000000001</v>
      </c>
      <c r="M98" s="12" t="n">
        <v>56.68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144</v>
      </c>
      <c r="K99" s="16" t="n">
        <v>0</v>
      </c>
      <c r="L99" s="16" t="n">
        <v>130.92</v>
      </c>
      <c r="M99" s="16" t="n">
        <v>13.08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240</v>
      </c>
      <c r="K101" s="16" t="n">
        <v>0</v>
      </c>
      <c r="L101" s="16" t="n">
        <v>218.2</v>
      </c>
      <c r="M101" s="16" t="n">
        <v>21.8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3</v>
      </c>
      <c r="J102" s="12" t="n">
        <v>672</v>
      </c>
      <c r="K102" s="12" t="n">
        <v>0</v>
      </c>
      <c r="L102" s="12" t="n">
        <v>610.96</v>
      </c>
      <c r="M102" s="12" t="n">
        <v>61.04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14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1344</v>
      </c>
      <c r="K106" s="12" t="n">
        <v>0</v>
      </c>
      <c r="L106" s="12" t="n">
        <v>1221.92</v>
      </c>
      <c r="M106" s="12" t="n">
        <v>122.08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28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108</v>
      </c>
      <c r="K107" s="16" t="n">
        <v>0</v>
      </c>
      <c r="L107" s="16" t="n">
        <v>98.19</v>
      </c>
      <c r="M107" s="16" t="n">
        <v>9.81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480</v>
      </c>
      <c r="K109" s="16" t="n">
        <v>0</v>
      </c>
      <c r="L109" s="16" t="n">
        <v>436.4</v>
      </c>
      <c r="M109" s="16" t="n">
        <v>43.6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20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864</v>
      </c>
      <c r="K110" s="12" t="n">
        <v>0</v>
      </c>
      <c r="L110" s="12" t="n">
        <v>785.52</v>
      </c>
      <c r="M110" s="12" t="n">
        <v>78.48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18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120</v>
      </c>
      <c r="K112" s="12" t="n">
        <v>0</v>
      </c>
      <c r="L112" s="12" t="n">
        <v>109.1</v>
      </c>
      <c r="M112" s="12" t="n">
        <v>10.9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336</v>
      </c>
      <c r="K113" s="16" t="n">
        <v>0</v>
      </c>
      <c r="L113" s="16" t="n">
        <v>305.48</v>
      </c>
      <c r="M113" s="16" t="n">
        <v>30.52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14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144</v>
      </c>
      <c r="K114" s="12" t="n">
        <v>0</v>
      </c>
      <c r="L114" s="12" t="n">
        <v>130.92</v>
      </c>
      <c r="M114" s="12" t="n">
        <v>13.08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192</v>
      </c>
      <c r="K117" s="16" t="n">
        <v>0</v>
      </c>
      <c r="L117" s="16" t="n">
        <v>174.56</v>
      </c>
      <c r="M117" s="16" t="n">
        <v>17.44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8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108</v>
      </c>
      <c r="K121" s="16" t="n">
        <v>0</v>
      </c>
      <c r="L121" s="16" t="n">
        <v>98.19</v>
      </c>
      <c r="M121" s="16" t="n">
        <v>9.81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168</v>
      </c>
      <c r="K123" s="16" t="n">
        <v>0</v>
      </c>
      <c r="L123" s="16" t="n">
        <v>152.74</v>
      </c>
      <c r="M123" s="16" t="n">
        <v>15.26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7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20261102_2015</t>
        </is>
      </c>
      <c r="B128" s="9" t="n">
        <v>46328</v>
      </c>
      <c r="C128" s="10" t="n">
        <v>0.84375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30</v>
      </c>
      <c r="K128" s="12" t="n">
        <v>0</v>
      </c>
      <c r="L128" s="12" t="n">
        <v>27.28</v>
      </c>
      <c r="M128" s="12" t="n">
        <v>2.72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20261102_2215</t>
        </is>
      </c>
      <c r="B129" s="13" t="n">
        <v>46328</v>
      </c>
      <c r="C129" s="14" t="n">
        <v>0.9270833333333334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20261102_2315</t>
        </is>
      </c>
      <c r="B130" s="9" t="n">
        <v>46328</v>
      </c>
      <c r="C130" s="10" t="n">
        <v>0.96875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20261102_2359</t>
        </is>
      </c>
      <c r="B131" s="13" t="n">
        <v>46328</v>
      </c>
      <c r="C131" s="14" t="n">
        <v>0.9993055555555556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15</v>
      </c>
      <c r="K131" s="16" t="n">
        <v>0</v>
      </c>
      <c r="L131" s="16" t="n">
        <v>13.64</v>
      </c>
      <c r="M131" s="16" t="n">
        <v>1.36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</sheetData>
  <autoFilter ref="A1:R1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</sheetData>
  <autoFilter ref="A1:G6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</sheetData>
  <autoFilter ref="A1:K97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403</v>
      </c>
      <c r="M10" s="11" t="n">
        <v>1263</v>
      </c>
      <c r="N10" s="12" t="n">
        <v>15156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326</v>
      </c>
      <c r="C24" s="11" t="n">
        <v>1014</v>
      </c>
      <c r="D24" s="12" t="n">
        <v>12168</v>
      </c>
      <c r="F24" s="38" t="inlineStr">
        <is>
          <t>20:00-21:00</t>
        </is>
      </c>
      <c r="G24" s="11" t="n">
        <v>85</v>
      </c>
      <c r="H24" s="11" t="n">
        <v>248</v>
      </c>
      <c r="I24" s="12" t="n">
        <v>2982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2026-10-25T19:52:22Z</dcterms:created>
  <dcterms:modified xsi:type="dcterms:W3CDTF">2026-10-25T19:52:23Z</dcterms:modified>
</cp:coreProperties>
</file>