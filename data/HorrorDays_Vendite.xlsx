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'Vendite'!$A$1:$R$133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'Storico'!$A$1:$G$724</definedName>
    <definedName name="_xlnm._FilterDatabase" localSheetId="8" hidden="1">'Registro vendite'!$A$1:$K$1058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'Storico'!$H$2:$H$724</f>
            </numRef>
          </cat>
          <val>
            <numRef>
              <f>'Storico'!$C$2:$C$724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vendite'!$A$4:$A$25</f>
            </numRef>
          </cat>
          <val>
            <numRef>
              <f>'Picchi vendite'!$B$4:$B$25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MAX(Storico!A2:A724)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5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108</v>
      </c>
      <c r="K66" s="12" t="n">
        <v>0</v>
      </c>
      <c r="L66" s="12" t="n">
        <v>98.19</v>
      </c>
      <c r="M66" s="12" t="n">
        <v>9.81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3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10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624</v>
      </c>
      <c r="K69" s="16" t="n">
        <v>0</v>
      </c>
      <c r="L69" s="16" t="n">
        <v>567.3200000000001</v>
      </c>
      <c r="M69" s="16" t="n">
        <v>56.68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13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432</v>
      </c>
      <c r="K72" s="12" t="n">
        <v>0</v>
      </c>
      <c r="L72" s="12" t="n">
        <v>392.76</v>
      </c>
      <c r="M72" s="12" t="n">
        <v>39.24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18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384</v>
      </c>
      <c r="K73" s="16" t="n">
        <v>0</v>
      </c>
      <c r="L73" s="16" t="n">
        <v>349.12</v>
      </c>
      <c r="M73" s="16" t="n">
        <v>34.88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8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360</v>
      </c>
      <c r="K75" s="16" t="n">
        <v>0</v>
      </c>
      <c r="L75" s="16" t="n">
        <v>327.3</v>
      </c>
      <c r="M75" s="16" t="n">
        <v>32.7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6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240</v>
      </c>
      <c r="K76" s="12" t="n">
        <v>0</v>
      </c>
      <c r="L76" s="12" t="n">
        <v>218.2</v>
      </c>
      <c r="M76" s="12" t="n">
        <v>21.8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10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I8 24€</t>
        </is>
      </c>
      <c r="F78" s="22">
        <f>IFERROR(INDEX(Tariffe!$B$2:$B$200,MATCH(E78,Tariffe!$A$2:$A$200,0)),"DA DEFINIRE")</f>
        <v/>
      </c>
      <c r="G78" s="12" t="n">
        <v>24</v>
      </c>
      <c r="H78" s="11">
        <f>Q78*R78</f>
        <v/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6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I1 48€</t>
        </is>
      </c>
      <c r="F79" s="23">
        <f>IFERROR(INDEX(Tariffe!$B$2:$B$200,MATCH(E79,Tariffe!$A$2:$A$200,0)),"DA DEFINIRE")</f>
        <v/>
      </c>
      <c r="G79" s="16" t="n">
        <v>48</v>
      </c>
      <c r="H79" s="15">
        <f>Q79*R79</f>
        <v/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72</v>
      </c>
      <c r="K80" s="12" t="n">
        <v>0</v>
      </c>
      <c r="L80" s="12" t="n">
        <v>65.45999999999999</v>
      </c>
      <c r="M80" s="12" t="n">
        <v>6.54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3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I5 60€</t>
        </is>
      </c>
      <c r="F82" s="22">
        <f>IFERROR(INDEX(Tariffe!$B$2:$B$200,MATCH(E82,Tariffe!$A$2:$A$200,0)),"DA DEFINIRE")</f>
        <v/>
      </c>
      <c r="G82" s="12" t="n">
        <v>60</v>
      </c>
      <c r="H82" s="11">
        <f>Q82*R82</f>
        <v/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10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672</v>
      </c>
      <c r="K84" s="12" t="n">
        <v>0</v>
      </c>
      <c r="L84" s="12" t="n">
        <v>610.96</v>
      </c>
      <c r="M84" s="12" t="n">
        <v>61.04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14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108</v>
      </c>
      <c r="K85" s="16" t="n">
        <v>0</v>
      </c>
      <c r="L85" s="16" t="n">
        <v>98.19</v>
      </c>
      <c r="M85" s="16" t="n">
        <v>9.81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3</v>
      </c>
      <c r="J87" s="16" t="n">
        <v>432</v>
      </c>
      <c r="K87" s="16" t="n">
        <v>0</v>
      </c>
      <c r="L87" s="16" t="n">
        <v>392.76</v>
      </c>
      <c r="M87" s="16" t="n">
        <v>39.24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18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384</v>
      </c>
      <c r="K88" s="12" t="n">
        <v>0</v>
      </c>
      <c r="L88" s="12" t="n">
        <v>349.12</v>
      </c>
      <c r="M88" s="12" t="n">
        <v>34.88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8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0</v>
      </c>
      <c r="J91" s="16" t="n">
        <v>216</v>
      </c>
      <c r="K91" s="16" t="n">
        <v>0</v>
      </c>
      <c r="L91" s="16" t="n">
        <v>196.38</v>
      </c>
      <c r="M91" s="16" t="n">
        <v>19.62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9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4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264</v>
      </c>
      <c r="K94" s="12" t="n">
        <v>0</v>
      </c>
      <c r="L94" s="12" t="n">
        <v>240.02</v>
      </c>
      <c r="M94" s="12" t="n">
        <v>23.98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11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336</v>
      </c>
      <c r="K95" s="16" t="n">
        <v>0</v>
      </c>
      <c r="L95" s="16" t="n">
        <v>305.48</v>
      </c>
      <c r="M95" s="16" t="n">
        <v>30.52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7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2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120</v>
      </c>
      <c r="K98" s="12" t="n">
        <v>0</v>
      </c>
      <c r="L98" s="12" t="n">
        <v>109.1</v>
      </c>
      <c r="M98" s="12" t="n">
        <v>10.9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5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672</v>
      </c>
      <c r="K99" s="16" t="n">
        <v>0</v>
      </c>
      <c r="L99" s="16" t="n">
        <v>610.96</v>
      </c>
      <c r="M99" s="16" t="n">
        <v>61.04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360</v>
      </c>
      <c r="K102" s="12" t="n">
        <v>0</v>
      </c>
      <c r="L102" s="12" t="n">
        <v>327.3</v>
      </c>
      <c r="M102" s="12" t="n">
        <v>32.7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15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3</v>
      </c>
      <c r="J103" s="16" t="n">
        <v>912</v>
      </c>
      <c r="K103" s="16" t="n">
        <v>0</v>
      </c>
      <c r="L103" s="16" t="n">
        <v>829.16</v>
      </c>
      <c r="M103" s="16" t="n">
        <v>82.84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19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108</v>
      </c>
      <c r="K104" s="12" t="n">
        <v>0</v>
      </c>
      <c r="L104" s="12" t="n">
        <v>98.19</v>
      </c>
      <c r="M104" s="12" t="n">
        <v>9.81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240</v>
      </c>
      <c r="K105" s="16" t="n">
        <v>0</v>
      </c>
      <c r="L105" s="16" t="n">
        <v>218.2</v>
      </c>
      <c r="M105" s="16" t="n">
        <v>21.8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4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888</v>
      </c>
      <c r="K106" s="12" t="n">
        <v>0</v>
      </c>
      <c r="L106" s="12" t="n">
        <v>807.34</v>
      </c>
      <c r="M106" s="12" t="n">
        <v>80.66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37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1824</v>
      </c>
      <c r="K107" s="16" t="n">
        <v>0</v>
      </c>
      <c r="L107" s="16" t="n">
        <v>1658.32</v>
      </c>
      <c r="M107" s="16" t="n">
        <v>165.68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38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108</v>
      </c>
      <c r="K108" s="12" t="n">
        <v>0</v>
      </c>
      <c r="L108" s="12" t="n">
        <v>98.19</v>
      </c>
      <c r="M108" s="12" t="n">
        <v>9.81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300</v>
      </c>
      <c r="K109" s="16" t="n">
        <v>0</v>
      </c>
      <c r="L109" s="16" t="n">
        <v>272.75</v>
      </c>
      <c r="M109" s="16" t="n">
        <v>27.25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5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528</v>
      </c>
      <c r="K110" s="12" t="n">
        <v>0</v>
      </c>
      <c r="L110" s="12" t="n">
        <v>480.04</v>
      </c>
      <c r="M110" s="12" t="n">
        <v>47.96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22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1104</v>
      </c>
      <c r="K111" s="16" t="n">
        <v>0</v>
      </c>
      <c r="L111" s="16" t="n">
        <v>1003.72</v>
      </c>
      <c r="M111" s="16" t="n">
        <v>100.28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23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240</v>
      </c>
      <c r="K113" s="16" t="n">
        <v>0</v>
      </c>
      <c r="L113" s="16" t="n">
        <v>218.2</v>
      </c>
      <c r="M113" s="16" t="n">
        <v>21.8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408</v>
      </c>
      <c r="K114" s="12" t="n">
        <v>0</v>
      </c>
      <c r="L114" s="12" t="n">
        <v>370.94</v>
      </c>
      <c r="M114" s="12" t="n">
        <v>37.06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17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192</v>
      </c>
      <c r="K115" s="16" t="n">
        <v>0</v>
      </c>
      <c r="L115" s="16" t="n">
        <v>174.56</v>
      </c>
      <c r="M115" s="16" t="n">
        <v>17.44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I5 60€</t>
        </is>
      </c>
      <c r="F117" s="23">
        <f>IFERROR(INDEX(Tariffe!$B$2:$B$200,MATCH(E117,Tariffe!$A$2:$A$200,0)),"DA DEFINIRE")</f>
        <v/>
      </c>
      <c r="G117" s="16" t="n">
        <v>60</v>
      </c>
      <c r="H117" s="15">
        <f>Q117*R117</f>
        <v/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I8 24€</t>
        </is>
      </c>
      <c r="F118" s="22">
        <f>IFERROR(INDEX(Tariffe!$B$2:$B$200,MATCH(E118,Tariffe!$A$2:$A$200,0)),"DA DEFINIRE")</f>
        <v/>
      </c>
      <c r="G118" s="12" t="n">
        <v>24</v>
      </c>
      <c r="H118" s="11">
        <f>Q118*R118</f>
        <v/>
      </c>
      <c r="I118" s="11" t="n">
        <v>0</v>
      </c>
      <c r="J118" s="12" t="n">
        <v>72</v>
      </c>
      <c r="K118" s="12" t="n">
        <v>0</v>
      </c>
      <c r="L118" s="12" t="n">
        <v>65.45999999999999</v>
      </c>
      <c r="M118" s="12" t="n">
        <v>6.54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3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I1 48€</t>
        </is>
      </c>
      <c r="F119" s="23">
        <f>IFERROR(INDEX(Tariffe!$B$2:$B$200,MATCH(E119,Tariffe!$A$2:$A$200,0)),"DA DEFINIRE")</f>
        <v/>
      </c>
      <c r="G119" s="16" t="n">
        <v>48</v>
      </c>
      <c r="H119" s="15">
        <f>Q119*R119</f>
        <v/>
      </c>
      <c r="I119" s="15" t="n">
        <v>0</v>
      </c>
      <c r="J119" s="16" t="n">
        <v>192</v>
      </c>
      <c r="K119" s="16" t="n">
        <v>0</v>
      </c>
      <c r="L119" s="16" t="n">
        <v>174.56</v>
      </c>
      <c r="M119" s="16" t="n">
        <v>17.44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I2 36€</t>
        </is>
      </c>
      <c r="F120" s="22">
        <f>IFERROR(INDEX(Tariffe!$B$2:$B$200,MATCH(E120,Tariffe!$A$2:$A$200,0)),"DA DEFINIRE")</f>
        <v/>
      </c>
      <c r="G120" s="12" t="n">
        <v>36</v>
      </c>
      <c r="H120" s="11">
        <f>Q120*R120</f>
        <v/>
      </c>
      <c r="I120" s="11" t="n">
        <v>0</v>
      </c>
      <c r="J120" s="12" t="n">
        <v>144</v>
      </c>
      <c r="K120" s="12" t="n">
        <v>0</v>
      </c>
      <c r="L120" s="12" t="n">
        <v>130.92</v>
      </c>
      <c r="M120" s="12" t="n">
        <v>13.08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4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216</v>
      </c>
      <c r="K121" s="16" t="n">
        <v>0</v>
      </c>
      <c r="L121" s="16" t="n">
        <v>196.38</v>
      </c>
      <c r="M121" s="16" t="n">
        <v>19.62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9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240</v>
      </c>
      <c r="K122" s="12" t="n">
        <v>0</v>
      </c>
      <c r="L122" s="12" t="n">
        <v>218.2</v>
      </c>
      <c r="M122" s="12" t="n">
        <v>21.8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5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108</v>
      </c>
      <c r="K123" s="16" t="n">
        <v>0</v>
      </c>
      <c r="L123" s="16" t="n">
        <v>98.19</v>
      </c>
      <c r="M123" s="16" t="n">
        <v>9.81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3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60</v>
      </c>
      <c r="K124" s="12" t="n">
        <v>0</v>
      </c>
      <c r="L124" s="12" t="n">
        <v>54.55</v>
      </c>
      <c r="M124" s="12" t="n">
        <v>5.45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216</v>
      </c>
      <c r="K125" s="16" t="n">
        <v>0</v>
      </c>
      <c r="L125" s="16" t="n">
        <v>196.38</v>
      </c>
      <c r="M125" s="16" t="n">
        <v>19.62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9</v>
      </c>
      <c r="R125" s="15">
        <f>IFERROR(INDEX(Tariffe!$E$2:$E$200,MATCH(E125,Tariffe!$A$2:$A$200,0))*1,1)</f>
        <v/>
      </c>
    </row>
    <row r="126">
      <c r="A126" s="22" t="inlineStr">
        <is>
          <t>20261101_2315</t>
        </is>
      </c>
      <c r="B126" s="9" t="n">
        <v>46327</v>
      </c>
      <c r="C126" s="10" t="n">
        <v>0.96875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72</v>
      </c>
      <c r="K126" s="12" t="n">
        <v>0</v>
      </c>
      <c r="L126" s="12" t="n">
        <v>65.45999999999999</v>
      </c>
      <c r="M126" s="12" t="n">
        <v>6.54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20261101_2315</t>
        </is>
      </c>
      <c r="B127" s="13" t="n">
        <v>46327</v>
      </c>
      <c r="C127" s="14" t="n">
        <v>0.96875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48</v>
      </c>
      <c r="K127" s="16" t="n">
        <v>0</v>
      </c>
      <c r="L127" s="16" t="n">
        <v>43.64</v>
      </c>
      <c r="M127" s="16" t="n">
        <v>4.36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20261101_2359</t>
        </is>
      </c>
      <c r="B128" s="9" t="n">
        <v>46327</v>
      </c>
      <c r="C128" s="10" t="n">
        <v>0.9993055555555556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60</v>
      </c>
      <c r="K128" s="12" t="n">
        <v>0</v>
      </c>
      <c r="L128" s="12" t="n">
        <v>54.55</v>
      </c>
      <c r="M128" s="12" t="n">
        <v>5.45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20261101_2359</t>
        </is>
      </c>
      <c r="B129" s="13" t="n">
        <v>46327</v>
      </c>
      <c r="C129" s="14" t="n">
        <v>0.9993055555555556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24</v>
      </c>
      <c r="K129" s="16" t="n">
        <v>0</v>
      </c>
      <c r="L129" s="16" t="n">
        <v>21.82</v>
      </c>
      <c r="M129" s="16" t="n">
        <v>2.18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20261102_2015</t>
        </is>
      </c>
      <c r="B130" s="9" t="n">
        <v>46328</v>
      </c>
      <c r="C130" s="10" t="n">
        <v>0.84375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30</v>
      </c>
      <c r="K130" s="12" t="n">
        <v>0</v>
      </c>
      <c r="L130" s="12" t="n">
        <v>27.28</v>
      </c>
      <c r="M130" s="12" t="n">
        <v>2.72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20261102_2215</t>
        </is>
      </c>
      <c r="B131" s="13" t="n">
        <v>46328</v>
      </c>
      <c r="C131" s="14" t="n">
        <v>0.9270833333333334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90</v>
      </c>
      <c r="K131" s="16" t="n">
        <v>0</v>
      </c>
      <c r="L131" s="16" t="n">
        <v>81.84</v>
      </c>
      <c r="M131" s="16" t="n">
        <v>8.16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6</v>
      </c>
      <c r="R131" s="15">
        <f>IFERROR(INDEX(Tariffe!$E$2:$E$200,MATCH(E131,Tariffe!$A$2:$A$200,0))*1,1)</f>
        <v/>
      </c>
    </row>
    <row r="132">
      <c r="A132" s="22" t="inlineStr">
        <is>
          <t>20261102_2315</t>
        </is>
      </c>
      <c r="B132" s="9" t="n">
        <v>46328</v>
      </c>
      <c r="C132" s="10" t="n">
        <v>0.96875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45</v>
      </c>
      <c r="K132" s="12" t="n">
        <v>0</v>
      </c>
      <c r="L132" s="12" t="n">
        <v>40.92</v>
      </c>
      <c r="M132" s="12" t="n">
        <v>4.08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3</v>
      </c>
      <c r="R132" s="11">
        <f>IFERROR(INDEX(Tariffe!$E$2:$E$200,MATCH(E132,Tariffe!$A$2:$A$200,0))*1,1)</f>
        <v/>
      </c>
    </row>
    <row r="133">
      <c r="A133" s="23" t="inlineStr">
        <is>
          <t>20261102_2359</t>
        </is>
      </c>
      <c r="B133" s="13" t="n">
        <v>46328</v>
      </c>
      <c r="C133" s="14" t="n">
        <v>0.9993055555555556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15</v>
      </c>
      <c r="K133" s="16" t="n">
        <v>0</v>
      </c>
      <c r="L133" s="16" t="n">
        <v>13.64</v>
      </c>
      <c r="M133" s="16" t="n">
        <v>1.36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</v>
      </c>
      <c r="R133" s="15">
        <f>IFERROR(INDEX(Tariffe!$E$2:$E$200,MATCH(E133,Tariffe!$A$2:$A$200,0))*1,1)</f>
        <v/>
      </c>
    </row>
  </sheetData>
  <autoFilter ref="A1:R13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</sheetData>
  <autoFilter ref="A1:G72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</sheetData>
  <autoFilter ref="A1:K105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35</v>
      </c>
      <c r="H4" s="11" t="n">
        <v>122</v>
      </c>
      <c r="I4" s="12" t="n">
        <v>1464</v>
      </c>
      <c r="K4" s="38" t="inlineStr">
        <is>
          <t>Lunedì</t>
        </is>
      </c>
      <c r="L4" s="11" t="n">
        <v>165</v>
      </c>
      <c r="M4" s="11" t="n">
        <v>496</v>
      </c>
      <c r="N4" s="12" t="n">
        <v>5952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23</v>
      </c>
      <c r="H5" s="11" t="n">
        <v>69</v>
      </c>
      <c r="I5" s="12" t="n">
        <v>828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A25" s="9" t="n">
        <v>46321</v>
      </c>
      <c r="B25" s="11" t="n">
        <v>38</v>
      </c>
      <c r="C25" s="11" t="n">
        <v>123</v>
      </c>
      <c r="D25" s="12" t="n">
        <v>1476</v>
      </c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135</v>
      </c>
      <c r="H26" s="11" t="n">
        <v>413</v>
      </c>
      <c r="I26" s="12" t="n">
        <v>4968</v>
      </c>
    </row>
    <row r="27">
      <c r="F27" s="38" t="inlineStr">
        <is>
          <t>23:00-00:00</t>
        </is>
      </c>
      <c r="G27" s="11" t="n">
        <v>53</v>
      </c>
      <c r="H27" s="11" t="n">
        <v>185</v>
      </c>
      <c r="I27" s="12" t="n">
        <v>2229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2026-10-26T10:51:03Z</dcterms:created>
  <dcterms:modified xsi:type="dcterms:W3CDTF">2026-10-26T10:51:04Z</dcterms:modified>
</cp:coreProperties>
</file>