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'Storico'!$A$1:$G$840</definedName>
    <definedName name="_xlnm._FilterDatabase" localSheetId="8" hidden="1">'Registro vendite'!$A$1:$K$1516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'Storico'!$H$2:$H$840</f>
            </numRef>
          </cat>
          <val>
            <numRef>
              <f>'Storico'!$C$2:$C$840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MAX(Storico!A2:A840)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480</v>
      </c>
      <c r="K62" s="12" t="n">
        <v>0</v>
      </c>
      <c r="L62" s="12" t="n">
        <v>436.4</v>
      </c>
      <c r="M62" s="12" t="n">
        <v>43.6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10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456</v>
      </c>
      <c r="K65" s="16" t="n">
        <v>0</v>
      </c>
      <c r="L65" s="16" t="n">
        <v>414.58</v>
      </c>
      <c r="M65" s="16" t="n">
        <v>41.42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672</v>
      </c>
      <c r="K78" s="12" t="n">
        <v>0</v>
      </c>
      <c r="L78" s="12" t="n">
        <v>610.96</v>
      </c>
      <c r="M78" s="12" t="n">
        <v>61.04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252</v>
      </c>
      <c r="K79" s="16" t="n">
        <v>0</v>
      </c>
      <c r="L79" s="16" t="n">
        <v>229.11</v>
      </c>
      <c r="M79" s="16" t="n">
        <v>22.89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780</v>
      </c>
      <c r="K80" s="12" t="n">
        <v>0</v>
      </c>
      <c r="L80" s="12" t="n">
        <v>709.15</v>
      </c>
      <c r="M80" s="12" t="n">
        <v>70.84999999999999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13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456</v>
      </c>
      <c r="K81" s="16" t="n">
        <v>0</v>
      </c>
      <c r="L81" s="16" t="n">
        <v>414.58</v>
      </c>
      <c r="M81" s="16" t="n">
        <v>41.42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19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15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912</v>
      </c>
      <c r="K86" s="12" t="n">
        <v>0</v>
      </c>
      <c r="L86" s="12" t="n">
        <v>829.16</v>
      </c>
      <c r="M86" s="12" t="n">
        <v>82.84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19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540</v>
      </c>
      <c r="K88" s="12" t="n">
        <v>0</v>
      </c>
      <c r="L88" s="12" t="n">
        <v>490.95</v>
      </c>
      <c r="M88" s="12" t="n">
        <v>49.05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9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600</v>
      </c>
      <c r="K89" s="16" t="n">
        <v>0</v>
      </c>
      <c r="L89" s="16" t="n">
        <v>545.5</v>
      </c>
      <c r="M89" s="16" t="n">
        <v>54.5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25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1056</v>
      </c>
      <c r="K98" s="12" t="n">
        <v>0</v>
      </c>
      <c r="L98" s="12" t="n">
        <v>960.08</v>
      </c>
      <c r="M98" s="12" t="n">
        <v>95.92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22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840</v>
      </c>
      <c r="K100" s="12" t="n">
        <v>0</v>
      </c>
      <c r="L100" s="12" t="n">
        <v>763.7</v>
      </c>
      <c r="M100" s="12" t="n">
        <v>76.3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14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528</v>
      </c>
      <c r="K102" s="12" t="n">
        <v>0</v>
      </c>
      <c r="L102" s="12" t="n">
        <v>480.04</v>
      </c>
      <c r="M102" s="12" t="n">
        <v>47.96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11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240</v>
      </c>
      <c r="K104" s="12" t="n">
        <v>0</v>
      </c>
      <c r="L104" s="12" t="n">
        <v>218.2</v>
      </c>
      <c r="M104" s="12" t="n">
        <v>21.8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4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360</v>
      </c>
      <c r="K105" s="16" t="n">
        <v>0</v>
      </c>
      <c r="L105" s="16" t="n">
        <v>327.3</v>
      </c>
      <c r="M105" s="16" t="n">
        <v>32.7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15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72</v>
      </c>
      <c r="K131" s="16" t="n">
        <v>0</v>
      </c>
      <c r="L131" s="16" t="n">
        <v>65.45999999999999</v>
      </c>
      <c r="M131" s="16" t="n">
        <v>6.54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144</v>
      </c>
      <c r="K133" s="16" t="n">
        <v>0</v>
      </c>
      <c r="L133" s="16" t="n">
        <v>130.92</v>
      </c>
      <c r="M133" s="16" t="n">
        <v>13.08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672</v>
      </c>
      <c r="K134" s="12" t="n">
        <v>0</v>
      </c>
      <c r="L134" s="12" t="n">
        <v>610.96</v>
      </c>
      <c r="M134" s="12" t="n">
        <v>61.04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4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300</v>
      </c>
      <c r="K136" s="12" t="n">
        <v>0</v>
      </c>
      <c r="L136" s="12" t="n">
        <v>272.75</v>
      </c>
      <c r="M136" s="12" t="n">
        <v>27.25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5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384</v>
      </c>
      <c r="K137" s="16" t="n">
        <v>0</v>
      </c>
      <c r="L137" s="16" t="n">
        <v>349.12</v>
      </c>
      <c r="M137" s="16" t="n">
        <v>34.88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16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1344</v>
      </c>
      <c r="K138" s="12" t="n">
        <v>0</v>
      </c>
      <c r="L138" s="12" t="n">
        <v>1221.92</v>
      </c>
      <c r="M138" s="12" t="n">
        <v>122.08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28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180</v>
      </c>
      <c r="K140" s="12" t="n">
        <v>0</v>
      </c>
      <c r="L140" s="12" t="n">
        <v>163.65</v>
      </c>
      <c r="M140" s="12" t="n">
        <v>16.35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3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576</v>
      </c>
      <c r="K141" s="16" t="n">
        <v>0</v>
      </c>
      <c r="L141" s="16" t="n">
        <v>523.6799999999999</v>
      </c>
      <c r="M141" s="16" t="n">
        <v>52.32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24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336</v>
      </c>
      <c r="K142" s="12" t="n">
        <v>0</v>
      </c>
      <c r="L142" s="12" t="n">
        <v>305.48</v>
      </c>
      <c r="M142" s="12" t="n">
        <v>30.52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180</v>
      </c>
      <c r="K143" s="16" t="n">
        <v>0</v>
      </c>
      <c r="L143" s="16" t="n">
        <v>163.65</v>
      </c>
      <c r="M143" s="16" t="n">
        <v>16.35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300</v>
      </c>
      <c r="K144" s="12" t="n">
        <v>0</v>
      </c>
      <c r="L144" s="12" t="n">
        <v>272.75</v>
      </c>
      <c r="M144" s="12" t="n">
        <v>27.25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120</v>
      </c>
      <c r="K145" s="16" t="n">
        <v>0</v>
      </c>
      <c r="L145" s="16" t="n">
        <v>109.1</v>
      </c>
      <c r="M145" s="16" t="n">
        <v>10.9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5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192</v>
      </c>
      <c r="K146" s="12" t="n">
        <v>0</v>
      </c>
      <c r="L146" s="12" t="n">
        <v>174.56</v>
      </c>
      <c r="M146" s="12" t="n">
        <v>17.44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4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I5 60€</t>
        </is>
      </c>
      <c r="F147" s="23">
        <f>IFERROR(INDEX(Tariffe!$B$2:$B$200,MATCH(E147,Tariffe!$A$2:$A$200,0)),"DA DEFINIRE")</f>
        <v/>
      </c>
      <c r="G147" s="16" t="n">
        <v>60</v>
      </c>
      <c r="H147" s="15">
        <f>Q147*R147</f>
        <v/>
      </c>
      <c r="I147" s="15" t="n">
        <v>0</v>
      </c>
      <c r="J147" s="16" t="n">
        <v>60</v>
      </c>
      <c r="K147" s="16" t="n">
        <v>0</v>
      </c>
      <c r="L147" s="16" t="n">
        <v>54.55</v>
      </c>
      <c r="M147" s="16" t="n">
        <v>5.45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I8 24€</t>
        </is>
      </c>
      <c r="F148" s="22">
        <f>IFERROR(INDEX(Tariffe!$B$2:$B$200,MATCH(E148,Tariffe!$A$2:$A$200,0)),"DA DEFINIRE")</f>
        <v/>
      </c>
      <c r="G148" s="12" t="n">
        <v>24</v>
      </c>
      <c r="H148" s="11">
        <f>Q148*R148</f>
        <v/>
      </c>
      <c r="I148" s="11" t="n">
        <v>0</v>
      </c>
      <c r="J148" s="12" t="n">
        <v>96</v>
      </c>
      <c r="K148" s="12" t="n">
        <v>0</v>
      </c>
      <c r="L148" s="12" t="n">
        <v>87.28</v>
      </c>
      <c r="M148" s="12" t="n">
        <v>8.720000000000001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4</v>
      </c>
      <c r="R148" s="11">
        <f>IFERROR(INDEX(Tariffe!$E$2:$E$200,MATCH(E148,Tariffe!$A$2:$A$200,0))*1,1)</f>
        <v/>
      </c>
    </row>
    <row r="149">
      <c r="A149" s="23" t="inlineStr">
        <is>
          <t>20261102_2015</t>
        </is>
      </c>
      <c r="B149" s="13" t="n">
        <v>46328</v>
      </c>
      <c r="C149" s="14" t="n">
        <v>0.84375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30</v>
      </c>
      <c r="K149" s="16" t="n">
        <v>0</v>
      </c>
      <c r="L149" s="16" t="n">
        <v>27.28</v>
      </c>
      <c r="M149" s="16" t="n">
        <v>2.72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</v>
      </c>
      <c r="R149" s="15">
        <f>IFERROR(INDEX(Tariffe!$E$2:$E$200,MATCH(E149,Tariffe!$A$2:$A$200,0))*1,1)</f>
        <v/>
      </c>
    </row>
    <row r="150">
      <c r="A150" s="22" t="inlineStr">
        <is>
          <t>20261102_2215</t>
        </is>
      </c>
      <c r="B150" s="9" t="n">
        <v>46328</v>
      </c>
      <c r="C150" s="10" t="n">
        <v>0.9270833333333334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90</v>
      </c>
      <c r="K150" s="12" t="n">
        <v>0</v>
      </c>
      <c r="L150" s="12" t="n">
        <v>81.84</v>
      </c>
      <c r="M150" s="12" t="n">
        <v>8.16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6</v>
      </c>
      <c r="R150" s="11">
        <f>IFERROR(INDEX(Tariffe!$E$2:$E$200,MATCH(E150,Tariffe!$A$2:$A$200,0))*1,1)</f>
        <v/>
      </c>
    </row>
    <row r="151">
      <c r="A151" s="23" t="inlineStr">
        <is>
          <t>20261102_2315</t>
        </is>
      </c>
      <c r="B151" s="13" t="n">
        <v>46328</v>
      </c>
      <c r="C151" s="14" t="n">
        <v>0.96875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45</v>
      </c>
      <c r="K151" s="16" t="n">
        <v>0</v>
      </c>
      <c r="L151" s="16" t="n">
        <v>40.92</v>
      </c>
      <c r="M151" s="16" t="n">
        <v>4.08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20261102_2359</t>
        </is>
      </c>
      <c r="B152" s="9" t="n">
        <v>46328</v>
      </c>
      <c r="C152" s="10" t="n">
        <v>0.9993055555555556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15</v>
      </c>
      <c r="K152" s="12" t="n">
        <v>0</v>
      </c>
      <c r="L152" s="12" t="n">
        <v>13.64</v>
      </c>
      <c r="M152" s="12" t="n">
        <v>1.36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</sheetData>
  <autoFilter ref="A1:G84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</sheetData>
  <autoFilter ref="A1:K15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138</v>
      </c>
      <c r="M7" s="11" t="n">
        <v>433</v>
      </c>
      <c r="N7" s="12" t="n">
        <v>5196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38</v>
      </c>
      <c r="C28" s="11" t="n">
        <v>128</v>
      </c>
      <c r="D28" s="12" t="n">
        <v>1536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2026-10-29T09:44:45Z</dcterms:created>
  <dcterms:modified xsi:type="dcterms:W3CDTF">2026-10-29T09:44:46Z</dcterms:modified>
</cp:coreProperties>
</file>