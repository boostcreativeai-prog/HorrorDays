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'Tariffe'!$A$1:$E$5</definedName>
    <definedName name="_xlnm._FilterDatabase" localSheetId="2" hidden="1">'Tipologie'!$A$1:$G$5</definedName>
    <definedName name="_xlnm._FilterDatabase" localSheetId="3" hidden="1">'Spettacoli'!$A$1:$R$43</definedName>
    <definedName name="_xlnm._FilterDatabase" localSheetId="4" hidden="1">'Vendite'!$A$1:$R$152</definedName>
    <definedName name="_xlnm._FilterDatabase" localSheetId="5" hidden="1">'Per tariffa'!$A$1:$G$5</definedName>
    <definedName name="_xlnm._FilterDatabase" localSheetId="6" hidden="1">'Per serata'!$A$1:$U$9</definedName>
    <definedName name="_xlnm._FilterDatabase" localSheetId="7" hidden="1">'Storico'!$A$1:$G$900</definedName>
    <definedName name="_xlnm._FilterDatabase" localSheetId="8" hidden="1">'Registro vendite'!$A$1:$K$1693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serata'!R1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serata'!$R$2:$R$9</f>
            </numRef>
          </val>
        </ser>
        <ser>
          <idx val="1"/>
          <order val="1"/>
          <tx>
            <strRef>
              <f>'Per serata'!S1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serata'!$S$2:$S$9</f>
            </numRef>
          </val>
        </ser>
        <ser>
          <idx val="2"/>
          <order val="2"/>
          <tx>
            <strRef>
              <f>'Per serata'!T1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serata'!$T$2:$T$9</f>
            </numRef>
          </val>
        </ser>
        <ser>
          <idx val="3"/>
          <order val="3"/>
          <tx>
            <strRef>
              <f>'Per serata'!U1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serata'!$V$2:$V$9</f>
            </numRef>
          </cat>
          <val>
            <numRef>
              <f>'Per serata'!$U$2:$U$9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'Storico'!$H$2:$H$900</f>
            </numRef>
          </cat>
          <val>
            <numRef>
              <f>'Storico'!$C$2:$C$900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vendite'!$A$4:$A$29</f>
            </numRef>
          </cat>
          <val>
            <numRef>
              <f>'Picchi vendite'!$B$4:$B$29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(online 02/11: 12 € a persona, nessuna auto; botteghino escluso)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INDEX(Spettacoli!$B$2:$B$43,MATCH(LARGE(Spettacoli!$R$2:$R$43,1),Spettacoli!$R$2:$R$43,0))</f>
        <v/>
      </c>
      <c r="L6" s="10">
        <f>INDEX(Spettacoli!$D$2:$D$43,MATCH(LARGE(Spettacoli!$R$2:$R$43,1),Spettacoli!$R$2:$R$43,0))</f>
        <v/>
      </c>
      <c r="M6" s="11">
        <f>INDEX(Spettacoli!$F$2:$F$43,MATCH(LARGE(Spettacoli!$R$2:$R$43,1),Spettacoli!$R$2:$R$43,0))</f>
        <v/>
      </c>
      <c r="N6" s="11">
        <f>INDEX(Spettacoli!$G$2:$G$43,MATCH(LARGE(Spettacoli!$R$2:$R$43,1),Spettacoli!$R$2:$R$43,0))</f>
        <v/>
      </c>
      <c r="O6" s="12">
        <f>INDEX(Spettacoli!$M$2:$M$43,MATCH(LARGE(Spettacoli!$R$2:$R$43,1),Spettacoli!$R$2:$R$43,0))</f>
        <v/>
      </c>
    </row>
    <row r="7">
      <c r="K7" s="13">
        <f>INDEX(Spettacoli!$B$2:$B$43,MATCH(LARGE(Spettacoli!$R$2:$R$43,2),Spettacoli!$R$2:$R$43,0))</f>
        <v/>
      </c>
      <c r="L7" s="14">
        <f>INDEX(Spettacoli!$D$2:$D$43,MATCH(LARGE(Spettacoli!$R$2:$R$43,2),Spettacoli!$R$2:$R$43,0))</f>
        <v/>
      </c>
      <c r="M7" s="15">
        <f>INDEX(Spettacoli!$F$2:$F$43,MATCH(LARGE(Spettacoli!$R$2:$R$43,2),Spettacoli!$R$2:$R$43,0))</f>
        <v/>
      </c>
      <c r="N7" s="15">
        <f>INDEX(Spettacoli!$G$2:$G$43,MATCH(LARGE(Spettacoli!$R$2:$R$43,2),Spettacoli!$R$2:$R$43,0))</f>
        <v/>
      </c>
      <c r="O7" s="16">
        <f>INDEX(Spettacoli!$M$2:$M$43,MATCH(LARGE(Spettacoli!$R$2:$R$43,2),Spettacoli!$R$2:$R$43,0))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INDEX(Spettacoli!$B$2:$B$43,MATCH(LARGE(Spettacoli!$R$2:$R$43,3),Spettacoli!$R$2:$R$43,0))</f>
        <v/>
      </c>
      <c r="L8" s="10">
        <f>INDEX(Spettacoli!$D$2:$D$43,MATCH(LARGE(Spettacoli!$R$2:$R$43,3),Spettacoli!$R$2:$R$43,0))</f>
        <v/>
      </c>
      <c r="M8" s="11">
        <f>INDEX(Spettacoli!$F$2:$F$43,MATCH(LARGE(Spettacoli!$R$2:$R$43,3),Spettacoli!$R$2:$R$43,0))</f>
        <v/>
      </c>
      <c r="N8" s="11">
        <f>INDEX(Spettacoli!$G$2:$G$43,MATCH(LARGE(Spettacoli!$R$2:$R$43,3),Spettacoli!$R$2:$R$43,0))</f>
        <v/>
      </c>
      <c r="O8" s="12">
        <f>INDEX(Spettacoli!$M$2:$M$43,MATCH(LARGE(Spettacoli!$R$2:$R$43,3),Spettacoli!$R$2:$R$43,0))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IF(SUM(Spettacoli!E2:E43)&gt;0,SUM(Spettacoli!F2:F43)/SUM(Spettacoli!E2:E43),0)</f>
        <v/>
      </c>
      <c r="F9" s="5" t="n"/>
      <c r="H9" s="19">
        <f>COUNTIF(Spettacoli!$Q$2:$Q$43,"Venduto")&amp;" / "&amp;COUNTA(Spettacoli!A2:A43)</f>
        <v/>
      </c>
      <c r="I9" s="5" t="n"/>
      <c r="K9" s="13">
        <f>INDEX(Spettacoli!$B$2:$B$43,MATCH(LARGE(Spettacoli!$R$2:$R$43,4),Spettacoli!$R$2:$R$43,0))</f>
        <v/>
      </c>
      <c r="L9" s="14">
        <f>INDEX(Spettacoli!$D$2:$D$43,MATCH(LARGE(Spettacoli!$R$2:$R$43,4),Spettacoli!$R$2:$R$43,0))</f>
        <v/>
      </c>
      <c r="M9" s="15">
        <f>INDEX(Spettacoli!$F$2:$F$43,MATCH(LARGE(Spettacoli!$R$2:$R$43,4),Spettacoli!$R$2:$R$43,0))</f>
        <v/>
      </c>
      <c r="N9" s="15">
        <f>INDEX(Spettacoli!$G$2:$G$43,MATCH(LARGE(Spettacoli!$R$2:$R$43,4),Spettacoli!$R$2:$R$43,0))</f>
        <v/>
      </c>
      <c r="O9" s="16">
        <f>INDEX(Spettacoli!$M$2:$M$43,MATCH(LARGE(Spettacoli!$R$2:$R$43,4),Spettacoli!$R$2:$R$43,0))</f>
        <v/>
      </c>
    </row>
    <row r="10">
      <c r="K10" s="9">
        <f>INDEX(Spettacoli!$B$2:$B$43,MATCH(LARGE(Spettacoli!$R$2:$R$43,5),Spettacoli!$R$2:$R$43,0))</f>
        <v/>
      </c>
      <c r="L10" s="10">
        <f>INDEX(Spettacoli!$D$2:$D$43,MATCH(LARGE(Spettacoli!$R$2:$R$43,5),Spettacoli!$R$2:$R$43,0))</f>
        <v/>
      </c>
      <c r="M10" s="11">
        <f>INDEX(Spettacoli!$F$2:$F$43,MATCH(LARGE(Spettacoli!$R$2:$R$43,5),Spettacoli!$R$2:$R$43,0))</f>
        <v/>
      </c>
      <c r="N10" s="11">
        <f>INDEX(Spettacoli!$G$2:$G$43,MATCH(LARGE(Spettacoli!$R$2:$R$43,5),Spettacoli!$R$2:$R$43,0))</f>
        <v/>
      </c>
      <c r="O10" s="12">
        <f>INDEX(Spettacoli!$M$2:$M$43,MATCH(LARGE(Spettacoli!$R$2:$R$43,5),Spettacoli!$R$2:$R$43,0))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MAX(Storico!A2:A900)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</sheetData>
  <autoFilter ref="A1:E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SUMIFS(Vendite!$H$2:$H$1000,Vendite!$O$2:$O$1000,C2)</f>
        <v/>
      </c>
      <c r="E2" s="11">
        <f>SUMIFS(Vendite!$P$2:$P$1000,Vendite!$O$2:$O$1000,C2)</f>
        <v/>
      </c>
      <c r="F2" s="12">
        <f>SUMIFS(Vendite!$J$2:$J$1000,Vendite!$O$2:$O$1000,C2)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SUMIFS(Vendite!$H$2:$H$1000,Vendite!$O$2:$O$1000,C3)</f>
        <v/>
      </c>
      <c r="E3" s="15">
        <f>SUMIFS(Vendite!$P$2:$P$1000,Vendite!$O$2:$O$1000,C3)</f>
        <v/>
      </c>
      <c r="F3" s="16">
        <f>SUMIFS(Vendite!$J$2:$J$1000,Vendite!$O$2:$O$1000,C3)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SUMIFS(Vendite!$H$2:$H$1000,Vendite!$O$2:$O$1000,C4)</f>
        <v/>
      </c>
      <c r="E4" s="11">
        <f>SUMIFS(Vendite!$P$2:$P$1000,Vendite!$O$2:$O$1000,C4)</f>
        <v/>
      </c>
      <c r="F4" s="12">
        <f>SUMIFS(Vendite!$J$2:$J$1000,Vendite!$O$2:$O$1000,C4)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SUMIFS(Vendite!$H$2:$H$1000,Vendite!$O$2:$O$1000,C5)</f>
        <v/>
      </c>
      <c r="E5" s="15">
        <f>SUMIFS(Vendite!$P$2:$P$1000,Vendite!$O$2:$O$1000,C5)</f>
        <v/>
      </c>
      <c r="F5" s="16">
        <f>SUMIFS(Vendite!$J$2:$J$1000,Vendite!$O$2:$O$1000,C5)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IF(F2&gt;0,"Venduto",IF(M2&gt;0,"Solo online","Zero vendite"))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IF(F3&gt;0,"Venduto",IF(M3&gt;0,"Solo online","Zero vendite"))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IF(F4&gt;0,"Venduto",IF(M4&gt;0,"Solo online","Zero vendite"))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IF(F5&gt;0,"Venduto",IF(M5&gt;0,"Solo online","Zero vendite"))</f>
        <v/>
      </c>
      <c r="R5" s="23">
        <f>F5+M5/100000+(1000-ROW())/100000000</f>
        <v/>
      </c>
    </row>
    <row r="6">
      <c r="A6" s="22" t="inlineStr">
        <is>
          <t>20261023_2359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0.9993055555555556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IF(F6&gt;0,"Venduto",IF(M6&gt;0,"Solo online","Zero vendite"))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IF(F7&gt;0,"Venduto",IF(M7&gt;0,"Solo online","Zero vendite"))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IF(F8&gt;0,"Venduto",IF(M8&gt;0,"Solo online","Zero vendite"))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IF(F9&gt;0,"Venduto",IF(M9&gt;0,"Solo online","Zero vendite"))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IF(F10&gt;0,"Venduto",IF(M10&gt;0,"Solo online","Zero vendite"))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IF(F11&gt;0,"Venduto",IF(M11&gt;0,"Solo online","Zero vendite"))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IF(F12&gt;0,"Venduto",IF(M12&gt;0,"Solo online","Zero vendite"))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IF(F13&gt;0,"Venduto",IF(M13&gt;0,"Solo online","Zero vendite"))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IF(F14&gt;0,"Venduto",IF(M14&gt;0,"Solo online","Zero vendite"))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IF(F15&gt;0,"Venduto",IF(M15&gt;0,"Solo online","Zero vendite"))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IF(F16&gt;0,"Venduto",IF(M16&gt;0,"Solo online","Zero vendite"))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IF(F17&gt;0,"Venduto",IF(M17&gt;0,"Solo online","Zero vendite"))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IF(F18&gt;0,"Venduto",IF(M18&gt;0,"Solo online","Zero vendite"))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IF(F19&gt;0,"Venduto",IF(M19&gt;0,"Solo online","Zero vendite"))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IF(F20&gt;0,"Venduto",IF(M20&gt;0,"Solo online","Zero vendite"))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IF(F21&gt;0,"Venduto",IF(M21&gt;0,"Solo online","Zero vendite"))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IF(F22&gt;0,"Venduto",IF(M22&gt;0,"Solo online","Zero vendite"))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IF(F23&gt;0,"Venduto",IF(M23&gt;0,"Solo online","Zero vendite"))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IF(F24&gt;0,"Venduto",IF(M24&gt;0,"Solo online","Zero vendite"))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IF(F25&gt;0,"Venduto",IF(M25&gt;0,"Solo online","Zero vendite"))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IF(F26&gt;0,"Venduto",IF(M26&gt;0,"Solo online","Zero vendite"))</f>
        <v/>
      </c>
      <c r="R26" s="22">
        <f>F26+M26/100000+(1000-ROW())/100000000</f>
        <v/>
      </c>
    </row>
    <row r="27">
      <c r="A27" s="23" t="inlineStr">
        <is>
          <t>20261031_1915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0.8020833333333334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IF(F27&gt;0,"Venduto",IF(M27&gt;0,"Solo online","Zero vendite"))</f>
        <v/>
      </c>
      <c r="R27" s="23">
        <f>F27+M27/100000+(1000-ROW())/100000000</f>
        <v/>
      </c>
    </row>
    <row r="28">
      <c r="A28" s="22" t="inlineStr">
        <is>
          <t>20261031_2015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0.84375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IF(F28&gt;0,"Venduto",IF(M28&gt;0,"Solo online","Zero vendite"))</f>
        <v/>
      </c>
      <c r="R28" s="22">
        <f>F28+M28/100000+(1000-ROW())/100000000</f>
        <v/>
      </c>
    </row>
    <row r="29">
      <c r="A29" s="23" t="inlineStr">
        <is>
          <t>20261031_2115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0.8854166666666666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IF(F29&gt;0,"Venduto",IF(M29&gt;0,"Solo online","Zero vendite"))</f>
        <v/>
      </c>
      <c r="R29" s="23">
        <f>F29+M29/100000+(1000-ROW())/100000000</f>
        <v/>
      </c>
    </row>
    <row r="30">
      <c r="A30" s="22" t="inlineStr">
        <is>
          <t>20261031_2215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0.9270833333333334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IF(F30&gt;0,"Venduto",IF(M30&gt;0,"Solo online","Zero vendite"))</f>
        <v/>
      </c>
      <c r="R30" s="22">
        <f>F30+M30/100000+(1000-ROW())/100000000</f>
        <v/>
      </c>
    </row>
    <row r="31">
      <c r="A31" s="23" t="inlineStr">
        <is>
          <t>20261031_2315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0.96875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IF(F31&gt;0,"Venduto",IF(M31&gt;0,"Solo online","Zero vendite"))</f>
        <v/>
      </c>
      <c r="R31" s="23">
        <f>F31+M31/100000+(1000-ROW())/100000000</f>
        <v/>
      </c>
    </row>
    <row r="32">
      <c r="A32" s="22" t="inlineStr">
        <is>
          <t>20261031_2359</t>
        </is>
      </c>
      <c r="B32" s="9" t="n">
        <v>46326</v>
      </c>
      <c r="C32" s="22">
        <f>CHOOSE(WEEKDAY(B32,2),"Lunedì","Martedì","Mercoledì","Giovedì","Venerdì","Sabato","Domenica")</f>
        <v/>
      </c>
      <c r="D32" s="10" t="n">
        <v>0.9993055555555556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IF(F32&gt;0,"Venduto",IF(M32&gt;0,"Solo online","Zero vendite"))</f>
        <v/>
      </c>
      <c r="R32" s="22">
        <f>F32+M32/100000+(1000-ROW())/100000000</f>
        <v/>
      </c>
    </row>
    <row r="33">
      <c r="A33" s="23" t="inlineStr">
        <is>
          <t>20261101_1915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0.8020833333333334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IF(F33&gt;0,"Venduto",IF(M33&gt;0,"Solo online","Zero vendite"))</f>
        <v/>
      </c>
      <c r="R33" s="23">
        <f>F33+M33/100000+(1000-ROW())/100000000</f>
        <v/>
      </c>
    </row>
    <row r="34">
      <c r="A34" s="22" t="inlineStr">
        <is>
          <t>20261101_2015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0.84375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IF(F34&gt;0,"Venduto",IF(M34&gt;0,"Solo online","Zero vendite"))</f>
        <v/>
      </c>
      <c r="R34" s="22">
        <f>F34+M34/100000+(1000-ROW())/100000000</f>
        <v/>
      </c>
    </row>
    <row r="35">
      <c r="A35" s="23" t="inlineStr">
        <is>
          <t>20261101_2115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0.8854166666666666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IF(F35&gt;0,"Venduto",IF(M35&gt;0,"Solo online","Zero vendite"))</f>
        <v/>
      </c>
      <c r="R35" s="23">
        <f>F35+M35/100000+(1000-ROW())/100000000</f>
        <v/>
      </c>
    </row>
    <row r="36">
      <c r="A36" s="22" t="inlineStr">
        <is>
          <t>20261101_2215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0.9270833333333334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IF(F36&gt;0,"Venduto",IF(M36&gt;0,"Solo online","Zero vendite"))</f>
        <v/>
      </c>
      <c r="R36" s="22">
        <f>F36+M36/100000+(1000-ROW())/100000000</f>
        <v/>
      </c>
    </row>
    <row r="37">
      <c r="A37" s="23" t="inlineStr">
        <is>
          <t>20261101_2315</t>
        </is>
      </c>
      <c r="B37" s="13" t="n">
        <v>46327</v>
      </c>
      <c r="C37" s="23">
        <f>CHOOSE(WEEKDAY(B37,2),"Lunedì","Martedì","Mercoledì","Giovedì","Venerdì","Sabato","Domenica")</f>
        <v/>
      </c>
      <c r="D37" s="14" t="n">
        <v>0.96875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IF(F37&gt;0,"Venduto",IF(M37&gt;0,"Solo online","Zero vendite"))</f>
        <v/>
      </c>
      <c r="R37" s="23">
        <f>F37+M37/100000+(1000-ROW())/100000000</f>
        <v/>
      </c>
    </row>
    <row r="38">
      <c r="A38" s="22" t="inlineStr">
        <is>
          <t>20261101_2359</t>
        </is>
      </c>
      <c r="B38" s="9" t="n">
        <v>46327</v>
      </c>
      <c r="C38" s="22">
        <f>CHOOSE(WEEKDAY(B38,2),"Lunedì","Martedì","Mercoledì","Giovedì","Venerdì","Sabato","Domenica")</f>
        <v/>
      </c>
      <c r="D38" s="10" t="n">
        <v>0.9993055555555556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IF(F38&gt;0,"Venduto",IF(M38&gt;0,"Solo online","Zero vendite"))</f>
        <v/>
      </c>
      <c r="R38" s="22">
        <f>F38+M38/100000+(1000-ROW())/100000000</f>
        <v/>
      </c>
    </row>
    <row r="39">
      <c r="A39" s="23" t="inlineStr">
        <is>
          <t>20261102_2015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0.84375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IF(F39&gt;0,"Venduto",IF(M39&gt;0,"Solo online","Zero vendite"))</f>
        <v/>
      </c>
      <c r="R39" s="23">
        <f>F39+M39/100000+(1000-ROW())/100000000</f>
        <v/>
      </c>
    </row>
    <row r="40">
      <c r="A40" s="22" t="inlineStr">
        <is>
          <t>20261102_2115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0.8854166666666666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IF(F40&gt;0,"Venduto",IF(M40&gt;0,"Solo online","Zero vendite"))</f>
        <v/>
      </c>
      <c r="R40" s="22">
        <f>F40+M40/100000+(1000-ROW())/100000000</f>
        <v/>
      </c>
    </row>
    <row r="41">
      <c r="A41" s="23" t="inlineStr">
        <is>
          <t>20261102_2215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0.9270833333333334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IF(F41&gt;0,"Venduto",IF(M41&gt;0,"Solo online","Zero vendite"))</f>
        <v/>
      </c>
      <c r="R41" s="23">
        <f>F41+M41/100000+(1000-ROW())/100000000</f>
        <v/>
      </c>
    </row>
    <row r="42">
      <c r="A42" s="22" t="inlineStr">
        <is>
          <t>20261102_2315</t>
        </is>
      </c>
      <c r="B42" s="9" t="n">
        <v>46328</v>
      </c>
      <c r="C42" s="22">
        <f>CHOOSE(WEEKDAY(B42,2),"Lunedì","Martedì","Mercoledì","Giovedì","Venerdì","Sabato","Domenica")</f>
        <v/>
      </c>
      <c r="D42" s="10" t="n">
        <v>0.96875</v>
      </c>
      <c r="E42" s="11" t="n">
        <v>80</v>
      </c>
      <c r="F42" s="11">
        <f>SUMIF(Vendite!$A$2:$A$1000,A42,Vendite!$H$2:$H$1000)</f>
        <v/>
      </c>
      <c r="G42" s="11">
        <f>SUMIF(Vendite!$A$2:$A$1000,A42,Vendite!$P$2:$P$1000)</f>
        <v/>
      </c>
      <c r="H42" s="11">
        <f>SUMIFS(Vendite!$H$2:$H$1000,Vendite!$A$2:$A$1000,A42,Vendite!$O$2:$O$1000,2)</f>
        <v/>
      </c>
      <c r="I42" s="11">
        <f>SUMIFS(Vendite!$H$2:$H$1000,Vendite!$A$2:$A$1000,A42,Vendite!$O$2:$O$1000,3)</f>
        <v/>
      </c>
      <c r="J42" s="11">
        <f>SUMIFS(Vendite!$H$2:$H$1000,Vendite!$A$2:$A$1000,A42,Vendite!$O$2:$O$1000,4)</f>
        <v/>
      </c>
      <c r="K42" s="11">
        <f>SUMIFS(Vendite!$H$2:$H$1000,Vendite!$A$2:$A$1000,A42,Vendite!$O$2:$O$1000,5)</f>
        <v/>
      </c>
      <c r="L42" s="11">
        <f>SUMIF(Vendite!$A$2:$A$1000,A42,Vendite!$I$2:$I$1000)</f>
        <v/>
      </c>
      <c r="M42" s="12">
        <f>SUMIF(Vendite!$A$2:$A$1000,A42,Vendite!$J$2:$J$1000)</f>
        <v/>
      </c>
      <c r="N42" s="12">
        <f>SUMIF(Vendite!$A$2:$A$1000,A42,Vendite!$L$2:$L$1000)</f>
        <v/>
      </c>
      <c r="O42" s="12">
        <f>SUMIF(Vendite!$A$2:$A$1000,A42,Vendite!$M$2:$M$1000)</f>
        <v/>
      </c>
      <c r="P42" s="24">
        <f>IF(E42&gt;0,F42/E42,0)</f>
        <v/>
      </c>
      <c r="Q42" s="22">
        <f>IF(F42&gt;0,"Venduto",IF(M42&gt;0,"Solo online","Zero vendite"))</f>
        <v/>
      </c>
      <c r="R42" s="22">
        <f>F42+M42/100000+(1000-ROW())/100000000</f>
        <v/>
      </c>
    </row>
    <row r="43">
      <c r="A43" s="23" t="inlineStr">
        <is>
          <t>20261102_2359</t>
        </is>
      </c>
      <c r="B43" s="13" t="n">
        <v>46328</v>
      </c>
      <c r="C43" s="23">
        <f>CHOOSE(WEEKDAY(B43,2),"Lunedì","Martedì","Mercoledì","Giovedì","Venerdì","Sabato","Domenica")</f>
        <v/>
      </c>
      <c r="D43" s="14" t="n">
        <v>0.9993055555555556</v>
      </c>
      <c r="E43" s="15" t="n">
        <v>80</v>
      </c>
      <c r="F43" s="15">
        <f>SUMIF(Vendite!$A$2:$A$1000,A43,Vendite!$H$2:$H$1000)</f>
        <v/>
      </c>
      <c r="G43" s="15">
        <f>SUMIF(Vendite!$A$2:$A$1000,A43,Vendite!$P$2:$P$1000)</f>
        <v/>
      </c>
      <c r="H43" s="15">
        <f>SUMIFS(Vendite!$H$2:$H$1000,Vendite!$A$2:$A$1000,A43,Vendite!$O$2:$O$1000,2)</f>
        <v/>
      </c>
      <c r="I43" s="15">
        <f>SUMIFS(Vendite!$H$2:$H$1000,Vendite!$A$2:$A$1000,A43,Vendite!$O$2:$O$1000,3)</f>
        <v/>
      </c>
      <c r="J43" s="15">
        <f>SUMIFS(Vendite!$H$2:$H$1000,Vendite!$A$2:$A$1000,A43,Vendite!$O$2:$O$1000,4)</f>
        <v/>
      </c>
      <c r="K43" s="15">
        <f>SUMIFS(Vendite!$H$2:$H$1000,Vendite!$A$2:$A$1000,A43,Vendite!$O$2:$O$1000,5)</f>
        <v/>
      </c>
      <c r="L43" s="15">
        <f>SUMIF(Vendite!$A$2:$A$1000,A43,Vendite!$I$2:$I$1000)</f>
        <v/>
      </c>
      <c r="M43" s="16">
        <f>SUMIF(Vendite!$A$2:$A$1000,A43,Vendite!$J$2:$J$1000)</f>
        <v/>
      </c>
      <c r="N43" s="16">
        <f>SUMIF(Vendite!$A$2:$A$1000,A43,Vendite!$L$2:$L$1000)</f>
        <v/>
      </c>
      <c r="O43" s="16">
        <f>SUMIF(Vendite!$A$2:$A$1000,A43,Vendite!$M$2:$M$1000)</f>
        <v/>
      </c>
      <c r="P43" s="25">
        <f>IF(E43&gt;0,F43/E43,0)</f>
        <v/>
      </c>
      <c r="Q43" s="23">
        <f>IF(F43&gt;0,"Venduto",IF(M43&gt;0,"Solo online","Zero vendite"))</f>
        <v/>
      </c>
      <c r="R43" s="23">
        <f>F43+M43/100000+(1000-ROW())/100000000</f>
        <v/>
      </c>
    </row>
  </sheetData>
  <autoFilter ref="A1:R43"/>
  <conditionalFormatting sqref="Q2:Q43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20261023_2359</t>
        </is>
      </c>
      <c r="B18" s="9" t="n">
        <v>46318</v>
      </c>
      <c r="C18" s="10" t="n">
        <v>0.9993055555555556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20261023_2359</t>
        </is>
      </c>
      <c r="B19" s="13" t="n">
        <v>46318</v>
      </c>
      <c r="C19" s="14" t="n">
        <v>0.9993055555555556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20261023_2359</t>
        </is>
      </c>
      <c r="B20" s="9" t="n">
        <v>46318</v>
      </c>
      <c r="C20" s="10" t="n">
        <v>0.9993055555555556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20261023_2359</t>
        </is>
      </c>
      <c r="B21" s="13" t="n">
        <v>46318</v>
      </c>
      <c r="C21" s="14" t="n">
        <v>0.9993055555555556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1</v>
      </c>
      <c r="J62" s="12" t="n">
        <v>912</v>
      </c>
      <c r="K62" s="12" t="n">
        <v>0</v>
      </c>
      <c r="L62" s="12" t="n">
        <v>829.16</v>
      </c>
      <c r="M62" s="12" t="n">
        <v>82.84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19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I2 36€</t>
        </is>
      </c>
      <c r="F63" s="23">
        <f>IFERROR(INDEX(Tariffe!$B$2:$B$200,MATCH(E63,Tariffe!$A$2:$A$200,0)),"DA DEFINIRE")</f>
        <v/>
      </c>
      <c r="G63" s="16" t="n">
        <v>36</v>
      </c>
      <c r="H63" s="15">
        <f>Q63*R63</f>
        <v/>
      </c>
      <c r="I63" s="15" t="n">
        <v>0</v>
      </c>
      <c r="J63" s="16" t="n">
        <v>288</v>
      </c>
      <c r="K63" s="16" t="n">
        <v>0</v>
      </c>
      <c r="L63" s="16" t="n">
        <v>261.84</v>
      </c>
      <c r="M63" s="16" t="n">
        <v>26.16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8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I5 60€</t>
        </is>
      </c>
      <c r="F64" s="22">
        <f>IFERROR(INDEX(Tariffe!$B$2:$B$200,MATCH(E64,Tariffe!$A$2:$A$200,0)),"DA DEFINIRE")</f>
        <v/>
      </c>
      <c r="G64" s="12" t="n">
        <v>60</v>
      </c>
      <c r="H64" s="11">
        <f>Q64*R64</f>
        <v/>
      </c>
      <c r="I64" s="11" t="n">
        <v>0</v>
      </c>
      <c r="J64" s="12" t="n">
        <v>840</v>
      </c>
      <c r="K64" s="12" t="n">
        <v>0</v>
      </c>
      <c r="L64" s="12" t="n">
        <v>763.7</v>
      </c>
      <c r="M64" s="12" t="n">
        <v>76.3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14</v>
      </c>
      <c r="R64" s="11">
        <f>IFERROR(INDEX(Tariffe!$E$2:$E$200,MATCH(E64,Tariffe!$A$2:$A$200,0))*1,1)</f>
        <v/>
      </c>
    </row>
    <row r="65">
      <c r="A65" s="23" t="inlineStr">
        <is>
          <t>20261029_2015</t>
        </is>
      </c>
      <c r="B65" s="13" t="n">
        <v>46324</v>
      </c>
      <c r="C65" s="14" t="n">
        <v>0.84375</v>
      </c>
      <c r="D65" s="23" t="inlineStr">
        <is>
          <t>UN Unico</t>
        </is>
      </c>
      <c r="E65" s="23" t="inlineStr">
        <is>
          <t>I8 24€</t>
        </is>
      </c>
      <c r="F65" s="23">
        <f>IFERROR(INDEX(Tariffe!$B$2:$B$200,MATCH(E65,Tariffe!$A$2:$A$200,0)),"DA DEFINIRE")</f>
        <v/>
      </c>
      <c r="G65" s="16" t="n">
        <v>24</v>
      </c>
      <c r="H65" s="15">
        <f>Q65*R65</f>
        <v/>
      </c>
      <c r="I65" s="15" t="n">
        <v>0</v>
      </c>
      <c r="J65" s="16" t="n">
        <v>888</v>
      </c>
      <c r="K65" s="16" t="n">
        <v>0</v>
      </c>
      <c r="L65" s="16" t="n">
        <v>807.34</v>
      </c>
      <c r="M65" s="16" t="n">
        <v>80.66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37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I1 48€</t>
        </is>
      </c>
      <c r="F66" s="22">
        <f>IFERROR(INDEX(Tariffe!$B$2:$B$200,MATCH(E66,Tariffe!$A$2:$A$200,0)),"DA DEFINIRE")</f>
        <v/>
      </c>
      <c r="G66" s="12" t="n">
        <v>48</v>
      </c>
      <c r="H66" s="11">
        <f>Q66*R66</f>
        <v/>
      </c>
      <c r="I66" s="11" t="n">
        <v>0</v>
      </c>
      <c r="J66" s="12" t="n">
        <v>1008</v>
      </c>
      <c r="K66" s="12" t="n">
        <v>0</v>
      </c>
      <c r="L66" s="12" t="n">
        <v>916.4400000000001</v>
      </c>
      <c r="M66" s="12" t="n">
        <v>91.56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21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I2 36€</t>
        </is>
      </c>
      <c r="F67" s="23">
        <f>IFERROR(INDEX(Tariffe!$B$2:$B$200,MATCH(E67,Tariffe!$A$2:$A$200,0)),"DA DEFINIRE")</f>
        <v/>
      </c>
      <c r="G67" s="16" t="n">
        <v>36</v>
      </c>
      <c r="H67" s="15">
        <f>Q67*R67</f>
        <v/>
      </c>
      <c r="I67" s="15" t="n">
        <v>0</v>
      </c>
      <c r="J67" s="16" t="n">
        <v>432</v>
      </c>
      <c r="K67" s="16" t="n">
        <v>0</v>
      </c>
      <c r="L67" s="16" t="n">
        <v>392.76</v>
      </c>
      <c r="M67" s="16" t="n">
        <v>39.24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12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I5 60€</t>
        </is>
      </c>
      <c r="F68" s="22">
        <f>IFERROR(INDEX(Tariffe!$B$2:$B$200,MATCH(E68,Tariffe!$A$2:$A$200,0)),"DA DEFINIRE")</f>
        <v/>
      </c>
      <c r="G68" s="12" t="n">
        <v>60</v>
      </c>
      <c r="H68" s="11">
        <f>Q68*R68</f>
        <v/>
      </c>
      <c r="I68" s="11" t="n">
        <v>0</v>
      </c>
      <c r="J68" s="12" t="n">
        <v>780</v>
      </c>
      <c r="K68" s="12" t="n">
        <v>0</v>
      </c>
      <c r="L68" s="12" t="n">
        <v>709.15</v>
      </c>
      <c r="M68" s="12" t="n">
        <v>70.84999999999999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13</v>
      </c>
      <c r="R68" s="11">
        <f>IFERROR(INDEX(Tariffe!$E$2:$E$200,MATCH(E68,Tariffe!$A$2:$A$200,0))*1,1)</f>
        <v/>
      </c>
    </row>
    <row r="69">
      <c r="A69" s="23" t="inlineStr">
        <is>
          <t>20261029_2115</t>
        </is>
      </c>
      <c r="B69" s="13" t="n">
        <v>46324</v>
      </c>
      <c r="C69" s="14" t="n">
        <v>0.8854166666666666</v>
      </c>
      <c r="D69" s="23" t="inlineStr">
        <is>
          <t>UN Unico</t>
        </is>
      </c>
      <c r="E69" s="23" t="inlineStr">
        <is>
          <t>I8 24€</t>
        </is>
      </c>
      <c r="F69" s="23">
        <f>IFERROR(INDEX(Tariffe!$B$2:$B$200,MATCH(E69,Tariffe!$A$2:$A$200,0)),"DA DEFINIRE")</f>
        <v/>
      </c>
      <c r="G69" s="16" t="n">
        <v>24</v>
      </c>
      <c r="H69" s="15">
        <f>Q69*R69</f>
        <v/>
      </c>
      <c r="I69" s="15" t="n">
        <v>0</v>
      </c>
      <c r="J69" s="16" t="n">
        <v>816</v>
      </c>
      <c r="K69" s="16" t="n">
        <v>0</v>
      </c>
      <c r="L69" s="16" t="n">
        <v>741.88</v>
      </c>
      <c r="M69" s="16" t="n">
        <v>74.12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34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I1 48€</t>
        </is>
      </c>
      <c r="F70" s="22">
        <f>IFERROR(INDEX(Tariffe!$B$2:$B$200,MATCH(E70,Tariffe!$A$2:$A$200,0)),"DA DEFINIRE")</f>
        <v/>
      </c>
      <c r="G70" s="12" t="n">
        <v>48</v>
      </c>
      <c r="H70" s="11">
        <f>Q70*R70</f>
        <v/>
      </c>
      <c r="I70" s="11" t="n">
        <v>1</v>
      </c>
      <c r="J70" s="12" t="n">
        <v>1248</v>
      </c>
      <c r="K70" s="12" t="n">
        <v>0</v>
      </c>
      <c r="L70" s="12" t="n">
        <v>1134.64</v>
      </c>
      <c r="M70" s="12" t="n">
        <v>113.36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26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I2 36€</t>
        </is>
      </c>
      <c r="F71" s="23">
        <f>IFERROR(INDEX(Tariffe!$B$2:$B$200,MATCH(E71,Tariffe!$A$2:$A$200,0)),"DA DEFINIRE")</f>
        <v/>
      </c>
      <c r="G71" s="16" t="n">
        <v>36</v>
      </c>
      <c r="H71" s="15">
        <f>Q71*R71</f>
        <v/>
      </c>
      <c r="I71" s="15" t="n">
        <v>0</v>
      </c>
      <c r="J71" s="16" t="n">
        <v>396</v>
      </c>
      <c r="K71" s="16" t="n">
        <v>0</v>
      </c>
      <c r="L71" s="16" t="n">
        <v>360.03</v>
      </c>
      <c r="M71" s="16" t="n">
        <v>35.97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11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I5 60€</t>
        </is>
      </c>
      <c r="F72" s="22">
        <f>IFERROR(INDEX(Tariffe!$B$2:$B$200,MATCH(E72,Tariffe!$A$2:$A$200,0)),"DA DEFINIRE")</f>
        <v/>
      </c>
      <c r="G72" s="12" t="n">
        <v>60</v>
      </c>
      <c r="H72" s="11">
        <f>Q72*R72</f>
        <v/>
      </c>
      <c r="I72" s="11" t="n">
        <v>1</v>
      </c>
      <c r="J72" s="12" t="n">
        <v>660</v>
      </c>
      <c r="K72" s="12" t="n">
        <v>0</v>
      </c>
      <c r="L72" s="12" t="n">
        <v>600.05</v>
      </c>
      <c r="M72" s="12" t="n">
        <v>59.95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11</v>
      </c>
      <c r="R72" s="11">
        <f>IFERROR(INDEX(Tariffe!$E$2:$E$200,MATCH(E72,Tariffe!$A$2:$A$200,0))*1,1)</f>
        <v/>
      </c>
    </row>
    <row r="73">
      <c r="A73" s="23" t="inlineStr">
        <is>
          <t>20261029_2215</t>
        </is>
      </c>
      <c r="B73" s="13" t="n">
        <v>46324</v>
      </c>
      <c r="C73" s="14" t="n">
        <v>0.9270833333333334</v>
      </c>
      <c r="D73" s="23" t="inlineStr">
        <is>
          <t>UN Unico</t>
        </is>
      </c>
      <c r="E73" s="23" t="inlineStr">
        <is>
          <t>I8 24€</t>
        </is>
      </c>
      <c r="F73" s="23">
        <f>IFERROR(INDEX(Tariffe!$B$2:$B$200,MATCH(E73,Tariffe!$A$2:$A$200,0)),"DA DEFINIRE")</f>
        <v/>
      </c>
      <c r="G73" s="16" t="n">
        <v>24</v>
      </c>
      <c r="H73" s="15">
        <f>Q73*R73</f>
        <v/>
      </c>
      <c r="I73" s="15" t="n">
        <v>0</v>
      </c>
      <c r="J73" s="16" t="n">
        <v>768</v>
      </c>
      <c r="K73" s="16" t="n">
        <v>0</v>
      </c>
      <c r="L73" s="16" t="n">
        <v>698.24</v>
      </c>
      <c r="M73" s="16" t="n">
        <v>69.76000000000001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32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I1 48€</t>
        </is>
      </c>
      <c r="F74" s="22">
        <f>IFERROR(INDEX(Tariffe!$B$2:$B$200,MATCH(E74,Tariffe!$A$2:$A$200,0)),"DA DEFINIRE")</f>
        <v/>
      </c>
      <c r="G74" s="12" t="n">
        <v>48</v>
      </c>
      <c r="H74" s="11">
        <f>Q74*R74</f>
        <v/>
      </c>
      <c r="I74" s="11" t="n">
        <v>0</v>
      </c>
      <c r="J74" s="12" t="n">
        <v>1440</v>
      </c>
      <c r="K74" s="12" t="n">
        <v>0</v>
      </c>
      <c r="L74" s="12" t="n">
        <v>1309.2</v>
      </c>
      <c r="M74" s="12" t="n">
        <v>130.8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30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I2 36€</t>
        </is>
      </c>
      <c r="F75" s="23">
        <f>IFERROR(INDEX(Tariffe!$B$2:$B$200,MATCH(E75,Tariffe!$A$2:$A$200,0)),"DA DEFINIRE")</f>
        <v/>
      </c>
      <c r="G75" s="16" t="n">
        <v>36</v>
      </c>
      <c r="H75" s="15">
        <f>Q75*R75</f>
        <v/>
      </c>
      <c r="I75" s="15" t="n">
        <v>0</v>
      </c>
      <c r="J75" s="16" t="n">
        <v>324</v>
      </c>
      <c r="K75" s="16" t="n">
        <v>0</v>
      </c>
      <c r="L75" s="16" t="n">
        <v>294.57</v>
      </c>
      <c r="M75" s="16" t="n">
        <v>29.43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9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I5 60€</t>
        </is>
      </c>
      <c r="F76" s="22">
        <f>IFERROR(INDEX(Tariffe!$B$2:$B$200,MATCH(E76,Tariffe!$A$2:$A$200,0)),"DA DEFINIRE")</f>
        <v/>
      </c>
      <c r="G76" s="12" t="n">
        <v>60</v>
      </c>
      <c r="H76" s="11">
        <f>Q76*R76</f>
        <v/>
      </c>
      <c r="I76" s="11" t="n">
        <v>1</v>
      </c>
      <c r="J76" s="12" t="n">
        <v>1080</v>
      </c>
      <c r="K76" s="12" t="n">
        <v>0</v>
      </c>
      <c r="L76" s="12" t="n">
        <v>981.9</v>
      </c>
      <c r="M76" s="12" t="n">
        <v>98.09999999999999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18</v>
      </c>
      <c r="R76" s="11">
        <f>IFERROR(INDEX(Tariffe!$E$2:$E$200,MATCH(E76,Tariffe!$A$2:$A$200,0))*1,1)</f>
        <v/>
      </c>
    </row>
    <row r="77">
      <c r="A77" s="23" t="inlineStr">
        <is>
          <t>20261029_2315</t>
        </is>
      </c>
      <c r="B77" s="13" t="n">
        <v>46324</v>
      </c>
      <c r="C77" s="14" t="n">
        <v>0.96875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552</v>
      </c>
      <c r="K77" s="16" t="n">
        <v>0</v>
      </c>
      <c r="L77" s="16" t="n">
        <v>501.86</v>
      </c>
      <c r="M77" s="16" t="n">
        <v>50.14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23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2</v>
      </c>
      <c r="J78" s="12" t="n">
        <v>1152</v>
      </c>
      <c r="K78" s="12" t="n">
        <v>0</v>
      </c>
      <c r="L78" s="12" t="n">
        <v>1047.36</v>
      </c>
      <c r="M78" s="12" t="n">
        <v>104.64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24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I2 36€</t>
        </is>
      </c>
      <c r="F79" s="23">
        <f>IFERROR(INDEX(Tariffe!$B$2:$B$200,MATCH(E79,Tariffe!$A$2:$A$200,0)),"DA DEFINIRE")</f>
        <v/>
      </c>
      <c r="G79" s="16" t="n">
        <v>36</v>
      </c>
      <c r="H79" s="15">
        <f>Q79*R79</f>
        <v/>
      </c>
      <c r="I79" s="15" t="n">
        <v>0</v>
      </c>
      <c r="J79" s="16" t="n">
        <v>504</v>
      </c>
      <c r="K79" s="16" t="n">
        <v>0</v>
      </c>
      <c r="L79" s="16" t="n">
        <v>458.22</v>
      </c>
      <c r="M79" s="16" t="n">
        <v>45.78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14</v>
      </c>
      <c r="R79" s="15">
        <f>IFERROR(INDEX(Tariffe!$E$2:$E$200,MATCH(E79,Tariffe!$A$2:$A$200,0))*1,1)</f>
        <v/>
      </c>
    </row>
    <row r="80">
      <c r="A80" s="22" t="inlineStr">
        <is>
          <t>20261029_2359</t>
        </is>
      </c>
      <c r="B80" s="9" t="n">
        <v>46324</v>
      </c>
      <c r="C80" s="10" t="n">
        <v>0.9993055555555556</v>
      </c>
      <c r="D80" s="22" t="inlineStr">
        <is>
          <t>UN Unico</t>
        </is>
      </c>
      <c r="E80" s="22" t="inlineStr">
        <is>
          <t>I5 60€</t>
        </is>
      </c>
      <c r="F80" s="22">
        <f>IFERROR(INDEX(Tariffe!$B$2:$B$200,MATCH(E80,Tariffe!$A$2:$A$200,0)),"DA DEFINIRE")</f>
        <v/>
      </c>
      <c r="G80" s="12" t="n">
        <v>60</v>
      </c>
      <c r="H80" s="11">
        <f>Q80*R80</f>
        <v/>
      </c>
      <c r="I80" s="11" t="n">
        <v>0</v>
      </c>
      <c r="J80" s="12" t="n">
        <v>900</v>
      </c>
      <c r="K80" s="12" t="n">
        <v>0</v>
      </c>
      <c r="L80" s="12" t="n">
        <v>818.25</v>
      </c>
      <c r="M80" s="12" t="n">
        <v>81.75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15</v>
      </c>
      <c r="R80" s="11">
        <f>IFERROR(INDEX(Tariffe!$E$2:$E$200,MATCH(E80,Tariffe!$A$2:$A$200,0))*1,1)</f>
        <v/>
      </c>
    </row>
    <row r="81">
      <c r="A81" s="23" t="inlineStr">
        <is>
          <t>20261029_2359</t>
        </is>
      </c>
      <c r="B81" s="13" t="n">
        <v>46324</v>
      </c>
      <c r="C81" s="14" t="n">
        <v>0.9993055555555556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600</v>
      </c>
      <c r="K81" s="16" t="n">
        <v>0</v>
      </c>
      <c r="L81" s="16" t="n">
        <v>545.5</v>
      </c>
      <c r="M81" s="16" t="n">
        <v>54.5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25</v>
      </c>
      <c r="R81" s="15">
        <f>IFERROR(INDEX(Tariffe!$E$2:$E$200,MATCH(E81,Tariffe!$A$2:$A$200,0))*1,1)</f>
        <v/>
      </c>
    </row>
    <row r="82">
      <c r="A82" s="22" t="inlineStr">
        <is>
          <t>20261030_2015</t>
        </is>
      </c>
      <c r="B82" s="9" t="n">
        <v>46325</v>
      </c>
      <c r="C82" s="10" t="n">
        <v>0.84375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1200</v>
      </c>
      <c r="K82" s="12" t="n">
        <v>0</v>
      </c>
      <c r="L82" s="12" t="n">
        <v>1091</v>
      </c>
      <c r="M82" s="12" t="n">
        <v>109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25</v>
      </c>
      <c r="R82" s="11">
        <f>IFERROR(INDEX(Tariffe!$E$2:$E$200,MATCH(E82,Tariffe!$A$2:$A$200,0))*1,1)</f>
        <v/>
      </c>
    </row>
    <row r="83">
      <c r="A83" s="23" t="inlineStr">
        <is>
          <t>20261030_2015</t>
        </is>
      </c>
      <c r="B83" s="13" t="n">
        <v>46325</v>
      </c>
      <c r="C83" s="14" t="n">
        <v>0.84375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468</v>
      </c>
      <c r="K83" s="16" t="n">
        <v>0</v>
      </c>
      <c r="L83" s="16" t="n">
        <v>425.49</v>
      </c>
      <c r="M83" s="16" t="n">
        <v>42.51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13</v>
      </c>
      <c r="R83" s="15">
        <f>IFERROR(INDEX(Tariffe!$E$2:$E$200,MATCH(E83,Tariffe!$A$2:$A$200,0))*1,1)</f>
        <v/>
      </c>
    </row>
    <row r="84">
      <c r="A84" s="22" t="inlineStr">
        <is>
          <t>20261030_2015</t>
        </is>
      </c>
      <c r="B84" s="9" t="n">
        <v>46325</v>
      </c>
      <c r="C84" s="10" t="n">
        <v>0.84375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420</v>
      </c>
      <c r="K84" s="12" t="n">
        <v>0</v>
      </c>
      <c r="L84" s="12" t="n">
        <v>381.85</v>
      </c>
      <c r="M84" s="12" t="n">
        <v>38.15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7</v>
      </c>
      <c r="R84" s="11">
        <f>IFERROR(INDEX(Tariffe!$E$2:$E$200,MATCH(E84,Tariffe!$A$2:$A$200,0))*1,1)</f>
        <v/>
      </c>
    </row>
    <row r="85">
      <c r="A85" s="23" t="inlineStr">
        <is>
          <t>20261030_2015</t>
        </is>
      </c>
      <c r="B85" s="13" t="n">
        <v>46325</v>
      </c>
      <c r="C85" s="14" t="n">
        <v>0.84375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0</v>
      </c>
      <c r="J85" s="16" t="n">
        <v>816</v>
      </c>
      <c r="K85" s="16" t="n">
        <v>0</v>
      </c>
      <c r="L85" s="16" t="n">
        <v>741.88</v>
      </c>
      <c r="M85" s="16" t="n">
        <v>74.12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34</v>
      </c>
      <c r="R85" s="15">
        <f>IFERROR(INDEX(Tariffe!$E$2:$E$200,MATCH(E85,Tariffe!$A$2:$A$200,0))*1,1)</f>
        <v/>
      </c>
    </row>
    <row r="86">
      <c r="A86" s="22" t="inlineStr">
        <is>
          <t>20261030_2115</t>
        </is>
      </c>
      <c r="B86" s="9" t="n">
        <v>46325</v>
      </c>
      <c r="C86" s="10" t="n">
        <v>0.8854166666666666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1296</v>
      </c>
      <c r="K86" s="12" t="n">
        <v>0</v>
      </c>
      <c r="L86" s="12" t="n">
        <v>1178.28</v>
      </c>
      <c r="M86" s="12" t="n">
        <v>117.72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27</v>
      </c>
      <c r="R86" s="11">
        <f>IFERROR(INDEX(Tariffe!$E$2:$E$200,MATCH(E86,Tariffe!$A$2:$A$200,0))*1,1)</f>
        <v/>
      </c>
    </row>
    <row r="87">
      <c r="A87" s="23" t="inlineStr">
        <is>
          <t>20261030_2115</t>
        </is>
      </c>
      <c r="B87" s="13" t="n">
        <v>46325</v>
      </c>
      <c r="C87" s="14" t="n">
        <v>0.8854166666666666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360</v>
      </c>
      <c r="K87" s="16" t="n">
        <v>0</v>
      </c>
      <c r="L87" s="16" t="n">
        <v>327.3</v>
      </c>
      <c r="M87" s="16" t="n">
        <v>32.7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10</v>
      </c>
      <c r="R87" s="15">
        <f>IFERROR(INDEX(Tariffe!$E$2:$E$200,MATCH(E87,Tariffe!$A$2:$A$200,0))*1,1)</f>
        <v/>
      </c>
    </row>
    <row r="88">
      <c r="A88" s="22" t="inlineStr">
        <is>
          <t>20261030_2115</t>
        </is>
      </c>
      <c r="B88" s="9" t="n">
        <v>46325</v>
      </c>
      <c r="C88" s="10" t="n">
        <v>0.8854166666666666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720</v>
      </c>
      <c r="K88" s="12" t="n">
        <v>0</v>
      </c>
      <c r="L88" s="12" t="n">
        <v>654.6</v>
      </c>
      <c r="M88" s="12" t="n">
        <v>65.40000000000001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12</v>
      </c>
      <c r="R88" s="11">
        <f>IFERROR(INDEX(Tariffe!$E$2:$E$200,MATCH(E88,Tariffe!$A$2:$A$200,0))*1,1)</f>
        <v/>
      </c>
    </row>
    <row r="89">
      <c r="A89" s="23" t="inlineStr">
        <is>
          <t>20261030_2115</t>
        </is>
      </c>
      <c r="B89" s="13" t="n">
        <v>46325</v>
      </c>
      <c r="C89" s="14" t="n">
        <v>0.8854166666666666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744</v>
      </c>
      <c r="K89" s="16" t="n">
        <v>0</v>
      </c>
      <c r="L89" s="16" t="n">
        <v>676.42</v>
      </c>
      <c r="M89" s="16" t="n">
        <v>67.58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31</v>
      </c>
      <c r="R89" s="15">
        <f>IFERROR(INDEX(Tariffe!$E$2:$E$200,MATCH(E89,Tariffe!$A$2:$A$200,0))*1,1)</f>
        <v/>
      </c>
    </row>
    <row r="90">
      <c r="A90" s="22" t="inlineStr">
        <is>
          <t>20261030_2215</t>
        </is>
      </c>
      <c r="B90" s="9" t="n">
        <v>46325</v>
      </c>
      <c r="C90" s="10" t="n">
        <v>0.9270833333333334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1632</v>
      </c>
      <c r="K90" s="12" t="n">
        <v>0</v>
      </c>
      <c r="L90" s="12" t="n">
        <v>1483.76</v>
      </c>
      <c r="M90" s="12" t="n">
        <v>148.24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34</v>
      </c>
      <c r="R90" s="11">
        <f>IFERROR(INDEX(Tariffe!$E$2:$E$200,MATCH(E90,Tariffe!$A$2:$A$200,0))*1,1)</f>
        <v/>
      </c>
    </row>
    <row r="91">
      <c r="A91" s="23" t="inlineStr">
        <is>
          <t>20261030_2215</t>
        </is>
      </c>
      <c r="B91" s="13" t="n">
        <v>46325</v>
      </c>
      <c r="C91" s="14" t="n">
        <v>0.9270833333333334</v>
      </c>
      <c r="D91" s="23" t="inlineStr">
        <is>
          <t>UN Unico</t>
        </is>
      </c>
      <c r="E91" s="23" t="inlineStr">
        <is>
          <t>I2 36€</t>
        </is>
      </c>
      <c r="F91" s="23">
        <f>IFERROR(INDEX(Tariffe!$B$2:$B$200,MATCH(E91,Tariffe!$A$2:$A$200,0)),"DA DEFINIRE")</f>
        <v/>
      </c>
      <c r="G91" s="16" t="n">
        <v>36</v>
      </c>
      <c r="H91" s="15">
        <f>Q91*R91</f>
        <v/>
      </c>
      <c r="I91" s="15" t="n">
        <v>0</v>
      </c>
      <c r="J91" s="16" t="n">
        <v>144</v>
      </c>
      <c r="K91" s="16" t="n">
        <v>0</v>
      </c>
      <c r="L91" s="16" t="n">
        <v>130.92</v>
      </c>
      <c r="M91" s="16" t="n">
        <v>13.08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4</v>
      </c>
      <c r="R91" s="15">
        <f>IFERROR(INDEX(Tariffe!$E$2:$E$200,MATCH(E91,Tariffe!$A$2:$A$200,0))*1,1)</f>
        <v/>
      </c>
    </row>
    <row r="92">
      <c r="A92" s="22" t="inlineStr">
        <is>
          <t>20261030_2215</t>
        </is>
      </c>
      <c r="B92" s="9" t="n">
        <v>46325</v>
      </c>
      <c r="C92" s="10" t="n">
        <v>0.9270833333333334</v>
      </c>
      <c r="D92" s="22" t="inlineStr">
        <is>
          <t>UN Unico</t>
        </is>
      </c>
      <c r="E92" s="22" t="inlineStr">
        <is>
          <t>I5 60€</t>
        </is>
      </c>
      <c r="F92" s="22">
        <f>IFERROR(INDEX(Tariffe!$B$2:$B$200,MATCH(E92,Tariffe!$A$2:$A$200,0)),"DA DEFINIRE")</f>
        <v/>
      </c>
      <c r="G92" s="12" t="n">
        <v>60</v>
      </c>
      <c r="H92" s="11">
        <f>Q92*R92</f>
        <v/>
      </c>
      <c r="I92" s="11" t="n">
        <v>0</v>
      </c>
      <c r="J92" s="12" t="n">
        <v>480</v>
      </c>
      <c r="K92" s="12" t="n">
        <v>0</v>
      </c>
      <c r="L92" s="12" t="n">
        <v>436.4</v>
      </c>
      <c r="M92" s="12" t="n">
        <v>43.6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20261030_2215</t>
        </is>
      </c>
      <c r="B93" s="13" t="n">
        <v>46325</v>
      </c>
      <c r="C93" s="14" t="n">
        <v>0.9270833333333334</v>
      </c>
      <c r="D93" s="23" t="inlineStr">
        <is>
          <t>UN Unico</t>
        </is>
      </c>
      <c r="E93" s="23" t="inlineStr">
        <is>
          <t>I8 24€</t>
        </is>
      </c>
      <c r="F93" s="23">
        <f>IFERROR(INDEX(Tariffe!$B$2:$B$200,MATCH(E93,Tariffe!$A$2:$A$200,0)),"DA DEFINIRE")</f>
        <v/>
      </c>
      <c r="G93" s="16" t="n">
        <v>24</v>
      </c>
      <c r="H93" s="15">
        <f>Q93*R93</f>
        <v/>
      </c>
      <c r="I93" s="15" t="n">
        <v>4</v>
      </c>
      <c r="J93" s="16" t="n">
        <v>816</v>
      </c>
      <c r="K93" s="16" t="n">
        <v>0</v>
      </c>
      <c r="L93" s="16" t="n">
        <v>741.88</v>
      </c>
      <c r="M93" s="16" t="n">
        <v>74.12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34</v>
      </c>
      <c r="R93" s="15">
        <f>IFERROR(INDEX(Tariffe!$E$2:$E$200,MATCH(E93,Tariffe!$A$2:$A$200,0))*1,1)</f>
        <v/>
      </c>
    </row>
    <row r="94">
      <c r="A94" s="22" t="inlineStr">
        <is>
          <t>20261030_2315</t>
        </is>
      </c>
      <c r="B94" s="9" t="n">
        <v>46325</v>
      </c>
      <c r="C94" s="10" t="n">
        <v>0.96875</v>
      </c>
      <c r="D94" s="22" t="inlineStr">
        <is>
          <t>UN Unico</t>
        </is>
      </c>
      <c r="E94" s="22" t="inlineStr">
        <is>
          <t>I1 48€</t>
        </is>
      </c>
      <c r="F94" s="22">
        <f>IFERROR(INDEX(Tariffe!$B$2:$B$200,MATCH(E94,Tariffe!$A$2:$A$200,0)),"DA DEFINIRE")</f>
        <v/>
      </c>
      <c r="G94" s="12" t="n">
        <v>48</v>
      </c>
      <c r="H94" s="11">
        <f>Q94*R94</f>
        <v/>
      </c>
      <c r="I94" s="11" t="n">
        <v>0</v>
      </c>
      <c r="J94" s="12" t="n">
        <v>1152</v>
      </c>
      <c r="K94" s="12" t="n">
        <v>0</v>
      </c>
      <c r="L94" s="12" t="n">
        <v>1047.36</v>
      </c>
      <c r="M94" s="12" t="n">
        <v>104.64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24</v>
      </c>
      <c r="R94" s="11">
        <f>IFERROR(INDEX(Tariffe!$E$2:$E$200,MATCH(E94,Tariffe!$A$2:$A$200,0))*1,1)</f>
        <v/>
      </c>
    </row>
    <row r="95">
      <c r="A95" s="23" t="inlineStr">
        <is>
          <t>20261030_2315</t>
        </is>
      </c>
      <c r="B95" s="13" t="n">
        <v>46325</v>
      </c>
      <c r="C95" s="14" t="n">
        <v>0.96875</v>
      </c>
      <c r="D95" s="23" t="inlineStr">
        <is>
          <t>UN Unico</t>
        </is>
      </c>
      <c r="E95" s="23" t="inlineStr">
        <is>
          <t>I2 36€</t>
        </is>
      </c>
      <c r="F95" s="23">
        <f>IFERROR(INDEX(Tariffe!$B$2:$B$200,MATCH(E95,Tariffe!$A$2:$A$200,0)),"DA DEFINIRE")</f>
        <v/>
      </c>
      <c r="G95" s="16" t="n">
        <v>36</v>
      </c>
      <c r="H95" s="15">
        <f>Q95*R95</f>
        <v/>
      </c>
      <c r="I95" s="15" t="n">
        <v>0</v>
      </c>
      <c r="J95" s="16" t="n">
        <v>432</v>
      </c>
      <c r="K95" s="16" t="n">
        <v>0</v>
      </c>
      <c r="L95" s="16" t="n">
        <v>392.76</v>
      </c>
      <c r="M95" s="16" t="n">
        <v>39.24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20261030_2315</t>
        </is>
      </c>
      <c r="B96" s="9" t="n">
        <v>46325</v>
      </c>
      <c r="C96" s="10" t="n">
        <v>0.96875</v>
      </c>
      <c r="D96" s="22" t="inlineStr">
        <is>
          <t>UN Unico</t>
        </is>
      </c>
      <c r="E96" s="22" t="inlineStr">
        <is>
          <t>I5 60€</t>
        </is>
      </c>
      <c r="F96" s="22">
        <f>IFERROR(INDEX(Tariffe!$B$2:$B$200,MATCH(E96,Tariffe!$A$2:$A$200,0)),"DA DEFINIRE")</f>
        <v/>
      </c>
      <c r="G96" s="12" t="n">
        <v>60</v>
      </c>
      <c r="H96" s="11">
        <f>Q96*R96</f>
        <v/>
      </c>
      <c r="I96" s="11" t="n">
        <v>0</v>
      </c>
      <c r="J96" s="12" t="n">
        <v>780</v>
      </c>
      <c r="K96" s="12" t="n">
        <v>0</v>
      </c>
      <c r="L96" s="12" t="n">
        <v>709.15</v>
      </c>
      <c r="M96" s="12" t="n">
        <v>70.84999999999999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13</v>
      </c>
      <c r="R96" s="11">
        <f>IFERROR(INDEX(Tariffe!$E$2:$E$200,MATCH(E96,Tariffe!$A$2:$A$200,0))*1,1)</f>
        <v/>
      </c>
    </row>
    <row r="97">
      <c r="A97" s="23" t="inlineStr">
        <is>
          <t>20261030_2315</t>
        </is>
      </c>
      <c r="B97" s="13" t="n">
        <v>46325</v>
      </c>
      <c r="C97" s="14" t="n">
        <v>0.96875</v>
      </c>
      <c r="D97" s="23" t="inlineStr">
        <is>
          <t>UN Unico</t>
        </is>
      </c>
      <c r="E97" s="23" t="inlineStr">
        <is>
          <t>I8 24€</t>
        </is>
      </c>
      <c r="F97" s="23">
        <f>IFERROR(INDEX(Tariffe!$B$2:$B$200,MATCH(E97,Tariffe!$A$2:$A$200,0)),"DA DEFINIRE")</f>
        <v/>
      </c>
      <c r="G97" s="16" t="n">
        <v>24</v>
      </c>
      <c r="H97" s="15">
        <f>Q97*R97</f>
        <v/>
      </c>
      <c r="I97" s="15" t="n">
        <v>0</v>
      </c>
      <c r="J97" s="16" t="n">
        <v>744</v>
      </c>
      <c r="K97" s="16" t="n">
        <v>0</v>
      </c>
      <c r="L97" s="16" t="n">
        <v>676.42</v>
      </c>
      <c r="M97" s="16" t="n">
        <v>67.58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31</v>
      </c>
      <c r="R97" s="15">
        <f>IFERROR(INDEX(Tariffe!$E$2:$E$200,MATCH(E97,Tariffe!$A$2:$A$200,0))*1,1)</f>
        <v/>
      </c>
    </row>
    <row r="98">
      <c r="A98" s="22" t="inlineStr">
        <is>
          <t>20261030_2359</t>
        </is>
      </c>
      <c r="B98" s="9" t="n">
        <v>46325</v>
      </c>
      <c r="C98" s="10" t="n">
        <v>0.9993055555555556</v>
      </c>
      <c r="D98" s="22" t="inlineStr">
        <is>
          <t>UN Unico</t>
        </is>
      </c>
      <c r="E98" s="22" t="inlineStr">
        <is>
          <t>I1 48€</t>
        </is>
      </c>
      <c r="F98" s="22">
        <f>IFERROR(INDEX(Tariffe!$B$2:$B$200,MATCH(E98,Tariffe!$A$2:$A$200,0)),"DA DEFINIRE")</f>
        <v/>
      </c>
      <c r="G98" s="12" t="n">
        <v>48</v>
      </c>
      <c r="H98" s="11">
        <f>Q98*R98</f>
        <v/>
      </c>
      <c r="I98" s="11" t="n">
        <v>0</v>
      </c>
      <c r="J98" s="12" t="n">
        <v>1104</v>
      </c>
      <c r="K98" s="12" t="n">
        <v>0</v>
      </c>
      <c r="L98" s="12" t="n">
        <v>1003.72</v>
      </c>
      <c r="M98" s="12" t="n">
        <v>100.28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23</v>
      </c>
      <c r="R98" s="11">
        <f>IFERROR(INDEX(Tariffe!$E$2:$E$200,MATCH(E98,Tariffe!$A$2:$A$200,0))*1,1)</f>
        <v/>
      </c>
    </row>
    <row r="99">
      <c r="A99" s="23" t="inlineStr">
        <is>
          <t>20261030_2359</t>
        </is>
      </c>
      <c r="B99" s="13" t="n">
        <v>46325</v>
      </c>
      <c r="C99" s="14" t="n">
        <v>0.9993055555555556</v>
      </c>
      <c r="D99" s="23" t="inlineStr">
        <is>
          <t>UN Unico</t>
        </is>
      </c>
      <c r="E99" s="23" t="inlineStr">
        <is>
          <t>I2 36€</t>
        </is>
      </c>
      <c r="F99" s="23">
        <f>IFERROR(INDEX(Tariffe!$B$2:$B$200,MATCH(E99,Tariffe!$A$2:$A$200,0)),"DA DEFINIRE")</f>
        <v/>
      </c>
      <c r="G99" s="16" t="n">
        <v>36</v>
      </c>
      <c r="H99" s="15">
        <f>Q99*R99</f>
        <v/>
      </c>
      <c r="I99" s="15" t="n">
        <v>0</v>
      </c>
      <c r="J99" s="16" t="n">
        <v>324</v>
      </c>
      <c r="K99" s="16" t="n">
        <v>0</v>
      </c>
      <c r="L99" s="16" t="n">
        <v>294.57</v>
      </c>
      <c r="M99" s="16" t="n">
        <v>29.43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9</v>
      </c>
      <c r="R99" s="15">
        <f>IFERROR(INDEX(Tariffe!$E$2:$E$200,MATCH(E99,Tariffe!$A$2:$A$200,0))*1,1)</f>
        <v/>
      </c>
    </row>
    <row r="100">
      <c r="A100" s="22" t="inlineStr">
        <is>
          <t>20261030_2359</t>
        </is>
      </c>
      <c r="B100" s="9" t="n">
        <v>46325</v>
      </c>
      <c r="C100" s="10" t="n">
        <v>0.9993055555555556</v>
      </c>
      <c r="D100" s="22" t="inlineStr">
        <is>
          <t>UN Unico</t>
        </is>
      </c>
      <c r="E100" s="22" t="inlineStr">
        <is>
          <t>I5 60€</t>
        </is>
      </c>
      <c r="F100" s="22">
        <f>IFERROR(INDEX(Tariffe!$B$2:$B$200,MATCH(E100,Tariffe!$A$2:$A$200,0)),"DA DEFINIRE")</f>
        <v/>
      </c>
      <c r="G100" s="12" t="n">
        <v>60</v>
      </c>
      <c r="H100" s="11">
        <f>Q100*R100</f>
        <v/>
      </c>
      <c r="I100" s="11" t="n">
        <v>0</v>
      </c>
      <c r="J100" s="12" t="n">
        <v>1020</v>
      </c>
      <c r="K100" s="12" t="n">
        <v>0</v>
      </c>
      <c r="L100" s="12" t="n">
        <v>927.35</v>
      </c>
      <c r="M100" s="12" t="n">
        <v>92.65000000000001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17</v>
      </c>
      <c r="R100" s="11">
        <f>IFERROR(INDEX(Tariffe!$E$2:$E$200,MATCH(E100,Tariffe!$A$2:$A$200,0))*1,1)</f>
        <v/>
      </c>
    </row>
    <row r="101">
      <c r="A101" s="23" t="inlineStr">
        <is>
          <t>20261030_2359</t>
        </is>
      </c>
      <c r="B101" s="13" t="n">
        <v>46325</v>
      </c>
      <c r="C101" s="14" t="n">
        <v>0.9993055555555556</v>
      </c>
      <c r="D101" s="23" t="inlineStr">
        <is>
          <t>UN Unico</t>
        </is>
      </c>
      <c r="E101" s="23" t="inlineStr">
        <is>
          <t>I8 24€</t>
        </is>
      </c>
      <c r="F101" s="23">
        <f>IFERROR(INDEX(Tariffe!$B$2:$B$200,MATCH(E101,Tariffe!$A$2:$A$200,0)),"DA DEFINIRE")</f>
        <v/>
      </c>
      <c r="G101" s="16" t="n">
        <v>24</v>
      </c>
      <c r="H101" s="15">
        <f>Q101*R101</f>
        <v/>
      </c>
      <c r="I101" s="15" t="n">
        <v>0</v>
      </c>
      <c r="J101" s="16" t="n">
        <v>744</v>
      </c>
      <c r="K101" s="16" t="n">
        <v>0</v>
      </c>
      <c r="L101" s="16" t="n">
        <v>676.42</v>
      </c>
      <c r="M101" s="16" t="n">
        <v>67.58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31</v>
      </c>
      <c r="R101" s="15">
        <f>IFERROR(INDEX(Tariffe!$E$2:$E$200,MATCH(E101,Tariffe!$A$2:$A$200,0))*1,1)</f>
        <v/>
      </c>
    </row>
    <row r="102">
      <c r="A102" s="22" t="inlineStr">
        <is>
          <t>20261031_1915</t>
        </is>
      </c>
      <c r="B102" s="9" t="n">
        <v>46326</v>
      </c>
      <c r="C102" s="10" t="n">
        <v>0.8020833333333334</v>
      </c>
      <c r="D102" s="22" t="inlineStr">
        <is>
          <t>UN Unico</t>
        </is>
      </c>
      <c r="E102" s="22" t="inlineStr">
        <is>
          <t>I1 48€</t>
        </is>
      </c>
      <c r="F102" s="22">
        <f>IFERROR(INDEX(Tariffe!$B$2:$B$200,MATCH(E102,Tariffe!$A$2:$A$200,0)),"DA DEFINIRE")</f>
        <v/>
      </c>
      <c r="G102" s="12" t="n">
        <v>48</v>
      </c>
      <c r="H102" s="11">
        <f>Q102*R102</f>
        <v/>
      </c>
      <c r="I102" s="11" t="n">
        <v>0</v>
      </c>
      <c r="J102" s="12" t="n">
        <v>1344</v>
      </c>
      <c r="K102" s="12" t="n">
        <v>0</v>
      </c>
      <c r="L102" s="12" t="n">
        <v>1221.92</v>
      </c>
      <c r="M102" s="12" t="n">
        <v>122.08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28</v>
      </c>
      <c r="R102" s="11">
        <f>IFERROR(INDEX(Tariffe!$E$2:$E$200,MATCH(E102,Tariffe!$A$2:$A$200,0))*1,1)</f>
        <v/>
      </c>
    </row>
    <row r="103">
      <c r="A103" s="23" t="inlineStr">
        <is>
          <t>20261031_1915</t>
        </is>
      </c>
      <c r="B103" s="13" t="n">
        <v>46326</v>
      </c>
      <c r="C103" s="14" t="n">
        <v>0.8020833333333334</v>
      </c>
      <c r="D103" s="23" t="inlineStr">
        <is>
          <t>UN Unico</t>
        </is>
      </c>
      <c r="E103" s="23" t="inlineStr">
        <is>
          <t>I2 36€</t>
        </is>
      </c>
      <c r="F103" s="23">
        <f>IFERROR(INDEX(Tariffe!$B$2:$B$200,MATCH(E103,Tariffe!$A$2:$A$200,0)),"DA DEFINIRE")</f>
        <v/>
      </c>
      <c r="G103" s="16" t="n">
        <v>36</v>
      </c>
      <c r="H103" s="15">
        <f>Q103*R103</f>
        <v/>
      </c>
      <c r="I103" s="15" t="n">
        <v>0</v>
      </c>
      <c r="J103" s="16" t="n">
        <v>252</v>
      </c>
      <c r="K103" s="16" t="n">
        <v>0</v>
      </c>
      <c r="L103" s="16" t="n">
        <v>229.11</v>
      </c>
      <c r="M103" s="16" t="n">
        <v>22.89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7</v>
      </c>
      <c r="R103" s="15">
        <f>IFERROR(INDEX(Tariffe!$E$2:$E$200,MATCH(E103,Tariffe!$A$2:$A$200,0))*1,1)</f>
        <v/>
      </c>
    </row>
    <row r="104">
      <c r="A104" s="22" t="inlineStr">
        <is>
          <t>20261031_1915</t>
        </is>
      </c>
      <c r="B104" s="9" t="n">
        <v>46326</v>
      </c>
      <c r="C104" s="10" t="n">
        <v>0.8020833333333334</v>
      </c>
      <c r="D104" s="22" t="inlineStr">
        <is>
          <t>UN Unico</t>
        </is>
      </c>
      <c r="E104" s="22" t="inlineStr">
        <is>
          <t>I5 60€</t>
        </is>
      </c>
      <c r="F104" s="22">
        <f>IFERROR(INDEX(Tariffe!$B$2:$B$200,MATCH(E104,Tariffe!$A$2:$A$200,0)),"DA DEFINIRE")</f>
        <v/>
      </c>
      <c r="G104" s="12" t="n">
        <v>60</v>
      </c>
      <c r="H104" s="11">
        <f>Q104*R104</f>
        <v/>
      </c>
      <c r="I104" s="11" t="n">
        <v>0</v>
      </c>
      <c r="J104" s="12" t="n">
        <v>600</v>
      </c>
      <c r="K104" s="12" t="n">
        <v>0</v>
      </c>
      <c r="L104" s="12" t="n">
        <v>545.5</v>
      </c>
      <c r="M104" s="12" t="n">
        <v>54.5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10</v>
      </c>
      <c r="R104" s="11">
        <f>IFERROR(INDEX(Tariffe!$E$2:$E$200,MATCH(E104,Tariffe!$A$2:$A$200,0))*1,1)</f>
        <v/>
      </c>
    </row>
    <row r="105">
      <c r="A105" s="23" t="inlineStr">
        <is>
          <t>20261031_1915</t>
        </is>
      </c>
      <c r="B105" s="13" t="n">
        <v>46326</v>
      </c>
      <c r="C105" s="14" t="n">
        <v>0.8020833333333334</v>
      </c>
      <c r="D105" s="23" t="inlineStr">
        <is>
          <t>UN Unico</t>
        </is>
      </c>
      <c r="E105" s="23" t="inlineStr">
        <is>
          <t>I8 24€</t>
        </is>
      </c>
      <c r="F105" s="23">
        <f>IFERROR(INDEX(Tariffe!$B$2:$B$200,MATCH(E105,Tariffe!$A$2:$A$200,0)),"DA DEFINIRE")</f>
        <v/>
      </c>
      <c r="G105" s="16" t="n">
        <v>24</v>
      </c>
      <c r="H105" s="15">
        <f>Q105*R105</f>
        <v/>
      </c>
      <c r="I105" s="15" t="n">
        <v>0</v>
      </c>
      <c r="J105" s="16" t="n">
        <v>840</v>
      </c>
      <c r="K105" s="16" t="n">
        <v>0</v>
      </c>
      <c r="L105" s="16" t="n">
        <v>763.7</v>
      </c>
      <c r="M105" s="16" t="n">
        <v>76.3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35</v>
      </c>
      <c r="R105" s="15">
        <f>IFERROR(INDEX(Tariffe!$E$2:$E$200,MATCH(E105,Tariffe!$A$2:$A$200,0))*1,1)</f>
        <v/>
      </c>
    </row>
    <row r="106">
      <c r="A106" s="22" t="inlineStr">
        <is>
          <t>20261031_2015</t>
        </is>
      </c>
      <c r="B106" s="9" t="n">
        <v>46326</v>
      </c>
      <c r="C106" s="10" t="n">
        <v>0.84375</v>
      </c>
      <c r="D106" s="22" t="inlineStr">
        <is>
          <t>UN Unico</t>
        </is>
      </c>
      <c r="E106" s="22" t="inlineStr">
        <is>
          <t>I1 48€</t>
        </is>
      </c>
      <c r="F106" s="22">
        <f>IFERROR(INDEX(Tariffe!$B$2:$B$200,MATCH(E106,Tariffe!$A$2:$A$200,0)),"DA DEFINIRE")</f>
        <v/>
      </c>
      <c r="G106" s="12" t="n">
        <v>48</v>
      </c>
      <c r="H106" s="11">
        <f>Q106*R106</f>
        <v/>
      </c>
      <c r="I106" s="11" t="n">
        <v>1</v>
      </c>
      <c r="J106" s="12" t="n">
        <v>1536</v>
      </c>
      <c r="K106" s="12" t="n">
        <v>0</v>
      </c>
      <c r="L106" s="12" t="n">
        <v>1396.48</v>
      </c>
      <c r="M106" s="12" t="n">
        <v>139.52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32</v>
      </c>
      <c r="R106" s="11">
        <f>IFERROR(INDEX(Tariffe!$E$2:$E$200,MATCH(E106,Tariffe!$A$2:$A$200,0))*1,1)</f>
        <v/>
      </c>
    </row>
    <row r="107">
      <c r="A107" s="23" t="inlineStr">
        <is>
          <t>20261031_2015</t>
        </is>
      </c>
      <c r="B107" s="13" t="n">
        <v>46326</v>
      </c>
      <c r="C107" s="14" t="n">
        <v>0.84375</v>
      </c>
      <c r="D107" s="23" t="inlineStr">
        <is>
          <t>UN Unico</t>
        </is>
      </c>
      <c r="E107" s="23" t="inlineStr">
        <is>
          <t>I2 36€</t>
        </is>
      </c>
      <c r="F107" s="23">
        <f>IFERROR(INDEX(Tariffe!$B$2:$B$200,MATCH(E107,Tariffe!$A$2:$A$200,0)),"DA DEFINIRE")</f>
        <v/>
      </c>
      <c r="G107" s="16" t="n">
        <v>36</v>
      </c>
      <c r="H107" s="15">
        <f>Q107*R107</f>
        <v/>
      </c>
      <c r="I107" s="15" t="n">
        <v>0</v>
      </c>
      <c r="J107" s="16" t="n">
        <v>288</v>
      </c>
      <c r="K107" s="16" t="n">
        <v>0</v>
      </c>
      <c r="L107" s="16" t="n">
        <v>261.84</v>
      </c>
      <c r="M107" s="16" t="n">
        <v>26.16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8</v>
      </c>
      <c r="R107" s="15">
        <f>IFERROR(INDEX(Tariffe!$E$2:$E$200,MATCH(E107,Tariffe!$A$2:$A$200,0))*1,1)</f>
        <v/>
      </c>
    </row>
    <row r="108">
      <c r="A108" s="22" t="inlineStr">
        <is>
          <t>20261031_2015</t>
        </is>
      </c>
      <c r="B108" s="9" t="n">
        <v>46326</v>
      </c>
      <c r="C108" s="10" t="n">
        <v>0.84375</v>
      </c>
      <c r="D108" s="22" t="inlineStr">
        <is>
          <t>UN Unico</t>
        </is>
      </c>
      <c r="E108" s="22" t="inlineStr">
        <is>
          <t>I5 60€</t>
        </is>
      </c>
      <c r="F108" s="22">
        <f>IFERROR(INDEX(Tariffe!$B$2:$B$200,MATCH(E108,Tariffe!$A$2:$A$200,0)),"DA DEFINIRE")</f>
        <v/>
      </c>
      <c r="G108" s="12" t="n">
        <v>60</v>
      </c>
      <c r="H108" s="11">
        <f>Q108*R108</f>
        <v/>
      </c>
      <c r="I108" s="11" t="n">
        <v>2</v>
      </c>
      <c r="J108" s="12" t="n">
        <v>660</v>
      </c>
      <c r="K108" s="12" t="n">
        <v>0</v>
      </c>
      <c r="L108" s="12" t="n">
        <v>600.05</v>
      </c>
      <c r="M108" s="12" t="n">
        <v>59.95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11</v>
      </c>
      <c r="R108" s="11">
        <f>IFERROR(INDEX(Tariffe!$E$2:$E$200,MATCH(E108,Tariffe!$A$2:$A$200,0))*1,1)</f>
        <v/>
      </c>
    </row>
    <row r="109">
      <c r="A109" s="23" t="inlineStr">
        <is>
          <t>20261031_2015</t>
        </is>
      </c>
      <c r="B109" s="13" t="n">
        <v>46326</v>
      </c>
      <c r="C109" s="14" t="n">
        <v>0.84375</v>
      </c>
      <c r="D109" s="23" t="inlineStr">
        <is>
          <t>UN Unico</t>
        </is>
      </c>
      <c r="E109" s="23" t="inlineStr">
        <is>
          <t>I8 24€</t>
        </is>
      </c>
      <c r="F109" s="23">
        <f>IFERROR(INDEX(Tariffe!$B$2:$B$200,MATCH(E109,Tariffe!$A$2:$A$200,0)),"DA DEFINIRE")</f>
        <v/>
      </c>
      <c r="G109" s="16" t="n">
        <v>24</v>
      </c>
      <c r="H109" s="15">
        <f>Q109*R109</f>
        <v/>
      </c>
      <c r="I109" s="15" t="n">
        <v>0</v>
      </c>
      <c r="J109" s="16" t="n">
        <v>696</v>
      </c>
      <c r="K109" s="16" t="n">
        <v>0</v>
      </c>
      <c r="L109" s="16" t="n">
        <v>632.78</v>
      </c>
      <c r="M109" s="16" t="n">
        <v>63.22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29</v>
      </c>
      <c r="R109" s="15">
        <f>IFERROR(INDEX(Tariffe!$E$2:$E$200,MATCH(E109,Tariffe!$A$2:$A$200,0))*1,1)</f>
        <v/>
      </c>
    </row>
    <row r="110">
      <c r="A110" s="22" t="inlineStr">
        <is>
          <t>20261031_2115</t>
        </is>
      </c>
      <c r="B110" s="9" t="n">
        <v>46326</v>
      </c>
      <c r="C110" s="10" t="n">
        <v>0.8854166666666666</v>
      </c>
      <c r="D110" s="22" t="inlineStr">
        <is>
          <t>UN Unico</t>
        </is>
      </c>
      <c r="E110" s="22" t="inlineStr">
        <is>
          <t>I1 48€</t>
        </is>
      </c>
      <c r="F110" s="22">
        <f>IFERROR(INDEX(Tariffe!$B$2:$B$200,MATCH(E110,Tariffe!$A$2:$A$200,0)),"DA DEFINIRE")</f>
        <v/>
      </c>
      <c r="G110" s="12" t="n">
        <v>48</v>
      </c>
      <c r="H110" s="11">
        <f>Q110*R110</f>
        <v/>
      </c>
      <c r="I110" s="11" t="n">
        <v>0</v>
      </c>
      <c r="J110" s="12" t="n">
        <v>1440</v>
      </c>
      <c r="K110" s="12" t="n">
        <v>0</v>
      </c>
      <c r="L110" s="12" t="n">
        <v>1309.2</v>
      </c>
      <c r="M110" s="12" t="n">
        <v>130.8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30</v>
      </c>
      <c r="R110" s="11">
        <f>IFERROR(INDEX(Tariffe!$E$2:$E$200,MATCH(E110,Tariffe!$A$2:$A$200,0))*1,1)</f>
        <v/>
      </c>
    </row>
    <row r="111">
      <c r="A111" s="23" t="inlineStr">
        <is>
          <t>20261031_2115</t>
        </is>
      </c>
      <c r="B111" s="13" t="n">
        <v>46326</v>
      </c>
      <c r="C111" s="14" t="n">
        <v>0.8854166666666666</v>
      </c>
      <c r="D111" s="23" t="inlineStr">
        <is>
          <t>UN Unico</t>
        </is>
      </c>
      <c r="E111" s="23" t="inlineStr">
        <is>
          <t>I2 36€</t>
        </is>
      </c>
      <c r="F111" s="23">
        <f>IFERROR(INDEX(Tariffe!$B$2:$B$200,MATCH(E111,Tariffe!$A$2:$A$200,0)),"DA DEFINIRE")</f>
        <v/>
      </c>
      <c r="G111" s="16" t="n">
        <v>36</v>
      </c>
      <c r="H111" s="15">
        <f>Q111*R111</f>
        <v/>
      </c>
      <c r="I111" s="15" t="n">
        <v>0</v>
      </c>
      <c r="J111" s="16" t="n">
        <v>216</v>
      </c>
      <c r="K111" s="16" t="n">
        <v>0</v>
      </c>
      <c r="L111" s="16" t="n">
        <v>196.38</v>
      </c>
      <c r="M111" s="16" t="n">
        <v>19.62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6</v>
      </c>
      <c r="R111" s="15">
        <f>IFERROR(INDEX(Tariffe!$E$2:$E$200,MATCH(E111,Tariffe!$A$2:$A$200,0))*1,1)</f>
        <v/>
      </c>
    </row>
    <row r="112">
      <c r="A112" s="22" t="inlineStr">
        <is>
          <t>20261031_2115</t>
        </is>
      </c>
      <c r="B112" s="9" t="n">
        <v>46326</v>
      </c>
      <c r="C112" s="10" t="n">
        <v>0.8854166666666666</v>
      </c>
      <c r="D112" s="22" t="inlineStr">
        <is>
          <t>UN Unico</t>
        </is>
      </c>
      <c r="E112" s="22" t="inlineStr">
        <is>
          <t>I5 60€</t>
        </is>
      </c>
      <c r="F112" s="22">
        <f>IFERROR(INDEX(Tariffe!$B$2:$B$200,MATCH(E112,Tariffe!$A$2:$A$200,0)),"DA DEFINIRE")</f>
        <v/>
      </c>
      <c r="G112" s="12" t="n">
        <v>60</v>
      </c>
      <c r="H112" s="11">
        <f>Q112*R112</f>
        <v/>
      </c>
      <c r="I112" s="11" t="n">
        <v>0</v>
      </c>
      <c r="J112" s="12" t="n">
        <v>360</v>
      </c>
      <c r="K112" s="12" t="n">
        <v>0</v>
      </c>
      <c r="L112" s="12" t="n">
        <v>327.3</v>
      </c>
      <c r="M112" s="12" t="n">
        <v>32.7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6</v>
      </c>
      <c r="R112" s="11">
        <f>IFERROR(INDEX(Tariffe!$E$2:$E$200,MATCH(E112,Tariffe!$A$2:$A$200,0))*1,1)</f>
        <v/>
      </c>
    </row>
    <row r="113">
      <c r="A113" s="23" t="inlineStr">
        <is>
          <t>20261031_2115</t>
        </is>
      </c>
      <c r="B113" s="13" t="n">
        <v>46326</v>
      </c>
      <c r="C113" s="14" t="n">
        <v>0.8854166666666666</v>
      </c>
      <c r="D113" s="23" t="inlineStr">
        <is>
          <t>UN Unico</t>
        </is>
      </c>
      <c r="E113" s="23" t="inlineStr">
        <is>
          <t>I8 24€</t>
        </is>
      </c>
      <c r="F113" s="23">
        <f>IFERROR(INDEX(Tariffe!$B$2:$B$200,MATCH(E113,Tariffe!$A$2:$A$200,0)),"DA DEFINIRE")</f>
        <v/>
      </c>
      <c r="G113" s="16" t="n">
        <v>24</v>
      </c>
      <c r="H113" s="15">
        <f>Q113*R113</f>
        <v/>
      </c>
      <c r="I113" s="15" t="n">
        <v>0</v>
      </c>
      <c r="J113" s="16" t="n">
        <v>912</v>
      </c>
      <c r="K113" s="16" t="n">
        <v>0</v>
      </c>
      <c r="L113" s="16" t="n">
        <v>829.16</v>
      </c>
      <c r="M113" s="16" t="n">
        <v>82.84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38</v>
      </c>
      <c r="R113" s="15">
        <f>IFERROR(INDEX(Tariffe!$E$2:$E$200,MATCH(E113,Tariffe!$A$2:$A$200,0))*1,1)</f>
        <v/>
      </c>
    </row>
    <row r="114">
      <c r="A114" s="22" t="inlineStr">
        <is>
          <t>20261031_2215</t>
        </is>
      </c>
      <c r="B114" s="9" t="n">
        <v>46326</v>
      </c>
      <c r="C114" s="10" t="n">
        <v>0.9270833333333334</v>
      </c>
      <c r="D114" s="22" t="inlineStr">
        <is>
          <t>UN Unico</t>
        </is>
      </c>
      <c r="E114" s="22" t="inlineStr">
        <is>
          <t>I1 48€</t>
        </is>
      </c>
      <c r="F114" s="22">
        <f>IFERROR(INDEX(Tariffe!$B$2:$B$200,MATCH(E114,Tariffe!$A$2:$A$200,0)),"DA DEFINIRE")</f>
        <v/>
      </c>
      <c r="G114" s="12" t="n">
        <v>48</v>
      </c>
      <c r="H114" s="11">
        <f>Q114*R114</f>
        <v/>
      </c>
      <c r="I114" s="11" t="n">
        <v>3</v>
      </c>
      <c r="J114" s="12" t="n">
        <v>1296</v>
      </c>
      <c r="K114" s="12" t="n">
        <v>0</v>
      </c>
      <c r="L114" s="12" t="n">
        <v>1178.28</v>
      </c>
      <c r="M114" s="12" t="n">
        <v>117.72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27</v>
      </c>
      <c r="R114" s="11">
        <f>IFERROR(INDEX(Tariffe!$E$2:$E$200,MATCH(E114,Tariffe!$A$2:$A$200,0))*1,1)</f>
        <v/>
      </c>
    </row>
    <row r="115">
      <c r="A115" s="23" t="inlineStr">
        <is>
          <t>20261031_2215</t>
        </is>
      </c>
      <c r="B115" s="13" t="n">
        <v>46326</v>
      </c>
      <c r="C115" s="14" t="n">
        <v>0.9270833333333334</v>
      </c>
      <c r="D115" s="23" t="inlineStr">
        <is>
          <t>UN Unico</t>
        </is>
      </c>
      <c r="E115" s="23" t="inlineStr">
        <is>
          <t>I2 36€</t>
        </is>
      </c>
      <c r="F115" s="23">
        <f>IFERROR(INDEX(Tariffe!$B$2:$B$200,MATCH(E115,Tariffe!$A$2:$A$200,0)),"DA DEFINIRE")</f>
        <v/>
      </c>
      <c r="G115" s="16" t="n">
        <v>36</v>
      </c>
      <c r="H115" s="15">
        <f>Q115*R115</f>
        <v/>
      </c>
      <c r="I115" s="15" t="n">
        <v>0</v>
      </c>
      <c r="J115" s="16" t="n">
        <v>180</v>
      </c>
      <c r="K115" s="16" t="n">
        <v>0</v>
      </c>
      <c r="L115" s="16" t="n">
        <v>163.65</v>
      </c>
      <c r="M115" s="16" t="n">
        <v>16.35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5</v>
      </c>
      <c r="R115" s="15">
        <f>IFERROR(INDEX(Tariffe!$E$2:$E$200,MATCH(E115,Tariffe!$A$2:$A$200,0))*1,1)</f>
        <v/>
      </c>
    </row>
    <row r="116">
      <c r="A116" s="22" t="inlineStr">
        <is>
          <t>20261031_2215</t>
        </is>
      </c>
      <c r="B116" s="9" t="n">
        <v>46326</v>
      </c>
      <c r="C116" s="10" t="n">
        <v>0.9270833333333334</v>
      </c>
      <c r="D116" s="22" t="inlineStr">
        <is>
          <t>UN Unico</t>
        </is>
      </c>
      <c r="E116" s="22" t="inlineStr">
        <is>
          <t>I5 60€</t>
        </is>
      </c>
      <c r="F116" s="22">
        <f>IFERROR(INDEX(Tariffe!$B$2:$B$200,MATCH(E116,Tariffe!$A$2:$A$200,0)),"DA DEFINIRE")</f>
        <v/>
      </c>
      <c r="G116" s="12" t="n">
        <v>60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10/2026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20261031_2215</t>
        </is>
      </c>
      <c r="B117" s="13" t="n">
        <v>46326</v>
      </c>
      <c r="C117" s="14" t="n">
        <v>0.9270833333333334</v>
      </c>
      <c r="D117" s="23" t="inlineStr">
        <is>
          <t>UN Unico</t>
        </is>
      </c>
      <c r="E117" s="23" t="inlineStr">
        <is>
          <t>I8 24€</t>
        </is>
      </c>
      <c r="F117" s="23">
        <f>IFERROR(INDEX(Tariffe!$B$2:$B$200,MATCH(E117,Tariffe!$A$2:$A$200,0)),"DA DEFINIRE")</f>
        <v/>
      </c>
      <c r="G117" s="16" t="n">
        <v>24</v>
      </c>
      <c r="H117" s="15">
        <f>Q117*R117</f>
        <v/>
      </c>
      <c r="I117" s="15" t="n">
        <v>0</v>
      </c>
      <c r="J117" s="16" t="n">
        <v>1056</v>
      </c>
      <c r="K117" s="16" t="n">
        <v>0</v>
      </c>
      <c r="L117" s="16" t="n">
        <v>960.08</v>
      </c>
      <c r="M117" s="16" t="n">
        <v>95.92</v>
      </c>
      <c r="N117" s="23" t="inlineStr">
        <is>
          <t>10/2026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44</v>
      </c>
      <c r="R117" s="15">
        <f>IFERROR(INDEX(Tariffe!$E$2:$E$200,MATCH(E117,Tariffe!$A$2:$A$200,0))*1,1)</f>
        <v/>
      </c>
    </row>
    <row r="118">
      <c r="A118" s="22" t="inlineStr">
        <is>
          <t>20261031_2315</t>
        </is>
      </c>
      <c r="B118" s="9" t="n">
        <v>46326</v>
      </c>
      <c r="C118" s="10" t="n">
        <v>0.96875</v>
      </c>
      <c r="D118" s="22" t="inlineStr">
        <is>
          <t>UN Unico</t>
        </is>
      </c>
      <c r="E118" s="22" t="inlineStr">
        <is>
          <t>I1 48€</t>
        </is>
      </c>
      <c r="F118" s="22">
        <f>IFERROR(INDEX(Tariffe!$B$2:$B$200,MATCH(E118,Tariffe!$A$2:$A$200,0)),"DA DEFINIRE")</f>
        <v/>
      </c>
      <c r="G118" s="12" t="n">
        <v>48</v>
      </c>
      <c r="H118" s="11">
        <f>Q118*R118</f>
        <v/>
      </c>
      <c r="I118" s="11" t="n">
        <v>0</v>
      </c>
      <c r="J118" s="12" t="n">
        <v>1968</v>
      </c>
      <c r="K118" s="12" t="n">
        <v>0</v>
      </c>
      <c r="L118" s="12" t="n">
        <v>1789.24</v>
      </c>
      <c r="M118" s="12" t="n">
        <v>178.76</v>
      </c>
      <c r="N118" s="22" t="inlineStr">
        <is>
          <t>10/2026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41</v>
      </c>
      <c r="R118" s="11">
        <f>IFERROR(INDEX(Tariffe!$E$2:$E$200,MATCH(E118,Tariffe!$A$2:$A$200,0))*1,1)</f>
        <v/>
      </c>
    </row>
    <row r="119">
      <c r="A119" s="23" t="inlineStr">
        <is>
          <t>20261031_2315</t>
        </is>
      </c>
      <c r="B119" s="13" t="n">
        <v>46326</v>
      </c>
      <c r="C119" s="14" t="n">
        <v>0.96875</v>
      </c>
      <c r="D119" s="23" t="inlineStr">
        <is>
          <t>UN Unico</t>
        </is>
      </c>
      <c r="E119" s="23" t="inlineStr">
        <is>
          <t>I2 36€</t>
        </is>
      </c>
      <c r="F119" s="23">
        <f>IFERROR(INDEX(Tariffe!$B$2:$B$200,MATCH(E119,Tariffe!$A$2:$A$200,0)),"DA DEFINIRE")</f>
        <v/>
      </c>
      <c r="G119" s="16" t="n">
        <v>36</v>
      </c>
      <c r="H119" s="15">
        <f>Q119*R119</f>
        <v/>
      </c>
      <c r="I119" s="15" t="n">
        <v>0</v>
      </c>
      <c r="J119" s="16" t="n">
        <v>108</v>
      </c>
      <c r="K119" s="16" t="n">
        <v>0</v>
      </c>
      <c r="L119" s="16" t="n">
        <v>98.19</v>
      </c>
      <c r="M119" s="16" t="n">
        <v>9.81</v>
      </c>
      <c r="N119" s="23" t="inlineStr">
        <is>
          <t>10/2026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20261031_2315</t>
        </is>
      </c>
      <c r="B120" s="9" t="n">
        <v>46326</v>
      </c>
      <c r="C120" s="10" t="n">
        <v>0.96875</v>
      </c>
      <c r="D120" s="22" t="inlineStr">
        <is>
          <t>UN Unico</t>
        </is>
      </c>
      <c r="E120" s="22" t="inlineStr">
        <is>
          <t>I5 60€</t>
        </is>
      </c>
      <c r="F120" s="22">
        <f>IFERROR(INDEX(Tariffe!$B$2:$B$200,MATCH(E120,Tariffe!$A$2:$A$200,0)),"DA DEFINIRE")</f>
        <v/>
      </c>
      <c r="G120" s="12" t="n">
        <v>60</v>
      </c>
      <c r="H120" s="11">
        <f>Q120*R120</f>
        <v/>
      </c>
      <c r="I120" s="11" t="n">
        <v>0</v>
      </c>
      <c r="J120" s="12" t="n">
        <v>300</v>
      </c>
      <c r="K120" s="12" t="n">
        <v>0</v>
      </c>
      <c r="L120" s="12" t="n">
        <v>272.75</v>
      </c>
      <c r="M120" s="12" t="n">
        <v>27.25</v>
      </c>
      <c r="N120" s="22" t="inlineStr">
        <is>
          <t>10/2026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20261031_2315</t>
        </is>
      </c>
      <c r="B121" s="13" t="n">
        <v>46326</v>
      </c>
      <c r="C121" s="14" t="n">
        <v>0.96875</v>
      </c>
      <c r="D121" s="23" t="inlineStr">
        <is>
          <t>UN Unico</t>
        </is>
      </c>
      <c r="E121" s="23" t="inlineStr">
        <is>
          <t>I8 24€</t>
        </is>
      </c>
      <c r="F121" s="23">
        <f>IFERROR(INDEX(Tariffe!$B$2:$B$200,MATCH(E121,Tariffe!$A$2:$A$200,0)),"DA DEFINIRE")</f>
        <v/>
      </c>
      <c r="G121" s="16" t="n">
        <v>24</v>
      </c>
      <c r="H121" s="15">
        <f>Q121*R121</f>
        <v/>
      </c>
      <c r="I121" s="15" t="n">
        <v>0</v>
      </c>
      <c r="J121" s="16" t="n">
        <v>744</v>
      </c>
      <c r="K121" s="16" t="n">
        <v>0</v>
      </c>
      <c r="L121" s="16" t="n">
        <v>676.42</v>
      </c>
      <c r="M121" s="16" t="n">
        <v>67.58</v>
      </c>
      <c r="N121" s="23" t="inlineStr">
        <is>
          <t>10/2026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31</v>
      </c>
      <c r="R121" s="15">
        <f>IFERROR(INDEX(Tariffe!$E$2:$E$200,MATCH(E121,Tariffe!$A$2:$A$200,0))*1,1)</f>
        <v/>
      </c>
    </row>
    <row r="122">
      <c r="A122" s="22" t="inlineStr">
        <is>
          <t>20261031_2359</t>
        </is>
      </c>
      <c r="B122" s="9" t="n">
        <v>46326</v>
      </c>
      <c r="C122" s="10" t="n">
        <v>0.9993055555555556</v>
      </c>
      <c r="D122" s="22" t="inlineStr">
        <is>
          <t>UN Unico</t>
        </is>
      </c>
      <c r="E122" s="22" t="inlineStr">
        <is>
          <t>I1 48€</t>
        </is>
      </c>
      <c r="F122" s="22">
        <f>IFERROR(INDEX(Tariffe!$B$2:$B$200,MATCH(E122,Tariffe!$A$2:$A$200,0)),"DA DEFINIRE")</f>
        <v/>
      </c>
      <c r="G122" s="12" t="n">
        <v>48</v>
      </c>
      <c r="H122" s="11">
        <f>Q122*R122</f>
        <v/>
      </c>
      <c r="I122" s="11" t="n">
        <v>0</v>
      </c>
      <c r="J122" s="12" t="n">
        <v>2256</v>
      </c>
      <c r="K122" s="12" t="n">
        <v>0</v>
      </c>
      <c r="L122" s="12" t="n">
        <v>2051.08</v>
      </c>
      <c r="M122" s="12" t="n">
        <v>204.92</v>
      </c>
      <c r="N122" s="22" t="inlineStr">
        <is>
          <t>10/2026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47</v>
      </c>
      <c r="R122" s="11">
        <f>IFERROR(INDEX(Tariffe!$E$2:$E$200,MATCH(E122,Tariffe!$A$2:$A$200,0))*1,1)</f>
        <v/>
      </c>
    </row>
    <row r="123">
      <c r="A123" s="23" t="inlineStr">
        <is>
          <t>20261031_2359</t>
        </is>
      </c>
      <c r="B123" s="13" t="n">
        <v>46326</v>
      </c>
      <c r="C123" s="14" t="n">
        <v>0.9993055555555556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10/2026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20261031_2359</t>
        </is>
      </c>
      <c r="B124" s="9" t="n">
        <v>46326</v>
      </c>
      <c r="C124" s="10" t="n">
        <v>0.9993055555555556</v>
      </c>
      <c r="D124" s="22" t="inlineStr">
        <is>
          <t>UN Unico</t>
        </is>
      </c>
      <c r="E124" s="22" t="inlineStr">
        <is>
          <t>I5 60€</t>
        </is>
      </c>
      <c r="F124" s="22">
        <f>IFERROR(INDEX(Tariffe!$B$2:$B$200,MATCH(E124,Tariffe!$A$2:$A$200,0)),"DA DEFINIRE")</f>
        <v/>
      </c>
      <c r="G124" s="12" t="n">
        <v>60</v>
      </c>
      <c r="H124" s="11">
        <f>Q124*R124</f>
        <v/>
      </c>
      <c r="I124" s="11" t="n">
        <v>0</v>
      </c>
      <c r="J124" s="12" t="n">
        <v>300</v>
      </c>
      <c r="K124" s="12" t="n">
        <v>0</v>
      </c>
      <c r="L124" s="12" t="n">
        <v>272.75</v>
      </c>
      <c r="M124" s="12" t="n">
        <v>27.25</v>
      </c>
      <c r="N124" s="22" t="inlineStr">
        <is>
          <t>10/2026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5</v>
      </c>
      <c r="R124" s="11">
        <f>IFERROR(INDEX(Tariffe!$E$2:$E$200,MATCH(E124,Tariffe!$A$2:$A$200,0))*1,1)</f>
        <v/>
      </c>
    </row>
    <row r="125">
      <c r="A125" s="23" t="inlineStr">
        <is>
          <t>20261031_2359</t>
        </is>
      </c>
      <c r="B125" s="13" t="n">
        <v>46326</v>
      </c>
      <c r="C125" s="14" t="n">
        <v>0.9993055555555556</v>
      </c>
      <c r="D125" s="23" t="inlineStr">
        <is>
          <t>UN Unico</t>
        </is>
      </c>
      <c r="E125" s="23" t="inlineStr">
        <is>
          <t>I8 24€</t>
        </is>
      </c>
      <c r="F125" s="23">
        <f>IFERROR(INDEX(Tariffe!$B$2:$B$200,MATCH(E125,Tariffe!$A$2:$A$200,0)),"DA DEFINIRE")</f>
        <v/>
      </c>
      <c r="G125" s="16" t="n">
        <v>24</v>
      </c>
      <c r="H125" s="15">
        <f>Q125*R125</f>
        <v/>
      </c>
      <c r="I125" s="15" t="n">
        <v>0</v>
      </c>
      <c r="J125" s="16" t="n">
        <v>648</v>
      </c>
      <c r="K125" s="16" t="n">
        <v>0</v>
      </c>
      <c r="L125" s="16" t="n">
        <v>589.14</v>
      </c>
      <c r="M125" s="16" t="n">
        <v>58.86</v>
      </c>
      <c r="N125" s="23" t="inlineStr">
        <is>
          <t>10/2026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27</v>
      </c>
      <c r="R125" s="15">
        <f>IFERROR(INDEX(Tariffe!$E$2:$E$200,MATCH(E125,Tariffe!$A$2:$A$200,0))*1,1)</f>
        <v/>
      </c>
    </row>
    <row r="126">
      <c r="A126" s="22" t="inlineStr">
        <is>
          <t>20261101_1915</t>
        </is>
      </c>
      <c r="B126" s="9" t="n">
        <v>46327</v>
      </c>
      <c r="C126" s="10" t="n">
        <v>0.8020833333333334</v>
      </c>
      <c r="D126" s="22" t="inlineStr">
        <is>
          <t>UN Unico</t>
        </is>
      </c>
      <c r="E126" s="22" t="inlineStr">
        <is>
          <t>I1 48€</t>
        </is>
      </c>
      <c r="F126" s="22">
        <f>IFERROR(INDEX(Tariffe!$B$2:$B$200,MATCH(E126,Tariffe!$A$2:$A$200,0)),"DA DEFINIRE")</f>
        <v/>
      </c>
      <c r="G126" s="12" t="n">
        <v>48</v>
      </c>
      <c r="H126" s="11">
        <f>Q126*R126</f>
        <v/>
      </c>
      <c r="I126" s="11" t="n">
        <v>0</v>
      </c>
      <c r="J126" s="12" t="n">
        <v>528</v>
      </c>
      <c r="K126" s="12" t="n">
        <v>0</v>
      </c>
      <c r="L126" s="12" t="n">
        <v>480.04</v>
      </c>
      <c r="M126" s="12" t="n">
        <v>47.96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11</v>
      </c>
      <c r="R126" s="11">
        <f>IFERROR(INDEX(Tariffe!$E$2:$E$200,MATCH(E126,Tariffe!$A$2:$A$200,0))*1,1)</f>
        <v/>
      </c>
    </row>
    <row r="127">
      <c r="A127" s="23" t="inlineStr">
        <is>
          <t>20261101_1915</t>
        </is>
      </c>
      <c r="B127" s="13" t="n">
        <v>46327</v>
      </c>
      <c r="C127" s="14" t="n">
        <v>0.8020833333333334</v>
      </c>
      <c r="D127" s="23" t="inlineStr">
        <is>
          <t>UN Unico</t>
        </is>
      </c>
      <c r="E127" s="23" t="inlineStr">
        <is>
          <t>I2 36€</t>
        </is>
      </c>
      <c r="F127" s="23">
        <f>IFERROR(INDEX(Tariffe!$B$2:$B$200,MATCH(E127,Tariffe!$A$2:$A$200,0)),"DA DEFINIRE")</f>
        <v/>
      </c>
      <c r="G127" s="16" t="n">
        <v>36</v>
      </c>
      <c r="H127" s="15">
        <f>Q127*R127</f>
        <v/>
      </c>
      <c r="I127" s="15" t="n">
        <v>0</v>
      </c>
      <c r="J127" s="16" t="n">
        <v>72</v>
      </c>
      <c r="K127" s="16" t="n">
        <v>0</v>
      </c>
      <c r="L127" s="16" t="n">
        <v>65.45999999999999</v>
      </c>
      <c r="M127" s="16" t="n">
        <v>6.54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20261101_1915</t>
        </is>
      </c>
      <c r="B128" s="9" t="n">
        <v>46327</v>
      </c>
      <c r="C128" s="10" t="n">
        <v>0.8020833333333334</v>
      </c>
      <c r="D128" s="22" t="inlineStr">
        <is>
          <t>UN Unico</t>
        </is>
      </c>
      <c r="E128" s="22" t="inlineStr">
        <is>
          <t>I5 60€</t>
        </is>
      </c>
      <c r="F128" s="22">
        <f>IFERROR(INDEX(Tariffe!$B$2:$B$200,MATCH(E128,Tariffe!$A$2:$A$200,0)),"DA DEFINIRE")</f>
        <v/>
      </c>
      <c r="G128" s="12" t="n">
        <v>60</v>
      </c>
      <c r="H128" s="11">
        <f>Q128*R128</f>
        <v/>
      </c>
      <c r="I128" s="11" t="n">
        <v>0</v>
      </c>
      <c r="J128" s="12" t="n">
        <v>180</v>
      </c>
      <c r="K128" s="12" t="n">
        <v>0</v>
      </c>
      <c r="L128" s="12" t="n">
        <v>163.65</v>
      </c>
      <c r="M128" s="12" t="n">
        <v>16.35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20261101_1915</t>
        </is>
      </c>
      <c r="B129" s="13" t="n">
        <v>46327</v>
      </c>
      <c r="C129" s="14" t="n">
        <v>0.8020833333333334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312</v>
      </c>
      <c r="K129" s="16" t="n">
        <v>0</v>
      </c>
      <c r="L129" s="16" t="n">
        <v>283.66</v>
      </c>
      <c r="M129" s="16" t="n">
        <v>28.34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13</v>
      </c>
      <c r="R129" s="15">
        <f>IFERROR(INDEX(Tariffe!$E$2:$E$200,MATCH(E129,Tariffe!$A$2:$A$200,0))*1,1)</f>
        <v/>
      </c>
    </row>
    <row r="130">
      <c r="A130" s="22" t="inlineStr">
        <is>
          <t>20261101_2015</t>
        </is>
      </c>
      <c r="B130" s="9" t="n">
        <v>46327</v>
      </c>
      <c r="C130" s="10" t="n">
        <v>0.84375</v>
      </c>
      <c r="D130" s="22" t="inlineStr">
        <is>
          <t>UN Unico</t>
        </is>
      </c>
      <c r="E130" s="22" t="inlineStr">
        <is>
          <t>I1 48€</t>
        </is>
      </c>
      <c r="F130" s="22">
        <f>IFERROR(INDEX(Tariffe!$B$2:$B$200,MATCH(E130,Tariffe!$A$2:$A$200,0)),"DA DEFINIRE")</f>
        <v/>
      </c>
      <c r="G130" s="12" t="n">
        <v>48</v>
      </c>
      <c r="H130" s="11">
        <f>Q130*R130</f>
        <v/>
      </c>
      <c r="I130" s="11" t="n">
        <v>0</v>
      </c>
      <c r="J130" s="12" t="n">
        <v>864</v>
      </c>
      <c r="K130" s="12" t="n">
        <v>0</v>
      </c>
      <c r="L130" s="12" t="n">
        <v>785.52</v>
      </c>
      <c r="M130" s="12" t="n">
        <v>78.48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18</v>
      </c>
      <c r="R130" s="11">
        <f>IFERROR(INDEX(Tariffe!$E$2:$E$200,MATCH(E130,Tariffe!$A$2:$A$200,0))*1,1)</f>
        <v/>
      </c>
    </row>
    <row r="131">
      <c r="A131" s="23" t="inlineStr">
        <is>
          <t>20261101_2015</t>
        </is>
      </c>
      <c r="B131" s="13" t="n">
        <v>46327</v>
      </c>
      <c r="C131" s="14" t="n">
        <v>0.84375</v>
      </c>
      <c r="D131" s="23" t="inlineStr">
        <is>
          <t>UN Unico</t>
        </is>
      </c>
      <c r="E131" s="23" t="inlineStr">
        <is>
          <t>I2 36€</t>
        </is>
      </c>
      <c r="F131" s="23">
        <f>IFERROR(INDEX(Tariffe!$B$2:$B$200,MATCH(E131,Tariffe!$A$2:$A$200,0)),"DA DEFINIRE")</f>
        <v/>
      </c>
      <c r="G131" s="16" t="n">
        <v>36</v>
      </c>
      <c r="H131" s="15">
        <f>Q131*R131</f>
        <v/>
      </c>
      <c r="I131" s="15" t="n">
        <v>0</v>
      </c>
      <c r="J131" s="16" t="n">
        <v>252</v>
      </c>
      <c r="K131" s="16" t="n">
        <v>0</v>
      </c>
      <c r="L131" s="16" t="n">
        <v>229.11</v>
      </c>
      <c r="M131" s="16" t="n">
        <v>22.89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7</v>
      </c>
      <c r="R131" s="15">
        <f>IFERROR(INDEX(Tariffe!$E$2:$E$200,MATCH(E131,Tariffe!$A$2:$A$200,0))*1,1)</f>
        <v/>
      </c>
    </row>
    <row r="132">
      <c r="A132" s="22" t="inlineStr">
        <is>
          <t>20261101_2015</t>
        </is>
      </c>
      <c r="B132" s="9" t="n">
        <v>46327</v>
      </c>
      <c r="C132" s="10" t="n">
        <v>0.84375</v>
      </c>
      <c r="D132" s="22" t="inlineStr">
        <is>
          <t>UN Unico</t>
        </is>
      </c>
      <c r="E132" s="22" t="inlineStr">
        <is>
          <t>I5 60€</t>
        </is>
      </c>
      <c r="F132" s="22">
        <f>IFERROR(INDEX(Tariffe!$B$2:$B$200,MATCH(E132,Tariffe!$A$2:$A$200,0)),"DA DEFINIRE")</f>
        <v/>
      </c>
      <c r="G132" s="12" t="n">
        <v>60</v>
      </c>
      <c r="H132" s="11">
        <f>Q132*R132</f>
        <v/>
      </c>
      <c r="I132" s="11" t="n">
        <v>0</v>
      </c>
      <c r="J132" s="12" t="n">
        <v>420</v>
      </c>
      <c r="K132" s="12" t="n">
        <v>0</v>
      </c>
      <c r="L132" s="12" t="n">
        <v>381.85</v>
      </c>
      <c r="M132" s="12" t="n">
        <v>38.15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7</v>
      </c>
      <c r="R132" s="11">
        <f>IFERROR(INDEX(Tariffe!$E$2:$E$200,MATCH(E132,Tariffe!$A$2:$A$200,0))*1,1)</f>
        <v/>
      </c>
    </row>
    <row r="133">
      <c r="A133" s="23" t="inlineStr">
        <is>
          <t>20261101_2015</t>
        </is>
      </c>
      <c r="B133" s="13" t="n">
        <v>46327</v>
      </c>
      <c r="C133" s="14" t="n">
        <v>0.84375</v>
      </c>
      <c r="D133" s="23" t="inlineStr">
        <is>
          <t>UN Unico</t>
        </is>
      </c>
      <c r="E133" s="23" t="inlineStr">
        <is>
          <t>I8 24€</t>
        </is>
      </c>
      <c r="F133" s="23">
        <f>IFERROR(INDEX(Tariffe!$B$2:$B$200,MATCH(E133,Tariffe!$A$2:$A$200,0)),"DA DEFINIRE")</f>
        <v/>
      </c>
      <c r="G133" s="16" t="n">
        <v>24</v>
      </c>
      <c r="H133" s="15">
        <f>Q133*R133</f>
        <v/>
      </c>
      <c r="I133" s="15" t="n">
        <v>0</v>
      </c>
      <c r="J133" s="16" t="n">
        <v>600</v>
      </c>
      <c r="K133" s="16" t="n">
        <v>0</v>
      </c>
      <c r="L133" s="16" t="n">
        <v>545.5</v>
      </c>
      <c r="M133" s="16" t="n">
        <v>54.5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25</v>
      </c>
      <c r="R133" s="15">
        <f>IFERROR(INDEX(Tariffe!$E$2:$E$200,MATCH(E133,Tariffe!$A$2:$A$200,0))*1,1)</f>
        <v/>
      </c>
    </row>
    <row r="134">
      <c r="A134" s="22" t="inlineStr">
        <is>
          <t>20261101_2115</t>
        </is>
      </c>
      <c r="B134" s="9" t="n">
        <v>46327</v>
      </c>
      <c r="C134" s="10" t="n">
        <v>0.8854166666666666</v>
      </c>
      <c r="D134" s="22" t="inlineStr">
        <is>
          <t>UN Unico</t>
        </is>
      </c>
      <c r="E134" s="22" t="inlineStr">
        <is>
          <t>I1 48€</t>
        </is>
      </c>
      <c r="F134" s="22">
        <f>IFERROR(INDEX(Tariffe!$B$2:$B$200,MATCH(E134,Tariffe!$A$2:$A$200,0)),"DA DEFINIRE")</f>
        <v/>
      </c>
      <c r="G134" s="12" t="n">
        <v>48</v>
      </c>
      <c r="H134" s="11">
        <f>Q134*R134</f>
        <v/>
      </c>
      <c r="I134" s="11" t="n">
        <v>0</v>
      </c>
      <c r="J134" s="12" t="n">
        <v>1296</v>
      </c>
      <c r="K134" s="12" t="n">
        <v>0</v>
      </c>
      <c r="L134" s="12" t="n">
        <v>1178.28</v>
      </c>
      <c r="M134" s="12" t="n">
        <v>117.72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27</v>
      </c>
      <c r="R134" s="11">
        <f>IFERROR(INDEX(Tariffe!$E$2:$E$200,MATCH(E134,Tariffe!$A$2:$A$200,0))*1,1)</f>
        <v/>
      </c>
    </row>
    <row r="135">
      <c r="A135" s="23" t="inlineStr">
        <is>
          <t>20261101_2115</t>
        </is>
      </c>
      <c r="B135" s="13" t="n">
        <v>46327</v>
      </c>
      <c r="C135" s="14" t="n">
        <v>0.8854166666666666</v>
      </c>
      <c r="D135" s="23" t="inlineStr">
        <is>
          <t>UN Unico</t>
        </is>
      </c>
      <c r="E135" s="23" t="inlineStr">
        <is>
          <t>I2 36€</t>
        </is>
      </c>
      <c r="F135" s="23">
        <f>IFERROR(INDEX(Tariffe!$B$2:$B$200,MATCH(E135,Tariffe!$A$2:$A$200,0)),"DA DEFINIRE")</f>
        <v/>
      </c>
      <c r="G135" s="16" t="n">
        <v>36</v>
      </c>
      <c r="H135" s="15">
        <f>Q135*R135</f>
        <v/>
      </c>
      <c r="I135" s="15" t="n">
        <v>0</v>
      </c>
      <c r="J135" s="16" t="n">
        <v>324</v>
      </c>
      <c r="K135" s="16" t="n">
        <v>0</v>
      </c>
      <c r="L135" s="16" t="n">
        <v>294.57</v>
      </c>
      <c r="M135" s="16" t="n">
        <v>29.43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9</v>
      </c>
      <c r="R135" s="15">
        <f>IFERROR(INDEX(Tariffe!$E$2:$E$200,MATCH(E135,Tariffe!$A$2:$A$200,0))*1,1)</f>
        <v/>
      </c>
    </row>
    <row r="136">
      <c r="A136" s="22" t="inlineStr">
        <is>
          <t>20261101_2115</t>
        </is>
      </c>
      <c r="B136" s="9" t="n">
        <v>46327</v>
      </c>
      <c r="C136" s="10" t="n">
        <v>0.8854166666666666</v>
      </c>
      <c r="D136" s="22" t="inlineStr">
        <is>
          <t>UN Unico</t>
        </is>
      </c>
      <c r="E136" s="22" t="inlineStr">
        <is>
          <t>I5 60€</t>
        </is>
      </c>
      <c r="F136" s="22">
        <f>IFERROR(INDEX(Tariffe!$B$2:$B$200,MATCH(E136,Tariffe!$A$2:$A$200,0)),"DA DEFINIRE")</f>
        <v/>
      </c>
      <c r="G136" s="12" t="n">
        <v>60</v>
      </c>
      <c r="H136" s="11">
        <f>Q136*R136</f>
        <v/>
      </c>
      <c r="I136" s="11" t="n">
        <v>0</v>
      </c>
      <c r="J136" s="12" t="n">
        <v>660</v>
      </c>
      <c r="K136" s="12" t="n">
        <v>0</v>
      </c>
      <c r="L136" s="12" t="n">
        <v>600.05</v>
      </c>
      <c r="M136" s="12" t="n">
        <v>59.95</v>
      </c>
      <c r="N136" s="22" t="inlineStr">
        <is>
          <t>11/2026</t>
        </is>
      </c>
      <c r="O136" s="11">
        <f>IFERROR(INDEX(Tariffe!$D$2:$D$200,MATCH(E136,Tariffe!$A$2:$A$200,0))*1,0)</f>
        <v/>
      </c>
      <c r="P136" s="11">
        <f>Q136*O136</f>
        <v/>
      </c>
      <c r="Q136" s="11" t="n">
        <v>11</v>
      </c>
      <c r="R136" s="11">
        <f>IFERROR(INDEX(Tariffe!$E$2:$E$200,MATCH(E136,Tariffe!$A$2:$A$200,0))*1,1)</f>
        <v/>
      </c>
    </row>
    <row r="137">
      <c r="A137" s="23" t="inlineStr">
        <is>
          <t>20261101_2115</t>
        </is>
      </c>
      <c r="B137" s="13" t="n">
        <v>46327</v>
      </c>
      <c r="C137" s="14" t="n">
        <v>0.8854166666666666</v>
      </c>
      <c r="D137" s="23" t="inlineStr">
        <is>
          <t>UN Unico</t>
        </is>
      </c>
      <c r="E137" s="23" t="inlineStr">
        <is>
          <t>I8 24€</t>
        </is>
      </c>
      <c r="F137" s="23">
        <f>IFERROR(INDEX(Tariffe!$B$2:$B$200,MATCH(E137,Tariffe!$A$2:$A$200,0)),"DA DEFINIRE")</f>
        <v/>
      </c>
      <c r="G137" s="16" t="n">
        <v>24</v>
      </c>
      <c r="H137" s="15">
        <f>Q137*R137</f>
        <v/>
      </c>
      <c r="I137" s="15" t="n">
        <v>0</v>
      </c>
      <c r="J137" s="16" t="n">
        <v>792</v>
      </c>
      <c r="K137" s="16" t="n">
        <v>0</v>
      </c>
      <c r="L137" s="16" t="n">
        <v>720.0599999999999</v>
      </c>
      <c r="M137" s="16" t="n">
        <v>71.94</v>
      </c>
      <c r="N137" s="23" t="inlineStr">
        <is>
          <t>11/2026</t>
        </is>
      </c>
      <c r="O137" s="15">
        <f>IFERROR(INDEX(Tariffe!$D$2:$D$200,MATCH(E137,Tariffe!$A$2:$A$200,0))*1,0)</f>
        <v/>
      </c>
      <c r="P137" s="15">
        <f>Q137*O137</f>
        <v/>
      </c>
      <c r="Q137" s="15" t="n">
        <v>33</v>
      </c>
      <c r="R137" s="15">
        <f>IFERROR(INDEX(Tariffe!$E$2:$E$200,MATCH(E137,Tariffe!$A$2:$A$200,0))*1,1)</f>
        <v/>
      </c>
    </row>
    <row r="138">
      <c r="A138" s="22" t="inlineStr">
        <is>
          <t>20261101_2215</t>
        </is>
      </c>
      <c r="B138" s="9" t="n">
        <v>46327</v>
      </c>
      <c r="C138" s="10" t="n">
        <v>0.9270833333333334</v>
      </c>
      <c r="D138" s="22" t="inlineStr">
        <is>
          <t>UN Unico</t>
        </is>
      </c>
      <c r="E138" s="22" t="inlineStr">
        <is>
          <t>I1 48€</t>
        </is>
      </c>
      <c r="F138" s="22">
        <f>IFERROR(INDEX(Tariffe!$B$2:$B$200,MATCH(E138,Tariffe!$A$2:$A$200,0)),"DA DEFINIRE")</f>
        <v/>
      </c>
      <c r="G138" s="12" t="n">
        <v>48</v>
      </c>
      <c r="H138" s="11">
        <f>Q138*R138</f>
        <v/>
      </c>
      <c r="I138" s="11" t="n">
        <v>0</v>
      </c>
      <c r="J138" s="12" t="n">
        <v>1728</v>
      </c>
      <c r="K138" s="12" t="n">
        <v>0</v>
      </c>
      <c r="L138" s="12" t="n">
        <v>1571.04</v>
      </c>
      <c r="M138" s="12" t="n">
        <v>156.96</v>
      </c>
      <c r="N138" s="22" t="inlineStr">
        <is>
          <t>11/2026</t>
        </is>
      </c>
      <c r="O138" s="11">
        <f>IFERROR(INDEX(Tariffe!$D$2:$D$200,MATCH(E138,Tariffe!$A$2:$A$200,0))*1,0)</f>
        <v/>
      </c>
      <c r="P138" s="11">
        <f>Q138*O138</f>
        <v/>
      </c>
      <c r="Q138" s="11" t="n">
        <v>36</v>
      </c>
      <c r="R138" s="11">
        <f>IFERROR(INDEX(Tariffe!$E$2:$E$200,MATCH(E138,Tariffe!$A$2:$A$200,0))*1,1)</f>
        <v/>
      </c>
    </row>
    <row r="139">
      <c r="A139" s="23" t="inlineStr">
        <is>
          <t>20261101_2215</t>
        </is>
      </c>
      <c r="B139" s="13" t="n">
        <v>46327</v>
      </c>
      <c r="C139" s="14" t="n">
        <v>0.9270833333333334</v>
      </c>
      <c r="D139" s="23" t="inlineStr">
        <is>
          <t>UN Unico</t>
        </is>
      </c>
      <c r="E139" s="23" t="inlineStr">
        <is>
          <t>I2 36€</t>
        </is>
      </c>
      <c r="F139" s="23">
        <f>IFERROR(INDEX(Tariffe!$B$2:$B$200,MATCH(E139,Tariffe!$A$2:$A$200,0)),"DA DEFINIRE")</f>
        <v/>
      </c>
      <c r="G139" s="16" t="n">
        <v>36</v>
      </c>
      <c r="H139" s="15">
        <f>Q139*R139</f>
        <v/>
      </c>
      <c r="I139" s="15" t="n">
        <v>0</v>
      </c>
      <c r="J139" s="16" t="n">
        <v>252</v>
      </c>
      <c r="K139" s="16" t="n">
        <v>0</v>
      </c>
      <c r="L139" s="16" t="n">
        <v>229.11</v>
      </c>
      <c r="M139" s="16" t="n">
        <v>22.89</v>
      </c>
      <c r="N139" s="23" t="inlineStr">
        <is>
          <t>11/2026</t>
        </is>
      </c>
      <c r="O139" s="15">
        <f>IFERROR(INDEX(Tariffe!$D$2:$D$200,MATCH(E139,Tariffe!$A$2:$A$200,0))*1,0)</f>
        <v/>
      </c>
      <c r="P139" s="15">
        <f>Q139*O139</f>
        <v/>
      </c>
      <c r="Q139" s="15" t="n">
        <v>7</v>
      </c>
      <c r="R139" s="15">
        <f>IFERROR(INDEX(Tariffe!$E$2:$E$200,MATCH(E139,Tariffe!$A$2:$A$200,0))*1,1)</f>
        <v/>
      </c>
    </row>
    <row r="140">
      <c r="A140" s="22" t="inlineStr">
        <is>
          <t>20261101_2215</t>
        </is>
      </c>
      <c r="B140" s="9" t="n">
        <v>46327</v>
      </c>
      <c r="C140" s="10" t="n">
        <v>0.9270833333333334</v>
      </c>
      <c r="D140" s="22" t="inlineStr">
        <is>
          <t>UN Unico</t>
        </is>
      </c>
      <c r="E140" s="22" t="inlineStr">
        <is>
          <t>I5 60€</t>
        </is>
      </c>
      <c r="F140" s="22">
        <f>IFERROR(INDEX(Tariffe!$B$2:$B$200,MATCH(E140,Tariffe!$A$2:$A$200,0)),"DA DEFINIRE")</f>
        <v/>
      </c>
      <c r="G140" s="12" t="n">
        <v>60</v>
      </c>
      <c r="H140" s="11">
        <f>Q140*R140</f>
        <v/>
      </c>
      <c r="I140" s="11" t="n">
        <v>0</v>
      </c>
      <c r="J140" s="12" t="n">
        <v>420</v>
      </c>
      <c r="K140" s="12" t="n">
        <v>0</v>
      </c>
      <c r="L140" s="12" t="n">
        <v>381.85</v>
      </c>
      <c r="M140" s="12" t="n">
        <v>38.15</v>
      </c>
      <c r="N140" s="22" t="inlineStr">
        <is>
          <t>11/2026</t>
        </is>
      </c>
      <c r="O140" s="11">
        <f>IFERROR(INDEX(Tariffe!$D$2:$D$200,MATCH(E140,Tariffe!$A$2:$A$200,0))*1,0)</f>
        <v/>
      </c>
      <c r="P140" s="11">
        <f>Q140*O140</f>
        <v/>
      </c>
      <c r="Q140" s="11" t="n">
        <v>7</v>
      </c>
      <c r="R140" s="11">
        <f>IFERROR(INDEX(Tariffe!$E$2:$E$200,MATCH(E140,Tariffe!$A$2:$A$200,0))*1,1)</f>
        <v/>
      </c>
    </row>
    <row r="141">
      <c r="A141" s="23" t="inlineStr">
        <is>
          <t>20261101_2215</t>
        </is>
      </c>
      <c r="B141" s="13" t="n">
        <v>46327</v>
      </c>
      <c r="C141" s="14" t="n">
        <v>0.9270833333333334</v>
      </c>
      <c r="D141" s="23" t="inlineStr">
        <is>
          <t>UN Unico</t>
        </is>
      </c>
      <c r="E141" s="23" t="inlineStr">
        <is>
          <t>I8 24€</t>
        </is>
      </c>
      <c r="F141" s="23">
        <f>IFERROR(INDEX(Tariffe!$B$2:$B$200,MATCH(E141,Tariffe!$A$2:$A$200,0)),"DA DEFINIRE")</f>
        <v/>
      </c>
      <c r="G141" s="16" t="n">
        <v>24</v>
      </c>
      <c r="H141" s="15">
        <f>Q141*R141</f>
        <v/>
      </c>
      <c r="I141" s="15" t="n">
        <v>0</v>
      </c>
      <c r="J141" s="16" t="n">
        <v>720</v>
      </c>
      <c r="K141" s="16" t="n">
        <v>0</v>
      </c>
      <c r="L141" s="16" t="n">
        <v>654.6</v>
      </c>
      <c r="M141" s="16" t="n">
        <v>65.40000000000001</v>
      </c>
      <c r="N141" s="23" t="inlineStr">
        <is>
          <t>11/2026</t>
        </is>
      </c>
      <c r="O141" s="15">
        <f>IFERROR(INDEX(Tariffe!$D$2:$D$200,MATCH(E141,Tariffe!$A$2:$A$200,0))*1,0)</f>
        <v/>
      </c>
      <c r="P141" s="15">
        <f>Q141*O141</f>
        <v/>
      </c>
      <c r="Q141" s="15" t="n">
        <v>30</v>
      </c>
      <c r="R141" s="15">
        <f>IFERROR(INDEX(Tariffe!$E$2:$E$200,MATCH(E141,Tariffe!$A$2:$A$200,0))*1,1)</f>
        <v/>
      </c>
    </row>
    <row r="142">
      <c r="A142" s="22" t="inlineStr">
        <is>
          <t>20261101_2315</t>
        </is>
      </c>
      <c r="B142" s="9" t="n">
        <v>46327</v>
      </c>
      <c r="C142" s="10" t="n">
        <v>0.96875</v>
      </c>
      <c r="D142" s="22" t="inlineStr">
        <is>
          <t>UN Unico</t>
        </is>
      </c>
      <c r="E142" s="22" t="inlineStr">
        <is>
          <t>I1 48€</t>
        </is>
      </c>
      <c r="F142" s="22">
        <f>IFERROR(INDEX(Tariffe!$B$2:$B$200,MATCH(E142,Tariffe!$A$2:$A$200,0)),"DA DEFINIRE")</f>
        <v/>
      </c>
      <c r="G142" s="12" t="n">
        <v>48</v>
      </c>
      <c r="H142" s="11">
        <f>Q142*R142</f>
        <v/>
      </c>
      <c r="I142" s="11" t="n">
        <v>4</v>
      </c>
      <c r="J142" s="12" t="n">
        <v>1776</v>
      </c>
      <c r="K142" s="12" t="n">
        <v>0</v>
      </c>
      <c r="L142" s="12" t="n">
        <v>1614.68</v>
      </c>
      <c r="M142" s="12" t="n">
        <v>161.32</v>
      </c>
      <c r="N142" s="22" t="inlineStr">
        <is>
          <t>11/2026</t>
        </is>
      </c>
      <c r="O142" s="11">
        <f>IFERROR(INDEX(Tariffe!$D$2:$D$200,MATCH(E142,Tariffe!$A$2:$A$200,0))*1,0)</f>
        <v/>
      </c>
      <c r="P142" s="11">
        <f>Q142*O142</f>
        <v/>
      </c>
      <c r="Q142" s="11" t="n">
        <v>37</v>
      </c>
      <c r="R142" s="11">
        <f>IFERROR(INDEX(Tariffe!$E$2:$E$200,MATCH(E142,Tariffe!$A$2:$A$200,0))*1,1)</f>
        <v/>
      </c>
    </row>
    <row r="143">
      <c r="A143" s="23" t="inlineStr">
        <is>
          <t>20261101_2315</t>
        </is>
      </c>
      <c r="B143" s="13" t="n">
        <v>46327</v>
      </c>
      <c r="C143" s="14" t="n">
        <v>0.96875</v>
      </c>
      <c r="D143" s="23" t="inlineStr">
        <is>
          <t>UN Unico</t>
        </is>
      </c>
      <c r="E143" s="23" t="inlineStr">
        <is>
          <t>I2 36€</t>
        </is>
      </c>
      <c r="F143" s="23">
        <f>IFERROR(INDEX(Tariffe!$B$2:$B$200,MATCH(E143,Tariffe!$A$2:$A$200,0)),"DA DEFINIRE")</f>
        <v/>
      </c>
      <c r="G143" s="16" t="n">
        <v>36</v>
      </c>
      <c r="H143" s="15">
        <f>Q143*R143</f>
        <v/>
      </c>
      <c r="I143" s="15" t="n">
        <v>0</v>
      </c>
      <c r="J143" s="16" t="n">
        <v>504</v>
      </c>
      <c r="K143" s="16" t="n">
        <v>0</v>
      </c>
      <c r="L143" s="16" t="n">
        <v>458.22</v>
      </c>
      <c r="M143" s="16" t="n">
        <v>45.78</v>
      </c>
      <c r="N143" s="23" t="inlineStr">
        <is>
          <t>11/2026</t>
        </is>
      </c>
      <c r="O143" s="15">
        <f>IFERROR(INDEX(Tariffe!$D$2:$D$200,MATCH(E143,Tariffe!$A$2:$A$200,0))*1,0)</f>
        <v/>
      </c>
      <c r="P143" s="15">
        <f>Q143*O143</f>
        <v/>
      </c>
      <c r="Q143" s="15" t="n">
        <v>14</v>
      </c>
      <c r="R143" s="15">
        <f>IFERROR(INDEX(Tariffe!$E$2:$E$200,MATCH(E143,Tariffe!$A$2:$A$200,0))*1,1)</f>
        <v/>
      </c>
    </row>
    <row r="144">
      <c r="A144" s="22" t="inlineStr">
        <is>
          <t>20261101_2315</t>
        </is>
      </c>
      <c r="B144" s="9" t="n">
        <v>46327</v>
      </c>
      <c r="C144" s="10" t="n">
        <v>0.96875</v>
      </c>
      <c r="D144" s="22" t="inlineStr">
        <is>
          <t>UN Unico</t>
        </is>
      </c>
      <c r="E144" s="22" t="inlineStr">
        <is>
          <t>I5 60€</t>
        </is>
      </c>
      <c r="F144" s="22">
        <f>IFERROR(INDEX(Tariffe!$B$2:$B$200,MATCH(E144,Tariffe!$A$2:$A$200,0)),"DA DEFINIRE")</f>
        <v/>
      </c>
      <c r="G144" s="12" t="n">
        <v>60</v>
      </c>
      <c r="H144" s="11">
        <f>Q144*R144</f>
        <v/>
      </c>
      <c r="I144" s="11" t="n">
        <v>0</v>
      </c>
      <c r="J144" s="12" t="n">
        <v>540</v>
      </c>
      <c r="K144" s="12" t="n">
        <v>0</v>
      </c>
      <c r="L144" s="12" t="n">
        <v>490.95</v>
      </c>
      <c r="M144" s="12" t="n">
        <v>49.05</v>
      </c>
      <c r="N144" s="22" t="inlineStr">
        <is>
          <t>11/2026</t>
        </is>
      </c>
      <c r="O144" s="11">
        <f>IFERROR(INDEX(Tariffe!$D$2:$D$200,MATCH(E144,Tariffe!$A$2:$A$200,0))*1,0)</f>
        <v/>
      </c>
      <c r="P144" s="11">
        <f>Q144*O144</f>
        <v/>
      </c>
      <c r="Q144" s="11" t="n">
        <v>9</v>
      </c>
      <c r="R144" s="11">
        <f>IFERROR(INDEX(Tariffe!$E$2:$E$200,MATCH(E144,Tariffe!$A$2:$A$200,0))*1,1)</f>
        <v/>
      </c>
    </row>
    <row r="145">
      <c r="A145" s="23" t="inlineStr">
        <is>
          <t>20261101_2315</t>
        </is>
      </c>
      <c r="B145" s="13" t="n">
        <v>46327</v>
      </c>
      <c r="C145" s="14" t="n">
        <v>0.96875</v>
      </c>
      <c r="D145" s="23" t="inlineStr">
        <is>
          <t>UN Unico</t>
        </is>
      </c>
      <c r="E145" s="23" t="inlineStr">
        <is>
          <t>I8 24€</t>
        </is>
      </c>
      <c r="F145" s="23">
        <f>IFERROR(INDEX(Tariffe!$B$2:$B$200,MATCH(E145,Tariffe!$A$2:$A$200,0)),"DA DEFINIRE")</f>
        <v/>
      </c>
      <c r="G145" s="16" t="n">
        <v>24</v>
      </c>
      <c r="H145" s="15">
        <f>Q145*R145</f>
        <v/>
      </c>
      <c r="I145" s="15" t="n">
        <v>0</v>
      </c>
      <c r="J145" s="16" t="n">
        <v>480</v>
      </c>
      <c r="K145" s="16" t="n">
        <v>0</v>
      </c>
      <c r="L145" s="16" t="n">
        <v>436.4</v>
      </c>
      <c r="M145" s="16" t="n">
        <v>43.6</v>
      </c>
      <c r="N145" s="23" t="inlineStr">
        <is>
          <t>11/2026</t>
        </is>
      </c>
      <c r="O145" s="15">
        <f>IFERROR(INDEX(Tariffe!$D$2:$D$200,MATCH(E145,Tariffe!$A$2:$A$200,0))*1,0)</f>
        <v/>
      </c>
      <c r="P145" s="15">
        <f>Q145*O145</f>
        <v/>
      </c>
      <c r="Q145" s="15" t="n">
        <v>20</v>
      </c>
      <c r="R145" s="15">
        <f>IFERROR(INDEX(Tariffe!$E$2:$E$200,MATCH(E145,Tariffe!$A$2:$A$200,0))*1,1)</f>
        <v/>
      </c>
    </row>
    <row r="146">
      <c r="A146" s="22" t="inlineStr">
        <is>
          <t>20261101_2359</t>
        </is>
      </c>
      <c r="B146" s="9" t="n">
        <v>46327</v>
      </c>
      <c r="C146" s="10" t="n">
        <v>0.9993055555555556</v>
      </c>
      <c r="D146" s="22" t="inlineStr">
        <is>
          <t>UN Unico</t>
        </is>
      </c>
      <c r="E146" s="22" t="inlineStr">
        <is>
          <t>I1 48€</t>
        </is>
      </c>
      <c r="F146" s="22">
        <f>IFERROR(INDEX(Tariffe!$B$2:$B$200,MATCH(E146,Tariffe!$A$2:$A$200,0)),"DA DEFINIRE")</f>
        <v/>
      </c>
      <c r="G146" s="12" t="n">
        <v>48</v>
      </c>
      <c r="H146" s="11">
        <f>Q146*R146</f>
        <v/>
      </c>
      <c r="I146" s="11" t="n">
        <v>0</v>
      </c>
      <c r="J146" s="12" t="n">
        <v>1152</v>
      </c>
      <c r="K146" s="12" t="n">
        <v>0</v>
      </c>
      <c r="L146" s="12" t="n">
        <v>1047.36</v>
      </c>
      <c r="M146" s="12" t="n">
        <v>104.64</v>
      </c>
      <c r="N146" s="22" t="inlineStr">
        <is>
          <t>11/2026</t>
        </is>
      </c>
      <c r="O146" s="11">
        <f>IFERROR(INDEX(Tariffe!$D$2:$D$200,MATCH(E146,Tariffe!$A$2:$A$200,0))*1,0)</f>
        <v/>
      </c>
      <c r="P146" s="11">
        <f>Q146*O146</f>
        <v/>
      </c>
      <c r="Q146" s="11" t="n">
        <v>24</v>
      </c>
      <c r="R146" s="11">
        <f>IFERROR(INDEX(Tariffe!$E$2:$E$200,MATCH(E146,Tariffe!$A$2:$A$200,0))*1,1)</f>
        <v/>
      </c>
    </row>
    <row r="147">
      <c r="A147" s="23" t="inlineStr">
        <is>
          <t>20261101_2359</t>
        </is>
      </c>
      <c r="B147" s="13" t="n">
        <v>46327</v>
      </c>
      <c r="C147" s="14" t="n">
        <v>0.9993055555555556</v>
      </c>
      <c r="D147" s="23" t="inlineStr">
        <is>
          <t>UN Unico</t>
        </is>
      </c>
      <c r="E147" s="23" t="inlineStr">
        <is>
          <t>I2 36€</t>
        </is>
      </c>
      <c r="F147" s="23">
        <f>IFERROR(INDEX(Tariffe!$B$2:$B$200,MATCH(E147,Tariffe!$A$2:$A$200,0)),"DA DEFINIRE")</f>
        <v/>
      </c>
      <c r="G147" s="16" t="n">
        <v>36</v>
      </c>
      <c r="H147" s="15">
        <f>Q147*R147</f>
        <v/>
      </c>
      <c r="I147" s="15" t="n">
        <v>0</v>
      </c>
      <c r="J147" s="16" t="n">
        <v>180</v>
      </c>
      <c r="K147" s="16" t="n">
        <v>0</v>
      </c>
      <c r="L147" s="16" t="n">
        <v>163.65</v>
      </c>
      <c r="M147" s="16" t="n">
        <v>16.35</v>
      </c>
      <c r="N147" s="23" t="inlineStr">
        <is>
          <t>11/2026</t>
        </is>
      </c>
      <c r="O147" s="15">
        <f>IFERROR(INDEX(Tariffe!$D$2:$D$200,MATCH(E147,Tariffe!$A$2:$A$200,0))*1,0)</f>
        <v/>
      </c>
      <c r="P147" s="15">
        <f>Q147*O147</f>
        <v/>
      </c>
      <c r="Q147" s="15" t="n">
        <v>5</v>
      </c>
      <c r="R147" s="15">
        <f>IFERROR(INDEX(Tariffe!$E$2:$E$200,MATCH(E147,Tariffe!$A$2:$A$200,0))*1,1)</f>
        <v/>
      </c>
    </row>
    <row r="148">
      <c r="A148" s="22" t="inlineStr">
        <is>
          <t>20261101_2359</t>
        </is>
      </c>
      <c r="B148" s="9" t="n">
        <v>46327</v>
      </c>
      <c r="C148" s="10" t="n">
        <v>0.9993055555555556</v>
      </c>
      <c r="D148" s="22" t="inlineStr">
        <is>
          <t>UN Unico</t>
        </is>
      </c>
      <c r="E148" s="22" t="inlineStr">
        <is>
          <t>I5 60€</t>
        </is>
      </c>
      <c r="F148" s="22">
        <f>IFERROR(INDEX(Tariffe!$B$2:$B$200,MATCH(E148,Tariffe!$A$2:$A$200,0)),"DA DEFINIRE")</f>
        <v/>
      </c>
      <c r="G148" s="12" t="n">
        <v>60</v>
      </c>
      <c r="H148" s="11">
        <f>Q148*R148</f>
        <v/>
      </c>
      <c r="I148" s="11" t="n">
        <v>0</v>
      </c>
      <c r="J148" s="12" t="n">
        <v>240</v>
      </c>
      <c r="K148" s="12" t="n">
        <v>0</v>
      </c>
      <c r="L148" s="12" t="n">
        <v>218.2</v>
      </c>
      <c r="M148" s="12" t="n">
        <v>21.8</v>
      </c>
      <c r="N148" s="22" t="inlineStr">
        <is>
          <t>11/2026</t>
        </is>
      </c>
      <c r="O148" s="11">
        <f>IFERROR(INDEX(Tariffe!$D$2:$D$200,MATCH(E148,Tariffe!$A$2:$A$200,0))*1,0)</f>
        <v/>
      </c>
      <c r="P148" s="11">
        <f>Q148*O148</f>
        <v/>
      </c>
      <c r="Q148" s="11" t="n">
        <v>4</v>
      </c>
      <c r="R148" s="11">
        <f>IFERROR(INDEX(Tariffe!$E$2:$E$200,MATCH(E148,Tariffe!$A$2:$A$200,0))*1,1)</f>
        <v/>
      </c>
    </row>
    <row r="149">
      <c r="A149" s="23" t="inlineStr">
        <is>
          <t>20261101_2359</t>
        </is>
      </c>
      <c r="B149" s="13" t="n">
        <v>46327</v>
      </c>
      <c r="C149" s="14" t="n">
        <v>0.9993055555555556</v>
      </c>
      <c r="D149" s="23" t="inlineStr">
        <is>
          <t>UN Unico</t>
        </is>
      </c>
      <c r="E149" s="23" t="inlineStr">
        <is>
          <t>I8 24€</t>
        </is>
      </c>
      <c r="F149" s="23">
        <f>IFERROR(INDEX(Tariffe!$B$2:$B$200,MATCH(E149,Tariffe!$A$2:$A$200,0)),"DA DEFINIRE")</f>
        <v/>
      </c>
      <c r="G149" s="16" t="n">
        <v>24</v>
      </c>
      <c r="H149" s="15">
        <f>Q149*R149</f>
        <v/>
      </c>
      <c r="I149" s="15" t="n">
        <v>0</v>
      </c>
      <c r="J149" s="16" t="n">
        <v>624</v>
      </c>
      <c r="K149" s="16" t="n">
        <v>0</v>
      </c>
      <c r="L149" s="16" t="n">
        <v>567.3200000000001</v>
      </c>
      <c r="M149" s="16" t="n">
        <v>56.68</v>
      </c>
      <c r="N149" s="23" t="inlineStr">
        <is>
          <t>11/2026</t>
        </is>
      </c>
      <c r="O149" s="15">
        <f>IFERROR(INDEX(Tariffe!$D$2:$D$200,MATCH(E149,Tariffe!$A$2:$A$200,0))*1,0)</f>
        <v/>
      </c>
      <c r="P149" s="15">
        <f>Q149*O149</f>
        <v/>
      </c>
      <c r="Q149" s="15" t="n">
        <v>26</v>
      </c>
      <c r="R149" s="15">
        <f>IFERROR(INDEX(Tariffe!$E$2:$E$200,MATCH(E149,Tariffe!$A$2:$A$200,0))*1,1)</f>
        <v/>
      </c>
    </row>
    <row r="150">
      <c r="A150" s="22" t="inlineStr">
        <is>
          <t>20261102_2015</t>
        </is>
      </c>
      <c r="B150" s="9" t="n">
        <v>46328</v>
      </c>
      <c r="C150" s="10" t="n">
        <v>0.84375</v>
      </c>
      <c r="D150" s="22" t="inlineStr">
        <is>
          <t>UN Unico</t>
        </is>
      </c>
      <c r="E150" s="22" t="inlineStr">
        <is>
          <t>I8 24€</t>
        </is>
      </c>
      <c r="F150" s="22">
        <f>IFERROR(INDEX(Tariffe!$B$2:$B$200,MATCH(E150,Tariffe!$A$2:$A$200,0)),"DA DEFINIRE")</f>
        <v/>
      </c>
      <c r="G150" s="12" t="n">
        <v>24</v>
      </c>
      <c r="H150" s="11">
        <f>Q150*R150</f>
        <v/>
      </c>
      <c r="I150" s="11" t="n">
        <v>0</v>
      </c>
      <c r="J150" s="12" t="n">
        <v>24</v>
      </c>
      <c r="K150" s="12" t="n">
        <v>0</v>
      </c>
      <c r="L150" s="12" t="n">
        <v>21.82</v>
      </c>
      <c r="M150" s="12" t="n">
        <v>2.18</v>
      </c>
      <c r="N150" s="22" t="inlineStr">
        <is>
          <t>11/2026</t>
        </is>
      </c>
      <c r="O150" s="11">
        <f>IFERROR(INDEX(Tariffe!$D$2:$D$200,MATCH(E150,Tariffe!$A$2:$A$200,0))*1,0)</f>
        <v/>
      </c>
      <c r="P150" s="11">
        <f>Q150*O150</f>
        <v/>
      </c>
      <c r="Q150" s="11" t="n">
        <v>1</v>
      </c>
      <c r="R150" s="11">
        <f>IFERROR(INDEX(Tariffe!$E$2:$E$200,MATCH(E150,Tariffe!$A$2:$A$200,0))*1,1)</f>
        <v/>
      </c>
    </row>
    <row r="151">
      <c r="A151" s="23" t="inlineStr">
        <is>
          <t>20261102_2215</t>
        </is>
      </c>
      <c r="B151" s="13" t="n">
        <v>46328</v>
      </c>
      <c r="C151" s="14" t="n">
        <v>0.9270833333333334</v>
      </c>
      <c r="D151" s="23" t="inlineStr">
        <is>
          <t>UN Unico</t>
        </is>
      </c>
      <c r="E151" s="23" t="inlineStr">
        <is>
          <t>I1 48€</t>
        </is>
      </c>
      <c r="F151" s="23">
        <f>IFERROR(INDEX(Tariffe!$B$2:$B$200,MATCH(E151,Tariffe!$A$2:$A$200,0)),"DA DEFINIRE")</f>
        <v/>
      </c>
      <c r="G151" s="16" t="n">
        <v>48</v>
      </c>
      <c r="H151" s="15">
        <f>Q151*R151</f>
        <v/>
      </c>
      <c r="I151" s="15" t="n">
        <v>0</v>
      </c>
      <c r="J151" s="16" t="n">
        <v>48</v>
      </c>
      <c r="K151" s="16" t="n">
        <v>0</v>
      </c>
      <c r="L151" s="16" t="n">
        <v>43.64</v>
      </c>
      <c r="M151" s="16" t="n">
        <v>4.36</v>
      </c>
      <c r="N151" s="23" t="inlineStr">
        <is>
          <t>11/2026</t>
        </is>
      </c>
      <c r="O151" s="15">
        <f>IFERROR(INDEX(Tariffe!$D$2:$D$200,MATCH(E151,Tariffe!$A$2:$A$200,0))*1,0)</f>
        <v/>
      </c>
      <c r="P151" s="15">
        <f>Q151*O151</f>
        <v/>
      </c>
      <c r="Q151" s="15" t="n">
        <v>1</v>
      </c>
      <c r="R151" s="15">
        <f>IFERROR(INDEX(Tariffe!$E$2:$E$200,MATCH(E151,Tariffe!$A$2:$A$200,0))*1,1)</f>
        <v/>
      </c>
    </row>
    <row r="152">
      <c r="A152" s="22" t="inlineStr">
        <is>
          <t>20261102_2315</t>
        </is>
      </c>
      <c r="B152" s="9" t="n">
        <v>46328</v>
      </c>
      <c r="C152" s="10" t="n">
        <v>0.96875</v>
      </c>
      <c r="D152" s="22" t="inlineStr">
        <is>
          <t>UN Unico</t>
        </is>
      </c>
      <c r="E152" s="22" t="inlineStr">
        <is>
          <t>I1 48€</t>
        </is>
      </c>
      <c r="F152" s="22">
        <f>IFERROR(INDEX(Tariffe!$B$2:$B$200,MATCH(E152,Tariffe!$A$2:$A$200,0)),"DA DEFINIRE")</f>
        <v/>
      </c>
      <c r="G152" s="12" t="n">
        <v>48</v>
      </c>
      <c r="H152" s="11">
        <f>Q152*R152</f>
        <v/>
      </c>
      <c r="I152" s="11" t="n">
        <v>0</v>
      </c>
      <c r="J152" s="12" t="n">
        <v>48</v>
      </c>
      <c r="K152" s="12" t="n">
        <v>0</v>
      </c>
      <c r="L152" s="12" t="n">
        <v>43.64</v>
      </c>
      <c r="M152" s="12" t="n">
        <v>4.36</v>
      </c>
      <c r="N152" s="22" t="inlineStr">
        <is>
          <t>11/2026</t>
        </is>
      </c>
      <c r="O152" s="11">
        <f>IFERROR(INDEX(Tariffe!$D$2:$D$200,MATCH(E152,Tariffe!$A$2:$A$200,0))*1,0)</f>
        <v/>
      </c>
      <c r="P152" s="11">
        <f>Q152*O152</f>
        <v/>
      </c>
      <c r="Q152" s="11" t="n">
        <v>1</v>
      </c>
      <c r="R152" s="11">
        <f>IFERROR(INDEX(Tariffe!$E$2:$E$200,MATCH(E152,Tariffe!$A$2:$A$200,0))*1,1)</f>
        <v/>
      </c>
    </row>
  </sheetData>
  <autoFilter ref="A1:R15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19:15</t>
        </is>
      </c>
      <c r="G1" s="21" t="inlineStr">
        <is>
          <t>Auto 20:15</t>
        </is>
      </c>
      <c r="H1" s="21" t="inlineStr">
        <is>
          <t>Auto 21:15</t>
        </is>
      </c>
      <c r="I1" s="21" t="inlineStr">
        <is>
          <t>Auto 22:15</t>
        </is>
      </c>
      <c r="J1" s="21" t="inlineStr">
        <is>
          <t>Auto 23:15</t>
        </is>
      </c>
      <c r="K1" s="21" t="inlineStr">
        <is>
          <t>Auto 23:59</t>
        </is>
      </c>
      <c r="L1" s="21" t="inlineStr">
        <is>
          <t>Persone 19:15</t>
        </is>
      </c>
      <c r="M1" s="21" t="inlineStr">
        <is>
          <t>Persone 20:15</t>
        </is>
      </c>
      <c r="N1" s="21" t="inlineStr">
        <is>
          <t>Persone 21:15</t>
        </is>
      </c>
      <c r="O1" s="21" t="inlineStr">
        <is>
          <t>Persone 22:15</t>
        </is>
      </c>
      <c r="P1" s="21" t="inlineStr">
        <is>
          <t>Persone 23:15</t>
        </is>
      </c>
      <c r="Q1" s="21" t="inlineStr">
        <is>
          <t>Persone 23:59</t>
        </is>
      </c>
      <c r="R1" s="21" t="inlineStr">
        <is>
          <t>Auto da 2</t>
        </is>
      </c>
      <c r="S1" s="21" t="inlineStr">
        <is>
          <t>Auto da 3</t>
        </is>
      </c>
      <c r="T1" s="21" t="inlineStr">
        <is>
          <t>Auto da 4</t>
        </is>
      </c>
      <c r="U1" s="21" t="inlineStr">
        <is>
          <t>Auto da 5</t>
        </is>
      </c>
      <c r="V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SUM(F2:K2)</f>
        <v/>
      </c>
      <c r="D2" s="11">
        <f>SUM(L2:Q2)</f>
        <v/>
      </c>
      <c r="E2" s="12">
        <f>SUMIF(Vendite!$B$2:$B$1000,A2,Vendite!$J$2:$J$1000)</f>
        <v/>
      </c>
      <c r="F2" s="11">
        <f>SUMIFS(Vendite!$H$2:$H$1000,Vendite!$B$2:$B$1000,A2,Vendite!$C$2:$C$1000,"&gt;="&amp;TIMEVALUE("19:00"),Vendite!$C$2:$C$1000,"&lt;"&amp;TIMEVALUE("20:00"))</f>
        <v/>
      </c>
      <c r="G2" s="11">
        <f>SUMIFS(Vendite!$H$2:$H$1000,Vendite!$B$2:$B$1000,A2,Vendite!$C$2:$C$1000,"&gt;="&amp;TIMEVALUE("20:00"),Vendite!$C$2:$C$1000,"&lt;"&amp;TIMEVALUE("21:00"))</f>
        <v/>
      </c>
      <c r="H2" s="11">
        <f>SUMIFS(Vendite!$H$2:$H$1000,Vendite!$B$2:$B$1000,A2,Vendite!$C$2:$C$1000,"&gt;="&amp;TIMEVALUE("21:00"),Vendite!$C$2:$C$1000,"&lt;"&amp;TIMEVALUE("22:00"))</f>
        <v/>
      </c>
      <c r="I2" s="11">
        <f>SUMIFS(Vendite!$H$2:$H$1000,Vendite!$B$2:$B$1000,A2,Vendite!$C$2:$C$1000,"&gt;="&amp;TIMEVALUE("22:00"),Vendite!$C$2:$C$1000,"&lt;"&amp;TIMEVALUE("23:00"))</f>
        <v/>
      </c>
      <c r="J2" s="11">
        <f>SUMIFS(Vendite!$H$2:$H$1000,Vendite!$B$2:$B$1000,A2,Vendite!$C$2:$C$1000,"&gt;="&amp;TIMEVALUE("23:00"),Vendite!$C$2:$C$1000,"&lt;"&amp;TIMEVALUE("23:30"))</f>
        <v/>
      </c>
      <c r="K2" s="11">
        <f>SUMIFS(Vendite!$H$2:$H$1000,Vendite!$B$2:$B$1000,A2,Vendite!$C$2:$C$1000,"&gt;="&amp;TIMEVALUE("23:30"))</f>
        <v/>
      </c>
      <c r="L2" s="11">
        <f>SUMIFS(Vendite!$P$2:$P$1000,Vendite!$B$2:$B$1000,A2,Vendite!$C$2:$C$1000,"&gt;="&amp;TIMEVALUE("19:00"),Vendite!$C$2:$C$1000,"&lt;"&amp;TIMEVALUE("20:00"))</f>
        <v/>
      </c>
      <c r="M2" s="11">
        <f>SUMIFS(Vendite!$P$2:$P$1000,Vendite!$B$2:$B$1000,A2,Vendite!$C$2:$C$1000,"&gt;="&amp;TIMEVALUE("20:00"),Vendite!$C$2:$C$1000,"&lt;"&amp;TIMEVALUE("21:00"))</f>
        <v/>
      </c>
      <c r="N2" s="11">
        <f>SUMIFS(Vendite!$P$2:$P$1000,Vendite!$B$2:$B$1000,A2,Vendite!$C$2:$C$1000,"&gt;="&amp;TIMEVALUE("21:00"),Vendite!$C$2:$C$1000,"&lt;"&amp;TIMEVALUE("22:00"))</f>
        <v/>
      </c>
      <c r="O2" s="11">
        <f>SUMIFS(Vendite!$P$2:$P$1000,Vendite!$B$2:$B$1000,A2,Vendite!$C$2:$C$1000,"&gt;="&amp;TIMEVALUE("22:00"),Vendite!$C$2:$C$1000,"&lt;"&amp;TIMEVALUE("23:00"))</f>
        <v/>
      </c>
      <c r="P2" s="11">
        <f>SUMIFS(Vendite!$P$2:$P$1000,Vendite!$B$2:$B$1000,A2,Vendite!$C$2:$C$1000,"&gt;="&amp;TIMEVALUE("23:00"),Vendite!$C$2:$C$1000,"&lt;"&amp;TIMEVALUE("23:30"))</f>
        <v/>
      </c>
      <c r="Q2" s="11">
        <f>SUMIFS(Vendite!$P$2:$P$1000,Vendite!$B$2:$B$1000,A2,Vendite!$C$2:$C$1000,"&gt;="&amp;TIMEVALUE("23:30"))</f>
        <v/>
      </c>
      <c r="R2" s="11">
        <f>SUMIFS(Vendite!$H$2:$H$1000,Vendite!$B$2:$B$1000,A2,Vendite!$O$2:$O$1000,2)</f>
        <v/>
      </c>
      <c r="S2" s="11">
        <f>SUMIFS(Vendite!$H$2:$H$1000,Vendite!$B$2:$B$1000,A2,Vendite!$O$2:$O$1000,3)</f>
        <v/>
      </c>
      <c r="T2" s="11">
        <f>SUMIFS(Vendite!$H$2:$H$1000,Vendite!$B$2:$B$1000,A2,Vendite!$O$2:$O$1000,4)</f>
        <v/>
      </c>
      <c r="U2" s="11">
        <f>SUMIFS(Vendite!$H$2:$H$1000,Vendite!$B$2:$B$1000,A2,Vendite!$O$2:$O$1000,5)</f>
        <v/>
      </c>
      <c r="V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SUM(F3:K3)</f>
        <v/>
      </c>
      <c r="D3" s="15">
        <f>SUM(L3:Q3)</f>
        <v/>
      </c>
      <c r="E3" s="16">
        <f>SUMIF(Vendite!$B$2:$B$1000,A3,Vendite!$J$2:$J$1000)</f>
        <v/>
      </c>
      <c r="F3" s="15">
        <f>SUMIFS(Vendite!$H$2:$H$1000,Vendite!$B$2:$B$1000,A3,Vendite!$C$2:$C$1000,"&gt;="&amp;TIMEVALUE("19:00"),Vendite!$C$2:$C$1000,"&lt;"&amp;TIMEVALUE("20:00"))</f>
        <v/>
      </c>
      <c r="G3" s="15">
        <f>SUMIFS(Vendite!$H$2:$H$1000,Vendite!$B$2:$B$1000,A3,Vendite!$C$2:$C$1000,"&gt;="&amp;TIMEVALUE("20:00"),Vendite!$C$2:$C$1000,"&lt;"&amp;TIMEVALUE("21:00"))</f>
        <v/>
      </c>
      <c r="H3" s="15">
        <f>SUMIFS(Vendite!$H$2:$H$1000,Vendite!$B$2:$B$1000,A3,Vendite!$C$2:$C$1000,"&gt;="&amp;TIMEVALUE("21:00"),Vendite!$C$2:$C$1000,"&lt;"&amp;TIMEVALUE("22:00"))</f>
        <v/>
      </c>
      <c r="I3" s="15">
        <f>SUMIFS(Vendite!$H$2:$H$1000,Vendite!$B$2:$B$1000,A3,Vendite!$C$2:$C$1000,"&gt;="&amp;TIMEVALUE("22:00"),Vendite!$C$2:$C$1000,"&lt;"&amp;TIMEVALUE("23:00"))</f>
        <v/>
      </c>
      <c r="J3" s="15">
        <f>SUMIFS(Vendite!$H$2:$H$1000,Vendite!$B$2:$B$1000,A3,Vendite!$C$2:$C$1000,"&gt;="&amp;TIMEVALUE("23:00"),Vendite!$C$2:$C$1000,"&lt;"&amp;TIMEVALUE("23:30"))</f>
        <v/>
      </c>
      <c r="K3" s="15">
        <f>SUMIFS(Vendite!$H$2:$H$1000,Vendite!$B$2:$B$1000,A3,Vendite!$C$2:$C$1000,"&gt;="&amp;TIMEVALUE("23:30"))</f>
        <v/>
      </c>
      <c r="L3" s="15">
        <f>SUMIFS(Vendite!$P$2:$P$1000,Vendite!$B$2:$B$1000,A3,Vendite!$C$2:$C$1000,"&gt;="&amp;TIMEVALUE("19:00"),Vendite!$C$2:$C$1000,"&lt;"&amp;TIMEVALUE("20:00"))</f>
        <v/>
      </c>
      <c r="M3" s="15">
        <f>SUMIFS(Vendite!$P$2:$P$1000,Vendite!$B$2:$B$1000,A3,Vendite!$C$2:$C$1000,"&gt;="&amp;TIMEVALUE("20:00"),Vendite!$C$2:$C$1000,"&lt;"&amp;TIMEVALUE("21:00"))</f>
        <v/>
      </c>
      <c r="N3" s="15">
        <f>SUMIFS(Vendite!$P$2:$P$1000,Vendite!$B$2:$B$1000,A3,Vendite!$C$2:$C$1000,"&gt;="&amp;TIMEVALUE("21:00"),Vendite!$C$2:$C$1000,"&lt;"&amp;TIMEVALUE("22:00"))</f>
        <v/>
      </c>
      <c r="O3" s="15">
        <f>SUMIFS(Vendite!$P$2:$P$1000,Vendite!$B$2:$B$1000,A3,Vendite!$C$2:$C$1000,"&gt;="&amp;TIMEVALUE("22:00"),Vendite!$C$2:$C$1000,"&lt;"&amp;TIMEVALUE("23:00"))</f>
        <v/>
      </c>
      <c r="P3" s="15">
        <f>SUMIFS(Vendite!$P$2:$P$1000,Vendite!$B$2:$B$1000,A3,Vendite!$C$2:$C$1000,"&gt;="&amp;TIMEVALUE("23:00"),Vendite!$C$2:$C$1000,"&lt;"&amp;TIMEVALUE("23:30"))</f>
        <v/>
      </c>
      <c r="Q3" s="15">
        <f>SUMIFS(Vendite!$P$2:$P$1000,Vendite!$B$2:$B$1000,A3,Vendite!$C$2:$C$1000,"&gt;="&amp;TIMEVALUE("23:30"))</f>
        <v/>
      </c>
      <c r="R3" s="15">
        <f>SUMIFS(Vendite!$H$2:$H$1000,Vendite!$B$2:$B$1000,A3,Vendite!$O$2:$O$1000,2)</f>
        <v/>
      </c>
      <c r="S3" s="15">
        <f>SUMIFS(Vendite!$H$2:$H$1000,Vendite!$B$2:$B$1000,A3,Vendite!$O$2:$O$1000,3)</f>
        <v/>
      </c>
      <c r="T3" s="15">
        <f>SUMIFS(Vendite!$H$2:$H$1000,Vendite!$B$2:$B$1000,A3,Vendite!$O$2:$O$1000,4)</f>
        <v/>
      </c>
      <c r="U3" s="15">
        <f>SUMIFS(Vendite!$H$2:$H$1000,Vendite!$B$2:$B$1000,A3,Vendite!$O$2:$O$1000,5)</f>
        <v/>
      </c>
      <c r="V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SUM(F4:K4)</f>
        <v/>
      </c>
      <c r="D4" s="11">
        <f>SUM(L4:Q4)</f>
        <v/>
      </c>
      <c r="E4" s="12">
        <f>SUMIF(Vendite!$B$2:$B$1000,A4,Vendite!$J$2:$J$1000)</f>
        <v/>
      </c>
      <c r="F4" s="11">
        <f>SUMIFS(Vendite!$H$2:$H$1000,Vendite!$B$2:$B$1000,A4,Vendite!$C$2:$C$1000,"&gt;="&amp;TIMEVALUE("19:00"),Vendite!$C$2:$C$1000,"&lt;"&amp;TIMEVALUE("20:00"))</f>
        <v/>
      </c>
      <c r="G4" s="11">
        <f>SUMIFS(Vendite!$H$2:$H$1000,Vendite!$B$2:$B$1000,A4,Vendite!$C$2:$C$1000,"&gt;="&amp;TIMEVALUE("20:00"),Vendite!$C$2:$C$1000,"&lt;"&amp;TIMEVALUE("21:00"))</f>
        <v/>
      </c>
      <c r="H4" s="11">
        <f>SUMIFS(Vendite!$H$2:$H$1000,Vendite!$B$2:$B$1000,A4,Vendite!$C$2:$C$1000,"&gt;="&amp;TIMEVALUE("21:00"),Vendite!$C$2:$C$1000,"&lt;"&amp;TIMEVALUE("22:00"))</f>
        <v/>
      </c>
      <c r="I4" s="11">
        <f>SUMIFS(Vendite!$H$2:$H$1000,Vendite!$B$2:$B$1000,A4,Vendite!$C$2:$C$1000,"&gt;="&amp;TIMEVALUE("22:00"),Vendite!$C$2:$C$1000,"&lt;"&amp;TIMEVALUE("23:00"))</f>
        <v/>
      </c>
      <c r="J4" s="11">
        <f>SUMIFS(Vendite!$H$2:$H$1000,Vendite!$B$2:$B$1000,A4,Vendite!$C$2:$C$1000,"&gt;="&amp;TIMEVALUE("23:00"),Vendite!$C$2:$C$1000,"&lt;"&amp;TIMEVALUE("23:30"))</f>
        <v/>
      </c>
      <c r="K4" s="11">
        <f>SUMIFS(Vendite!$H$2:$H$1000,Vendite!$B$2:$B$1000,A4,Vendite!$C$2:$C$1000,"&gt;="&amp;TIMEVALUE("23:30"))</f>
        <v/>
      </c>
      <c r="L4" s="11">
        <f>SUMIFS(Vendite!$P$2:$P$1000,Vendite!$B$2:$B$1000,A4,Vendite!$C$2:$C$1000,"&gt;="&amp;TIMEVALUE("19:00"),Vendite!$C$2:$C$1000,"&lt;"&amp;TIMEVALUE("20:00"))</f>
        <v/>
      </c>
      <c r="M4" s="11">
        <f>SUMIFS(Vendite!$P$2:$P$1000,Vendite!$B$2:$B$1000,A4,Vendite!$C$2:$C$1000,"&gt;="&amp;TIMEVALUE("20:00"),Vendite!$C$2:$C$1000,"&lt;"&amp;TIMEVALUE("21:00"))</f>
        <v/>
      </c>
      <c r="N4" s="11">
        <f>SUMIFS(Vendite!$P$2:$P$1000,Vendite!$B$2:$B$1000,A4,Vendite!$C$2:$C$1000,"&gt;="&amp;TIMEVALUE("21:00"),Vendite!$C$2:$C$1000,"&lt;"&amp;TIMEVALUE("22:00"))</f>
        <v/>
      </c>
      <c r="O4" s="11">
        <f>SUMIFS(Vendite!$P$2:$P$1000,Vendite!$B$2:$B$1000,A4,Vendite!$C$2:$C$1000,"&gt;="&amp;TIMEVALUE("22:00"),Vendite!$C$2:$C$1000,"&lt;"&amp;TIMEVALUE("23:00"))</f>
        <v/>
      </c>
      <c r="P4" s="11">
        <f>SUMIFS(Vendite!$P$2:$P$1000,Vendite!$B$2:$B$1000,A4,Vendite!$C$2:$C$1000,"&gt;="&amp;TIMEVALUE("23:00"),Vendite!$C$2:$C$1000,"&lt;"&amp;TIMEVALUE("23:30"))</f>
        <v/>
      </c>
      <c r="Q4" s="11">
        <f>SUMIFS(Vendite!$P$2:$P$1000,Vendite!$B$2:$B$1000,A4,Vendite!$C$2:$C$1000,"&gt;="&amp;TIMEVALUE("23:30"))</f>
        <v/>
      </c>
      <c r="R4" s="11">
        <f>SUMIFS(Vendite!$H$2:$H$1000,Vendite!$B$2:$B$1000,A4,Vendite!$O$2:$O$1000,2)</f>
        <v/>
      </c>
      <c r="S4" s="11">
        <f>SUMIFS(Vendite!$H$2:$H$1000,Vendite!$B$2:$B$1000,A4,Vendite!$O$2:$O$1000,3)</f>
        <v/>
      </c>
      <c r="T4" s="11">
        <f>SUMIFS(Vendite!$H$2:$H$1000,Vendite!$B$2:$B$1000,A4,Vendite!$O$2:$O$1000,4)</f>
        <v/>
      </c>
      <c r="U4" s="11">
        <f>SUMIFS(Vendite!$H$2:$H$1000,Vendite!$B$2:$B$1000,A4,Vendite!$O$2:$O$1000,5)</f>
        <v/>
      </c>
      <c r="V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SUM(F5:K5)</f>
        <v/>
      </c>
      <c r="D5" s="15">
        <f>SUM(L5:Q5)</f>
        <v/>
      </c>
      <c r="E5" s="16">
        <f>SUMIF(Vendite!$B$2:$B$1000,A5,Vendite!$J$2:$J$1000)</f>
        <v/>
      </c>
      <c r="F5" s="15">
        <f>SUMIFS(Vendite!$H$2:$H$1000,Vendite!$B$2:$B$1000,A5,Vendite!$C$2:$C$1000,"&gt;="&amp;TIMEVALUE("19:00"),Vendite!$C$2:$C$1000,"&lt;"&amp;TIMEVALUE("20:00"))</f>
        <v/>
      </c>
      <c r="G5" s="15">
        <f>SUMIFS(Vendite!$H$2:$H$1000,Vendite!$B$2:$B$1000,A5,Vendite!$C$2:$C$1000,"&gt;="&amp;TIMEVALUE("20:00"),Vendite!$C$2:$C$1000,"&lt;"&amp;TIMEVALUE("21:00"))</f>
        <v/>
      </c>
      <c r="H5" s="15">
        <f>SUMIFS(Vendite!$H$2:$H$1000,Vendite!$B$2:$B$1000,A5,Vendite!$C$2:$C$1000,"&gt;="&amp;TIMEVALUE("21:00"),Vendite!$C$2:$C$1000,"&lt;"&amp;TIMEVALUE("22:00"))</f>
        <v/>
      </c>
      <c r="I5" s="15">
        <f>SUMIFS(Vendite!$H$2:$H$1000,Vendite!$B$2:$B$1000,A5,Vendite!$C$2:$C$1000,"&gt;="&amp;TIMEVALUE("22:00"),Vendite!$C$2:$C$1000,"&lt;"&amp;TIMEVALUE("23:00"))</f>
        <v/>
      </c>
      <c r="J5" s="15">
        <f>SUMIFS(Vendite!$H$2:$H$1000,Vendite!$B$2:$B$1000,A5,Vendite!$C$2:$C$1000,"&gt;="&amp;TIMEVALUE("23:00"),Vendite!$C$2:$C$1000,"&lt;"&amp;TIMEVALUE("23:30"))</f>
        <v/>
      </c>
      <c r="K5" s="15">
        <f>SUMIFS(Vendite!$H$2:$H$1000,Vendite!$B$2:$B$1000,A5,Vendite!$C$2:$C$1000,"&gt;="&amp;TIMEVALUE("23:30"))</f>
        <v/>
      </c>
      <c r="L5" s="15">
        <f>SUMIFS(Vendite!$P$2:$P$1000,Vendite!$B$2:$B$1000,A5,Vendite!$C$2:$C$1000,"&gt;="&amp;TIMEVALUE("19:00"),Vendite!$C$2:$C$1000,"&lt;"&amp;TIMEVALUE("20:00"))</f>
        <v/>
      </c>
      <c r="M5" s="15">
        <f>SUMIFS(Vendite!$P$2:$P$1000,Vendite!$B$2:$B$1000,A5,Vendite!$C$2:$C$1000,"&gt;="&amp;TIMEVALUE("20:00"),Vendite!$C$2:$C$1000,"&lt;"&amp;TIMEVALUE("21:00"))</f>
        <v/>
      </c>
      <c r="N5" s="15">
        <f>SUMIFS(Vendite!$P$2:$P$1000,Vendite!$B$2:$B$1000,A5,Vendite!$C$2:$C$1000,"&gt;="&amp;TIMEVALUE("21:00"),Vendite!$C$2:$C$1000,"&lt;"&amp;TIMEVALUE("22:00"))</f>
        <v/>
      </c>
      <c r="O5" s="15">
        <f>SUMIFS(Vendite!$P$2:$P$1000,Vendite!$B$2:$B$1000,A5,Vendite!$C$2:$C$1000,"&gt;="&amp;TIMEVALUE("22:00"),Vendite!$C$2:$C$1000,"&lt;"&amp;TIMEVALUE("23:00"))</f>
        <v/>
      </c>
      <c r="P5" s="15">
        <f>SUMIFS(Vendite!$P$2:$P$1000,Vendite!$B$2:$B$1000,A5,Vendite!$C$2:$C$1000,"&gt;="&amp;TIMEVALUE("23:00"),Vendite!$C$2:$C$1000,"&lt;"&amp;TIMEVALUE("23:30"))</f>
        <v/>
      </c>
      <c r="Q5" s="15">
        <f>SUMIFS(Vendite!$P$2:$P$1000,Vendite!$B$2:$B$1000,A5,Vendite!$C$2:$C$1000,"&gt;="&amp;TIMEVALUE("23:30"))</f>
        <v/>
      </c>
      <c r="R5" s="15">
        <f>SUMIFS(Vendite!$H$2:$H$1000,Vendite!$B$2:$B$1000,A5,Vendite!$O$2:$O$1000,2)</f>
        <v/>
      </c>
      <c r="S5" s="15">
        <f>SUMIFS(Vendite!$H$2:$H$1000,Vendite!$B$2:$B$1000,A5,Vendite!$O$2:$O$1000,3)</f>
        <v/>
      </c>
      <c r="T5" s="15">
        <f>SUMIFS(Vendite!$H$2:$H$1000,Vendite!$B$2:$B$1000,A5,Vendite!$O$2:$O$1000,4)</f>
        <v/>
      </c>
      <c r="U5" s="15">
        <f>SUMIFS(Vendite!$H$2:$H$1000,Vendite!$B$2:$B$1000,A5,Vendite!$O$2:$O$1000,5)</f>
        <v/>
      </c>
      <c r="V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SUM(F6:K6)</f>
        <v/>
      </c>
      <c r="D6" s="11">
        <f>SUM(L6:Q6)</f>
        <v/>
      </c>
      <c r="E6" s="12">
        <f>SUMIF(Vendite!$B$2:$B$1000,A6,Vendite!$J$2:$J$1000)</f>
        <v/>
      </c>
      <c r="F6" s="11">
        <f>SUMIFS(Vendite!$H$2:$H$1000,Vendite!$B$2:$B$1000,A6,Vendite!$C$2:$C$1000,"&gt;="&amp;TIMEVALUE("19:00"),Vendite!$C$2:$C$1000,"&lt;"&amp;TIMEVALUE("20:00"))</f>
        <v/>
      </c>
      <c r="G6" s="11">
        <f>SUMIFS(Vendite!$H$2:$H$1000,Vendite!$B$2:$B$1000,A6,Vendite!$C$2:$C$1000,"&gt;="&amp;TIMEVALUE("20:00"),Vendite!$C$2:$C$1000,"&lt;"&amp;TIMEVALUE("21:00"))</f>
        <v/>
      </c>
      <c r="H6" s="11">
        <f>SUMIFS(Vendite!$H$2:$H$1000,Vendite!$B$2:$B$1000,A6,Vendite!$C$2:$C$1000,"&gt;="&amp;TIMEVALUE("21:00"),Vendite!$C$2:$C$1000,"&lt;"&amp;TIMEVALUE("22:00"))</f>
        <v/>
      </c>
      <c r="I6" s="11">
        <f>SUMIFS(Vendite!$H$2:$H$1000,Vendite!$B$2:$B$1000,A6,Vendite!$C$2:$C$1000,"&gt;="&amp;TIMEVALUE("22:00"),Vendite!$C$2:$C$1000,"&lt;"&amp;TIMEVALUE("23:00"))</f>
        <v/>
      </c>
      <c r="J6" s="11">
        <f>SUMIFS(Vendite!$H$2:$H$1000,Vendite!$B$2:$B$1000,A6,Vendite!$C$2:$C$1000,"&gt;="&amp;TIMEVALUE("23:00"),Vendite!$C$2:$C$1000,"&lt;"&amp;TIMEVALUE("23:30"))</f>
        <v/>
      </c>
      <c r="K6" s="11">
        <f>SUMIFS(Vendite!$H$2:$H$1000,Vendite!$B$2:$B$1000,A6,Vendite!$C$2:$C$1000,"&gt;="&amp;TIMEVALUE("23:30"))</f>
        <v/>
      </c>
      <c r="L6" s="11">
        <f>SUMIFS(Vendite!$P$2:$P$1000,Vendite!$B$2:$B$1000,A6,Vendite!$C$2:$C$1000,"&gt;="&amp;TIMEVALUE("19:00"),Vendite!$C$2:$C$1000,"&lt;"&amp;TIMEVALUE("20:00"))</f>
        <v/>
      </c>
      <c r="M6" s="11">
        <f>SUMIFS(Vendite!$P$2:$P$1000,Vendite!$B$2:$B$1000,A6,Vendite!$C$2:$C$1000,"&gt;="&amp;TIMEVALUE("20:00"),Vendite!$C$2:$C$1000,"&lt;"&amp;TIMEVALUE("21:00"))</f>
        <v/>
      </c>
      <c r="N6" s="11">
        <f>SUMIFS(Vendite!$P$2:$P$1000,Vendite!$B$2:$B$1000,A6,Vendite!$C$2:$C$1000,"&gt;="&amp;TIMEVALUE("21:00"),Vendite!$C$2:$C$1000,"&lt;"&amp;TIMEVALUE("22:00"))</f>
        <v/>
      </c>
      <c r="O6" s="11">
        <f>SUMIFS(Vendite!$P$2:$P$1000,Vendite!$B$2:$B$1000,A6,Vendite!$C$2:$C$1000,"&gt;="&amp;TIMEVALUE("22:00"),Vendite!$C$2:$C$1000,"&lt;"&amp;TIMEVALUE("23:00"))</f>
        <v/>
      </c>
      <c r="P6" s="11">
        <f>SUMIFS(Vendite!$P$2:$P$1000,Vendite!$B$2:$B$1000,A6,Vendite!$C$2:$C$1000,"&gt;="&amp;TIMEVALUE("23:00"),Vendite!$C$2:$C$1000,"&lt;"&amp;TIMEVALUE("23:30"))</f>
        <v/>
      </c>
      <c r="Q6" s="11">
        <f>SUMIFS(Vendite!$P$2:$P$1000,Vendite!$B$2:$B$1000,A6,Vendite!$C$2:$C$1000,"&gt;="&amp;TIMEVALUE("23:30"))</f>
        <v/>
      </c>
      <c r="R6" s="11">
        <f>SUMIFS(Vendite!$H$2:$H$1000,Vendite!$B$2:$B$1000,A6,Vendite!$O$2:$O$1000,2)</f>
        <v/>
      </c>
      <c r="S6" s="11">
        <f>SUMIFS(Vendite!$H$2:$H$1000,Vendite!$B$2:$B$1000,A6,Vendite!$O$2:$O$1000,3)</f>
        <v/>
      </c>
      <c r="T6" s="11">
        <f>SUMIFS(Vendite!$H$2:$H$1000,Vendite!$B$2:$B$1000,A6,Vendite!$O$2:$O$1000,4)</f>
        <v/>
      </c>
      <c r="U6" s="11">
        <f>SUMIFS(Vendite!$H$2:$H$1000,Vendite!$B$2:$B$1000,A6,Vendite!$O$2:$O$1000,5)</f>
        <v/>
      </c>
      <c r="V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SUM(F7:K7)</f>
        <v/>
      </c>
      <c r="D7" s="15">
        <f>SUM(L7:Q7)</f>
        <v/>
      </c>
      <c r="E7" s="16">
        <f>SUMIF(Vendite!$B$2:$B$1000,A7,Vendite!$J$2:$J$1000)</f>
        <v/>
      </c>
      <c r="F7" s="15">
        <f>SUMIFS(Vendite!$H$2:$H$1000,Vendite!$B$2:$B$1000,A7,Vendite!$C$2:$C$1000,"&gt;="&amp;TIMEVALUE("19:00"),Vendite!$C$2:$C$1000,"&lt;"&amp;TIMEVALUE("20:00"))</f>
        <v/>
      </c>
      <c r="G7" s="15">
        <f>SUMIFS(Vendite!$H$2:$H$1000,Vendite!$B$2:$B$1000,A7,Vendite!$C$2:$C$1000,"&gt;="&amp;TIMEVALUE("20:00"),Vendite!$C$2:$C$1000,"&lt;"&amp;TIMEVALUE("21:00"))</f>
        <v/>
      </c>
      <c r="H7" s="15">
        <f>SUMIFS(Vendite!$H$2:$H$1000,Vendite!$B$2:$B$1000,A7,Vendite!$C$2:$C$1000,"&gt;="&amp;TIMEVALUE("21:00"),Vendite!$C$2:$C$1000,"&lt;"&amp;TIMEVALUE("22:00"))</f>
        <v/>
      </c>
      <c r="I7" s="15">
        <f>SUMIFS(Vendite!$H$2:$H$1000,Vendite!$B$2:$B$1000,A7,Vendite!$C$2:$C$1000,"&gt;="&amp;TIMEVALUE("22:00"),Vendite!$C$2:$C$1000,"&lt;"&amp;TIMEVALUE("23:00"))</f>
        <v/>
      </c>
      <c r="J7" s="15">
        <f>SUMIFS(Vendite!$H$2:$H$1000,Vendite!$B$2:$B$1000,A7,Vendite!$C$2:$C$1000,"&gt;="&amp;TIMEVALUE("23:00"),Vendite!$C$2:$C$1000,"&lt;"&amp;TIMEVALUE("23:30"))</f>
        <v/>
      </c>
      <c r="K7" s="15">
        <f>SUMIFS(Vendite!$H$2:$H$1000,Vendite!$B$2:$B$1000,A7,Vendite!$C$2:$C$1000,"&gt;="&amp;TIMEVALUE("23:30"))</f>
        <v/>
      </c>
      <c r="L7" s="15">
        <f>SUMIFS(Vendite!$P$2:$P$1000,Vendite!$B$2:$B$1000,A7,Vendite!$C$2:$C$1000,"&gt;="&amp;TIMEVALUE("19:00"),Vendite!$C$2:$C$1000,"&lt;"&amp;TIMEVALUE("20:00"))</f>
        <v/>
      </c>
      <c r="M7" s="15">
        <f>SUMIFS(Vendite!$P$2:$P$1000,Vendite!$B$2:$B$1000,A7,Vendite!$C$2:$C$1000,"&gt;="&amp;TIMEVALUE("20:00"),Vendite!$C$2:$C$1000,"&lt;"&amp;TIMEVALUE("21:00"))</f>
        <v/>
      </c>
      <c r="N7" s="15">
        <f>SUMIFS(Vendite!$P$2:$P$1000,Vendite!$B$2:$B$1000,A7,Vendite!$C$2:$C$1000,"&gt;="&amp;TIMEVALUE("21:00"),Vendite!$C$2:$C$1000,"&lt;"&amp;TIMEVALUE("22:00"))</f>
        <v/>
      </c>
      <c r="O7" s="15">
        <f>SUMIFS(Vendite!$P$2:$P$1000,Vendite!$B$2:$B$1000,A7,Vendite!$C$2:$C$1000,"&gt;="&amp;TIMEVALUE("22:00"),Vendite!$C$2:$C$1000,"&lt;"&amp;TIMEVALUE("23:00"))</f>
        <v/>
      </c>
      <c r="P7" s="15">
        <f>SUMIFS(Vendite!$P$2:$P$1000,Vendite!$B$2:$B$1000,A7,Vendite!$C$2:$C$1000,"&gt;="&amp;TIMEVALUE("23:00"),Vendite!$C$2:$C$1000,"&lt;"&amp;TIMEVALUE("23:30"))</f>
        <v/>
      </c>
      <c r="Q7" s="15">
        <f>SUMIFS(Vendite!$P$2:$P$1000,Vendite!$B$2:$B$1000,A7,Vendite!$C$2:$C$1000,"&gt;="&amp;TIMEVALUE("23:30"))</f>
        <v/>
      </c>
      <c r="R7" s="15">
        <f>SUMIFS(Vendite!$H$2:$H$1000,Vendite!$B$2:$B$1000,A7,Vendite!$O$2:$O$1000,2)</f>
        <v/>
      </c>
      <c r="S7" s="15">
        <f>SUMIFS(Vendite!$H$2:$H$1000,Vendite!$B$2:$B$1000,A7,Vendite!$O$2:$O$1000,3)</f>
        <v/>
      </c>
      <c r="T7" s="15">
        <f>SUMIFS(Vendite!$H$2:$H$1000,Vendite!$B$2:$B$1000,A7,Vendite!$O$2:$O$1000,4)</f>
        <v/>
      </c>
      <c r="U7" s="15">
        <f>SUMIFS(Vendite!$H$2:$H$1000,Vendite!$B$2:$B$1000,A7,Vendite!$O$2:$O$1000,5)</f>
        <v/>
      </c>
      <c r="V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SUM(F8:K8)</f>
        <v/>
      </c>
      <c r="D8" s="11">
        <f>SUM(L8:Q8)</f>
        <v/>
      </c>
      <c r="E8" s="12">
        <f>SUMIF(Vendite!$B$2:$B$1000,A8,Vendite!$J$2:$J$1000)</f>
        <v/>
      </c>
      <c r="F8" s="11">
        <f>SUMIFS(Vendite!$H$2:$H$1000,Vendite!$B$2:$B$1000,A8,Vendite!$C$2:$C$1000,"&gt;="&amp;TIMEVALUE("19:00"),Vendite!$C$2:$C$1000,"&lt;"&amp;TIMEVALUE("20:00"))</f>
        <v/>
      </c>
      <c r="G8" s="11">
        <f>SUMIFS(Vendite!$H$2:$H$1000,Vendite!$B$2:$B$1000,A8,Vendite!$C$2:$C$1000,"&gt;="&amp;TIMEVALUE("20:00"),Vendite!$C$2:$C$1000,"&lt;"&amp;TIMEVALUE("21:00"))</f>
        <v/>
      </c>
      <c r="H8" s="11">
        <f>SUMIFS(Vendite!$H$2:$H$1000,Vendite!$B$2:$B$1000,A8,Vendite!$C$2:$C$1000,"&gt;="&amp;TIMEVALUE("21:00"),Vendite!$C$2:$C$1000,"&lt;"&amp;TIMEVALUE("22:00"))</f>
        <v/>
      </c>
      <c r="I8" s="11">
        <f>SUMIFS(Vendite!$H$2:$H$1000,Vendite!$B$2:$B$1000,A8,Vendite!$C$2:$C$1000,"&gt;="&amp;TIMEVALUE("22:00"),Vendite!$C$2:$C$1000,"&lt;"&amp;TIMEVALUE("23:00"))</f>
        <v/>
      </c>
      <c r="J8" s="11">
        <f>SUMIFS(Vendite!$H$2:$H$1000,Vendite!$B$2:$B$1000,A8,Vendite!$C$2:$C$1000,"&gt;="&amp;TIMEVALUE("23:00"),Vendite!$C$2:$C$1000,"&lt;"&amp;TIMEVALUE("23:30"))</f>
        <v/>
      </c>
      <c r="K8" s="11">
        <f>SUMIFS(Vendite!$H$2:$H$1000,Vendite!$B$2:$B$1000,A8,Vendite!$C$2:$C$1000,"&gt;="&amp;TIMEVALUE("23:30"))</f>
        <v/>
      </c>
      <c r="L8" s="11">
        <f>SUMIFS(Vendite!$P$2:$P$1000,Vendite!$B$2:$B$1000,A8,Vendite!$C$2:$C$1000,"&gt;="&amp;TIMEVALUE("19:00"),Vendite!$C$2:$C$1000,"&lt;"&amp;TIMEVALUE("20:00"))</f>
        <v/>
      </c>
      <c r="M8" s="11">
        <f>SUMIFS(Vendite!$P$2:$P$1000,Vendite!$B$2:$B$1000,A8,Vendite!$C$2:$C$1000,"&gt;="&amp;TIMEVALUE("20:00"),Vendite!$C$2:$C$1000,"&lt;"&amp;TIMEVALUE("21:00"))</f>
        <v/>
      </c>
      <c r="N8" s="11">
        <f>SUMIFS(Vendite!$P$2:$P$1000,Vendite!$B$2:$B$1000,A8,Vendite!$C$2:$C$1000,"&gt;="&amp;TIMEVALUE("21:00"),Vendite!$C$2:$C$1000,"&lt;"&amp;TIMEVALUE("22:00"))</f>
        <v/>
      </c>
      <c r="O8" s="11">
        <f>SUMIFS(Vendite!$P$2:$P$1000,Vendite!$B$2:$B$1000,A8,Vendite!$C$2:$C$1000,"&gt;="&amp;TIMEVALUE("22:00"),Vendite!$C$2:$C$1000,"&lt;"&amp;TIMEVALUE("23:00"))</f>
        <v/>
      </c>
      <c r="P8" s="11">
        <f>SUMIFS(Vendite!$P$2:$P$1000,Vendite!$B$2:$B$1000,A8,Vendite!$C$2:$C$1000,"&gt;="&amp;TIMEVALUE("23:00"),Vendite!$C$2:$C$1000,"&lt;"&amp;TIMEVALUE("23:30"))</f>
        <v/>
      </c>
      <c r="Q8" s="11">
        <f>SUMIFS(Vendite!$P$2:$P$1000,Vendite!$B$2:$B$1000,A8,Vendite!$C$2:$C$1000,"&gt;="&amp;TIMEVALUE("23:30"))</f>
        <v/>
      </c>
      <c r="R8" s="11">
        <f>SUMIFS(Vendite!$H$2:$H$1000,Vendite!$B$2:$B$1000,A8,Vendite!$O$2:$O$1000,2)</f>
        <v/>
      </c>
      <c r="S8" s="11">
        <f>SUMIFS(Vendite!$H$2:$H$1000,Vendite!$B$2:$B$1000,A8,Vendite!$O$2:$O$1000,3)</f>
        <v/>
      </c>
      <c r="T8" s="11">
        <f>SUMIFS(Vendite!$H$2:$H$1000,Vendite!$B$2:$B$1000,A8,Vendite!$O$2:$O$1000,4)</f>
        <v/>
      </c>
      <c r="U8" s="11">
        <f>SUMIFS(Vendite!$H$2:$H$1000,Vendite!$B$2:$B$1000,A8,Vendite!$O$2:$O$1000,5)</f>
        <v/>
      </c>
      <c r="V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SUM(F9:K9)</f>
        <v/>
      </c>
      <c r="D9" s="15">
        <f>SUM(L9:Q9)</f>
        <v/>
      </c>
      <c r="E9" s="16">
        <f>SUMIF(Vendite!$B$2:$B$1000,A9,Vendite!$J$2:$J$1000)</f>
        <v/>
      </c>
      <c r="F9" s="15">
        <f>SUMIFS(Vendite!$H$2:$H$1000,Vendite!$B$2:$B$1000,A9,Vendite!$C$2:$C$1000,"&gt;="&amp;TIMEVALUE("19:00"),Vendite!$C$2:$C$1000,"&lt;"&amp;TIMEVALUE("20:00"))</f>
        <v/>
      </c>
      <c r="G9" s="15">
        <f>SUMIFS(Vendite!$H$2:$H$1000,Vendite!$B$2:$B$1000,A9,Vendite!$C$2:$C$1000,"&gt;="&amp;TIMEVALUE("20:00"),Vendite!$C$2:$C$1000,"&lt;"&amp;TIMEVALUE("21:00"))</f>
        <v/>
      </c>
      <c r="H9" s="15">
        <f>SUMIFS(Vendite!$H$2:$H$1000,Vendite!$B$2:$B$1000,A9,Vendite!$C$2:$C$1000,"&gt;="&amp;TIMEVALUE("21:00"),Vendite!$C$2:$C$1000,"&lt;"&amp;TIMEVALUE("22:00"))</f>
        <v/>
      </c>
      <c r="I9" s="15">
        <f>SUMIFS(Vendite!$H$2:$H$1000,Vendite!$B$2:$B$1000,A9,Vendite!$C$2:$C$1000,"&gt;="&amp;TIMEVALUE("22:00"),Vendite!$C$2:$C$1000,"&lt;"&amp;TIMEVALUE("23:00"))</f>
        <v/>
      </c>
      <c r="J9" s="15">
        <f>SUMIFS(Vendite!$H$2:$H$1000,Vendite!$B$2:$B$1000,A9,Vendite!$C$2:$C$1000,"&gt;="&amp;TIMEVALUE("23:00"),Vendite!$C$2:$C$1000,"&lt;"&amp;TIMEVALUE("23:30"))</f>
        <v/>
      </c>
      <c r="K9" s="15">
        <f>SUMIFS(Vendite!$H$2:$H$1000,Vendite!$B$2:$B$1000,A9,Vendite!$C$2:$C$1000,"&gt;="&amp;TIMEVALUE("23:30"))</f>
        <v/>
      </c>
      <c r="L9" s="15">
        <f>SUMIFS(Vendite!$P$2:$P$1000,Vendite!$B$2:$B$1000,A9,Vendite!$C$2:$C$1000,"&gt;="&amp;TIMEVALUE("19:00"),Vendite!$C$2:$C$1000,"&lt;"&amp;TIMEVALUE("20:00"))</f>
        <v/>
      </c>
      <c r="M9" s="15">
        <f>SUMIFS(Vendite!$P$2:$P$1000,Vendite!$B$2:$B$1000,A9,Vendite!$C$2:$C$1000,"&gt;="&amp;TIMEVALUE("20:00"),Vendite!$C$2:$C$1000,"&lt;"&amp;TIMEVALUE("21:00"))</f>
        <v/>
      </c>
      <c r="N9" s="15">
        <f>SUMIFS(Vendite!$P$2:$P$1000,Vendite!$B$2:$B$1000,A9,Vendite!$C$2:$C$1000,"&gt;="&amp;TIMEVALUE("21:00"),Vendite!$C$2:$C$1000,"&lt;"&amp;TIMEVALUE("22:00"))</f>
        <v/>
      </c>
      <c r="O9" s="15">
        <f>SUMIFS(Vendite!$P$2:$P$1000,Vendite!$B$2:$B$1000,A9,Vendite!$C$2:$C$1000,"&gt;="&amp;TIMEVALUE("22:00"),Vendite!$C$2:$C$1000,"&lt;"&amp;TIMEVALUE("23:00"))</f>
        <v/>
      </c>
      <c r="P9" s="15">
        <f>SUMIFS(Vendite!$P$2:$P$1000,Vendite!$B$2:$B$1000,A9,Vendite!$C$2:$C$1000,"&gt;="&amp;TIMEVALUE("23:00"),Vendite!$C$2:$C$1000,"&lt;"&amp;TIMEVALUE("23:30"))</f>
        <v/>
      </c>
      <c r="Q9" s="15">
        <f>SUMIFS(Vendite!$P$2:$P$1000,Vendite!$B$2:$B$1000,A9,Vendite!$C$2:$C$1000,"&gt;="&amp;TIMEVALUE("23:30"))</f>
        <v/>
      </c>
      <c r="R9" s="15">
        <f>SUMIFS(Vendite!$H$2:$H$1000,Vendite!$B$2:$B$1000,A9,Vendite!$O$2:$O$1000,2)</f>
        <v/>
      </c>
      <c r="S9" s="15">
        <f>SUMIFS(Vendite!$H$2:$H$1000,Vendite!$B$2:$B$1000,A9,Vendite!$O$2:$O$1000,3)</f>
        <v/>
      </c>
      <c r="T9" s="15">
        <f>SUMIFS(Vendite!$H$2:$H$1000,Vendite!$B$2:$B$1000,A9,Vendite!$O$2:$O$1000,4)</f>
        <v/>
      </c>
      <c r="U9" s="15">
        <f>SUMIFS(Vendite!$H$2:$H$1000,Vendite!$B$2:$B$1000,A9,Vendite!$O$2:$O$1000,5)</f>
        <v/>
      </c>
      <c r="V9">
        <f>TEXT(A9,"DD/MM")</f>
        <v/>
      </c>
    </row>
  </sheetData>
  <autoFilter ref="A1:U9"/>
  <conditionalFormatting sqref="F2:K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L2:Q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9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2217</v>
      </c>
      <c r="D590" s="12" t="n">
        <v>26604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2217</v>
      </c>
      <c r="D591" s="16" t="n">
        <v>26604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2258</v>
      </c>
      <c r="D592" s="12" t="n">
        <v>27096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2274</v>
      </c>
      <c r="D593" s="16" t="n">
        <v>27288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2279</v>
      </c>
      <c r="D594" s="12" t="n">
        <v>27348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2291</v>
      </c>
      <c r="D595" s="16" t="n">
        <v>27492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2305</v>
      </c>
      <c r="D596" s="12" t="n">
        <v>27660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2305</v>
      </c>
      <c r="D597" s="16" t="n">
        <v>27660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2309</v>
      </c>
      <c r="D598" s="12" t="n">
        <v>27708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2311</v>
      </c>
      <c r="D599" s="16" t="n">
        <v>27732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2311</v>
      </c>
      <c r="D600" s="12" t="n">
        <v>27732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2313</v>
      </c>
      <c r="D601" s="16" t="n">
        <v>27756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2315</v>
      </c>
      <c r="D602" s="12" t="n">
        <v>27780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2315</v>
      </c>
      <c r="D603" s="16" t="n">
        <v>27780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2315</v>
      </c>
      <c r="D604" s="12" t="n">
        <v>27780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2315</v>
      </c>
      <c r="D605" s="16" t="n">
        <v>27780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2315</v>
      </c>
      <c r="D606" s="12" t="n">
        <v>27780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2317</v>
      </c>
      <c r="D607" s="16" t="n">
        <v>27804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2317</v>
      </c>
      <c r="D608" s="12" t="n">
        <v>27804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2326</v>
      </c>
      <c r="D609" s="16" t="n">
        <v>27912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2333</v>
      </c>
      <c r="D610" s="12" t="n">
        <v>27996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2373</v>
      </c>
      <c r="D611" s="16" t="n">
        <v>28476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2387</v>
      </c>
      <c r="D612" s="12" t="n">
        <v>28644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2400</v>
      </c>
      <c r="D613" s="16" t="n">
        <v>28800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2400</v>
      </c>
      <c r="D614" s="12" t="n">
        <v>28800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2439</v>
      </c>
      <c r="D615" s="16" t="n">
        <v>29268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2450</v>
      </c>
      <c r="D616" s="12" t="n">
        <v>29400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2452</v>
      </c>
      <c r="D617" s="16" t="n">
        <v>29424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2496</v>
      </c>
      <c r="D618" s="12" t="n">
        <v>29952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2528</v>
      </c>
      <c r="D619" s="16" t="n">
        <v>30336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2564</v>
      </c>
      <c r="D620" s="12" t="n">
        <v>30768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2597</v>
      </c>
      <c r="D621" s="16" t="n">
        <v>31164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2607</v>
      </c>
      <c r="D622" s="12" t="n">
        <v>31284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2703</v>
      </c>
      <c r="D623" s="16" t="n">
        <v>32436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2756</v>
      </c>
      <c r="D624" s="12" t="n">
        <v>33072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2785</v>
      </c>
      <c r="D625" s="16" t="n">
        <v>33420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2850</v>
      </c>
      <c r="D626" s="12" t="n">
        <v>34200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2854</v>
      </c>
      <c r="D627" s="16" t="n">
        <v>34248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2909</v>
      </c>
      <c r="D628" s="12" t="n">
        <v>34908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2931</v>
      </c>
      <c r="D629" s="16" t="n">
        <v>35172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2957</v>
      </c>
      <c r="D630" s="12" t="n">
        <v>35484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2960</v>
      </c>
      <c r="D631" s="16" t="n">
        <v>35520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2963</v>
      </c>
      <c r="D632" s="12" t="n">
        <v>35556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2967</v>
      </c>
      <c r="D633" s="16" t="n">
        <v>35604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2975</v>
      </c>
      <c r="D634" s="12" t="n">
        <v>35700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2984</v>
      </c>
      <c r="D635" s="16" t="n">
        <v>35808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3004</v>
      </c>
      <c r="D636" s="12" t="n">
        <v>36048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3008</v>
      </c>
      <c r="D637" s="16" t="n">
        <v>36096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3049</v>
      </c>
      <c r="D638" s="12" t="n">
        <v>36588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3049</v>
      </c>
      <c r="D639" s="16" t="n">
        <v>36588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3057</v>
      </c>
      <c r="D640" s="12" t="n">
        <v>36684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3067</v>
      </c>
      <c r="D641" s="16" t="n">
        <v>36804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3088</v>
      </c>
      <c r="D642" s="12" t="n">
        <v>37056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3098</v>
      </c>
      <c r="D643" s="16" t="n">
        <v>37176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3104</v>
      </c>
      <c r="D644" s="12" t="n">
        <v>37248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3106</v>
      </c>
      <c r="D645" s="16" t="n">
        <v>37272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3106</v>
      </c>
      <c r="D646" s="12" t="n">
        <v>37272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3113</v>
      </c>
      <c r="D647" s="16" t="n">
        <v>37356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3113</v>
      </c>
      <c r="D648" s="12" t="n">
        <v>37356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3121</v>
      </c>
      <c r="D649" s="16" t="n">
        <v>37452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3125</v>
      </c>
      <c r="D650" s="12" t="n">
        <v>37500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3135</v>
      </c>
      <c r="D651" s="16" t="n">
        <v>37620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3151</v>
      </c>
      <c r="D652" s="12" t="n">
        <v>37812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3151</v>
      </c>
      <c r="D653" s="16" t="n">
        <v>37812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3171</v>
      </c>
      <c r="D654" s="12" t="n">
        <v>38052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3191</v>
      </c>
      <c r="D655" s="16" t="n">
        <v>38292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3212</v>
      </c>
      <c r="D656" s="12" t="n">
        <v>38544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3261</v>
      </c>
      <c r="D657" s="16" t="n">
        <v>39132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3288</v>
      </c>
      <c r="D658" s="12" t="n">
        <v>39456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3288</v>
      </c>
      <c r="D659" s="16" t="n">
        <v>39456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3337</v>
      </c>
      <c r="D660" s="12" t="n">
        <v>40044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3341</v>
      </c>
      <c r="D661" s="16" t="n">
        <v>40092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3349</v>
      </c>
      <c r="D662" s="12" t="n">
        <v>40188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3439</v>
      </c>
      <c r="D663" s="16" t="n">
        <v>41268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3472</v>
      </c>
      <c r="D664" s="12" t="n">
        <v>41664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3500</v>
      </c>
      <c r="D665" s="16" t="n">
        <v>42000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3509</v>
      </c>
      <c r="D666" s="12" t="n">
        <v>42108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3531</v>
      </c>
      <c r="D667" s="16" t="n">
        <v>42372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3531</v>
      </c>
      <c r="D668" s="12" t="n">
        <v>42372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3567</v>
      </c>
      <c r="D669" s="16" t="n">
        <v>42804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3575</v>
      </c>
      <c r="D670" s="12" t="n">
        <v>42900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3578</v>
      </c>
      <c r="D671" s="16" t="n">
        <v>42936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3642</v>
      </c>
      <c r="D672" s="12" t="n">
        <v>43704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3660</v>
      </c>
      <c r="D673" s="16" t="n">
        <v>43920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3668</v>
      </c>
      <c r="D674" s="12" t="n">
        <v>44016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3685</v>
      </c>
      <c r="D675" s="16" t="n">
        <v>44220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3687</v>
      </c>
      <c r="D676" s="12" t="n">
        <v>44244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3695</v>
      </c>
      <c r="D677" s="16" t="n">
        <v>44340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3731</v>
      </c>
      <c r="D678" s="12" t="n">
        <v>44772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3754</v>
      </c>
      <c r="D679" s="16" t="n">
        <v>45048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3825</v>
      </c>
      <c r="D680" s="12" t="n">
        <v>45900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3884</v>
      </c>
      <c r="D681" s="16" t="n">
        <v>46608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3935</v>
      </c>
      <c r="D682" s="12" t="n">
        <v>47220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3962</v>
      </c>
      <c r="D683" s="16" t="n">
        <v>47544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3966</v>
      </c>
      <c r="D684" s="12" t="n">
        <v>47592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4003</v>
      </c>
      <c r="D685" s="16" t="n">
        <v>48036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4014</v>
      </c>
      <c r="D686" s="12" t="n">
        <v>48168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4030</v>
      </c>
      <c r="D687" s="16" t="n">
        <v>48360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4051</v>
      </c>
      <c r="D688" s="12" t="n">
        <v>48612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4079</v>
      </c>
      <c r="D689" s="16" t="n">
        <v>48948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4081</v>
      </c>
      <c r="D690" s="12" t="n">
        <v>48972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4081</v>
      </c>
      <c r="D691" s="16" t="n">
        <v>48972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4089</v>
      </c>
      <c r="D692" s="12" t="n">
        <v>49068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4089</v>
      </c>
      <c r="D693" s="16" t="n">
        <v>49068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4142</v>
      </c>
      <c r="D694" s="12" t="n">
        <v>49704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4160</v>
      </c>
      <c r="D695" s="16" t="n">
        <v>49920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4166</v>
      </c>
      <c r="D696" s="12" t="n">
        <v>49992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4193</v>
      </c>
      <c r="D697" s="16" t="n">
        <v>50316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4207</v>
      </c>
      <c r="D698" s="12" t="n">
        <v>50484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4209</v>
      </c>
      <c r="D699" s="16" t="n">
        <v>50508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4226</v>
      </c>
      <c r="D700" s="12" t="n">
        <v>50712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4232</v>
      </c>
      <c r="D701" s="16" t="n">
        <v>50784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4245</v>
      </c>
      <c r="D702" s="12" t="n">
        <v>50940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4247</v>
      </c>
      <c r="D703" s="16" t="n">
        <v>50964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4261</v>
      </c>
      <c r="D704" s="12" t="n">
        <v>51132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4261</v>
      </c>
      <c r="D705" s="16" t="n">
        <v>51132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4275</v>
      </c>
      <c r="D706" s="12" t="n">
        <v>51300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4280</v>
      </c>
      <c r="D707" s="16" t="n">
        <v>51360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4296</v>
      </c>
      <c r="D708" s="12" t="n">
        <v>51552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4308</v>
      </c>
      <c r="D709" s="16" t="n">
        <v>51696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4330</v>
      </c>
      <c r="D710" s="12" t="n">
        <v>51960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4339</v>
      </c>
      <c r="D711" s="16" t="n">
        <v>52068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4352</v>
      </c>
      <c r="D712" s="12" t="n">
        <v>52224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4384</v>
      </c>
      <c r="D713" s="16" t="n">
        <v>52608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4391</v>
      </c>
      <c r="D714" s="12" t="n">
        <v>52692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4391</v>
      </c>
      <c r="D715" s="16" t="n">
        <v>52692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4391</v>
      </c>
      <c r="D716" s="12" t="n">
        <v>52692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4391</v>
      </c>
      <c r="D717" s="16" t="n">
        <v>52692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4391</v>
      </c>
      <c r="D718" s="12" t="n">
        <v>52692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4391</v>
      </c>
      <c r="D719" s="16" t="n">
        <v>52692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4393</v>
      </c>
      <c r="D720" s="12" t="n">
        <v>52716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4402</v>
      </c>
      <c r="D721" s="16" t="n">
        <v>52824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4418</v>
      </c>
      <c r="D722" s="12" t="n">
        <v>53016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4441</v>
      </c>
      <c r="D723" s="16" t="n">
        <v>53292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4462</v>
      </c>
      <c r="D724" s="12" t="n">
        <v>53544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4479</v>
      </c>
      <c r="D725" s="16" t="n">
        <v>53748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4483</v>
      </c>
      <c r="D726" s="12" t="n">
        <v>53796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4515</v>
      </c>
      <c r="D727" s="16" t="n">
        <v>54180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4549</v>
      </c>
      <c r="D728" s="12" t="n">
        <v>54588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4568</v>
      </c>
      <c r="D729" s="16" t="n">
        <v>54816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4594</v>
      </c>
      <c r="D730" s="12" t="n">
        <v>55128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4621</v>
      </c>
      <c r="D731" s="16" t="n">
        <v>55452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4666</v>
      </c>
      <c r="D732" s="12" t="n">
        <v>55992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4674</v>
      </c>
      <c r="D733" s="16" t="n">
        <v>56088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4682</v>
      </c>
      <c r="D734" s="12" t="n">
        <v>56184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4688</v>
      </c>
      <c r="D735" s="16" t="n">
        <v>56256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  <row r="736">
      <c r="A736" s="30" t="n">
        <v>46321.77361111111</v>
      </c>
      <c r="B736" s="11" t="n">
        <v>1527</v>
      </c>
      <c r="C736" s="11" t="n">
        <v>4688</v>
      </c>
      <c r="D736" s="12" t="n">
        <v>56256</v>
      </c>
      <c r="E736" s="31">
        <f>B736-B735</f>
        <v/>
      </c>
      <c r="F736" s="31">
        <f>C736-C735</f>
        <v/>
      </c>
      <c r="G736" s="32">
        <f>D736-D735</f>
        <v/>
      </c>
      <c r="H736">
        <f>TEXT(A736,"DD/MM HH:MM")</f>
        <v/>
      </c>
    </row>
    <row r="737">
      <c r="A737" s="33" t="n">
        <v>46321.81388888889</v>
      </c>
      <c r="B737" s="15" t="n">
        <v>1544</v>
      </c>
      <c r="C737" s="15" t="n">
        <v>4740</v>
      </c>
      <c r="D737" s="16" t="n">
        <v>56880</v>
      </c>
      <c r="E737" s="34">
        <f>B737-B736</f>
        <v/>
      </c>
      <c r="F737" s="34">
        <f>C737-C736</f>
        <v/>
      </c>
      <c r="G737" s="35">
        <f>D737-D736</f>
        <v/>
      </c>
      <c r="H737">
        <f>TEXT(A737,"DD/MM HH:MM")</f>
        <v/>
      </c>
    </row>
    <row r="738">
      <c r="A738" s="30" t="n">
        <v>46321.82152777778</v>
      </c>
      <c r="B738" s="11" t="n">
        <v>1547</v>
      </c>
      <c r="C738" s="11" t="n">
        <v>4749</v>
      </c>
      <c r="D738" s="12" t="n">
        <v>56988</v>
      </c>
      <c r="E738" s="31">
        <f>B738-B737</f>
        <v/>
      </c>
      <c r="F738" s="31">
        <f>C738-C737</f>
        <v/>
      </c>
      <c r="G738" s="32">
        <f>D738-D737</f>
        <v/>
      </c>
      <c r="H738">
        <f>TEXT(A738,"DD/MM HH:MM")</f>
        <v/>
      </c>
    </row>
    <row r="739">
      <c r="A739" s="33" t="n">
        <v>46321.83958333333</v>
      </c>
      <c r="B739" s="15" t="n">
        <v>1563</v>
      </c>
      <c r="C739" s="15" t="n">
        <v>4790</v>
      </c>
      <c r="D739" s="16" t="n">
        <v>57480</v>
      </c>
      <c r="E739" s="34">
        <f>B739-B738</f>
        <v/>
      </c>
      <c r="F739" s="34">
        <f>C739-C738</f>
        <v/>
      </c>
      <c r="G739" s="35">
        <f>D739-D738</f>
        <v/>
      </c>
      <c r="H739">
        <f>TEXT(A739,"DD/MM HH:MM")</f>
        <v/>
      </c>
    </row>
    <row r="740">
      <c r="A740" s="30" t="n">
        <v>46321.86180555556</v>
      </c>
      <c r="B740" s="11" t="n">
        <v>1572</v>
      </c>
      <c r="C740" s="11" t="n">
        <v>4819</v>
      </c>
      <c r="D740" s="12" t="n">
        <v>57828</v>
      </c>
      <c r="E740" s="31">
        <f>B740-B739</f>
        <v/>
      </c>
      <c r="F740" s="31">
        <f>C740-C739</f>
        <v/>
      </c>
      <c r="G740" s="32">
        <f>D740-D739</f>
        <v/>
      </c>
      <c r="H740">
        <f>TEXT(A740,"DD/MM HH:MM")</f>
        <v/>
      </c>
    </row>
    <row r="741">
      <c r="A741" s="33" t="n">
        <v>46321.89444444444</v>
      </c>
      <c r="B741" s="15" t="n">
        <v>1594</v>
      </c>
      <c r="C741" s="15" t="n">
        <v>4892</v>
      </c>
      <c r="D741" s="16" t="n">
        <v>58704</v>
      </c>
      <c r="E741" s="34">
        <f>B741-B740</f>
        <v/>
      </c>
      <c r="F741" s="34">
        <f>C741-C740</f>
        <v/>
      </c>
      <c r="G741" s="35">
        <f>D741-D740</f>
        <v/>
      </c>
      <c r="H741">
        <f>TEXT(A741,"DD/MM HH:MM")</f>
        <v/>
      </c>
    </row>
    <row r="742">
      <c r="A742" s="30" t="n">
        <v>46321.92777777778</v>
      </c>
      <c r="B742" s="11" t="n">
        <v>1611</v>
      </c>
      <c r="C742" s="11" t="n">
        <v>4941</v>
      </c>
      <c r="D742" s="12" t="n">
        <v>59292</v>
      </c>
      <c r="E742" s="31">
        <f>B742-B741</f>
        <v/>
      </c>
      <c r="F742" s="31">
        <f>C742-C741</f>
        <v/>
      </c>
      <c r="G742" s="32">
        <f>D742-D741</f>
        <v/>
      </c>
      <c r="H742">
        <f>TEXT(A742,"DD/MM HH:MM")</f>
        <v/>
      </c>
    </row>
    <row r="743">
      <c r="A743" s="33" t="n">
        <v>46321.9375</v>
      </c>
      <c r="B743" s="15" t="n">
        <v>1613</v>
      </c>
      <c r="C743" s="15" t="n">
        <v>4949</v>
      </c>
      <c r="D743" s="16" t="n">
        <v>59388</v>
      </c>
      <c r="E743" s="34">
        <f>B743-B742</f>
        <v/>
      </c>
      <c r="F743" s="34">
        <f>C743-C742</f>
        <v/>
      </c>
      <c r="G743" s="35">
        <f>D743-D742</f>
        <v/>
      </c>
      <c r="H743">
        <f>TEXT(A743,"DD/MM HH:MM")</f>
        <v/>
      </c>
    </row>
    <row r="744">
      <c r="A744" s="30" t="n">
        <v>46321.94861111111</v>
      </c>
      <c r="B744" s="11" t="n">
        <v>1621</v>
      </c>
      <c r="C744" s="11" t="n">
        <v>4976</v>
      </c>
      <c r="D744" s="12" t="n">
        <v>59712</v>
      </c>
      <c r="E744" s="31">
        <f>B744-B743</f>
        <v/>
      </c>
      <c r="F744" s="31">
        <f>C744-C743</f>
        <v/>
      </c>
      <c r="G744" s="32">
        <f>D744-D743</f>
        <v/>
      </c>
      <c r="H744">
        <f>TEXT(A744,"DD/MM HH:MM")</f>
        <v/>
      </c>
    </row>
    <row r="745">
      <c r="A745" s="33" t="n">
        <v>46321.96736111111</v>
      </c>
      <c r="B745" s="15" t="n">
        <v>1630</v>
      </c>
      <c r="C745" s="15" t="n">
        <v>5007</v>
      </c>
      <c r="D745" s="16" t="n">
        <v>60084</v>
      </c>
      <c r="E745" s="34">
        <f>B745-B744</f>
        <v/>
      </c>
      <c r="F745" s="34">
        <f>C745-C744</f>
        <v/>
      </c>
      <c r="G745" s="35">
        <f>D745-D744</f>
        <v/>
      </c>
      <c r="H745">
        <f>TEXT(A745,"DD/MM HH:MM")</f>
        <v/>
      </c>
    </row>
    <row r="746">
      <c r="A746" s="30" t="n">
        <v>46321.98333333333</v>
      </c>
      <c r="B746" s="11" t="n">
        <v>1642</v>
      </c>
      <c r="C746" s="11" t="n">
        <v>5048</v>
      </c>
      <c r="D746" s="12" t="n">
        <v>60576</v>
      </c>
      <c r="E746" s="31">
        <f>B746-B745</f>
        <v/>
      </c>
      <c r="F746" s="31">
        <f>C746-C745</f>
        <v/>
      </c>
      <c r="G746" s="32">
        <f>D746-D745</f>
        <v/>
      </c>
      <c r="H746">
        <f>TEXT(A746,"DD/MM HH:MM")</f>
        <v/>
      </c>
    </row>
    <row r="747">
      <c r="A747" s="33" t="n">
        <v>46322.00902777778</v>
      </c>
      <c r="B747" s="15" t="n">
        <v>1645</v>
      </c>
      <c r="C747" s="15" t="n">
        <v>5058</v>
      </c>
      <c r="D747" s="16" t="n">
        <v>60696</v>
      </c>
      <c r="E747" s="34">
        <f>B747-B746</f>
        <v/>
      </c>
      <c r="F747" s="34">
        <f>C747-C746</f>
        <v/>
      </c>
      <c r="G747" s="35">
        <f>D747-D746</f>
        <v/>
      </c>
      <c r="H747">
        <f>TEXT(A747,"DD/MM HH:MM")</f>
        <v/>
      </c>
    </row>
    <row r="748">
      <c r="A748" s="30" t="n">
        <v>46322.01736111111</v>
      </c>
      <c r="B748" s="11" t="n">
        <v>1648</v>
      </c>
      <c r="C748" s="11" t="n">
        <v>5067</v>
      </c>
      <c r="D748" s="12" t="n">
        <v>60804</v>
      </c>
      <c r="E748" s="31">
        <f>B748-B747</f>
        <v/>
      </c>
      <c r="F748" s="31">
        <f>C748-C747</f>
        <v/>
      </c>
      <c r="G748" s="32">
        <f>D748-D747</f>
        <v/>
      </c>
      <c r="H748">
        <f>TEXT(A748,"DD/MM HH:MM")</f>
        <v/>
      </c>
    </row>
    <row r="749">
      <c r="A749" s="33" t="n">
        <v>46322.04027777778</v>
      </c>
      <c r="B749" s="15" t="n">
        <v>1653</v>
      </c>
      <c r="C749" s="15" t="n">
        <v>5083</v>
      </c>
      <c r="D749" s="16" t="n">
        <v>60996</v>
      </c>
      <c r="E749" s="34">
        <f>B749-B748</f>
        <v/>
      </c>
      <c r="F749" s="34">
        <f>C749-C748</f>
        <v/>
      </c>
      <c r="G749" s="35">
        <f>D749-D748</f>
        <v/>
      </c>
      <c r="H749">
        <f>TEXT(A749,"DD/MM HH:MM")</f>
        <v/>
      </c>
    </row>
    <row r="750">
      <c r="A750" s="30" t="n">
        <v>46322.06388888889</v>
      </c>
      <c r="B750" s="11" t="n">
        <v>1654</v>
      </c>
      <c r="C750" s="11" t="n">
        <v>5087</v>
      </c>
      <c r="D750" s="12" t="n">
        <v>61044</v>
      </c>
      <c r="E750" s="31">
        <f>B750-B749</f>
        <v/>
      </c>
      <c r="F750" s="31">
        <f>C750-C749</f>
        <v/>
      </c>
      <c r="G750" s="32">
        <f>D750-D749</f>
        <v/>
      </c>
      <c r="H750">
        <f>TEXT(A750,"DD/MM HH:MM")</f>
        <v/>
      </c>
    </row>
    <row r="751">
      <c r="A751" s="33" t="n">
        <v>46322.11458333334</v>
      </c>
      <c r="B751" s="15" t="n">
        <v>1654</v>
      </c>
      <c r="C751" s="15" t="n">
        <v>5087</v>
      </c>
      <c r="D751" s="16" t="n">
        <v>61044</v>
      </c>
      <c r="E751" s="34">
        <f>B751-B750</f>
        <v/>
      </c>
      <c r="F751" s="34">
        <f>C751-C750</f>
        <v/>
      </c>
      <c r="G751" s="35">
        <f>D751-D750</f>
        <v/>
      </c>
      <c r="H751">
        <f>TEXT(A751,"DD/MM HH:MM")</f>
        <v/>
      </c>
    </row>
    <row r="752">
      <c r="A752" s="30" t="n">
        <v>46322.14444444444</v>
      </c>
      <c r="B752" s="11" t="n">
        <v>1655</v>
      </c>
      <c r="C752" s="11" t="n">
        <v>5089</v>
      </c>
      <c r="D752" s="12" t="n">
        <v>61068</v>
      </c>
      <c r="E752" s="31">
        <f>B752-B751</f>
        <v/>
      </c>
      <c r="F752" s="31">
        <f>C752-C751</f>
        <v/>
      </c>
      <c r="G752" s="32">
        <f>D752-D751</f>
        <v/>
      </c>
      <c r="H752">
        <f>TEXT(A752,"DD/MM HH:MM")</f>
        <v/>
      </c>
    </row>
    <row r="753">
      <c r="A753" s="33" t="n">
        <v>46322.1875</v>
      </c>
      <c r="B753" s="15" t="n">
        <v>1655</v>
      </c>
      <c r="C753" s="15" t="n">
        <v>5089</v>
      </c>
      <c r="D753" s="16" t="n">
        <v>61068</v>
      </c>
      <c r="E753" s="34">
        <f>B753-B752</f>
        <v/>
      </c>
      <c r="F753" s="34">
        <f>C753-C752</f>
        <v/>
      </c>
      <c r="G753" s="35">
        <f>D753-D752</f>
        <v/>
      </c>
      <c r="H753">
        <f>TEXT(A753,"DD/MM HH:MM")</f>
        <v/>
      </c>
    </row>
    <row r="754">
      <c r="A754" s="30" t="n">
        <v>46322.22916666666</v>
      </c>
      <c r="B754" s="11" t="n">
        <v>1656</v>
      </c>
      <c r="C754" s="11" t="n">
        <v>5094</v>
      </c>
      <c r="D754" s="12" t="n">
        <v>61128</v>
      </c>
      <c r="E754" s="31">
        <f>B754-B753</f>
        <v/>
      </c>
      <c r="F754" s="31">
        <f>C754-C753</f>
        <v/>
      </c>
      <c r="G754" s="32">
        <f>D754-D753</f>
        <v/>
      </c>
      <c r="H754">
        <f>TEXT(A754,"DD/MM HH:MM")</f>
        <v/>
      </c>
    </row>
    <row r="755">
      <c r="A755" s="33" t="n">
        <v>46322.27013888889</v>
      </c>
      <c r="B755" s="15" t="n">
        <v>1656</v>
      </c>
      <c r="C755" s="15" t="n">
        <v>5094</v>
      </c>
      <c r="D755" s="16" t="n">
        <v>61128</v>
      </c>
      <c r="E755" s="34">
        <f>B755-B754</f>
        <v/>
      </c>
      <c r="F755" s="34">
        <f>C755-C754</f>
        <v/>
      </c>
      <c r="G755" s="35">
        <f>D755-D754</f>
        <v/>
      </c>
      <c r="H755">
        <f>TEXT(A755,"DD/MM HH:MM")</f>
        <v/>
      </c>
    </row>
    <row r="756">
      <c r="A756" s="30" t="n">
        <v>46322.31666666667</v>
      </c>
      <c r="B756" s="11" t="n">
        <v>1656</v>
      </c>
      <c r="C756" s="11" t="n">
        <v>5094</v>
      </c>
      <c r="D756" s="12" t="n">
        <v>61128</v>
      </c>
      <c r="E756" s="31">
        <f>B756-B755</f>
        <v/>
      </c>
      <c r="F756" s="31">
        <f>C756-C755</f>
        <v/>
      </c>
      <c r="G756" s="32">
        <f>D756-D755</f>
        <v/>
      </c>
      <c r="H756">
        <f>TEXT(A756,"DD/MM HH:MM")</f>
        <v/>
      </c>
    </row>
    <row r="757">
      <c r="A757" s="33" t="n">
        <v>46322.34166666667</v>
      </c>
      <c r="B757" s="15" t="n">
        <v>1657</v>
      </c>
      <c r="C757" s="15" t="n">
        <v>5098</v>
      </c>
      <c r="D757" s="16" t="n">
        <v>61176</v>
      </c>
      <c r="E757" s="34">
        <f>B757-B756</f>
        <v/>
      </c>
      <c r="F757" s="34">
        <f>C757-C756</f>
        <v/>
      </c>
      <c r="G757" s="35">
        <f>D757-D756</f>
        <v/>
      </c>
      <c r="H757">
        <f>TEXT(A757,"DD/MM HH:MM")</f>
        <v/>
      </c>
    </row>
    <row r="758">
      <c r="A758" s="30" t="n">
        <v>46322.35347222222</v>
      </c>
      <c r="B758" s="11" t="n">
        <v>1657</v>
      </c>
      <c r="C758" s="11" t="n">
        <v>5098</v>
      </c>
      <c r="D758" s="12" t="n">
        <v>61176</v>
      </c>
      <c r="E758" s="31">
        <f>B758-B757</f>
        <v/>
      </c>
      <c r="F758" s="31">
        <f>C758-C757</f>
        <v/>
      </c>
      <c r="G758" s="32">
        <f>D758-D757</f>
        <v/>
      </c>
      <c r="H758">
        <f>TEXT(A758,"DD/MM HH:MM")</f>
        <v/>
      </c>
    </row>
    <row r="759">
      <c r="A759" s="33" t="n">
        <v>46322.35763888889</v>
      </c>
      <c r="B759" s="15" t="n">
        <v>1658</v>
      </c>
      <c r="C759" s="15" t="n">
        <v>5100</v>
      </c>
      <c r="D759" s="16" t="n">
        <v>61200</v>
      </c>
      <c r="E759" s="34">
        <f>B759-B758</f>
        <v/>
      </c>
      <c r="F759" s="34">
        <f>C759-C758</f>
        <v/>
      </c>
      <c r="G759" s="35">
        <f>D759-D758</f>
        <v/>
      </c>
      <c r="H759">
        <f>TEXT(A759,"DD/MM HH:MM")</f>
        <v/>
      </c>
    </row>
    <row r="760">
      <c r="A760" s="30" t="n">
        <v>46322.3625</v>
      </c>
      <c r="B760" s="11" t="n">
        <v>1658</v>
      </c>
      <c r="C760" s="11" t="n">
        <v>5100</v>
      </c>
      <c r="D760" s="12" t="n">
        <v>61200</v>
      </c>
      <c r="E760" s="31">
        <f>B760-B759</f>
        <v/>
      </c>
      <c r="F760" s="31">
        <f>C760-C759</f>
        <v/>
      </c>
      <c r="G760" s="32">
        <f>D760-D759</f>
        <v/>
      </c>
      <c r="H760">
        <f>TEXT(A760,"DD/MM HH:MM")</f>
        <v/>
      </c>
    </row>
    <row r="761">
      <c r="A761" s="33" t="n">
        <v>46322.4</v>
      </c>
      <c r="B761" s="15" t="n">
        <v>1663</v>
      </c>
      <c r="C761" s="15" t="n">
        <v>5115</v>
      </c>
      <c r="D761" s="16" t="n">
        <v>61380</v>
      </c>
      <c r="E761" s="34">
        <f>B761-B760</f>
        <v/>
      </c>
      <c r="F761" s="34">
        <f>C761-C760</f>
        <v/>
      </c>
      <c r="G761" s="35">
        <f>D761-D760</f>
        <v/>
      </c>
      <c r="H761">
        <f>TEXT(A761,"DD/MM HH:MM")</f>
        <v/>
      </c>
    </row>
    <row r="762">
      <c r="A762" s="30" t="n">
        <v>46322.44027777778</v>
      </c>
      <c r="B762" s="11" t="n">
        <v>1670</v>
      </c>
      <c r="C762" s="11" t="n">
        <v>5138</v>
      </c>
      <c r="D762" s="12" t="n">
        <v>61656</v>
      </c>
      <c r="E762" s="31">
        <f>B762-B761</f>
        <v/>
      </c>
      <c r="F762" s="31">
        <f>C762-C761</f>
        <v/>
      </c>
      <c r="G762" s="32">
        <f>D762-D761</f>
        <v/>
      </c>
      <c r="H762">
        <f>TEXT(A762,"DD/MM HH:MM")</f>
        <v/>
      </c>
    </row>
    <row r="763">
      <c r="A763" s="33" t="n">
        <v>46322.47847222222</v>
      </c>
      <c r="B763" s="15" t="n">
        <v>1677</v>
      </c>
      <c r="C763" s="15" t="n">
        <v>5163</v>
      </c>
      <c r="D763" s="16" t="n">
        <v>61956</v>
      </c>
      <c r="E763" s="34">
        <f>B763-B762</f>
        <v/>
      </c>
      <c r="F763" s="34">
        <f>C763-C762</f>
        <v/>
      </c>
      <c r="G763" s="35">
        <f>D763-D762</f>
        <v/>
      </c>
      <c r="H763">
        <f>TEXT(A763,"DD/MM HH:MM")</f>
        <v/>
      </c>
    </row>
    <row r="764">
      <c r="A764" s="30" t="n">
        <v>46322.48125</v>
      </c>
      <c r="B764" s="11" t="n">
        <v>1678</v>
      </c>
      <c r="C764" s="11" t="n">
        <v>5167</v>
      </c>
      <c r="D764" s="12" t="n">
        <v>62004</v>
      </c>
      <c r="E764" s="31">
        <f>B764-B763</f>
        <v/>
      </c>
      <c r="F764" s="31">
        <f>C764-C763</f>
        <v/>
      </c>
      <c r="G764" s="32">
        <f>D764-D763</f>
        <v/>
      </c>
      <c r="H764">
        <f>TEXT(A764,"DD/MM HH:MM")</f>
        <v/>
      </c>
    </row>
    <row r="765">
      <c r="A765" s="33" t="n">
        <v>46322.50277777778</v>
      </c>
      <c r="B765" s="15" t="n">
        <v>1686</v>
      </c>
      <c r="C765" s="15" t="n">
        <v>5194</v>
      </c>
      <c r="D765" s="16" t="n">
        <v>62328</v>
      </c>
      <c r="E765" s="34">
        <f>B765-B764</f>
        <v/>
      </c>
      <c r="F765" s="34">
        <f>C765-C764</f>
        <v/>
      </c>
      <c r="G765" s="35">
        <f>D765-D764</f>
        <v/>
      </c>
      <c r="H765">
        <f>TEXT(A765,"DD/MM HH:MM")</f>
        <v/>
      </c>
    </row>
    <row r="766">
      <c r="A766" s="30" t="n">
        <v>46322.52083333334</v>
      </c>
      <c r="B766" s="11" t="n">
        <v>1689</v>
      </c>
      <c r="C766" s="11" t="n">
        <v>5204</v>
      </c>
      <c r="D766" s="12" t="n">
        <v>62448</v>
      </c>
      <c r="E766" s="31">
        <f>B766-B765</f>
        <v/>
      </c>
      <c r="F766" s="31">
        <f>C766-C765</f>
        <v/>
      </c>
      <c r="G766" s="32">
        <f>D766-D765</f>
        <v/>
      </c>
      <c r="H766">
        <f>TEXT(A766,"DD/MM HH:MM")</f>
        <v/>
      </c>
    </row>
    <row r="767">
      <c r="A767" s="33" t="n">
        <v>46322.52152777778</v>
      </c>
      <c r="B767" s="15" t="n">
        <v>1689</v>
      </c>
      <c r="C767" s="15" t="n">
        <v>5204</v>
      </c>
      <c r="D767" s="16" t="n">
        <v>62448</v>
      </c>
      <c r="E767" s="34">
        <f>B767-B766</f>
        <v/>
      </c>
      <c r="F767" s="34">
        <f>C767-C766</f>
        <v/>
      </c>
      <c r="G767" s="35">
        <f>D767-D766</f>
        <v/>
      </c>
      <c r="H767">
        <f>TEXT(A767,"DD/MM HH:MM")</f>
        <v/>
      </c>
    </row>
    <row r="768">
      <c r="A768" s="30" t="n">
        <v>46322.54027777778</v>
      </c>
      <c r="B768" s="11" t="n">
        <v>1699</v>
      </c>
      <c r="C768" s="11" t="n">
        <v>5239</v>
      </c>
      <c r="D768" s="12" t="n">
        <v>62868</v>
      </c>
      <c r="E768" s="31">
        <f>B768-B767</f>
        <v/>
      </c>
      <c r="F768" s="31">
        <f>C768-C767</f>
        <v/>
      </c>
      <c r="G768" s="32">
        <f>D768-D767</f>
        <v/>
      </c>
      <c r="H768">
        <f>TEXT(A768,"DD/MM HH:MM")</f>
        <v/>
      </c>
    </row>
    <row r="769">
      <c r="A769" s="33" t="n">
        <v>46322.56319444445</v>
      </c>
      <c r="B769" s="15" t="n">
        <v>1708</v>
      </c>
      <c r="C769" s="15" t="n">
        <v>5275</v>
      </c>
      <c r="D769" s="16" t="n">
        <v>63300</v>
      </c>
      <c r="E769" s="34">
        <f>B769-B768</f>
        <v/>
      </c>
      <c r="F769" s="34">
        <f>C769-C768</f>
        <v/>
      </c>
      <c r="G769" s="35">
        <f>D769-D768</f>
        <v/>
      </c>
      <c r="H769">
        <f>TEXT(A769,"DD/MM HH:MM")</f>
        <v/>
      </c>
    </row>
    <row r="770">
      <c r="A770" s="30" t="n">
        <v>46322.56736111111</v>
      </c>
      <c r="B770" s="11" t="n">
        <v>1709</v>
      </c>
      <c r="C770" s="11" t="n">
        <v>5277</v>
      </c>
      <c r="D770" s="12" t="n">
        <v>63324</v>
      </c>
      <c r="E770" s="31">
        <f>B770-B769</f>
        <v/>
      </c>
      <c r="F770" s="31">
        <f>C770-C769</f>
        <v/>
      </c>
      <c r="G770" s="32">
        <f>D770-D769</f>
        <v/>
      </c>
      <c r="H770">
        <f>TEXT(A770,"DD/MM HH:MM")</f>
        <v/>
      </c>
    </row>
    <row r="771">
      <c r="A771" s="33" t="n">
        <v>46322.60138888889</v>
      </c>
      <c r="B771" s="15" t="n">
        <v>1723</v>
      </c>
      <c r="C771" s="15" t="n">
        <v>5320</v>
      </c>
      <c r="D771" s="16" t="n">
        <v>63840</v>
      </c>
      <c r="E771" s="34">
        <f>B771-B770</f>
        <v/>
      </c>
      <c r="F771" s="34">
        <f>C771-C770</f>
        <v/>
      </c>
      <c r="G771" s="35">
        <f>D771-D770</f>
        <v/>
      </c>
      <c r="H771">
        <f>TEXT(A771,"DD/MM HH:MM")</f>
        <v/>
      </c>
    </row>
    <row r="772">
      <c r="A772" s="30" t="n">
        <v>46322.61597222222</v>
      </c>
      <c r="B772" s="11" t="n">
        <v>1730</v>
      </c>
      <c r="C772" s="11" t="n">
        <v>5340</v>
      </c>
      <c r="D772" s="12" t="n">
        <v>64080</v>
      </c>
      <c r="E772" s="31">
        <f>B772-B771</f>
        <v/>
      </c>
      <c r="F772" s="31">
        <f>C772-C771</f>
        <v/>
      </c>
      <c r="G772" s="32">
        <f>D772-D771</f>
        <v/>
      </c>
      <c r="H772">
        <f>TEXT(A772,"DD/MM HH:MM")</f>
        <v/>
      </c>
    </row>
    <row r="773">
      <c r="A773" s="33" t="n">
        <v>46322.65555555555</v>
      </c>
      <c r="B773" s="15" t="n">
        <v>1748</v>
      </c>
      <c r="C773" s="15" t="n">
        <v>5404</v>
      </c>
      <c r="D773" s="16" t="n">
        <v>64848</v>
      </c>
      <c r="E773" s="34">
        <f>B773-B772</f>
        <v/>
      </c>
      <c r="F773" s="34">
        <f>C773-C772</f>
        <v/>
      </c>
      <c r="G773" s="35">
        <f>D773-D772</f>
        <v/>
      </c>
      <c r="H773">
        <f>TEXT(A773,"DD/MM HH:MM")</f>
        <v/>
      </c>
    </row>
    <row r="774">
      <c r="A774" s="30" t="n">
        <v>46322.69652777778</v>
      </c>
      <c r="B774" s="11" t="n">
        <v>1757</v>
      </c>
      <c r="C774" s="11" t="n">
        <v>5432</v>
      </c>
      <c r="D774" s="12" t="n">
        <v>65184</v>
      </c>
      <c r="E774" s="31">
        <f>B774-B773</f>
        <v/>
      </c>
      <c r="F774" s="31">
        <f>C774-C773</f>
        <v/>
      </c>
      <c r="G774" s="32">
        <f>D774-D773</f>
        <v/>
      </c>
      <c r="H774">
        <f>TEXT(A774,"DD/MM HH:MM")</f>
        <v/>
      </c>
    </row>
    <row r="775">
      <c r="A775" s="33" t="n">
        <v>46322.71527777778</v>
      </c>
      <c r="B775" s="15" t="n">
        <v>1766</v>
      </c>
      <c r="C775" s="15" t="n">
        <v>5458</v>
      </c>
      <c r="D775" s="16" t="n">
        <v>65496</v>
      </c>
      <c r="E775" s="34">
        <f>B775-B774</f>
        <v/>
      </c>
      <c r="F775" s="34">
        <f>C775-C774</f>
        <v/>
      </c>
      <c r="G775" s="35">
        <f>D775-D774</f>
        <v/>
      </c>
      <c r="H775">
        <f>TEXT(A775,"DD/MM HH:MM")</f>
        <v/>
      </c>
    </row>
    <row r="776">
      <c r="A776" s="30" t="n">
        <v>46322.74652777778</v>
      </c>
      <c r="B776" s="11" t="n">
        <v>1780</v>
      </c>
      <c r="C776" s="11" t="n">
        <v>5504</v>
      </c>
      <c r="D776" s="12" t="n">
        <v>66048</v>
      </c>
      <c r="E776" s="31">
        <f>B776-B775</f>
        <v/>
      </c>
      <c r="F776" s="31">
        <f>C776-C775</f>
        <v/>
      </c>
      <c r="G776" s="32">
        <f>D776-D775</f>
        <v/>
      </c>
      <c r="H776">
        <f>TEXT(A776,"DD/MM HH:MM")</f>
        <v/>
      </c>
    </row>
    <row r="777">
      <c r="A777" s="33" t="n">
        <v>46322.77847222222</v>
      </c>
      <c r="B777" s="15" t="n">
        <v>1799</v>
      </c>
      <c r="C777" s="15" t="n">
        <v>5564</v>
      </c>
      <c r="D777" s="16" t="n">
        <v>66768</v>
      </c>
      <c r="E777" s="34">
        <f>B777-B776</f>
        <v/>
      </c>
      <c r="F777" s="34">
        <f>C777-C776</f>
        <v/>
      </c>
      <c r="G777" s="35">
        <f>D777-D776</f>
        <v/>
      </c>
      <c r="H777">
        <f>TEXT(A777,"DD/MM HH:MM")</f>
        <v/>
      </c>
    </row>
    <row r="778">
      <c r="A778" s="30" t="n">
        <v>46322.78541666667</v>
      </c>
      <c r="B778" s="11" t="n">
        <v>1804</v>
      </c>
      <c r="C778" s="11" t="n">
        <v>5578</v>
      </c>
      <c r="D778" s="12" t="n">
        <v>66936</v>
      </c>
      <c r="E778" s="31">
        <f>B778-B777</f>
        <v/>
      </c>
      <c r="F778" s="31">
        <f>C778-C777</f>
        <v/>
      </c>
      <c r="G778" s="32">
        <f>D778-D777</f>
        <v/>
      </c>
      <c r="H778">
        <f>TEXT(A778,"DD/MM HH:MM")</f>
        <v/>
      </c>
    </row>
    <row r="779">
      <c r="A779" s="33" t="n">
        <v>46322.7875</v>
      </c>
      <c r="B779" s="15" t="n">
        <v>1805</v>
      </c>
      <c r="C779" s="15" t="n">
        <v>5580</v>
      </c>
      <c r="D779" s="16" t="n">
        <v>66960</v>
      </c>
      <c r="E779" s="34">
        <f>B779-B778</f>
        <v/>
      </c>
      <c r="F779" s="34">
        <f>C779-C778</f>
        <v/>
      </c>
      <c r="G779" s="35">
        <f>D779-D778</f>
        <v/>
      </c>
      <c r="H779">
        <f>TEXT(A779,"DD/MM HH:MM")</f>
        <v/>
      </c>
    </row>
    <row r="780">
      <c r="A780" s="30" t="n">
        <v>46322.81388888889</v>
      </c>
      <c r="B780" s="11" t="n">
        <v>1818</v>
      </c>
      <c r="C780" s="11" t="n">
        <v>5618</v>
      </c>
      <c r="D780" s="12" t="n">
        <v>67416</v>
      </c>
      <c r="E780" s="31">
        <f>B780-B779</f>
        <v/>
      </c>
      <c r="F780" s="31">
        <f>C780-C779</f>
        <v/>
      </c>
      <c r="G780" s="32">
        <f>D780-D779</f>
        <v/>
      </c>
      <c r="H780">
        <f>TEXT(A780,"DD/MM HH:MM")</f>
        <v/>
      </c>
    </row>
    <row r="781">
      <c r="A781" s="33" t="n">
        <v>46322.81805555556</v>
      </c>
      <c r="B781" s="15" t="n">
        <v>1819</v>
      </c>
      <c r="C781" s="15" t="n">
        <v>5621</v>
      </c>
      <c r="D781" s="16" t="n">
        <v>67452</v>
      </c>
      <c r="E781" s="34">
        <f>B781-B780</f>
        <v/>
      </c>
      <c r="F781" s="34">
        <f>C781-C780</f>
        <v/>
      </c>
      <c r="G781" s="35">
        <f>D781-D780</f>
        <v/>
      </c>
      <c r="H781">
        <f>TEXT(A781,"DD/MM HH:MM")</f>
        <v/>
      </c>
    </row>
    <row r="782">
      <c r="A782" s="30" t="n">
        <v>46322.82361111111</v>
      </c>
      <c r="B782" s="11" t="n">
        <v>1822</v>
      </c>
      <c r="C782" s="11" t="n">
        <v>5631</v>
      </c>
      <c r="D782" s="12" t="n">
        <v>67572</v>
      </c>
      <c r="E782" s="31">
        <f>B782-B781</f>
        <v/>
      </c>
      <c r="F782" s="31">
        <f>C782-C781</f>
        <v/>
      </c>
      <c r="G782" s="32">
        <f>D782-D781</f>
        <v/>
      </c>
      <c r="H782">
        <f>TEXT(A782,"DD/MM HH:MM")</f>
        <v/>
      </c>
    </row>
    <row r="783">
      <c r="A783" s="33" t="n">
        <v>46322.85972222222</v>
      </c>
      <c r="B783" s="15" t="n">
        <v>1840</v>
      </c>
      <c r="C783" s="15" t="n">
        <v>5696</v>
      </c>
      <c r="D783" s="16" t="n">
        <v>68352</v>
      </c>
      <c r="E783" s="34">
        <f>B783-B782</f>
        <v/>
      </c>
      <c r="F783" s="34">
        <f>C783-C782</f>
        <v/>
      </c>
      <c r="G783" s="35">
        <f>D783-D782</f>
        <v/>
      </c>
      <c r="H783">
        <f>TEXT(A783,"DD/MM HH:MM")</f>
        <v/>
      </c>
    </row>
    <row r="784">
      <c r="A784" s="30" t="n">
        <v>46322.86527777778</v>
      </c>
      <c r="B784" s="11" t="n">
        <v>1844</v>
      </c>
      <c r="C784" s="11" t="n">
        <v>5711</v>
      </c>
      <c r="D784" s="12" t="n">
        <v>68532</v>
      </c>
      <c r="E784" s="31">
        <f>B784-B783</f>
        <v/>
      </c>
      <c r="F784" s="31">
        <f>C784-C783</f>
        <v/>
      </c>
      <c r="G784" s="32">
        <f>D784-D783</f>
        <v/>
      </c>
      <c r="H784">
        <f>TEXT(A784,"DD/MM HH:MM")</f>
        <v/>
      </c>
    </row>
    <row r="785">
      <c r="A785" s="33" t="n">
        <v>46322.89722222222</v>
      </c>
      <c r="B785" s="15" t="n">
        <v>1865</v>
      </c>
      <c r="C785" s="15" t="n">
        <v>5778</v>
      </c>
      <c r="D785" s="16" t="n">
        <v>69336</v>
      </c>
      <c r="E785" s="34">
        <f>B785-B784</f>
        <v/>
      </c>
      <c r="F785" s="34">
        <f>C785-C784</f>
        <v/>
      </c>
      <c r="G785" s="35">
        <f>D785-D784</f>
        <v/>
      </c>
      <c r="H785">
        <f>TEXT(A785,"DD/MM HH:MM")</f>
        <v/>
      </c>
    </row>
    <row r="786">
      <c r="A786" s="30" t="n">
        <v>46322.91805555556</v>
      </c>
      <c r="B786" s="11" t="n">
        <v>1874</v>
      </c>
      <c r="C786" s="11" t="n">
        <v>5808</v>
      </c>
      <c r="D786" s="12" t="n">
        <v>69696</v>
      </c>
      <c r="E786" s="31">
        <f>B786-B785</f>
        <v/>
      </c>
      <c r="F786" s="31">
        <f>C786-C785</f>
        <v/>
      </c>
      <c r="G786" s="32">
        <f>D786-D785</f>
        <v/>
      </c>
      <c r="H786">
        <f>TEXT(A786,"DD/MM HH:MM")</f>
        <v/>
      </c>
    </row>
    <row r="787">
      <c r="A787" s="33" t="n">
        <v>46322.93680555555</v>
      </c>
      <c r="B787" s="15" t="n">
        <v>1899</v>
      </c>
      <c r="C787" s="15" t="n">
        <v>5898</v>
      </c>
      <c r="D787" s="16" t="n">
        <v>70776</v>
      </c>
      <c r="E787" s="34">
        <f>B787-B786</f>
        <v/>
      </c>
      <c r="F787" s="34">
        <f>C787-C786</f>
        <v/>
      </c>
      <c r="G787" s="35">
        <f>D787-D786</f>
        <v/>
      </c>
      <c r="H787">
        <f>TEXT(A787,"DD/MM HH:MM")</f>
        <v/>
      </c>
    </row>
    <row r="788">
      <c r="A788" s="30" t="n">
        <v>46322.97986111111</v>
      </c>
      <c r="B788" s="11" t="n">
        <v>1926</v>
      </c>
      <c r="C788" s="11" t="n">
        <v>5987</v>
      </c>
      <c r="D788" s="12" t="n">
        <v>71844</v>
      </c>
      <c r="E788" s="31">
        <f>B788-B787</f>
        <v/>
      </c>
      <c r="F788" s="31">
        <f>C788-C787</f>
        <v/>
      </c>
      <c r="G788" s="32">
        <f>D788-D787</f>
        <v/>
      </c>
      <c r="H788">
        <f>TEXT(A788,"DD/MM HH:MM")</f>
        <v/>
      </c>
    </row>
    <row r="789">
      <c r="A789" s="33" t="n">
        <v>46323.00347222222</v>
      </c>
      <c r="B789" s="15" t="n">
        <v>1931</v>
      </c>
      <c r="C789" s="15" t="n">
        <v>6005</v>
      </c>
      <c r="D789" s="16" t="n">
        <v>72060</v>
      </c>
      <c r="E789" s="34">
        <f>B789-B788</f>
        <v/>
      </c>
      <c r="F789" s="34">
        <f>C789-C788</f>
        <v/>
      </c>
      <c r="G789" s="35">
        <f>D789-D788</f>
        <v/>
      </c>
      <c r="H789">
        <f>TEXT(A789,"DD/MM HH:MM")</f>
        <v/>
      </c>
    </row>
    <row r="790">
      <c r="A790" s="30" t="n">
        <v>46323.01944444444</v>
      </c>
      <c r="B790" s="11" t="n">
        <v>1935</v>
      </c>
      <c r="C790" s="11" t="n">
        <v>6021</v>
      </c>
      <c r="D790" s="12" t="n">
        <v>72252</v>
      </c>
      <c r="E790" s="31">
        <f>B790-B789</f>
        <v/>
      </c>
      <c r="F790" s="31">
        <f>C790-C789</f>
        <v/>
      </c>
      <c r="G790" s="32">
        <f>D790-D789</f>
        <v/>
      </c>
      <c r="H790">
        <f>TEXT(A790,"DD/MM HH:MM")</f>
        <v/>
      </c>
    </row>
    <row r="791">
      <c r="A791" s="33" t="n">
        <v>46323.07083333333</v>
      </c>
      <c r="B791" s="15" t="n">
        <v>1943</v>
      </c>
      <c r="C791" s="15" t="n">
        <v>6052</v>
      </c>
      <c r="D791" s="16" t="n">
        <v>72624</v>
      </c>
      <c r="E791" s="34">
        <f>B791-B790</f>
        <v/>
      </c>
      <c r="F791" s="34">
        <f>C791-C790</f>
        <v/>
      </c>
      <c r="G791" s="35">
        <f>D791-D790</f>
        <v/>
      </c>
      <c r="H791">
        <f>TEXT(A791,"DD/MM HH:MM")</f>
        <v/>
      </c>
    </row>
    <row r="792">
      <c r="A792" s="30" t="n">
        <v>46323.11805555555</v>
      </c>
      <c r="B792" s="11" t="n">
        <v>1944</v>
      </c>
      <c r="C792" s="11" t="n">
        <v>6057</v>
      </c>
      <c r="D792" s="12" t="n">
        <v>72684</v>
      </c>
      <c r="E792" s="31">
        <f>B792-B791</f>
        <v/>
      </c>
      <c r="F792" s="31">
        <f>C792-C791</f>
        <v/>
      </c>
      <c r="G792" s="32">
        <f>D792-D791</f>
        <v/>
      </c>
      <c r="H792">
        <f>TEXT(A792,"DD/MM HH:MM")</f>
        <v/>
      </c>
    </row>
    <row r="793">
      <c r="A793" s="33" t="n">
        <v>46323.15347222222</v>
      </c>
      <c r="B793" s="15" t="n">
        <v>1944</v>
      </c>
      <c r="C793" s="15" t="n">
        <v>6057</v>
      </c>
      <c r="D793" s="16" t="n">
        <v>72684</v>
      </c>
      <c r="E793" s="34">
        <f>B793-B792</f>
        <v/>
      </c>
      <c r="F793" s="34">
        <f>C793-C792</f>
        <v/>
      </c>
      <c r="G793" s="35">
        <f>D793-D792</f>
        <v/>
      </c>
      <c r="H793">
        <f>TEXT(A793,"DD/MM HH:MM")</f>
        <v/>
      </c>
    </row>
    <row r="794">
      <c r="A794" s="30" t="n">
        <v>46323.19305555556</v>
      </c>
      <c r="B794" s="11" t="n">
        <v>1944</v>
      </c>
      <c r="C794" s="11" t="n">
        <v>6057</v>
      </c>
      <c r="D794" s="12" t="n">
        <v>72684</v>
      </c>
      <c r="E794" s="31">
        <f>B794-B793</f>
        <v/>
      </c>
      <c r="F794" s="31">
        <f>C794-C793</f>
        <v/>
      </c>
      <c r="G794" s="32">
        <f>D794-D793</f>
        <v/>
      </c>
      <c r="H794">
        <f>TEXT(A794,"DD/MM HH:MM")</f>
        <v/>
      </c>
    </row>
    <row r="795">
      <c r="A795" s="33" t="n">
        <v>46323.23541666667</v>
      </c>
      <c r="B795" s="15" t="n">
        <v>1944</v>
      </c>
      <c r="C795" s="15" t="n">
        <v>6057</v>
      </c>
      <c r="D795" s="16" t="n">
        <v>72684</v>
      </c>
      <c r="E795" s="34">
        <f>B795-B794</f>
        <v/>
      </c>
      <c r="F795" s="34">
        <f>C795-C794</f>
        <v/>
      </c>
      <c r="G795" s="35">
        <f>D795-D794</f>
        <v/>
      </c>
      <c r="H795">
        <f>TEXT(A795,"DD/MM HH:MM")</f>
        <v/>
      </c>
    </row>
    <row r="796">
      <c r="A796" s="30" t="n">
        <v>46323.27569444444</v>
      </c>
      <c r="B796" s="11" t="n">
        <v>1944</v>
      </c>
      <c r="C796" s="11" t="n">
        <v>6057</v>
      </c>
      <c r="D796" s="12" t="n">
        <v>72684</v>
      </c>
      <c r="E796" s="31">
        <f>B796-B795</f>
        <v/>
      </c>
      <c r="F796" s="31">
        <f>C796-C795</f>
        <v/>
      </c>
      <c r="G796" s="32">
        <f>D796-D795</f>
        <v/>
      </c>
      <c r="H796">
        <f>TEXT(A796,"DD/MM HH:MM")</f>
        <v/>
      </c>
    </row>
    <row r="797">
      <c r="A797" s="33" t="n">
        <v>46323.32083333333</v>
      </c>
      <c r="B797" s="15" t="n">
        <v>1944</v>
      </c>
      <c r="C797" s="15" t="n">
        <v>6057</v>
      </c>
      <c r="D797" s="16" t="n">
        <v>72684</v>
      </c>
      <c r="E797" s="34">
        <f>B797-B796</f>
        <v/>
      </c>
      <c r="F797" s="34">
        <f>C797-C796</f>
        <v/>
      </c>
      <c r="G797" s="35">
        <f>D797-D796</f>
        <v/>
      </c>
      <c r="H797">
        <f>TEXT(A797,"DD/MM HH:MM")</f>
        <v/>
      </c>
    </row>
    <row r="798">
      <c r="A798" s="30" t="n">
        <v>46323.37013888889</v>
      </c>
      <c r="B798" s="11" t="n">
        <v>1951</v>
      </c>
      <c r="C798" s="11" t="n">
        <v>6078</v>
      </c>
      <c r="D798" s="12" t="n">
        <v>72936</v>
      </c>
      <c r="E798" s="31">
        <f>B798-B797</f>
        <v/>
      </c>
      <c r="F798" s="31">
        <f>C798-C797</f>
        <v/>
      </c>
      <c r="G798" s="32">
        <f>D798-D797</f>
        <v/>
      </c>
      <c r="H798">
        <f>TEXT(A798,"DD/MM HH:MM")</f>
        <v/>
      </c>
    </row>
    <row r="799">
      <c r="A799" s="33" t="n">
        <v>46323.40625</v>
      </c>
      <c r="B799" s="15" t="n">
        <v>1956</v>
      </c>
      <c r="C799" s="15" t="n">
        <v>6091</v>
      </c>
      <c r="D799" s="16" t="n">
        <v>73092</v>
      </c>
      <c r="E799" s="34">
        <f>B799-B798</f>
        <v/>
      </c>
      <c r="F799" s="34">
        <f>C799-C798</f>
        <v/>
      </c>
      <c r="G799" s="35">
        <f>D799-D798</f>
        <v/>
      </c>
      <c r="H799">
        <f>TEXT(A799,"DD/MM HH:MM")</f>
        <v/>
      </c>
    </row>
    <row r="800">
      <c r="A800" s="30" t="n">
        <v>46323.44097222222</v>
      </c>
      <c r="B800" s="11" t="n">
        <v>1969</v>
      </c>
      <c r="C800" s="11" t="n">
        <v>6134</v>
      </c>
      <c r="D800" s="12" t="n">
        <v>73608</v>
      </c>
      <c r="E800" s="31">
        <f>B800-B799</f>
        <v/>
      </c>
      <c r="F800" s="31">
        <f>C800-C799</f>
        <v/>
      </c>
      <c r="G800" s="32">
        <f>D800-D799</f>
        <v/>
      </c>
      <c r="H800">
        <f>TEXT(A800,"DD/MM HH:MM")</f>
        <v/>
      </c>
    </row>
    <row r="801">
      <c r="A801" s="33" t="n">
        <v>46323.44583333333</v>
      </c>
      <c r="B801" s="15" t="n">
        <v>1969</v>
      </c>
      <c r="C801" s="15" t="n">
        <v>6134</v>
      </c>
      <c r="D801" s="16" t="n">
        <v>73608</v>
      </c>
      <c r="E801" s="34">
        <f>B801-B800</f>
        <v/>
      </c>
      <c r="F801" s="34">
        <f>C801-C800</f>
        <v/>
      </c>
      <c r="G801" s="35">
        <f>D801-D800</f>
        <v/>
      </c>
      <c r="H801">
        <f>TEXT(A801,"DD/MM HH:MM")</f>
        <v/>
      </c>
    </row>
    <row r="802">
      <c r="A802" s="30" t="n">
        <v>46323.47777777778</v>
      </c>
      <c r="B802" s="11" t="n">
        <v>1978</v>
      </c>
      <c r="C802" s="11" t="n">
        <v>6164</v>
      </c>
      <c r="D802" s="12" t="n">
        <v>73968</v>
      </c>
      <c r="E802" s="31">
        <f>B802-B801</f>
        <v/>
      </c>
      <c r="F802" s="31">
        <f>C802-C801</f>
        <v/>
      </c>
      <c r="G802" s="32">
        <f>D802-D801</f>
        <v/>
      </c>
      <c r="H802">
        <f>TEXT(A802,"DD/MM HH:MM")</f>
        <v/>
      </c>
    </row>
    <row r="803">
      <c r="A803" s="33" t="n">
        <v>46323.48819444444</v>
      </c>
      <c r="B803" s="15" t="n">
        <v>1982</v>
      </c>
      <c r="C803" s="15" t="n">
        <v>6178</v>
      </c>
      <c r="D803" s="16" t="n">
        <v>74136</v>
      </c>
      <c r="E803" s="34">
        <f>B803-B802</f>
        <v/>
      </c>
      <c r="F803" s="34">
        <f>C803-C802</f>
        <v/>
      </c>
      <c r="G803" s="35">
        <f>D803-D802</f>
        <v/>
      </c>
      <c r="H803">
        <f>TEXT(A803,"DD/MM HH:MM")</f>
        <v/>
      </c>
    </row>
    <row r="804">
      <c r="A804" s="30" t="n">
        <v>46323.525</v>
      </c>
      <c r="B804" s="11" t="n">
        <v>1994</v>
      </c>
      <c r="C804" s="11" t="n">
        <v>6212</v>
      </c>
      <c r="D804" s="12" t="n">
        <v>74544</v>
      </c>
      <c r="E804" s="31">
        <f>B804-B803</f>
        <v/>
      </c>
      <c r="F804" s="31">
        <f>C804-C803</f>
        <v/>
      </c>
      <c r="G804" s="32">
        <f>D804-D803</f>
        <v/>
      </c>
      <c r="H804">
        <f>TEXT(A804,"DD/MM HH:MM")</f>
        <v/>
      </c>
    </row>
    <row r="805">
      <c r="A805" s="33" t="n">
        <v>46323.56875</v>
      </c>
      <c r="B805" s="15" t="n">
        <v>2011</v>
      </c>
      <c r="C805" s="15" t="n">
        <v>6267</v>
      </c>
      <c r="D805" s="16" t="n">
        <v>75204</v>
      </c>
      <c r="E805" s="34">
        <f>B805-B804</f>
        <v/>
      </c>
      <c r="F805" s="34">
        <f>C805-C804</f>
        <v/>
      </c>
      <c r="G805" s="35">
        <f>D805-D804</f>
        <v/>
      </c>
      <c r="H805">
        <f>TEXT(A805,"DD/MM HH:MM")</f>
        <v/>
      </c>
    </row>
    <row r="806">
      <c r="A806" s="30" t="n">
        <v>46323.57152777778</v>
      </c>
      <c r="B806" s="11" t="n">
        <v>2014</v>
      </c>
      <c r="C806" s="11" t="n">
        <v>6277</v>
      </c>
      <c r="D806" s="12" t="n">
        <v>75324</v>
      </c>
      <c r="E806" s="31">
        <f>B806-B805</f>
        <v/>
      </c>
      <c r="F806" s="31">
        <f>C806-C805</f>
        <v/>
      </c>
      <c r="G806" s="32">
        <f>D806-D805</f>
        <v/>
      </c>
      <c r="H806">
        <f>TEXT(A806,"DD/MM HH:MM")</f>
        <v/>
      </c>
    </row>
    <row r="807">
      <c r="A807" s="33" t="n">
        <v>46323.60763888889</v>
      </c>
      <c r="B807" s="15" t="n">
        <v>2033</v>
      </c>
      <c r="C807" s="15" t="n">
        <v>6341</v>
      </c>
      <c r="D807" s="16" t="n">
        <v>76092</v>
      </c>
      <c r="E807" s="34">
        <f>B807-B806</f>
        <v/>
      </c>
      <c r="F807" s="34">
        <f>C807-C806</f>
        <v/>
      </c>
      <c r="G807" s="35">
        <f>D807-D806</f>
        <v/>
      </c>
      <c r="H807">
        <f>TEXT(A807,"DD/MM HH:MM")</f>
        <v/>
      </c>
    </row>
    <row r="808">
      <c r="A808" s="30" t="n">
        <v>46323.62013888889</v>
      </c>
      <c r="B808" s="11" t="n">
        <v>2039</v>
      </c>
      <c r="C808" s="11" t="n">
        <v>6360</v>
      </c>
      <c r="D808" s="12" t="n">
        <v>76320</v>
      </c>
      <c r="E808" s="31">
        <f>B808-B807</f>
        <v/>
      </c>
      <c r="F808" s="31">
        <f>C808-C807</f>
        <v/>
      </c>
      <c r="G808" s="32">
        <f>D808-D807</f>
        <v/>
      </c>
      <c r="H808">
        <f>TEXT(A808,"DD/MM HH:MM")</f>
        <v/>
      </c>
    </row>
    <row r="809">
      <c r="A809" s="33" t="n">
        <v>46323.63333333333</v>
      </c>
      <c r="B809" s="15" t="n">
        <v>2043</v>
      </c>
      <c r="C809" s="15" t="n">
        <v>6375</v>
      </c>
      <c r="D809" s="16" t="n">
        <v>76500</v>
      </c>
      <c r="E809" s="34">
        <f>B809-B808</f>
        <v/>
      </c>
      <c r="F809" s="34">
        <f>C809-C808</f>
        <v/>
      </c>
      <c r="G809" s="35">
        <f>D809-D808</f>
        <v/>
      </c>
      <c r="H809">
        <f>TEXT(A809,"DD/MM HH:MM")</f>
        <v/>
      </c>
    </row>
    <row r="810">
      <c r="A810" s="30" t="n">
        <v>46323.65833333333</v>
      </c>
      <c r="B810" s="11" t="n">
        <v>2047</v>
      </c>
      <c r="C810" s="11" t="n">
        <v>6389</v>
      </c>
      <c r="D810" s="12" t="n">
        <v>76668</v>
      </c>
      <c r="E810" s="31">
        <f>B810-B809</f>
        <v/>
      </c>
      <c r="F810" s="31">
        <f>C810-C809</f>
        <v/>
      </c>
      <c r="G810" s="32">
        <f>D810-D809</f>
        <v/>
      </c>
      <c r="H810">
        <f>TEXT(A810,"DD/MM HH:MM")</f>
        <v/>
      </c>
    </row>
    <row r="811">
      <c r="A811" s="33" t="n">
        <v>46323.67430555556</v>
      </c>
      <c r="B811" s="15" t="n">
        <v>2051</v>
      </c>
      <c r="C811" s="15" t="n">
        <v>6401</v>
      </c>
      <c r="D811" s="16" t="n">
        <v>76812</v>
      </c>
      <c r="E811" s="34">
        <f>B811-B810</f>
        <v/>
      </c>
      <c r="F811" s="34">
        <f>C811-C810</f>
        <v/>
      </c>
      <c r="G811" s="35">
        <f>D811-D810</f>
        <v/>
      </c>
      <c r="H811">
        <f>TEXT(A811,"DD/MM HH:MM")</f>
        <v/>
      </c>
    </row>
    <row r="812">
      <c r="A812" s="30" t="n">
        <v>46323.69791666666</v>
      </c>
      <c r="B812" s="11" t="n">
        <v>2056</v>
      </c>
      <c r="C812" s="11" t="n">
        <v>6421</v>
      </c>
      <c r="D812" s="12" t="n">
        <v>77052</v>
      </c>
      <c r="E812" s="31">
        <f>B812-B811</f>
        <v/>
      </c>
      <c r="F812" s="31">
        <f>C812-C811</f>
        <v/>
      </c>
      <c r="G812" s="32">
        <f>D812-D811</f>
        <v/>
      </c>
      <c r="H812">
        <f>TEXT(A812,"DD/MM HH:MM")</f>
        <v/>
      </c>
    </row>
    <row r="813">
      <c r="A813" s="33" t="n">
        <v>46323.73888888889</v>
      </c>
      <c r="B813" s="15" t="n">
        <v>2073</v>
      </c>
      <c r="C813" s="15" t="n">
        <v>6480</v>
      </c>
      <c r="D813" s="16" t="n">
        <v>77760</v>
      </c>
      <c r="E813" s="34">
        <f>B813-B812</f>
        <v/>
      </c>
      <c r="F813" s="34">
        <f>C813-C812</f>
        <v/>
      </c>
      <c r="G813" s="35">
        <f>D813-D812</f>
        <v/>
      </c>
      <c r="H813">
        <f>TEXT(A813,"DD/MM HH:MM")</f>
        <v/>
      </c>
    </row>
    <row r="814">
      <c r="A814" s="30" t="n">
        <v>46323.74861111111</v>
      </c>
      <c r="B814" s="11" t="n">
        <v>2077</v>
      </c>
      <c r="C814" s="11" t="n">
        <v>6495</v>
      </c>
      <c r="D814" s="12" t="n">
        <v>77940</v>
      </c>
      <c r="E814" s="31">
        <f>B814-B813</f>
        <v/>
      </c>
      <c r="F814" s="31">
        <f>C814-C813</f>
        <v/>
      </c>
      <c r="G814" s="32">
        <f>D814-D813</f>
        <v/>
      </c>
      <c r="H814">
        <f>TEXT(A814,"DD/MM HH:MM")</f>
        <v/>
      </c>
    </row>
    <row r="815">
      <c r="A815" s="33" t="n">
        <v>46323.77777777778</v>
      </c>
      <c r="B815" s="15" t="n">
        <v>2090</v>
      </c>
      <c r="C815" s="15" t="n">
        <v>6536</v>
      </c>
      <c r="D815" s="16" t="n">
        <v>78432</v>
      </c>
      <c r="E815" s="34">
        <f>B815-B814</f>
        <v/>
      </c>
      <c r="F815" s="34">
        <f>C815-C814</f>
        <v/>
      </c>
      <c r="G815" s="35">
        <f>D815-D814</f>
        <v/>
      </c>
      <c r="H815">
        <f>TEXT(A815,"DD/MM HH:MM")</f>
        <v/>
      </c>
    </row>
    <row r="816">
      <c r="A816" s="30" t="n">
        <v>46323.80763888889</v>
      </c>
      <c r="B816" s="11" t="n">
        <v>2100</v>
      </c>
      <c r="C816" s="11" t="n">
        <v>6571</v>
      </c>
      <c r="D816" s="12" t="n">
        <v>78852</v>
      </c>
      <c r="E816" s="31">
        <f>B816-B815</f>
        <v/>
      </c>
      <c r="F816" s="31">
        <f>C816-C815</f>
        <v/>
      </c>
      <c r="G816" s="32">
        <f>D816-D815</f>
        <v/>
      </c>
      <c r="H816">
        <f>TEXT(A816,"DD/MM HH:MM")</f>
        <v/>
      </c>
    </row>
    <row r="817">
      <c r="A817" s="33" t="n">
        <v>46323.81944444445</v>
      </c>
      <c r="B817" s="15" t="n">
        <v>2105</v>
      </c>
      <c r="C817" s="15" t="n">
        <v>6587</v>
      </c>
      <c r="D817" s="16" t="n">
        <v>79044</v>
      </c>
      <c r="E817" s="34">
        <f>B817-B816</f>
        <v/>
      </c>
      <c r="F817" s="34">
        <f>C817-C816</f>
        <v/>
      </c>
      <c r="G817" s="35">
        <f>D817-D816</f>
        <v/>
      </c>
      <c r="H817">
        <f>TEXT(A817,"DD/MM HH:MM")</f>
        <v/>
      </c>
    </row>
    <row r="818">
      <c r="A818" s="30" t="n">
        <v>46323.84444444445</v>
      </c>
      <c r="B818" s="11" t="n">
        <v>2118</v>
      </c>
      <c r="C818" s="11" t="n">
        <v>6632</v>
      </c>
      <c r="D818" s="12" t="n">
        <v>79584</v>
      </c>
      <c r="E818" s="31">
        <f>B818-B817</f>
        <v/>
      </c>
      <c r="F818" s="31">
        <f>C818-C817</f>
        <v/>
      </c>
      <c r="G818" s="32">
        <f>D818-D817</f>
        <v/>
      </c>
      <c r="H818">
        <f>TEXT(A818,"DD/MM HH:MM")</f>
        <v/>
      </c>
    </row>
    <row r="819">
      <c r="A819" s="33" t="n">
        <v>46323.8625</v>
      </c>
      <c r="B819" s="15" t="n">
        <v>2125</v>
      </c>
      <c r="C819" s="15" t="n">
        <v>6657</v>
      </c>
      <c r="D819" s="16" t="n">
        <v>79884</v>
      </c>
      <c r="E819" s="34">
        <f>B819-B818</f>
        <v/>
      </c>
      <c r="F819" s="34">
        <f>C819-C818</f>
        <v/>
      </c>
      <c r="G819" s="35">
        <f>D819-D818</f>
        <v/>
      </c>
      <c r="H819">
        <f>TEXT(A819,"DD/MM HH:MM")</f>
        <v/>
      </c>
    </row>
    <row r="820">
      <c r="A820" s="30" t="n">
        <v>46323.89652777778</v>
      </c>
      <c r="B820" s="11" t="n">
        <v>2140</v>
      </c>
      <c r="C820" s="11" t="n">
        <v>6715</v>
      </c>
      <c r="D820" s="12" t="n">
        <v>80580</v>
      </c>
      <c r="E820" s="31">
        <f>B820-B819</f>
        <v/>
      </c>
      <c r="F820" s="31">
        <f>C820-C819</f>
        <v/>
      </c>
      <c r="G820" s="32">
        <f>D820-D819</f>
        <v/>
      </c>
      <c r="H820">
        <f>TEXT(A820,"DD/MM HH:MM")</f>
        <v/>
      </c>
    </row>
    <row r="821">
      <c r="A821" s="33" t="n">
        <v>46323.89930555555</v>
      </c>
      <c r="B821" s="15" t="n">
        <v>2140</v>
      </c>
      <c r="C821" s="15" t="n">
        <v>6715</v>
      </c>
      <c r="D821" s="16" t="n">
        <v>80580</v>
      </c>
      <c r="E821" s="34">
        <f>B821-B820</f>
        <v/>
      </c>
      <c r="F821" s="34">
        <f>C821-C820</f>
        <v/>
      </c>
      <c r="G821" s="35">
        <f>D821-D820</f>
        <v/>
      </c>
      <c r="H821">
        <f>TEXT(A821,"DD/MM HH:MM")</f>
        <v/>
      </c>
    </row>
    <row r="822">
      <c r="A822" s="30" t="n">
        <v>46323.93333333333</v>
      </c>
      <c r="B822" s="11" t="n">
        <v>2160</v>
      </c>
      <c r="C822" s="11" t="n">
        <v>6789</v>
      </c>
      <c r="D822" s="12" t="n">
        <v>81468</v>
      </c>
      <c r="E822" s="31">
        <f>B822-B821</f>
        <v/>
      </c>
      <c r="F822" s="31">
        <f>C822-C821</f>
        <v/>
      </c>
      <c r="G822" s="32">
        <f>D822-D821</f>
        <v/>
      </c>
      <c r="H822">
        <f>TEXT(A822,"DD/MM HH:MM")</f>
        <v/>
      </c>
    </row>
    <row r="823">
      <c r="A823" s="33" t="n">
        <v>46323.94027777778</v>
      </c>
      <c r="B823" s="15" t="n">
        <v>2161</v>
      </c>
      <c r="C823" s="15" t="n">
        <v>6793</v>
      </c>
      <c r="D823" s="16" t="n">
        <v>81516</v>
      </c>
      <c r="E823" s="34">
        <f>B823-B822</f>
        <v/>
      </c>
      <c r="F823" s="34">
        <f>C823-C822</f>
        <v/>
      </c>
      <c r="G823" s="35">
        <f>D823-D822</f>
        <v/>
      </c>
      <c r="H823">
        <f>TEXT(A823,"DD/MM HH:MM")</f>
        <v/>
      </c>
    </row>
    <row r="824">
      <c r="A824" s="30" t="n">
        <v>46323.95902777778</v>
      </c>
      <c r="B824" s="11" t="n">
        <v>2172</v>
      </c>
      <c r="C824" s="11" t="n">
        <v>6829</v>
      </c>
      <c r="D824" s="12" t="n">
        <v>81948</v>
      </c>
      <c r="E824" s="31">
        <f>B824-B823</f>
        <v/>
      </c>
      <c r="F824" s="31">
        <f>C824-C823</f>
        <v/>
      </c>
      <c r="G824" s="32">
        <f>D824-D823</f>
        <v/>
      </c>
      <c r="H824">
        <f>TEXT(A824,"DD/MM HH:MM")</f>
        <v/>
      </c>
    </row>
    <row r="825">
      <c r="A825" s="33" t="n">
        <v>46323.98194444444</v>
      </c>
      <c r="B825" s="15" t="n">
        <v>2181</v>
      </c>
      <c r="C825" s="15" t="n">
        <v>6860</v>
      </c>
      <c r="D825" s="16" t="n">
        <v>82320</v>
      </c>
      <c r="E825" s="34">
        <f>B825-B824</f>
        <v/>
      </c>
      <c r="F825" s="34">
        <f>C825-C824</f>
        <v/>
      </c>
      <c r="G825" s="35">
        <f>D825-D824</f>
        <v/>
      </c>
      <c r="H825">
        <f>TEXT(A825,"DD/MM HH:MM")</f>
        <v/>
      </c>
    </row>
    <row r="826">
      <c r="A826" s="30" t="n">
        <v>46324.00833333333</v>
      </c>
      <c r="B826" s="11" t="n">
        <v>2191</v>
      </c>
      <c r="C826" s="11" t="n">
        <v>6887</v>
      </c>
      <c r="D826" s="12" t="n">
        <v>82644</v>
      </c>
      <c r="E826" s="31">
        <f>B826-B825</f>
        <v/>
      </c>
      <c r="F826" s="31">
        <f>C826-C825</f>
        <v/>
      </c>
      <c r="G826" s="32">
        <f>D826-D825</f>
        <v/>
      </c>
      <c r="H826">
        <f>TEXT(A826,"DD/MM HH:MM")</f>
        <v/>
      </c>
    </row>
    <row r="827">
      <c r="A827" s="33" t="n">
        <v>46324.02083333334</v>
      </c>
      <c r="B827" s="15" t="n">
        <v>2195</v>
      </c>
      <c r="C827" s="15" t="n">
        <v>6902</v>
      </c>
      <c r="D827" s="16" t="n">
        <v>82824</v>
      </c>
      <c r="E827" s="34">
        <f>B827-B826</f>
        <v/>
      </c>
      <c r="F827" s="34">
        <f>C827-C826</f>
        <v/>
      </c>
      <c r="G827" s="35">
        <f>D827-D826</f>
        <v/>
      </c>
      <c r="H827">
        <f>TEXT(A827,"DD/MM HH:MM")</f>
        <v/>
      </c>
    </row>
    <row r="828">
      <c r="A828" s="30" t="n">
        <v>46324.0625</v>
      </c>
      <c r="B828" s="11" t="n">
        <v>2201</v>
      </c>
      <c r="C828" s="11" t="n">
        <v>6922</v>
      </c>
      <c r="D828" s="12" t="n">
        <v>83064</v>
      </c>
      <c r="E828" s="31">
        <f>B828-B827</f>
        <v/>
      </c>
      <c r="F828" s="31">
        <f>C828-C827</f>
        <v/>
      </c>
      <c r="G828" s="32">
        <f>D828-D827</f>
        <v/>
      </c>
      <c r="H828">
        <f>TEXT(A828,"DD/MM HH:MM")</f>
        <v/>
      </c>
    </row>
    <row r="829">
      <c r="A829" s="33" t="n">
        <v>46324.07083333333</v>
      </c>
      <c r="B829" s="15" t="n">
        <v>2205</v>
      </c>
      <c r="C829" s="15" t="n">
        <v>6934</v>
      </c>
      <c r="D829" s="16" t="n">
        <v>83208</v>
      </c>
      <c r="E829" s="34">
        <f>B829-B828</f>
        <v/>
      </c>
      <c r="F829" s="34">
        <f>C829-C828</f>
        <v/>
      </c>
      <c r="G829" s="35">
        <f>D829-D828</f>
        <v/>
      </c>
      <c r="H829">
        <f>TEXT(A829,"DD/MM HH:MM")</f>
        <v/>
      </c>
    </row>
    <row r="830">
      <c r="A830" s="30" t="n">
        <v>46324.11944444444</v>
      </c>
      <c r="B830" s="11" t="n">
        <v>2206</v>
      </c>
      <c r="C830" s="11" t="n">
        <v>6938</v>
      </c>
      <c r="D830" s="12" t="n">
        <v>83256</v>
      </c>
      <c r="E830" s="31">
        <f>B830-B829</f>
        <v/>
      </c>
      <c r="F830" s="31">
        <f>C830-C829</f>
        <v/>
      </c>
      <c r="G830" s="32">
        <f>D830-D829</f>
        <v/>
      </c>
      <c r="H830">
        <f>TEXT(A830,"DD/MM HH:MM")</f>
        <v/>
      </c>
    </row>
    <row r="831">
      <c r="A831" s="33" t="n">
        <v>46324.15555555555</v>
      </c>
      <c r="B831" s="15" t="n">
        <v>2206</v>
      </c>
      <c r="C831" s="15" t="n">
        <v>6938</v>
      </c>
      <c r="D831" s="16" t="n">
        <v>83256</v>
      </c>
      <c r="E831" s="34">
        <f>B831-B830</f>
        <v/>
      </c>
      <c r="F831" s="34">
        <f>C831-C830</f>
        <v/>
      </c>
      <c r="G831" s="35">
        <f>D831-D830</f>
        <v/>
      </c>
      <c r="H831">
        <f>TEXT(A831,"DD/MM HH:MM")</f>
        <v/>
      </c>
    </row>
    <row r="832">
      <c r="A832" s="30" t="n">
        <v>46324.19513888889</v>
      </c>
      <c r="B832" s="11" t="n">
        <v>2206</v>
      </c>
      <c r="C832" s="11" t="n">
        <v>6938</v>
      </c>
      <c r="D832" s="12" t="n">
        <v>83256</v>
      </c>
      <c r="E832" s="31">
        <f>B832-B831</f>
        <v/>
      </c>
      <c r="F832" s="31">
        <f>C832-C831</f>
        <v/>
      </c>
      <c r="G832" s="32">
        <f>D832-D831</f>
        <v/>
      </c>
      <c r="H832">
        <f>TEXT(A832,"DD/MM HH:MM")</f>
        <v/>
      </c>
    </row>
    <row r="833">
      <c r="A833" s="33" t="n">
        <v>46324.23680555556</v>
      </c>
      <c r="B833" s="15" t="n">
        <v>2206</v>
      </c>
      <c r="C833" s="15" t="n">
        <v>6938</v>
      </c>
      <c r="D833" s="16" t="n">
        <v>83256</v>
      </c>
      <c r="E833" s="34">
        <f>B833-B832</f>
        <v/>
      </c>
      <c r="F833" s="34">
        <f>C833-C832</f>
        <v/>
      </c>
      <c r="G833" s="35">
        <f>D833-D832</f>
        <v/>
      </c>
      <c r="H833">
        <f>TEXT(A833,"DD/MM HH:MM")</f>
        <v/>
      </c>
    </row>
    <row r="834">
      <c r="A834" s="30" t="n">
        <v>46324.27708333333</v>
      </c>
      <c r="B834" s="11" t="n">
        <v>2207</v>
      </c>
      <c r="C834" s="11" t="n">
        <v>6940</v>
      </c>
      <c r="D834" s="12" t="n">
        <v>83280</v>
      </c>
      <c r="E834" s="31">
        <f>B834-B833</f>
        <v/>
      </c>
      <c r="F834" s="31">
        <f>C834-C833</f>
        <v/>
      </c>
      <c r="G834" s="32">
        <f>D834-D833</f>
        <v/>
      </c>
      <c r="H834">
        <f>TEXT(A834,"DD/MM HH:MM")</f>
        <v/>
      </c>
    </row>
    <row r="835">
      <c r="A835" s="33" t="n">
        <v>46324.32222222222</v>
      </c>
      <c r="B835" s="15" t="n">
        <v>2209</v>
      </c>
      <c r="C835" s="15" t="n">
        <v>6947</v>
      </c>
      <c r="D835" s="16" t="n">
        <v>83364</v>
      </c>
      <c r="E835" s="34">
        <f>B835-B834</f>
        <v/>
      </c>
      <c r="F835" s="34">
        <f>C835-C834</f>
        <v/>
      </c>
      <c r="G835" s="35">
        <f>D835-D834</f>
        <v/>
      </c>
      <c r="H835">
        <f>TEXT(A835,"DD/MM HH:MM")</f>
        <v/>
      </c>
    </row>
    <row r="836">
      <c r="A836" s="30" t="n">
        <v>46324.37152777778</v>
      </c>
      <c r="B836" s="11" t="n">
        <v>2216</v>
      </c>
      <c r="C836" s="11" t="n">
        <v>6969</v>
      </c>
      <c r="D836" s="12" t="n">
        <v>83628</v>
      </c>
      <c r="E836" s="31">
        <f>B836-B835</f>
        <v/>
      </c>
      <c r="F836" s="31">
        <f>C836-C835</f>
        <v/>
      </c>
      <c r="G836" s="32">
        <f>D836-D835</f>
        <v/>
      </c>
      <c r="H836">
        <f>TEXT(A836,"DD/MM HH:MM")</f>
        <v/>
      </c>
    </row>
    <row r="837">
      <c r="A837" s="33" t="n">
        <v>46324.39791666667</v>
      </c>
      <c r="B837" s="15" t="n">
        <v>2218</v>
      </c>
      <c r="C837" s="15" t="n">
        <v>6975</v>
      </c>
      <c r="D837" s="16" t="n">
        <v>83700</v>
      </c>
      <c r="E837" s="34">
        <f>B837-B836</f>
        <v/>
      </c>
      <c r="F837" s="34">
        <f>C837-C836</f>
        <v/>
      </c>
      <c r="G837" s="35">
        <f>D837-D836</f>
        <v/>
      </c>
      <c r="H837">
        <f>TEXT(A837,"DD/MM HH:MM")</f>
        <v/>
      </c>
    </row>
    <row r="838">
      <c r="A838" s="30" t="n">
        <v>46324.40833333333</v>
      </c>
      <c r="B838" s="11" t="n">
        <v>2223</v>
      </c>
      <c r="C838" s="11" t="n">
        <v>6990</v>
      </c>
      <c r="D838" s="12" t="n">
        <v>83880</v>
      </c>
      <c r="E838" s="31">
        <f>B838-B837</f>
        <v/>
      </c>
      <c r="F838" s="31">
        <f>C838-C837</f>
        <v/>
      </c>
      <c r="G838" s="32">
        <f>D838-D837</f>
        <v/>
      </c>
      <c r="H838">
        <f>TEXT(A838,"DD/MM HH:MM")</f>
        <v/>
      </c>
    </row>
    <row r="839">
      <c r="A839" s="33" t="n">
        <v>46324.43472222222</v>
      </c>
      <c r="B839" s="15" t="n">
        <v>2226</v>
      </c>
      <c r="C839" s="15" t="n">
        <v>7003</v>
      </c>
      <c r="D839" s="16" t="n">
        <v>84036</v>
      </c>
      <c r="E839" s="34">
        <f>B839-B838</f>
        <v/>
      </c>
      <c r="F839" s="34">
        <f>C839-C838</f>
        <v/>
      </c>
      <c r="G839" s="35">
        <f>D839-D838</f>
        <v/>
      </c>
      <c r="H839">
        <f>TEXT(A839,"DD/MM HH:MM")</f>
        <v/>
      </c>
    </row>
    <row r="840">
      <c r="A840" s="30" t="n">
        <v>46324.44722222222</v>
      </c>
      <c r="B840" s="11" t="n">
        <v>2229</v>
      </c>
      <c r="C840" s="11" t="n">
        <v>7015</v>
      </c>
      <c r="D840" s="12" t="n">
        <v>84180</v>
      </c>
      <c r="E840" s="31">
        <f>B840-B839</f>
        <v/>
      </c>
      <c r="F840" s="31">
        <f>C840-C839</f>
        <v/>
      </c>
      <c r="G840" s="32">
        <f>D840-D839</f>
        <v/>
      </c>
      <c r="H840">
        <f>TEXT(A840,"DD/MM HH:MM")</f>
        <v/>
      </c>
    </row>
    <row r="841">
      <c r="A841" s="33" t="n">
        <v>46324.47361111111</v>
      </c>
      <c r="B841" s="15" t="n">
        <v>2236</v>
      </c>
      <c r="C841" s="15" t="n">
        <v>7044</v>
      </c>
      <c r="D841" s="16" t="n">
        <v>84528</v>
      </c>
      <c r="E841" s="34">
        <f>B841-B840</f>
        <v/>
      </c>
      <c r="F841" s="34">
        <f>C841-C840</f>
        <v/>
      </c>
      <c r="G841" s="35">
        <f>D841-D840</f>
        <v/>
      </c>
      <c r="H841">
        <f>TEXT(A841,"DD/MM HH:MM")</f>
        <v/>
      </c>
    </row>
    <row r="842">
      <c r="A842" s="30" t="n">
        <v>46324.4875</v>
      </c>
      <c r="B842" s="11" t="n">
        <v>2244</v>
      </c>
      <c r="C842" s="11" t="n">
        <v>7067</v>
      </c>
      <c r="D842" s="12" t="n">
        <v>84804</v>
      </c>
      <c r="E842" s="31">
        <f>B842-B841</f>
        <v/>
      </c>
      <c r="F842" s="31">
        <f>C842-C841</f>
        <v/>
      </c>
      <c r="G842" s="32">
        <f>D842-D841</f>
        <v/>
      </c>
      <c r="H842">
        <f>TEXT(A842,"DD/MM HH:MM")</f>
        <v/>
      </c>
    </row>
    <row r="843">
      <c r="A843" s="33" t="n">
        <v>46324.52569444444</v>
      </c>
      <c r="B843" s="15" t="n">
        <v>2263</v>
      </c>
      <c r="C843" s="15" t="n">
        <v>7126</v>
      </c>
      <c r="D843" s="16" t="n">
        <v>85512</v>
      </c>
      <c r="E843" s="34">
        <f>B843-B842</f>
        <v/>
      </c>
      <c r="F843" s="34">
        <f>C843-C842</f>
        <v/>
      </c>
      <c r="G843" s="35">
        <f>D843-D842</f>
        <v/>
      </c>
      <c r="H843">
        <f>TEXT(A843,"DD/MM HH:MM")</f>
        <v/>
      </c>
    </row>
    <row r="844">
      <c r="A844" s="30" t="n">
        <v>46324.57222222222</v>
      </c>
      <c r="B844" s="11" t="n">
        <v>2286</v>
      </c>
      <c r="C844" s="11" t="n">
        <v>7209</v>
      </c>
      <c r="D844" s="12" t="n">
        <v>86508</v>
      </c>
      <c r="E844" s="31">
        <f>B844-B843</f>
        <v/>
      </c>
      <c r="F844" s="31">
        <f>C844-C843</f>
        <v/>
      </c>
      <c r="G844" s="32">
        <f>D844-D843</f>
        <v/>
      </c>
      <c r="H844">
        <f>TEXT(A844,"DD/MM HH:MM")</f>
        <v/>
      </c>
    </row>
    <row r="845">
      <c r="A845" s="33" t="n">
        <v>46324.62152777778</v>
      </c>
      <c r="B845" s="15" t="n">
        <v>2322</v>
      </c>
      <c r="C845" s="15" t="n">
        <v>7331</v>
      </c>
      <c r="D845" s="16" t="n">
        <v>87972</v>
      </c>
      <c r="E845" s="34">
        <f>B845-B844</f>
        <v/>
      </c>
      <c r="F845" s="34">
        <f>C845-C844</f>
        <v/>
      </c>
      <c r="G845" s="35">
        <f>D845-D844</f>
        <v/>
      </c>
      <c r="H845">
        <f>TEXT(A845,"DD/MM HH:MM")</f>
        <v/>
      </c>
    </row>
    <row r="846">
      <c r="A846" s="30" t="n">
        <v>46324.63194444445</v>
      </c>
      <c r="B846" s="11" t="n">
        <v>2330</v>
      </c>
      <c r="C846" s="11" t="n">
        <v>7354</v>
      </c>
      <c r="D846" s="12" t="n">
        <v>88248</v>
      </c>
      <c r="E846" s="31">
        <f>B846-B845</f>
        <v/>
      </c>
      <c r="F846" s="31">
        <f>C846-C845</f>
        <v/>
      </c>
      <c r="G846" s="32">
        <f>D846-D845</f>
        <v/>
      </c>
      <c r="H846">
        <f>TEXT(A846,"DD/MM HH:MM")</f>
        <v/>
      </c>
    </row>
    <row r="847">
      <c r="A847" s="33" t="n">
        <v>46324.64236111111</v>
      </c>
      <c r="B847" s="15" t="n">
        <v>2335</v>
      </c>
      <c r="C847" s="15" t="n">
        <v>7369</v>
      </c>
      <c r="D847" s="16" t="n">
        <v>88428</v>
      </c>
      <c r="E847" s="34">
        <f>B847-B846</f>
        <v/>
      </c>
      <c r="F847" s="34">
        <f>C847-C846</f>
        <v/>
      </c>
      <c r="G847" s="35">
        <f>D847-D846</f>
        <v/>
      </c>
      <c r="H847">
        <f>TEXT(A847,"DD/MM HH:MM")</f>
        <v/>
      </c>
    </row>
    <row r="848">
      <c r="A848" s="30" t="n">
        <v>46324.64444444444</v>
      </c>
      <c r="B848" s="11" t="n">
        <v>2337</v>
      </c>
      <c r="C848" s="11" t="n">
        <v>7373</v>
      </c>
      <c r="D848" s="12" t="n">
        <v>88476</v>
      </c>
      <c r="E848" s="31">
        <f>B848-B847</f>
        <v/>
      </c>
      <c r="F848" s="31">
        <f>C848-C847</f>
        <v/>
      </c>
      <c r="G848" s="32">
        <f>D848-D847</f>
        <v/>
      </c>
      <c r="H848">
        <f>TEXT(A848,"DD/MM HH:MM")</f>
        <v/>
      </c>
    </row>
    <row r="849">
      <c r="A849" s="33" t="n">
        <v>46324.68263888889</v>
      </c>
      <c r="B849" s="15" t="n">
        <v>2355</v>
      </c>
      <c r="C849" s="15" t="n">
        <v>7432</v>
      </c>
      <c r="D849" s="16" t="n">
        <v>89184</v>
      </c>
      <c r="E849" s="34">
        <f>B849-B848</f>
        <v/>
      </c>
      <c r="F849" s="34">
        <f>C849-C848</f>
        <v/>
      </c>
      <c r="G849" s="35">
        <f>D849-D848</f>
        <v/>
      </c>
      <c r="H849">
        <f>TEXT(A849,"DD/MM HH:MM")</f>
        <v/>
      </c>
    </row>
    <row r="850">
      <c r="A850" s="30" t="n">
        <v>46324.71180555555</v>
      </c>
      <c r="B850" s="11" t="n">
        <v>2368</v>
      </c>
      <c r="C850" s="11" t="n">
        <v>7475</v>
      </c>
      <c r="D850" s="12" t="n">
        <v>89700</v>
      </c>
      <c r="E850" s="31">
        <f>B850-B849</f>
        <v/>
      </c>
      <c r="F850" s="31">
        <f>C850-C849</f>
        <v/>
      </c>
      <c r="G850" s="32">
        <f>D850-D849</f>
        <v/>
      </c>
      <c r="H850">
        <f>TEXT(A850,"DD/MM HH:MM")</f>
        <v/>
      </c>
    </row>
    <row r="851">
      <c r="A851" s="33" t="n">
        <v>46324.73680555556</v>
      </c>
      <c r="B851" s="15" t="n">
        <v>2379</v>
      </c>
      <c r="C851" s="15" t="n">
        <v>7514</v>
      </c>
      <c r="D851" s="16" t="n">
        <v>90168</v>
      </c>
      <c r="E851" s="34">
        <f>B851-B850</f>
        <v/>
      </c>
      <c r="F851" s="34">
        <f>C851-C850</f>
        <v/>
      </c>
      <c r="G851" s="35">
        <f>D851-D850</f>
        <v/>
      </c>
      <c r="H851">
        <f>TEXT(A851,"DD/MM HH:MM")</f>
        <v/>
      </c>
    </row>
    <row r="852">
      <c r="A852" s="30" t="n">
        <v>46324.74027777778</v>
      </c>
      <c r="B852" s="11" t="n">
        <v>2379</v>
      </c>
      <c r="C852" s="11" t="n">
        <v>7514</v>
      </c>
      <c r="D852" s="12" t="n">
        <v>90168</v>
      </c>
      <c r="E852" s="31">
        <f>B852-B851</f>
        <v/>
      </c>
      <c r="F852" s="31">
        <f>C852-C851</f>
        <v/>
      </c>
      <c r="G852" s="32">
        <f>D852-D851</f>
        <v/>
      </c>
      <c r="H852">
        <f>TEXT(A852,"DD/MM HH:MM")</f>
        <v/>
      </c>
    </row>
    <row r="853">
      <c r="A853" s="33" t="n">
        <v>46324.74652777778</v>
      </c>
      <c r="B853" s="15" t="n">
        <v>2380</v>
      </c>
      <c r="C853" s="15" t="n">
        <v>7517</v>
      </c>
      <c r="D853" s="16" t="n">
        <v>90204</v>
      </c>
      <c r="E853" s="34">
        <f>B853-B852</f>
        <v/>
      </c>
      <c r="F853" s="34">
        <f>C853-C852</f>
        <v/>
      </c>
      <c r="G853" s="35">
        <f>D853-D852</f>
        <v/>
      </c>
      <c r="H853">
        <f>TEXT(A853,"DD/MM HH:MM")</f>
        <v/>
      </c>
    </row>
    <row r="854">
      <c r="A854" s="30" t="n">
        <v>46324.76041666666</v>
      </c>
      <c r="B854" s="11" t="n">
        <v>2391</v>
      </c>
      <c r="C854" s="11" t="n">
        <v>7552</v>
      </c>
      <c r="D854" s="12" t="n">
        <v>90624</v>
      </c>
      <c r="E854" s="31">
        <f>B854-B853</f>
        <v/>
      </c>
      <c r="F854" s="31">
        <f>C854-C853</f>
        <v/>
      </c>
      <c r="G854" s="32">
        <f>D854-D853</f>
        <v/>
      </c>
      <c r="H854">
        <f>TEXT(A854,"DD/MM HH:MM")</f>
        <v/>
      </c>
    </row>
    <row r="855">
      <c r="A855" s="33" t="n">
        <v>46324.77847222222</v>
      </c>
      <c r="B855" s="15" t="n">
        <v>2402</v>
      </c>
      <c r="C855" s="15" t="n">
        <v>7582</v>
      </c>
      <c r="D855" s="16" t="n">
        <v>90984</v>
      </c>
      <c r="E855" s="34">
        <f>B855-B854</f>
        <v/>
      </c>
      <c r="F855" s="34">
        <f>C855-C854</f>
        <v/>
      </c>
      <c r="G855" s="35">
        <f>D855-D854</f>
        <v/>
      </c>
      <c r="H855">
        <f>TEXT(A855,"DD/MM HH:MM")</f>
        <v/>
      </c>
    </row>
    <row r="856">
      <c r="A856" s="30" t="n">
        <v>46324.78194444445</v>
      </c>
      <c r="B856" s="11" t="n">
        <v>2405</v>
      </c>
      <c r="C856" s="11" t="n">
        <v>7592</v>
      </c>
      <c r="D856" s="12" t="n">
        <v>91104</v>
      </c>
      <c r="E856" s="31">
        <f>B856-B855</f>
        <v/>
      </c>
      <c r="F856" s="31">
        <f>C856-C855</f>
        <v/>
      </c>
      <c r="G856" s="32">
        <f>D856-D855</f>
        <v/>
      </c>
      <c r="H856">
        <f>TEXT(A856,"DD/MM HH:MM")</f>
        <v/>
      </c>
    </row>
    <row r="857">
      <c r="A857" s="33" t="n">
        <v>46324.81875</v>
      </c>
      <c r="B857" s="15" t="n">
        <v>2427</v>
      </c>
      <c r="C857" s="15" t="n">
        <v>7663</v>
      </c>
      <c r="D857" s="16" t="n">
        <v>91956</v>
      </c>
      <c r="E857" s="34">
        <f>B857-B856</f>
        <v/>
      </c>
      <c r="F857" s="34">
        <f>C857-C856</f>
        <v/>
      </c>
      <c r="G857" s="35">
        <f>D857-D856</f>
        <v/>
      </c>
      <c r="H857">
        <f>TEXT(A857,"DD/MM HH:MM")</f>
        <v/>
      </c>
    </row>
    <row r="858">
      <c r="A858" s="30" t="n">
        <v>46324.82083333333</v>
      </c>
      <c r="B858" s="11" t="n">
        <v>2427</v>
      </c>
      <c r="C858" s="11" t="n">
        <v>7663</v>
      </c>
      <c r="D858" s="12" t="n">
        <v>91956</v>
      </c>
      <c r="E858" s="31">
        <f>B858-B857</f>
        <v/>
      </c>
      <c r="F858" s="31">
        <f>C858-C857</f>
        <v/>
      </c>
      <c r="G858" s="32">
        <f>D858-D857</f>
        <v/>
      </c>
      <c r="H858">
        <f>TEXT(A858,"DD/MM HH:MM")</f>
        <v/>
      </c>
    </row>
    <row r="859">
      <c r="A859" s="33" t="n">
        <v>46324.85972222222</v>
      </c>
      <c r="B859" s="15" t="n">
        <v>2447</v>
      </c>
      <c r="C859" s="15" t="n">
        <v>7727</v>
      </c>
      <c r="D859" s="16" t="n">
        <v>92724</v>
      </c>
      <c r="E859" s="34">
        <f>B859-B858</f>
        <v/>
      </c>
      <c r="F859" s="34">
        <f>C859-C858</f>
        <v/>
      </c>
      <c r="G859" s="35">
        <f>D859-D858</f>
        <v/>
      </c>
      <c r="H859">
        <f>TEXT(A859,"DD/MM HH:MM")</f>
        <v/>
      </c>
    </row>
    <row r="860">
      <c r="A860" s="30" t="n">
        <v>46324.86388888889</v>
      </c>
      <c r="B860" s="11" t="n">
        <v>2448</v>
      </c>
      <c r="C860" s="11" t="n">
        <v>7731</v>
      </c>
      <c r="D860" s="12" t="n">
        <v>92772</v>
      </c>
      <c r="E860" s="31">
        <f>B860-B859</f>
        <v/>
      </c>
      <c r="F860" s="31">
        <f>C860-C859</f>
        <v/>
      </c>
      <c r="G860" s="32">
        <f>D860-D859</f>
        <v/>
      </c>
      <c r="H860">
        <f>TEXT(A860,"DD/MM HH:MM")</f>
        <v/>
      </c>
    </row>
    <row r="861">
      <c r="A861" s="33" t="n">
        <v>46324.89444444444</v>
      </c>
      <c r="B861" s="15" t="n">
        <v>2465</v>
      </c>
      <c r="C861" s="15" t="n">
        <v>7785</v>
      </c>
      <c r="D861" s="16" t="n">
        <v>93420</v>
      </c>
      <c r="E861" s="34">
        <f>B861-B860</f>
        <v/>
      </c>
      <c r="F861" s="34">
        <f>C861-C860</f>
        <v/>
      </c>
      <c r="G861" s="35">
        <f>D861-D860</f>
        <v/>
      </c>
      <c r="H861">
        <f>TEXT(A861,"DD/MM HH:MM")</f>
        <v/>
      </c>
    </row>
    <row r="862">
      <c r="A862" s="30" t="n">
        <v>46324.90138888889</v>
      </c>
      <c r="B862" s="11" t="n">
        <v>2467</v>
      </c>
      <c r="C862" s="11" t="n">
        <v>7794</v>
      </c>
      <c r="D862" s="12" t="n">
        <v>93528</v>
      </c>
      <c r="E862" s="31">
        <f>B862-B861</f>
        <v/>
      </c>
      <c r="F862" s="31">
        <f>C862-C861</f>
        <v/>
      </c>
      <c r="G862" s="32">
        <f>D862-D861</f>
        <v/>
      </c>
      <c r="H862">
        <f>TEXT(A862,"DD/MM HH:MM")</f>
        <v/>
      </c>
    </row>
    <row r="863">
      <c r="A863" s="33" t="n">
        <v>46324.90694444445</v>
      </c>
      <c r="B863" s="15" t="n">
        <v>2470</v>
      </c>
      <c r="C863" s="15" t="n">
        <v>7808</v>
      </c>
      <c r="D863" s="16" t="n">
        <v>93696</v>
      </c>
      <c r="E863" s="34">
        <f>B863-B862</f>
        <v/>
      </c>
      <c r="F863" s="34">
        <f>C863-C862</f>
        <v/>
      </c>
      <c r="G863" s="35">
        <f>D863-D862</f>
        <v/>
      </c>
      <c r="H863">
        <f>TEXT(A863,"DD/MM HH:MM")</f>
        <v/>
      </c>
    </row>
    <row r="864">
      <c r="A864" s="30" t="n">
        <v>46324.94097222222</v>
      </c>
      <c r="B864" s="11" t="n">
        <v>2485</v>
      </c>
      <c r="C864" s="11" t="n">
        <v>7858</v>
      </c>
      <c r="D864" s="12" t="n">
        <v>94296</v>
      </c>
      <c r="E864" s="31">
        <f>B864-B863</f>
        <v/>
      </c>
      <c r="F864" s="31">
        <f>C864-C863</f>
        <v/>
      </c>
      <c r="G864" s="32">
        <f>D864-D863</f>
        <v/>
      </c>
      <c r="H864">
        <f>TEXT(A864,"DD/MM HH:MM")</f>
        <v/>
      </c>
    </row>
    <row r="865">
      <c r="A865" s="33" t="n">
        <v>46324.94375</v>
      </c>
      <c r="B865" s="15" t="n">
        <v>2488</v>
      </c>
      <c r="C865" s="15" t="n">
        <v>7868</v>
      </c>
      <c r="D865" s="16" t="n">
        <v>94416</v>
      </c>
      <c r="E865" s="34">
        <f>B865-B864</f>
        <v/>
      </c>
      <c r="F865" s="34">
        <f>C865-C864</f>
        <v/>
      </c>
      <c r="G865" s="35">
        <f>D865-D864</f>
        <v/>
      </c>
      <c r="H865">
        <f>TEXT(A865,"DD/MM HH:MM")</f>
        <v/>
      </c>
    </row>
    <row r="866">
      <c r="A866" s="30" t="n">
        <v>46324.95486111111</v>
      </c>
      <c r="B866" s="11" t="n">
        <v>2491</v>
      </c>
      <c r="C866" s="11" t="n">
        <v>7876</v>
      </c>
      <c r="D866" s="12" t="n">
        <v>94512</v>
      </c>
      <c r="E866" s="31">
        <f>B866-B865</f>
        <v/>
      </c>
      <c r="F866" s="31">
        <f>C866-C865</f>
        <v/>
      </c>
      <c r="G866" s="32">
        <f>D866-D865</f>
        <v/>
      </c>
      <c r="H866">
        <f>TEXT(A866,"DD/MM HH:MM")</f>
        <v/>
      </c>
    </row>
    <row r="867">
      <c r="A867" s="33" t="n">
        <v>46324.99513888889</v>
      </c>
      <c r="B867" s="15" t="n">
        <v>2506</v>
      </c>
      <c r="C867" s="15" t="n">
        <v>7928</v>
      </c>
      <c r="D867" s="16" t="n">
        <v>95136</v>
      </c>
      <c r="E867" s="34">
        <f>B867-B866</f>
        <v/>
      </c>
      <c r="F867" s="34">
        <f>C867-C866</f>
        <v/>
      </c>
      <c r="G867" s="35">
        <f>D867-D866</f>
        <v/>
      </c>
      <c r="H867">
        <f>TEXT(A867,"DD/MM HH:MM")</f>
        <v/>
      </c>
    </row>
    <row r="868">
      <c r="A868" s="30" t="n">
        <v>46325.01944444444</v>
      </c>
      <c r="B868" s="11" t="n">
        <v>2510</v>
      </c>
      <c r="C868" s="11" t="n">
        <v>7945</v>
      </c>
      <c r="D868" s="12" t="n">
        <v>95340</v>
      </c>
      <c r="E868" s="31">
        <f>B868-B867</f>
        <v/>
      </c>
      <c r="F868" s="31">
        <f>C868-C867</f>
        <v/>
      </c>
      <c r="G868" s="32">
        <f>D868-D867</f>
        <v/>
      </c>
      <c r="H868">
        <f>TEXT(A868,"DD/MM HH:MM")</f>
        <v/>
      </c>
    </row>
    <row r="869">
      <c r="A869" s="33" t="n">
        <v>46325.03472222222</v>
      </c>
      <c r="B869" s="15" t="n">
        <v>2513</v>
      </c>
      <c r="C869" s="15" t="n">
        <v>7952</v>
      </c>
      <c r="D869" s="16" t="n">
        <v>95424</v>
      </c>
      <c r="E869" s="34">
        <f>B869-B868</f>
        <v/>
      </c>
      <c r="F869" s="34">
        <f>C869-C868</f>
        <v/>
      </c>
      <c r="G869" s="35">
        <f>D869-D868</f>
        <v/>
      </c>
      <c r="H869">
        <f>TEXT(A869,"DD/MM HH:MM")</f>
        <v/>
      </c>
    </row>
    <row r="870">
      <c r="A870" s="30" t="n">
        <v>46325.03541666667</v>
      </c>
      <c r="B870" s="11" t="n">
        <v>2513</v>
      </c>
      <c r="C870" s="11" t="n">
        <v>7952</v>
      </c>
      <c r="D870" s="12" t="n">
        <v>95424</v>
      </c>
      <c r="E870" s="31">
        <f>B870-B869</f>
        <v/>
      </c>
      <c r="F870" s="31">
        <f>C870-C869</f>
        <v/>
      </c>
      <c r="G870" s="32">
        <f>D870-D869</f>
        <v/>
      </c>
      <c r="H870">
        <f>TEXT(A870,"DD/MM HH:MM")</f>
        <v/>
      </c>
    </row>
    <row r="871">
      <c r="A871" s="33" t="n">
        <v>46325.11388888889</v>
      </c>
      <c r="B871" s="15" t="n">
        <v>2518</v>
      </c>
      <c r="C871" s="15" t="n">
        <v>7970</v>
      </c>
      <c r="D871" s="16" t="n">
        <v>95640</v>
      </c>
      <c r="E871" s="34">
        <f>B871-B870</f>
        <v/>
      </c>
      <c r="F871" s="34">
        <f>C871-C870</f>
        <v/>
      </c>
      <c r="G871" s="35">
        <f>D871-D870</f>
        <v/>
      </c>
      <c r="H871">
        <f>TEXT(A871,"DD/MM HH:MM")</f>
        <v/>
      </c>
    </row>
    <row r="872">
      <c r="A872" s="30" t="n">
        <v>46325.38958333333</v>
      </c>
      <c r="B872" s="11" t="n">
        <v>2525</v>
      </c>
      <c r="C872" s="11" t="n">
        <v>7990</v>
      </c>
      <c r="D872" s="12" t="n">
        <v>95880</v>
      </c>
      <c r="E872" s="31">
        <f>B872-B871</f>
        <v/>
      </c>
      <c r="F872" s="31">
        <f>C872-C871</f>
        <v/>
      </c>
      <c r="G872" s="32">
        <f>D872-D871</f>
        <v/>
      </c>
      <c r="H872">
        <f>TEXT(A872,"DD/MM HH:MM")</f>
        <v/>
      </c>
    </row>
    <row r="873">
      <c r="A873" s="33" t="n">
        <v>46325.53055555555</v>
      </c>
      <c r="B873" s="15" t="n">
        <v>2552</v>
      </c>
      <c r="C873" s="15" t="n">
        <v>8067</v>
      </c>
      <c r="D873" s="16" t="n">
        <v>96804</v>
      </c>
      <c r="E873" s="34">
        <f>B873-B872</f>
        <v/>
      </c>
      <c r="F873" s="34">
        <f>C873-C872</f>
        <v/>
      </c>
      <c r="G873" s="35">
        <f>D873-D872</f>
        <v/>
      </c>
      <c r="H873">
        <f>TEXT(A873,"DD/MM HH:MM")</f>
        <v/>
      </c>
    </row>
    <row r="874">
      <c r="A874" s="30" t="n">
        <v>46325.55208333334</v>
      </c>
      <c r="B874" s="11" t="n">
        <v>2558</v>
      </c>
      <c r="C874" s="11" t="n">
        <v>8085</v>
      </c>
      <c r="D874" s="12" t="n">
        <v>97020</v>
      </c>
      <c r="E874" s="31">
        <f>B874-B873</f>
        <v/>
      </c>
      <c r="F874" s="31">
        <f>C874-C873</f>
        <v/>
      </c>
      <c r="G874" s="32">
        <f>D874-D873</f>
        <v/>
      </c>
      <c r="H874">
        <f>TEXT(A874,"DD/MM HH:MM")</f>
        <v/>
      </c>
    </row>
    <row r="875">
      <c r="A875" s="33" t="n">
        <v>46325.56805555556</v>
      </c>
      <c r="B875" s="15" t="n">
        <v>2561</v>
      </c>
      <c r="C875" s="15" t="n">
        <v>8097</v>
      </c>
      <c r="D875" s="16" t="n">
        <v>97164</v>
      </c>
      <c r="E875" s="34">
        <f>B875-B874</f>
        <v/>
      </c>
      <c r="F875" s="34">
        <f>C875-C874</f>
        <v/>
      </c>
      <c r="G875" s="35">
        <f>D875-D874</f>
        <v/>
      </c>
      <c r="H875">
        <f>TEXT(A875,"DD/MM HH:MM")</f>
        <v/>
      </c>
    </row>
    <row r="876">
      <c r="A876" s="30" t="n">
        <v>46325.58402777778</v>
      </c>
      <c r="B876" s="11" t="n">
        <v>2565</v>
      </c>
      <c r="C876" s="11" t="n">
        <v>8109</v>
      </c>
      <c r="D876" s="12" t="n">
        <v>97308</v>
      </c>
      <c r="E876" s="31">
        <f>B876-B875</f>
        <v/>
      </c>
      <c r="F876" s="31">
        <f>C876-C875</f>
        <v/>
      </c>
      <c r="G876" s="32">
        <f>D876-D875</f>
        <v/>
      </c>
      <c r="H876">
        <f>TEXT(A876,"DD/MM HH:MM")</f>
        <v/>
      </c>
    </row>
    <row r="877">
      <c r="A877" s="33" t="n">
        <v>46325.59236111111</v>
      </c>
      <c r="B877" s="15" t="n">
        <v>2572</v>
      </c>
      <c r="C877" s="15" t="n">
        <v>8134</v>
      </c>
      <c r="D877" s="16" t="n">
        <v>97608</v>
      </c>
      <c r="E877" s="34">
        <f>B877-B876</f>
        <v/>
      </c>
      <c r="F877" s="34">
        <f>C877-C876</f>
        <v/>
      </c>
      <c r="G877" s="35">
        <f>D877-D876</f>
        <v/>
      </c>
      <c r="H877">
        <f>TEXT(A877,"DD/MM HH:MM")</f>
        <v/>
      </c>
    </row>
    <row r="878">
      <c r="A878" s="30" t="n">
        <v>46325.60277777778</v>
      </c>
      <c r="B878" s="11" t="n">
        <v>2575</v>
      </c>
      <c r="C878" s="11" t="n">
        <v>8140</v>
      </c>
      <c r="D878" s="12" t="n">
        <v>97680</v>
      </c>
      <c r="E878" s="31">
        <f>B878-B877</f>
        <v/>
      </c>
      <c r="F878" s="31">
        <f>C878-C877</f>
        <v/>
      </c>
      <c r="G878" s="32">
        <f>D878-D877</f>
        <v/>
      </c>
      <c r="H878">
        <f>TEXT(A878,"DD/MM HH:MM")</f>
        <v/>
      </c>
    </row>
    <row r="879">
      <c r="A879" s="33" t="n">
        <v>46325.61944444444</v>
      </c>
      <c r="B879" s="15" t="n">
        <v>2580</v>
      </c>
      <c r="C879" s="15" t="n">
        <v>8156</v>
      </c>
      <c r="D879" s="16" t="n">
        <v>97872</v>
      </c>
      <c r="E879" s="34">
        <f>B879-B878</f>
        <v/>
      </c>
      <c r="F879" s="34">
        <f>C879-C878</f>
        <v/>
      </c>
      <c r="G879" s="35">
        <f>D879-D878</f>
        <v/>
      </c>
      <c r="H879">
        <f>TEXT(A879,"DD/MM HH:MM")</f>
        <v/>
      </c>
    </row>
    <row r="880">
      <c r="A880" s="30" t="n">
        <v>46325.62152777778</v>
      </c>
      <c r="B880" s="11" t="n">
        <v>2580</v>
      </c>
      <c r="C880" s="11" t="n">
        <v>8156</v>
      </c>
      <c r="D880" s="12" t="n">
        <v>97872</v>
      </c>
      <c r="E880" s="31">
        <f>B880-B879</f>
        <v/>
      </c>
      <c r="F880" s="31">
        <f>C880-C879</f>
        <v/>
      </c>
      <c r="G880" s="32">
        <f>D880-D879</f>
        <v/>
      </c>
      <c r="H880">
        <f>TEXT(A880,"DD/MM HH:MM")</f>
        <v/>
      </c>
    </row>
    <row r="881">
      <c r="A881" s="33" t="n">
        <v>46325.65416666667</v>
      </c>
      <c r="B881" s="15" t="n">
        <v>2589</v>
      </c>
      <c r="C881" s="15" t="n">
        <v>8179</v>
      </c>
      <c r="D881" s="16" t="n">
        <v>98148</v>
      </c>
      <c r="E881" s="34">
        <f>B881-B880</f>
        <v/>
      </c>
      <c r="F881" s="34">
        <f>C881-C880</f>
        <v/>
      </c>
      <c r="G881" s="35">
        <f>D881-D880</f>
        <v/>
      </c>
      <c r="H881">
        <f>TEXT(A881,"DD/MM HH:MM")</f>
        <v/>
      </c>
    </row>
    <row r="882">
      <c r="A882" s="30" t="n">
        <v>46325.67638888889</v>
      </c>
      <c r="B882" s="11" t="n">
        <v>2592</v>
      </c>
      <c r="C882" s="11" t="n">
        <v>8187</v>
      </c>
      <c r="D882" s="12" t="n">
        <v>98244</v>
      </c>
      <c r="E882" s="31">
        <f>B882-B881</f>
        <v/>
      </c>
      <c r="F882" s="31">
        <f>C882-C881</f>
        <v/>
      </c>
      <c r="G882" s="32">
        <f>D882-D881</f>
        <v/>
      </c>
      <c r="H882">
        <f>TEXT(A882,"DD/MM HH:MM")</f>
        <v/>
      </c>
    </row>
    <row r="883">
      <c r="A883" s="33" t="n">
        <v>46325.68263888889</v>
      </c>
      <c r="B883" s="15" t="n">
        <v>2594</v>
      </c>
      <c r="C883" s="15" t="n">
        <v>8192</v>
      </c>
      <c r="D883" s="16" t="n">
        <v>98304</v>
      </c>
      <c r="E883" s="34">
        <f>B883-B882</f>
        <v/>
      </c>
      <c r="F883" s="34">
        <f>C883-C882</f>
        <v/>
      </c>
      <c r="G883" s="35">
        <f>D883-D882</f>
        <v/>
      </c>
      <c r="H883">
        <f>TEXT(A883,"DD/MM HH:MM")</f>
        <v/>
      </c>
    </row>
    <row r="884">
      <c r="A884" s="30" t="n">
        <v>46325.69722222222</v>
      </c>
      <c r="B884" s="11" t="n">
        <v>2602</v>
      </c>
      <c r="C884" s="11" t="n">
        <v>8214</v>
      </c>
      <c r="D884" s="12" t="n">
        <v>98568</v>
      </c>
      <c r="E884" s="31">
        <f>B884-B883</f>
        <v/>
      </c>
      <c r="F884" s="31">
        <f>C884-C883</f>
        <v/>
      </c>
      <c r="G884" s="32">
        <f>D884-D883</f>
        <v/>
      </c>
      <c r="H884">
        <f>TEXT(A884,"DD/MM HH:MM")</f>
        <v/>
      </c>
    </row>
    <row r="885">
      <c r="A885" s="33" t="n">
        <v>46325.71041666667</v>
      </c>
      <c r="B885" s="15" t="n">
        <v>2606</v>
      </c>
      <c r="C885" s="15" t="n">
        <v>8228</v>
      </c>
      <c r="D885" s="16" t="n">
        <v>98736</v>
      </c>
      <c r="E885" s="34">
        <f>B885-B884</f>
        <v/>
      </c>
      <c r="F885" s="34">
        <f>C885-C884</f>
        <v/>
      </c>
      <c r="G885" s="35">
        <f>D885-D884</f>
        <v/>
      </c>
      <c r="H885">
        <f>TEXT(A885,"DD/MM HH:MM")</f>
        <v/>
      </c>
    </row>
    <row r="886">
      <c r="A886" s="30" t="n">
        <v>46325.72430555556</v>
      </c>
      <c r="B886" s="11" t="n">
        <v>2606</v>
      </c>
      <c r="C886" s="11" t="n">
        <v>8228</v>
      </c>
      <c r="D886" s="12" t="n">
        <v>98736</v>
      </c>
      <c r="E886" s="31">
        <f>B886-B885</f>
        <v/>
      </c>
      <c r="F886" s="31">
        <f>C886-C885</f>
        <v/>
      </c>
      <c r="G886" s="32">
        <f>D886-D885</f>
        <v/>
      </c>
      <c r="H886">
        <f>TEXT(A886,"DD/MM HH:MM")</f>
        <v/>
      </c>
    </row>
    <row r="887">
      <c r="A887" s="33" t="n">
        <v>46325.75347222222</v>
      </c>
      <c r="B887" s="15" t="n">
        <v>2614</v>
      </c>
      <c r="C887" s="15" t="n">
        <v>8253</v>
      </c>
      <c r="D887" s="16" t="n">
        <v>99036</v>
      </c>
      <c r="E887" s="34">
        <f>B887-B886</f>
        <v/>
      </c>
      <c r="F887" s="34">
        <f>C887-C886</f>
        <v/>
      </c>
      <c r="G887" s="35">
        <f>D887-D886</f>
        <v/>
      </c>
      <c r="H887">
        <f>TEXT(A887,"DD/MM HH:MM")</f>
        <v/>
      </c>
    </row>
    <row r="888">
      <c r="A888" s="30" t="n">
        <v>46325.77569444444</v>
      </c>
      <c r="B888" s="11" t="n">
        <v>2621</v>
      </c>
      <c r="C888" s="11" t="n">
        <v>8272</v>
      </c>
      <c r="D888" s="12" t="n">
        <v>99264</v>
      </c>
      <c r="E888" s="31">
        <f>B888-B887</f>
        <v/>
      </c>
      <c r="F888" s="31">
        <f>C888-C887</f>
        <v/>
      </c>
      <c r="G888" s="32">
        <f>D888-D887</f>
        <v/>
      </c>
      <c r="H888">
        <f>TEXT(A888,"DD/MM HH:MM")</f>
        <v/>
      </c>
    </row>
    <row r="889">
      <c r="A889" s="33" t="n">
        <v>46325.7875</v>
      </c>
      <c r="B889" s="15" t="n">
        <v>2622</v>
      </c>
      <c r="C889" s="15" t="n">
        <v>8277</v>
      </c>
      <c r="D889" s="16" t="n">
        <v>99324</v>
      </c>
      <c r="E889" s="34">
        <f>B889-B888</f>
        <v/>
      </c>
      <c r="F889" s="34">
        <f>C889-C888</f>
        <v/>
      </c>
      <c r="G889" s="35">
        <f>D889-D888</f>
        <v/>
      </c>
      <c r="H889">
        <f>TEXT(A889,"DD/MM HH:MM")</f>
        <v/>
      </c>
    </row>
    <row r="890">
      <c r="A890" s="30" t="n">
        <v>46325.79791666667</v>
      </c>
      <c r="B890" s="11" t="n">
        <v>2623</v>
      </c>
      <c r="C890" s="11" t="n">
        <v>8282</v>
      </c>
      <c r="D890" s="12" t="n">
        <v>99384</v>
      </c>
      <c r="E890" s="31">
        <f>B890-B889</f>
        <v/>
      </c>
      <c r="F890" s="31">
        <f>C890-C889</f>
        <v/>
      </c>
      <c r="G890" s="32">
        <f>D890-D889</f>
        <v/>
      </c>
      <c r="H890">
        <f>TEXT(A890,"DD/MM HH:MM")</f>
        <v/>
      </c>
    </row>
    <row r="891">
      <c r="A891" s="33" t="n">
        <v>46325.84236111111</v>
      </c>
      <c r="B891" s="15" t="n">
        <v>2635</v>
      </c>
      <c r="C891" s="15" t="n">
        <v>8322</v>
      </c>
      <c r="D891" s="16" t="n">
        <v>99864</v>
      </c>
      <c r="E891" s="34">
        <f>B891-B890</f>
        <v/>
      </c>
      <c r="F891" s="34">
        <f>C891-C890</f>
        <v/>
      </c>
      <c r="G891" s="35">
        <f>D891-D890</f>
        <v/>
      </c>
      <c r="H891">
        <f>TEXT(A891,"DD/MM HH:MM")</f>
        <v/>
      </c>
    </row>
    <row r="892">
      <c r="A892" s="30" t="n">
        <v>46325.84722222222</v>
      </c>
      <c r="B892" s="11" t="n">
        <v>2636</v>
      </c>
      <c r="C892" s="11" t="n">
        <v>8326</v>
      </c>
      <c r="D892" s="12" t="n">
        <v>99912</v>
      </c>
      <c r="E892" s="31">
        <f>B892-B891</f>
        <v/>
      </c>
      <c r="F892" s="31">
        <f>C892-C891</f>
        <v/>
      </c>
      <c r="G892" s="32">
        <f>D892-D891</f>
        <v/>
      </c>
      <c r="H892">
        <f>TEXT(A892,"DD/MM HH:MM")</f>
        <v/>
      </c>
    </row>
    <row r="893">
      <c r="A893" s="33" t="n">
        <v>46325.86875</v>
      </c>
      <c r="B893" s="15" t="n">
        <v>2641</v>
      </c>
      <c r="C893" s="15" t="n">
        <v>8341</v>
      </c>
      <c r="D893" s="16" t="n">
        <v>100092</v>
      </c>
      <c r="E893" s="34">
        <f>B893-B892</f>
        <v/>
      </c>
      <c r="F893" s="34">
        <f>C893-C892</f>
        <v/>
      </c>
      <c r="G893" s="35">
        <f>D893-D892</f>
        <v/>
      </c>
      <c r="H893">
        <f>TEXT(A893,"DD/MM HH:MM")</f>
        <v/>
      </c>
    </row>
    <row r="894">
      <c r="A894" s="30" t="n">
        <v>46325.87083333333</v>
      </c>
      <c r="B894" s="11" t="n">
        <v>2641</v>
      </c>
      <c r="C894" s="11" t="n">
        <v>8341</v>
      </c>
      <c r="D894" s="12" t="n">
        <v>100092</v>
      </c>
      <c r="E894" s="31">
        <f>B894-B893</f>
        <v/>
      </c>
      <c r="F894" s="31">
        <f>C894-C893</f>
        <v/>
      </c>
      <c r="G894" s="32">
        <f>D894-D893</f>
        <v/>
      </c>
      <c r="H894">
        <f>TEXT(A894,"DD/MM HH:MM")</f>
        <v/>
      </c>
    </row>
    <row r="895">
      <c r="A895" s="33" t="n">
        <v>46325.87638888889</v>
      </c>
      <c r="B895" s="15" t="n">
        <v>2642</v>
      </c>
      <c r="C895" s="15" t="n">
        <v>8343</v>
      </c>
      <c r="D895" s="16" t="n">
        <v>100116</v>
      </c>
      <c r="E895" s="34">
        <f>B895-B894</f>
        <v/>
      </c>
      <c r="F895" s="34">
        <f>C895-C894</f>
        <v/>
      </c>
      <c r="G895" s="35">
        <f>D895-D894</f>
        <v/>
      </c>
      <c r="H895">
        <f>TEXT(A895,"DD/MM HH:MM")</f>
        <v/>
      </c>
    </row>
    <row r="896">
      <c r="A896" s="30" t="n">
        <v>46325.87916666667</v>
      </c>
      <c r="B896" s="11" t="n">
        <v>2642</v>
      </c>
      <c r="C896" s="11" t="n">
        <v>8343</v>
      </c>
      <c r="D896" s="12" t="n">
        <v>100116</v>
      </c>
      <c r="E896" s="31">
        <f>B896-B895</f>
        <v/>
      </c>
      <c r="F896" s="31">
        <f>C896-C895</f>
        <v/>
      </c>
      <c r="G896" s="32">
        <f>D896-D895</f>
        <v/>
      </c>
      <c r="H896">
        <f>TEXT(A896,"DD/MM HH:MM")</f>
        <v/>
      </c>
    </row>
    <row r="897">
      <c r="A897" s="33" t="n">
        <v>46325.87986111111</v>
      </c>
      <c r="B897" s="15" t="n">
        <v>2642</v>
      </c>
      <c r="C897" s="15" t="n">
        <v>8343</v>
      </c>
      <c r="D897" s="16" t="n">
        <v>100116</v>
      </c>
      <c r="E897" s="34">
        <f>B897-B896</f>
        <v/>
      </c>
      <c r="F897" s="34">
        <f>C897-C896</f>
        <v/>
      </c>
      <c r="G897" s="35">
        <f>D897-D896</f>
        <v/>
      </c>
      <c r="H897">
        <f>TEXT(A897,"DD/MM HH:MM")</f>
        <v/>
      </c>
    </row>
    <row r="898">
      <c r="A898" s="30" t="n">
        <v>46325.88680555556</v>
      </c>
      <c r="B898" s="11" t="n">
        <v>2642</v>
      </c>
      <c r="C898" s="11" t="n">
        <v>8343</v>
      </c>
      <c r="D898" s="12" t="n">
        <v>100116</v>
      </c>
      <c r="E898" s="31">
        <f>B898-B897</f>
        <v/>
      </c>
      <c r="F898" s="31">
        <f>C898-C897</f>
        <v/>
      </c>
      <c r="G898" s="32">
        <f>D898-D897</f>
        <v/>
      </c>
      <c r="H898">
        <f>TEXT(A898,"DD/MM HH:MM")</f>
        <v/>
      </c>
    </row>
    <row r="899">
      <c r="A899" s="33" t="n">
        <v>46325.89652777778</v>
      </c>
      <c r="B899" s="15" t="n">
        <v>2651</v>
      </c>
      <c r="C899" s="15" t="n">
        <v>8374</v>
      </c>
      <c r="D899" s="16" t="n">
        <v>100488</v>
      </c>
      <c r="E899" s="34">
        <f>B899-B898</f>
        <v/>
      </c>
      <c r="F899" s="34">
        <f>C899-C898</f>
        <v/>
      </c>
      <c r="G899" s="35">
        <f>D899-D898</f>
        <v/>
      </c>
      <c r="H899">
        <f>TEXT(A899,"DD/MM HH:MM")</f>
        <v/>
      </c>
    </row>
    <row r="900">
      <c r="A900" s="30" t="n">
        <v>46325.9</v>
      </c>
      <c r="B900" s="11" t="n">
        <v>2652</v>
      </c>
      <c r="C900" s="11" t="n">
        <v>8376</v>
      </c>
      <c r="D900" s="12" t="n">
        <v>100512</v>
      </c>
      <c r="E900" s="31">
        <f>B900-B899</f>
        <v/>
      </c>
      <c r="F900" s="31">
        <f>C900-C899</f>
        <v/>
      </c>
      <c r="G900" s="32">
        <f>D900-D899</f>
        <v/>
      </c>
      <c r="H900">
        <f>TEXT(A900,"DD/MM HH:MM")</f>
        <v/>
      </c>
    </row>
  </sheetData>
  <autoFilter ref="A1:G90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6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0.9993055555555556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0.9993055555555556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0.9993055555555556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0.9993055555555556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0.9993055555555556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0.9993055555555556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0.9993055555555556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0.9993055555555556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0.9993055555555556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0.9993055555555556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0.9993055555555556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0.9993055555555556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0.9993055555555556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0.9993055555555556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0.9993055555555556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0.9993055555555556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0.9993055555555556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0.9993055555555556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0.9993055555555556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0.9993055555555556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0.9993055555555556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0.9993055555555556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0.9993055555555556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0.9993055555555556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46318.93333333333</v>
      </c>
      <c r="B635" s="33" t="n">
        <v>46318.95277777778</v>
      </c>
      <c r="C635" s="13" t="n">
        <v>46318</v>
      </c>
      <c r="D635" s="14" t="n">
        <v>0.96875</v>
      </c>
      <c r="E635" s="37" t="n">
        <v>5</v>
      </c>
      <c r="F635" s="37" t="n">
        <v>2</v>
      </c>
      <c r="G635" s="37" t="n">
        <v>1</v>
      </c>
      <c r="H635" s="37" t="n">
        <v>0</v>
      </c>
      <c r="I635" s="37" t="n">
        <v>2</v>
      </c>
      <c r="J635" s="37" t="n">
        <v>17</v>
      </c>
      <c r="K635" s="16" t="n">
        <v>204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0.9993055555555556</v>
      </c>
      <c r="E636" s="36" t="n">
        <v>3</v>
      </c>
      <c r="F636" s="36" t="n">
        <v>3</v>
      </c>
      <c r="G636" s="36" t="n">
        <v>0</v>
      </c>
      <c r="H636" s="36" t="n">
        <v>0</v>
      </c>
      <c r="I636" s="36" t="n">
        <v>0</v>
      </c>
      <c r="J636" s="36" t="n">
        <v>6</v>
      </c>
      <c r="K636" s="12" t="n">
        <v>72</v>
      </c>
    </row>
    <row r="637">
      <c r="A637" s="33" t="n">
        <v>46318.93333333333</v>
      </c>
      <c r="B637" s="33" t="n">
        <v>46318.95277777778</v>
      </c>
      <c r="C637" s="13" t="n">
        <v>46319</v>
      </c>
      <c r="D637" s="14" t="n">
        <v>0.8854166666666666</v>
      </c>
      <c r="E637" s="37" t="n">
        <v>1</v>
      </c>
      <c r="F637" s="37" t="n">
        <v>0</v>
      </c>
      <c r="G637" s="37" t="n">
        <v>0</v>
      </c>
      <c r="H637" s="37" t="n">
        <v>1</v>
      </c>
      <c r="I637" s="37" t="n">
        <v>0</v>
      </c>
      <c r="J637" s="37" t="n">
        <v>4</v>
      </c>
      <c r="K637" s="16" t="n">
        <v>48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0.9270833333333334</v>
      </c>
      <c r="E638" s="36" t="n">
        <v>1</v>
      </c>
      <c r="F638" s="36" t="n">
        <v>1</v>
      </c>
      <c r="G638" s="36" t="n">
        <v>0</v>
      </c>
      <c r="H638" s="36" t="n">
        <v>0</v>
      </c>
      <c r="I638" s="36" t="n">
        <v>0</v>
      </c>
      <c r="J638" s="36" t="n">
        <v>2</v>
      </c>
      <c r="K638" s="12" t="n">
        <v>24</v>
      </c>
    </row>
    <row r="639">
      <c r="A639" s="33" t="n">
        <v>46318.93333333333</v>
      </c>
      <c r="B639" s="33" t="n">
        <v>46318.95277777778</v>
      </c>
      <c r="C639" s="13" t="n">
        <v>46320</v>
      </c>
      <c r="D639" s="14" t="n">
        <v>0.84375</v>
      </c>
      <c r="E639" s="37" t="n">
        <v>1</v>
      </c>
      <c r="F639" s="37" t="n">
        <v>0</v>
      </c>
      <c r="G639" s="37" t="n">
        <v>0</v>
      </c>
      <c r="H639" s="37" t="n">
        <v>0</v>
      </c>
      <c r="I639" s="37" t="n">
        <v>1</v>
      </c>
      <c r="J639" s="37" t="n">
        <v>5</v>
      </c>
      <c r="K639" s="16" t="n">
        <v>60</v>
      </c>
    </row>
    <row r="640">
      <c r="A640" s="30" t="n">
        <v>46318.93333333333</v>
      </c>
      <c r="B640" s="30" t="n">
        <v>46318.95277777778</v>
      </c>
      <c r="C640" s="9" t="n">
        <v>46326</v>
      </c>
      <c r="D640" s="10" t="n">
        <v>0.96875</v>
      </c>
      <c r="E640" s="36" t="n">
        <v>1</v>
      </c>
      <c r="F640" s="36" t="n">
        <v>0</v>
      </c>
      <c r="G640" s="36" t="n">
        <v>1</v>
      </c>
      <c r="H640" s="36" t="n">
        <v>0</v>
      </c>
      <c r="I640" s="36" t="n">
        <v>0</v>
      </c>
      <c r="J640" s="36" t="n">
        <v>3</v>
      </c>
      <c r="K640" s="12" t="n">
        <v>36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0.9993055555555556</v>
      </c>
      <c r="E641" s="37" t="n">
        <v>1</v>
      </c>
      <c r="F641" s="37" t="n">
        <v>0</v>
      </c>
      <c r="G641" s="37" t="n">
        <v>0</v>
      </c>
      <c r="H641" s="37" t="n">
        <v>1</v>
      </c>
      <c r="I641" s="37" t="n">
        <v>0</v>
      </c>
      <c r="J641" s="37" t="n">
        <v>4</v>
      </c>
      <c r="K641" s="16" t="n">
        <v>48</v>
      </c>
    </row>
    <row r="642">
      <c r="A642" s="30" t="n">
        <v>46318.95277777778</v>
      </c>
      <c r="B642" s="30" t="n">
        <v>46318.97916666666</v>
      </c>
      <c r="C642" s="9" t="n">
        <v>46318</v>
      </c>
      <c r="D642" s="10" t="n">
        <v>0.9993055555555556</v>
      </c>
      <c r="E642" s="36" t="n">
        <v>1</v>
      </c>
      <c r="F642" s="36" t="n">
        <v>1</v>
      </c>
      <c r="G642" s="36" t="n">
        <v>0</v>
      </c>
      <c r="H642" s="36" t="n">
        <v>0</v>
      </c>
      <c r="I642" s="36" t="n">
        <v>0</v>
      </c>
      <c r="J642" s="36" t="n">
        <v>2</v>
      </c>
      <c r="K642" s="12" t="n">
        <v>24</v>
      </c>
    </row>
    <row r="643">
      <c r="A643" s="33" t="n">
        <v>46318.95277777778</v>
      </c>
      <c r="B643" s="33" t="n">
        <v>46318.97916666666</v>
      </c>
      <c r="C643" s="13" t="n">
        <v>46319</v>
      </c>
      <c r="D643" s="14" t="n">
        <v>0.9270833333333334</v>
      </c>
      <c r="E643" s="37" t="n">
        <v>1</v>
      </c>
      <c r="F643" s="37" t="n">
        <v>1</v>
      </c>
      <c r="G643" s="37" t="n">
        <v>0</v>
      </c>
      <c r="H643" s="37" t="n">
        <v>0</v>
      </c>
      <c r="I643" s="37" t="n">
        <v>0</v>
      </c>
      <c r="J643" s="37" t="n">
        <v>2</v>
      </c>
      <c r="K643" s="16" t="n">
        <v>24</v>
      </c>
    </row>
    <row r="644">
      <c r="A644" s="30" t="n">
        <v>46318.95277777778</v>
      </c>
      <c r="B644" s="30" t="n">
        <v>46318.97916666666</v>
      </c>
      <c r="C644" s="9" t="n">
        <v>46320</v>
      </c>
      <c r="D644" s="10" t="n">
        <v>0.8854166666666666</v>
      </c>
      <c r="E644" s="36" t="n">
        <v>1</v>
      </c>
      <c r="F644" s="36" t="n">
        <v>0</v>
      </c>
      <c r="G644" s="36" t="n">
        <v>0</v>
      </c>
      <c r="H644" s="36" t="n">
        <v>1</v>
      </c>
      <c r="I644" s="36" t="n">
        <v>0</v>
      </c>
      <c r="J644" s="36" t="n">
        <v>4</v>
      </c>
      <c r="K644" s="12" t="n">
        <v>48</v>
      </c>
    </row>
    <row r="645">
      <c r="A645" s="33" t="n">
        <v>46318.95277777778</v>
      </c>
      <c r="B645" s="33" t="n">
        <v>46318.97916666666</v>
      </c>
      <c r="C645" s="13" t="n">
        <v>46326</v>
      </c>
      <c r="D645" s="14" t="n">
        <v>0.96875</v>
      </c>
      <c r="E645" s="37" t="n">
        <v>1</v>
      </c>
      <c r="F645" s="37" t="n">
        <v>0</v>
      </c>
      <c r="G645" s="37" t="n">
        <v>0</v>
      </c>
      <c r="H645" s="37" t="n">
        <v>1</v>
      </c>
      <c r="I645" s="37" t="n">
        <v>0</v>
      </c>
      <c r="J645" s="37" t="n">
        <v>4</v>
      </c>
      <c r="K645" s="16" t="n">
        <v>48</v>
      </c>
    </row>
    <row r="646">
      <c r="A646" s="30" t="n">
        <v>46318.95277777778</v>
      </c>
      <c r="B646" s="30" t="n">
        <v>46318.97916666666</v>
      </c>
      <c r="C646" s="9" t="n">
        <v>46326</v>
      </c>
      <c r="D646" s="10" t="n">
        <v>0.9993055555555556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46318.97916666666</v>
      </c>
      <c r="B647" s="33" t="n">
        <v>46318.99722222222</v>
      </c>
      <c r="C647" s="13" t="n">
        <v>46319</v>
      </c>
      <c r="D647" s="14" t="n">
        <v>0.8854166666666666</v>
      </c>
      <c r="E647" s="37" t="n">
        <v>1</v>
      </c>
      <c r="F647" s="37" t="n">
        <v>0</v>
      </c>
      <c r="G647" s="37" t="n">
        <v>0</v>
      </c>
      <c r="H647" s="37" t="n">
        <v>0</v>
      </c>
      <c r="I647" s="37" t="n">
        <v>1</v>
      </c>
      <c r="J647" s="37" t="n">
        <v>5</v>
      </c>
      <c r="K647" s="16" t="n">
        <v>60</v>
      </c>
    </row>
    <row r="648">
      <c r="A648" s="30" t="n">
        <v>46318.99722222222</v>
      </c>
      <c r="B648" s="30" t="n">
        <v>46319.01805555556</v>
      </c>
      <c r="C648" s="9" t="n">
        <v>46320</v>
      </c>
      <c r="D648" s="10" t="n">
        <v>0.8854166666666666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46318.99722222222</v>
      </c>
      <c r="B649" s="33" t="n">
        <v>46319.01805555556</v>
      </c>
      <c r="C649" s="13" t="n">
        <v>46320</v>
      </c>
      <c r="D649" s="14" t="n">
        <v>0.96875</v>
      </c>
      <c r="E649" s="37" t="n">
        <v>1</v>
      </c>
      <c r="F649" s="37" t="n">
        <v>0</v>
      </c>
      <c r="G649" s="37" t="n">
        <v>0</v>
      </c>
      <c r="H649" s="37" t="n">
        <v>1</v>
      </c>
      <c r="I649" s="37" t="n">
        <v>0</v>
      </c>
      <c r="J649" s="37" t="n">
        <v>4</v>
      </c>
      <c r="K649" s="16" t="n">
        <v>48</v>
      </c>
    </row>
    <row r="650">
      <c r="A650" s="30" t="n">
        <v>46318.99722222222</v>
      </c>
      <c r="B650" s="30" t="n">
        <v>46319.01805555556</v>
      </c>
      <c r="C650" s="9" t="n">
        <v>46327</v>
      </c>
      <c r="D650" s="10" t="n">
        <v>0.8854166666666666</v>
      </c>
      <c r="E650" s="36" t="n">
        <v>1</v>
      </c>
      <c r="F650" s="36" t="n">
        <v>0</v>
      </c>
      <c r="G650" s="36" t="n">
        <v>0</v>
      </c>
      <c r="H650" s="36" t="n">
        <v>1</v>
      </c>
      <c r="I650" s="36" t="n">
        <v>0</v>
      </c>
      <c r="J650" s="36" t="n">
        <v>4</v>
      </c>
      <c r="K650" s="12" t="n">
        <v>48</v>
      </c>
    </row>
    <row r="651">
      <c r="A651" s="33" t="n">
        <v>46319.01805555556</v>
      </c>
      <c r="B651" s="33" t="n">
        <v>46319.03888888889</v>
      </c>
      <c r="C651" s="13" t="n">
        <v>46319</v>
      </c>
      <c r="D651" s="14" t="n">
        <v>0.9993055555555556</v>
      </c>
      <c r="E651" s="37" t="n">
        <v>4</v>
      </c>
      <c r="F651" s="37" t="n">
        <v>1</v>
      </c>
      <c r="G651" s="37" t="n">
        <v>0</v>
      </c>
      <c r="H651" s="37" t="n">
        <v>3</v>
      </c>
      <c r="I651" s="37" t="n">
        <v>0</v>
      </c>
      <c r="J651" s="37" t="n">
        <v>14</v>
      </c>
      <c r="K651" s="16" t="n">
        <v>168</v>
      </c>
    </row>
    <row r="652">
      <c r="A652" s="30" t="n">
        <v>46319.04652777778</v>
      </c>
      <c r="B652" s="30" t="n">
        <v>46319.05763888889</v>
      </c>
      <c r="C652" s="9" t="n">
        <v>46319</v>
      </c>
      <c r="D652" s="10" t="n">
        <v>0.8854166666666666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46319.05763888889</v>
      </c>
      <c r="B653" s="33" t="n">
        <v>46319.09791666667</v>
      </c>
      <c r="C653" s="13" t="n">
        <v>46320</v>
      </c>
      <c r="D653" s="14" t="n">
        <v>0.84375</v>
      </c>
      <c r="E653" s="37" t="n">
        <v>1</v>
      </c>
      <c r="F653" s="37" t="n">
        <v>1</v>
      </c>
      <c r="G653" s="37" t="n">
        <v>0</v>
      </c>
      <c r="H653" s="37" t="n">
        <v>0</v>
      </c>
      <c r="I653" s="37" t="n">
        <v>0</v>
      </c>
      <c r="J653" s="37" t="n">
        <v>2</v>
      </c>
      <c r="K653" s="16" t="n">
        <v>24</v>
      </c>
    </row>
    <row r="654">
      <c r="A654" s="30" t="n">
        <v>46319.10972222222</v>
      </c>
      <c r="B654" s="30" t="n">
        <v>46319.15069444444</v>
      </c>
      <c r="C654" s="9" t="n">
        <v>46320</v>
      </c>
      <c r="D654" s="10" t="n">
        <v>0.84375</v>
      </c>
      <c r="E654" s="36" t="n">
        <v>1</v>
      </c>
      <c r="F654" s="36" t="n">
        <v>1</v>
      </c>
      <c r="G654" s="36" t="n">
        <v>0</v>
      </c>
      <c r="H654" s="36" t="n">
        <v>0</v>
      </c>
      <c r="I654" s="36" t="n">
        <v>0</v>
      </c>
      <c r="J654" s="36" t="n">
        <v>2</v>
      </c>
      <c r="K654" s="12" t="n">
        <v>24</v>
      </c>
    </row>
    <row r="655">
      <c r="A655" s="33" t="n">
        <v>46319.15069444444</v>
      </c>
      <c r="B655" s="33" t="n">
        <v>46319.18888888889</v>
      </c>
      <c r="C655" s="13" t="n">
        <v>46326</v>
      </c>
      <c r="D655" s="14" t="n">
        <v>0.9270833333333334</v>
      </c>
      <c r="E655" s="37" t="n">
        <v>1</v>
      </c>
      <c r="F655" s="37" t="n">
        <v>1</v>
      </c>
      <c r="G655" s="37" t="n">
        <v>0</v>
      </c>
      <c r="H655" s="37" t="n">
        <v>0</v>
      </c>
      <c r="I655" s="37" t="n">
        <v>0</v>
      </c>
      <c r="J655" s="37" t="n">
        <v>2</v>
      </c>
      <c r="K655" s="16" t="n">
        <v>24</v>
      </c>
    </row>
    <row r="656">
      <c r="A656" s="30" t="n">
        <v>46319.35277777778</v>
      </c>
      <c r="B656" s="30" t="n">
        <v>46319.39027777778</v>
      </c>
      <c r="C656" s="9" t="n">
        <v>46320</v>
      </c>
      <c r="D656" s="10" t="n">
        <v>0.8854166666666666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46319.39722222222</v>
      </c>
      <c r="B657" s="33" t="n">
        <v>46319.43333333333</v>
      </c>
      <c r="C657" s="13" t="n">
        <v>46319</v>
      </c>
      <c r="D657" s="14" t="n">
        <v>0.9993055555555556</v>
      </c>
      <c r="E657" s="37" t="n">
        <v>2</v>
      </c>
      <c r="F657" s="37" t="n">
        <v>0</v>
      </c>
      <c r="G657" s="37" t="n">
        <v>0</v>
      </c>
      <c r="H657" s="37" t="n">
        <v>1</v>
      </c>
      <c r="I657" s="37" t="n">
        <v>1</v>
      </c>
      <c r="J657" s="37" t="n">
        <v>9</v>
      </c>
      <c r="K657" s="16" t="n">
        <v>108</v>
      </c>
    </row>
    <row r="658">
      <c r="A658" s="30" t="n">
        <v>46319.43333333333</v>
      </c>
      <c r="B658" s="30" t="n">
        <v>46319.475</v>
      </c>
      <c r="C658" s="9" t="n">
        <v>46320</v>
      </c>
      <c r="D658" s="10" t="n">
        <v>0.84375</v>
      </c>
      <c r="E658" s="36" t="n">
        <v>1</v>
      </c>
      <c r="F658" s="36" t="n">
        <v>0</v>
      </c>
      <c r="G658" s="36" t="n">
        <v>0</v>
      </c>
      <c r="H658" s="36" t="n">
        <v>1</v>
      </c>
      <c r="I658" s="36" t="n">
        <v>0</v>
      </c>
      <c r="J658" s="36" t="n">
        <v>4</v>
      </c>
      <c r="K658" s="12" t="n">
        <v>48</v>
      </c>
    </row>
    <row r="659">
      <c r="A659" s="33" t="n">
        <v>46319.43333333333</v>
      </c>
      <c r="B659" s="33" t="n">
        <v>46319.475</v>
      </c>
      <c r="C659" s="13" t="n">
        <v>46320</v>
      </c>
      <c r="D659" s="14" t="n">
        <v>0.96875</v>
      </c>
      <c r="E659" s="37" t="n">
        <v>1</v>
      </c>
      <c r="F659" s="37" t="n">
        <v>0</v>
      </c>
      <c r="G659" s="37" t="n">
        <v>1</v>
      </c>
      <c r="H659" s="37" t="n">
        <v>0</v>
      </c>
      <c r="I659" s="37" t="n">
        <v>0</v>
      </c>
      <c r="J659" s="37" t="n">
        <v>3</v>
      </c>
      <c r="K659" s="16" t="n">
        <v>36</v>
      </c>
    </row>
    <row r="660">
      <c r="A660" s="30" t="n">
        <v>46319.475</v>
      </c>
      <c r="B660" s="30" t="n">
        <v>46319.51597222222</v>
      </c>
      <c r="C660" s="9" t="n">
        <v>46319</v>
      </c>
      <c r="D660" s="10" t="n">
        <v>0.8854166666666666</v>
      </c>
      <c r="E660" s="36" t="n">
        <v>1</v>
      </c>
      <c r="F660" s="36" t="n">
        <v>0</v>
      </c>
      <c r="G660" s="36" t="n">
        <v>1</v>
      </c>
      <c r="H660" s="36" t="n">
        <v>0</v>
      </c>
      <c r="I660" s="36" t="n">
        <v>0</v>
      </c>
      <c r="J660" s="36" t="n">
        <v>3</v>
      </c>
      <c r="K660" s="12" t="n">
        <v>36</v>
      </c>
    </row>
    <row r="661">
      <c r="A661" s="33" t="n">
        <v>46319.475</v>
      </c>
      <c r="B661" s="33" t="n">
        <v>46319.51597222222</v>
      </c>
      <c r="C661" s="13" t="n">
        <v>46319</v>
      </c>
      <c r="D661" s="14" t="n">
        <v>0.9270833333333334</v>
      </c>
      <c r="E661" s="37" t="n">
        <v>1</v>
      </c>
      <c r="F661" s="37" t="n">
        <v>1</v>
      </c>
      <c r="G661" s="37" t="n">
        <v>0</v>
      </c>
      <c r="H661" s="37" t="n">
        <v>0</v>
      </c>
      <c r="I661" s="37" t="n">
        <v>0</v>
      </c>
      <c r="J661" s="37" t="n">
        <v>2</v>
      </c>
      <c r="K661" s="16" t="n">
        <v>24</v>
      </c>
    </row>
    <row r="662">
      <c r="A662" s="30" t="n">
        <v>46319.475</v>
      </c>
      <c r="B662" s="30" t="n">
        <v>46319.51597222222</v>
      </c>
      <c r="C662" s="9" t="n">
        <v>46319</v>
      </c>
      <c r="D662" s="10" t="n">
        <v>0.96875</v>
      </c>
      <c r="E662" s="36" t="n">
        <v>2</v>
      </c>
      <c r="F662" s="36" t="n">
        <v>1</v>
      </c>
      <c r="G662" s="36" t="n">
        <v>0</v>
      </c>
      <c r="H662" s="36" t="n">
        <v>0</v>
      </c>
      <c r="I662" s="36" t="n">
        <v>1</v>
      </c>
      <c r="J662" s="36" t="n">
        <v>7</v>
      </c>
      <c r="K662" s="12" t="n">
        <v>84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0.9993055555555556</v>
      </c>
      <c r="E663" s="37" t="n">
        <v>4</v>
      </c>
      <c r="F663" s="37" t="n">
        <v>1</v>
      </c>
      <c r="G663" s="37" t="n">
        <v>0</v>
      </c>
      <c r="H663" s="37" t="n">
        <v>1</v>
      </c>
      <c r="I663" s="37" t="n">
        <v>2</v>
      </c>
      <c r="J663" s="37" t="n">
        <v>16</v>
      </c>
      <c r="K663" s="16" t="n">
        <v>192</v>
      </c>
    </row>
    <row r="664">
      <c r="A664" s="30" t="n">
        <v>46319.475</v>
      </c>
      <c r="B664" s="30" t="n">
        <v>46319.51597222222</v>
      </c>
      <c r="C664" s="9" t="n">
        <v>46320</v>
      </c>
      <c r="D664" s="10" t="n">
        <v>0.84375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46324</v>
      </c>
      <c r="D665" s="14" t="n">
        <v>0.9270833333333334</v>
      </c>
      <c r="E665" s="37" t="n">
        <v>2</v>
      </c>
      <c r="F665" s="37" t="n">
        <v>1</v>
      </c>
      <c r="G665" s="37" t="n">
        <v>0</v>
      </c>
      <c r="H665" s="37" t="n">
        <v>1</v>
      </c>
      <c r="I665" s="37" t="n">
        <v>0</v>
      </c>
      <c r="J665" s="37" t="n">
        <v>6</v>
      </c>
      <c r="K665" s="16" t="n">
        <v>72</v>
      </c>
    </row>
    <row r="666">
      <c r="A666" s="30" t="n">
        <v>46319.475</v>
      </c>
      <c r="B666" s="30" t="n">
        <v>46319.51597222222</v>
      </c>
      <c r="C666" s="9" t="n">
        <v>46326</v>
      </c>
      <c r="D666" s="10" t="n">
        <v>0.96875</v>
      </c>
      <c r="E666" s="36" t="n">
        <v>1</v>
      </c>
      <c r="F666" s="36" t="n">
        <v>1</v>
      </c>
      <c r="G666" s="36" t="n">
        <v>0</v>
      </c>
      <c r="H666" s="36" t="n">
        <v>0</v>
      </c>
      <c r="I666" s="36" t="n">
        <v>0</v>
      </c>
      <c r="J666" s="36" t="n">
        <v>2</v>
      </c>
      <c r="K666" s="12" t="n">
        <v>24</v>
      </c>
    </row>
    <row r="667">
      <c r="A667" s="33" t="n">
        <v>46319.475</v>
      </c>
      <c r="B667" s="33" t="n">
        <v>46319.51597222222</v>
      </c>
      <c r="C667" s="13" t="n">
        <v>46327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46319.51597222222</v>
      </c>
      <c r="B668" s="30" t="n">
        <v>46319.53819444445</v>
      </c>
      <c r="C668" s="9" t="n">
        <v>46319</v>
      </c>
      <c r="D668" s="10" t="n">
        <v>0.84375</v>
      </c>
      <c r="E668" s="36" t="n">
        <v>1</v>
      </c>
      <c r="F668" s="36" t="n">
        <v>0</v>
      </c>
      <c r="G668" s="36" t="n">
        <v>1</v>
      </c>
      <c r="H668" s="36" t="n">
        <v>0</v>
      </c>
      <c r="I668" s="36" t="n">
        <v>0</v>
      </c>
      <c r="J668" s="36" t="n">
        <v>3</v>
      </c>
      <c r="K668" s="12" t="n">
        <v>36</v>
      </c>
    </row>
    <row r="669">
      <c r="A669" s="33" t="n">
        <v>46319.51597222222</v>
      </c>
      <c r="B669" s="33" t="n">
        <v>46319.53819444445</v>
      </c>
      <c r="C669" s="13" t="n">
        <v>46319</v>
      </c>
      <c r="D669" s="14" t="n">
        <v>0.9270833333333334</v>
      </c>
      <c r="E669" s="37" t="n">
        <v>1</v>
      </c>
      <c r="F669" s="37" t="n">
        <v>0</v>
      </c>
      <c r="G669" s="37" t="n">
        <v>1</v>
      </c>
      <c r="H669" s="37" t="n">
        <v>0</v>
      </c>
      <c r="I669" s="37" t="n">
        <v>0</v>
      </c>
      <c r="J669" s="37" t="n">
        <v>3</v>
      </c>
      <c r="K669" s="16" t="n">
        <v>36</v>
      </c>
    </row>
    <row r="670">
      <c r="A670" s="30" t="n">
        <v>46319.51597222222</v>
      </c>
      <c r="B670" s="30" t="n">
        <v>46319.53819444445</v>
      </c>
      <c r="C670" s="9" t="n">
        <v>46319</v>
      </c>
      <c r="D670" s="10" t="n">
        <v>0.96875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0.9993055555555556</v>
      </c>
      <c r="E671" s="37" t="n">
        <v>2</v>
      </c>
      <c r="F671" s="37" t="n">
        <v>1</v>
      </c>
      <c r="G671" s="37" t="n">
        <v>0</v>
      </c>
      <c r="H671" s="37" t="n">
        <v>1</v>
      </c>
      <c r="I671" s="37" t="n">
        <v>0</v>
      </c>
      <c r="J671" s="37" t="n">
        <v>6</v>
      </c>
      <c r="K671" s="16" t="n">
        <v>72</v>
      </c>
    </row>
    <row r="672">
      <c r="A672" s="30" t="n">
        <v>46319.53819444445</v>
      </c>
      <c r="B672" s="30" t="n">
        <v>46319.55555555555</v>
      </c>
      <c r="C672" s="9" t="n">
        <v>46319</v>
      </c>
      <c r="D672" s="10" t="n">
        <v>0.84375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46319.53819444445</v>
      </c>
      <c r="B673" s="33" t="n">
        <v>46319.55555555555</v>
      </c>
      <c r="C673" s="13" t="n">
        <v>46319</v>
      </c>
      <c r="D673" s="14" t="n">
        <v>0.9270833333333334</v>
      </c>
      <c r="E673" s="37" t="n">
        <v>2</v>
      </c>
      <c r="F673" s="37" t="n">
        <v>0</v>
      </c>
      <c r="G673" s="37" t="n">
        <v>1</v>
      </c>
      <c r="H673" s="37" t="n">
        <v>1</v>
      </c>
      <c r="I673" s="37" t="n">
        <v>0</v>
      </c>
      <c r="J673" s="37" t="n">
        <v>7</v>
      </c>
      <c r="K673" s="16" t="n">
        <v>84</v>
      </c>
    </row>
    <row r="674">
      <c r="A674" s="30" t="n">
        <v>46319.53819444445</v>
      </c>
      <c r="B674" s="30" t="n">
        <v>46319.55555555555</v>
      </c>
      <c r="C674" s="9" t="n">
        <v>46320</v>
      </c>
      <c r="D674" s="10" t="n">
        <v>0.8854166666666666</v>
      </c>
      <c r="E674" s="36" t="n">
        <v>1</v>
      </c>
      <c r="F674" s="36" t="n">
        <v>0</v>
      </c>
      <c r="G674" s="36" t="n">
        <v>1</v>
      </c>
      <c r="H674" s="36" t="n">
        <v>0</v>
      </c>
      <c r="I674" s="36" t="n">
        <v>0</v>
      </c>
      <c r="J674" s="36" t="n">
        <v>3</v>
      </c>
      <c r="K674" s="12" t="n">
        <v>36</v>
      </c>
    </row>
    <row r="675">
      <c r="A675" s="33" t="n">
        <v>46319.55694444444</v>
      </c>
      <c r="B675" s="33" t="n">
        <v>46319.58958333333</v>
      </c>
      <c r="C675" s="13" t="n">
        <v>46319</v>
      </c>
      <c r="D675" s="14" t="n">
        <v>0.9270833333333334</v>
      </c>
      <c r="E675" s="37" t="n">
        <v>2</v>
      </c>
      <c r="F675" s="37" t="n">
        <v>2</v>
      </c>
      <c r="G675" s="37" t="n">
        <v>0</v>
      </c>
      <c r="H675" s="37" t="n">
        <v>0</v>
      </c>
      <c r="I675" s="37" t="n">
        <v>0</v>
      </c>
      <c r="J675" s="37" t="n">
        <v>4</v>
      </c>
      <c r="K675" s="16" t="n">
        <v>48</v>
      </c>
    </row>
    <row r="676">
      <c r="A676" s="30" t="n">
        <v>46319.55694444444</v>
      </c>
      <c r="B676" s="30" t="n">
        <v>46319.58958333333</v>
      </c>
      <c r="C676" s="9" t="n">
        <v>46319</v>
      </c>
      <c r="D676" s="10" t="n">
        <v>0.96875</v>
      </c>
      <c r="E676" s="36" t="n">
        <v>6</v>
      </c>
      <c r="F676" s="36" t="n">
        <v>5</v>
      </c>
      <c r="G676" s="36" t="n">
        <v>0</v>
      </c>
      <c r="H676" s="36" t="n">
        <v>1</v>
      </c>
      <c r="I676" s="36" t="n">
        <v>0</v>
      </c>
      <c r="J676" s="36" t="n">
        <v>14</v>
      </c>
      <c r="K676" s="12" t="n">
        <v>168</v>
      </c>
    </row>
    <row r="677">
      <c r="A677" s="33" t="n">
        <v>46319.55694444444</v>
      </c>
      <c r="B677" s="33" t="n">
        <v>46319.58958333333</v>
      </c>
      <c r="C677" s="13" t="n">
        <v>46319</v>
      </c>
      <c r="D677" s="14" t="n">
        <v>0.9993055555555556</v>
      </c>
      <c r="E677" s="37" t="n">
        <v>1</v>
      </c>
      <c r="F677" s="37" t="n">
        <v>0</v>
      </c>
      <c r="G677" s="37" t="n">
        <v>0</v>
      </c>
      <c r="H677" s="37" t="n">
        <v>1</v>
      </c>
      <c r="I677" s="37" t="n">
        <v>0</v>
      </c>
      <c r="J677" s="37" t="n">
        <v>4</v>
      </c>
      <c r="K677" s="16" t="n">
        <v>48</v>
      </c>
    </row>
    <row r="678">
      <c r="A678" s="30" t="n">
        <v>46319.55694444444</v>
      </c>
      <c r="B678" s="30" t="n">
        <v>46319.58958333333</v>
      </c>
      <c r="C678" s="9" t="n">
        <v>46320</v>
      </c>
      <c r="D678" s="10" t="n">
        <v>0.8854166666666666</v>
      </c>
      <c r="E678" s="36" t="n">
        <v>2</v>
      </c>
      <c r="F678" s="36" t="n">
        <v>1</v>
      </c>
      <c r="G678" s="36" t="n">
        <v>0</v>
      </c>
      <c r="H678" s="36" t="n">
        <v>1</v>
      </c>
      <c r="I678" s="36" t="n">
        <v>0</v>
      </c>
      <c r="J678" s="36" t="n">
        <v>6</v>
      </c>
      <c r="K678" s="12" t="n">
        <v>72</v>
      </c>
    </row>
    <row r="679">
      <c r="A679" s="33" t="n">
        <v>46319.55694444444</v>
      </c>
      <c r="B679" s="33" t="n">
        <v>46319.58958333333</v>
      </c>
      <c r="C679" s="13" t="n">
        <v>46325</v>
      </c>
      <c r="D679" s="14" t="n">
        <v>0.9270833333333334</v>
      </c>
      <c r="E679" s="37" t="n">
        <v>1</v>
      </c>
      <c r="F679" s="37" t="n">
        <v>0</v>
      </c>
      <c r="G679" s="37" t="n">
        <v>0</v>
      </c>
      <c r="H679" s="37" t="n">
        <v>0</v>
      </c>
      <c r="I679" s="37" t="n">
        <v>1</v>
      </c>
      <c r="J679" s="37" t="n">
        <v>5</v>
      </c>
      <c r="K679" s="16" t="n">
        <v>60</v>
      </c>
    </row>
    <row r="680">
      <c r="A680" s="30" t="n">
        <v>46319.55694444444</v>
      </c>
      <c r="B680" s="30" t="n">
        <v>46319.58958333333</v>
      </c>
      <c r="C680" s="9" t="n">
        <v>46325</v>
      </c>
      <c r="D680" s="10" t="n">
        <v>0.96875</v>
      </c>
      <c r="E680" s="36" t="n">
        <v>1</v>
      </c>
      <c r="F680" s="36" t="n">
        <v>1</v>
      </c>
      <c r="G680" s="36" t="n">
        <v>0</v>
      </c>
      <c r="H680" s="36" t="n">
        <v>0</v>
      </c>
      <c r="I680" s="36" t="n">
        <v>0</v>
      </c>
      <c r="J680" s="36" t="n">
        <v>2</v>
      </c>
      <c r="K680" s="12" t="n">
        <v>24</v>
      </c>
    </row>
    <row r="681">
      <c r="A681" s="33" t="n">
        <v>46319.55694444444</v>
      </c>
      <c r="B681" s="33" t="n">
        <v>46319.58958333333</v>
      </c>
      <c r="C681" s="13" t="n">
        <v>46326</v>
      </c>
      <c r="D681" s="14" t="n">
        <v>0.9993055555555556</v>
      </c>
      <c r="E681" s="37" t="n">
        <v>2</v>
      </c>
      <c r="F681" s="37" t="n">
        <v>2</v>
      </c>
      <c r="G681" s="37" t="n">
        <v>0</v>
      </c>
      <c r="H681" s="37" t="n">
        <v>0</v>
      </c>
      <c r="I681" s="37" t="n">
        <v>0</v>
      </c>
      <c r="J681" s="37" t="n">
        <v>4</v>
      </c>
      <c r="K681" s="16" t="n">
        <v>48</v>
      </c>
    </row>
    <row r="682">
      <c r="A682" s="30" t="n">
        <v>46319.58958333333</v>
      </c>
      <c r="B682" s="30" t="n">
        <v>46319.6</v>
      </c>
      <c r="C682" s="9" t="n">
        <v>46319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1</v>
      </c>
      <c r="I682" s="36" t="n">
        <v>0</v>
      </c>
      <c r="J682" s="36" t="n">
        <v>4</v>
      </c>
      <c r="K682" s="12" t="n">
        <v>48</v>
      </c>
    </row>
    <row r="683">
      <c r="A683" s="33" t="n">
        <v>46319.58958333333</v>
      </c>
      <c r="B683" s="33" t="n">
        <v>46319.6</v>
      </c>
      <c r="C683" s="13" t="n">
        <v>46319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46319.58958333333</v>
      </c>
      <c r="B684" s="30" t="n">
        <v>46319.6</v>
      </c>
      <c r="C684" s="9" t="n">
        <v>46325</v>
      </c>
      <c r="D684" s="10" t="n">
        <v>0.9270833333333334</v>
      </c>
      <c r="E684" s="36" t="n">
        <v>1</v>
      </c>
      <c r="F684" s="36" t="n">
        <v>0</v>
      </c>
      <c r="G684" s="36" t="n">
        <v>0</v>
      </c>
      <c r="H684" s="36" t="n">
        <v>0</v>
      </c>
      <c r="I684" s="36" t="n">
        <v>1</v>
      </c>
      <c r="J684" s="36" t="n">
        <v>5</v>
      </c>
      <c r="K684" s="12" t="n">
        <v>60</v>
      </c>
    </row>
    <row r="685">
      <c r="A685" s="33" t="n">
        <v>46319.6</v>
      </c>
      <c r="B685" s="33" t="n">
        <v>46319.60208333333</v>
      </c>
      <c r="C685" s="13" t="n">
        <v>46319</v>
      </c>
      <c r="D685" s="14" t="n">
        <v>0.8854166666666666</v>
      </c>
      <c r="E685" s="37" t="n">
        <v>1</v>
      </c>
      <c r="F685" s="37" t="n">
        <v>1</v>
      </c>
      <c r="G685" s="37" t="n">
        <v>0</v>
      </c>
      <c r="H685" s="37" t="n">
        <v>0</v>
      </c>
      <c r="I685" s="37" t="n">
        <v>0</v>
      </c>
      <c r="J685" s="37" t="n">
        <v>2</v>
      </c>
      <c r="K685" s="16" t="n">
        <v>24</v>
      </c>
    </row>
    <row r="686">
      <c r="A686" s="30" t="n">
        <v>46319.60208333333</v>
      </c>
      <c r="B686" s="30" t="n">
        <v>46319.62708333333</v>
      </c>
      <c r="C686" s="9" t="n">
        <v>46319</v>
      </c>
      <c r="D686" s="10" t="n">
        <v>0.9270833333333334</v>
      </c>
      <c r="E686" s="36" t="n">
        <v>4</v>
      </c>
      <c r="F686" s="36" t="n">
        <v>4</v>
      </c>
      <c r="G686" s="36" t="n">
        <v>0</v>
      </c>
      <c r="H686" s="36" t="n">
        <v>0</v>
      </c>
      <c r="I686" s="36" t="n">
        <v>0</v>
      </c>
      <c r="J686" s="36" t="n">
        <v>8</v>
      </c>
      <c r="K686" s="12" t="n">
        <v>96</v>
      </c>
    </row>
    <row r="687">
      <c r="A687" s="33" t="n">
        <v>46319.60208333333</v>
      </c>
      <c r="B687" s="33" t="n">
        <v>46319.62708333333</v>
      </c>
      <c r="C687" s="13" t="n">
        <v>46319</v>
      </c>
      <c r="D687" s="14" t="n">
        <v>0.96875</v>
      </c>
      <c r="E687" s="37" t="n">
        <v>6</v>
      </c>
      <c r="F687" s="37" t="n">
        <v>1</v>
      </c>
      <c r="G687" s="37" t="n">
        <v>2</v>
      </c>
      <c r="H687" s="37" t="n">
        <v>2</v>
      </c>
      <c r="I687" s="37" t="n">
        <v>1</v>
      </c>
      <c r="J687" s="37" t="n">
        <v>21</v>
      </c>
      <c r="K687" s="16" t="n">
        <v>252</v>
      </c>
    </row>
    <row r="688">
      <c r="A688" s="30" t="n">
        <v>46319.60208333333</v>
      </c>
      <c r="B688" s="30" t="n">
        <v>46319.62708333333</v>
      </c>
      <c r="C688" s="9" t="n">
        <v>46319</v>
      </c>
      <c r="D688" s="10" t="n">
        <v>0.9993055555555556</v>
      </c>
      <c r="E688" s="36" t="n">
        <v>2</v>
      </c>
      <c r="F688" s="36" t="n">
        <v>0</v>
      </c>
      <c r="G688" s="36" t="n">
        <v>2</v>
      </c>
      <c r="H688" s="36" t="n">
        <v>0</v>
      </c>
      <c r="I688" s="36" t="n">
        <v>0</v>
      </c>
      <c r="J688" s="36" t="n">
        <v>6</v>
      </c>
      <c r="K688" s="12" t="n">
        <v>72</v>
      </c>
    </row>
    <row r="689">
      <c r="A689" s="33" t="n">
        <v>46319.60208333333</v>
      </c>
      <c r="B689" s="33" t="n">
        <v>46319.62708333333</v>
      </c>
      <c r="C689" s="13" t="n">
        <v>46320</v>
      </c>
      <c r="D689" s="14" t="n">
        <v>0.8854166666666666</v>
      </c>
      <c r="E689" s="37" t="n">
        <v>1</v>
      </c>
      <c r="F689" s="37" t="n">
        <v>0</v>
      </c>
      <c r="G689" s="37" t="n">
        <v>0</v>
      </c>
      <c r="H689" s="37" t="n">
        <v>1</v>
      </c>
      <c r="I689" s="37" t="n">
        <v>0</v>
      </c>
      <c r="J689" s="37" t="n">
        <v>4</v>
      </c>
      <c r="K689" s="16" t="n">
        <v>48</v>
      </c>
    </row>
    <row r="690">
      <c r="A690" s="30" t="n">
        <v>46319.60208333333</v>
      </c>
      <c r="B690" s="30" t="n">
        <v>46319.62708333333</v>
      </c>
      <c r="C690" s="9" t="n">
        <v>46320</v>
      </c>
      <c r="D690" s="10" t="n">
        <v>0.9270833333333334</v>
      </c>
      <c r="E690" s="36" t="n">
        <v>1</v>
      </c>
      <c r="F690" s="36" t="n">
        <v>1</v>
      </c>
      <c r="G690" s="36" t="n">
        <v>0</v>
      </c>
      <c r="H690" s="36" t="n">
        <v>0</v>
      </c>
      <c r="I690" s="36" t="n">
        <v>0</v>
      </c>
      <c r="J690" s="36" t="n">
        <v>2</v>
      </c>
      <c r="K690" s="12" t="n">
        <v>24</v>
      </c>
    </row>
    <row r="691">
      <c r="A691" s="33" t="n">
        <v>46319.60208333333</v>
      </c>
      <c r="B691" s="33" t="n">
        <v>46319.62708333333</v>
      </c>
      <c r="C691" s="13" t="n">
        <v>46324</v>
      </c>
      <c r="D691" s="14" t="n">
        <v>0.8854166666666666</v>
      </c>
      <c r="E691" s="37" t="n">
        <v>1</v>
      </c>
      <c r="F691" s="37" t="n">
        <v>0</v>
      </c>
      <c r="G691" s="37" t="n">
        <v>1</v>
      </c>
      <c r="H691" s="37" t="n">
        <v>0</v>
      </c>
      <c r="I691" s="37" t="n">
        <v>0</v>
      </c>
      <c r="J691" s="37" t="n">
        <v>3</v>
      </c>
      <c r="K691" s="16" t="n">
        <v>36</v>
      </c>
    </row>
    <row r="692">
      <c r="A692" s="30" t="n">
        <v>46319.62708333333</v>
      </c>
      <c r="B692" s="30" t="n">
        <v>46319.64444444444</v>
      </c>
      <c r="C692" s="9" t="n">
        <v>46319</v>
      </c>
      <c r="D692" s="10" t="n">
        <v>0.8854166666666666</v>
      </c>
      <c r="E692" s="36" t="n">
        <v>3</v>
      </c>
      <c r="F692" s="36" t="n">
        <v>1</v>
      </c>
      <c r="G692" s="36" t="n">
        <v>0</v>
      </c>
      <c r="H692" s="36" t="n">
        <v>2</v>
      </c>
      <c r="I692" s="36" t="n">
        <v>0</v>
      </c>
      <c r="J692" s="36" t="n">
        <v>10</v>
      </c>
      <c r="K692" s="12" t="n">
        <v>120</v>
      </c>
    </row>
    <row r="693">
      <c r="A693" s="33" t="n">
        <v>46319.62708333333</v>
      </c>
      <c r="B693" s="33" t="n">
        <v>46319.64444444444</v>
      </c>
      <c r="C693" s="13" t="n">
        <v>46319</v>
      </c>
      <c r="D693" s="14" t="n">
        <v>0.96875</v>
      </c>
      <c r="E693" s="37" t="n">
        <v>1</v>
      </c>
      <c r="F693" s="37" t="n">
        <v>0</v>
      </c>
      <c r="G693" s="37" t="n">
        <v>0</v>
      </c>
      <c r="H693" s="37" t="n">
        <v>0</v>
      </c>
      <c r="I693" s="37" t="n">
        <v>1</v>
      </c>
      <c r="J693" s="37" t="n">
        <v>5</v>
      </c>
      <c r="K693" s="16" t="n">
        <v>60</v>
      </c>
    </row>
    <row r="694">
      <c r="A694" s="30" t="n">
        <v>46319.62708333333</v>
      </c>
      <c r="B694" s="30" t="n">
        <v>46319.64444444444</v>
      </c>
      <c r="C694" s="9" t="n">
        <v>46319</v>
      </c>
      <c r="D694" s="10" t="n">
        <v>0.9993055555555556</v>
      </c>
      <c r="E694" s="36" t="n">
        <v>3</v>
      </c>
      <c r="F694" s="36" t="n">
        <v>0</v>
      </c>
      <c r="G694" s="36" t="n">
        <v>1</v>
      </c>
      <c r="H694" s="36" t="n">
        <v>2</v>
      </c>
      <c r="I694" s="36" t="n">
        <v>0</v>
      </c>
      <c r="J694" s="36" t="n">
        <v>11</v>
      </c>
      <c r="K694" s="12" t="n">
        <v>132</v>
      </c>
    </row>
    <row r="695">
      <c r="A695" s="33" t="n">
        <v>46319.62708333333</v>
      </c>
      <c r="B695" s="33" t="n">
        <v>46319.64444444444</v>
      </c>
      <c r="C695" s="13" t="n">
        <v>46320</v>
      </c>
      <c r="D695" s="14" t="n">
        <v>0.84375</v>
      </c>
      <c r="E695" s="37" t="n">
        <v>1</v>
      </c>
      <c r="F695" s="37" t="n">
        <v>0</v>
      </c>
      <c r="G695" s="37" t="n">
        <v>0</v>
      </c>
      <c r="H695" s="37" t="n">
        <v>1</v>
      </c>
      <c r="I695" s="37" t="n">
        <v>0</v>
      </c>
      <c r="J695" s="37" t="n">
        <v>4</v>
      </c>
      <c r="K695" s="16" t="n">
        <v>48</v>
      </c>
    </row>
    <row r="696">
      <c r="A696" s="30" t="n">
        <v>46319.62708333333</v>
      </c>
      <c r="B696" s="30" t="n">
        <v>46319.64444444444</v>
      </c>
      <c r="C696" s="9" t="n">
        <v>46324</v>
      </c>
      <c r="D696" s="10" t="n">
        <v>0.96875</v>
      </c>
      <c r="E696" s="36" t="n">
        <v>1</v>
      </c>
      <c r="F696" s="36" t="n">
        <v>1</v>
      </c>
      <c r="G696" s="36" t="n">
        <v>0</v>
      </c>
      <c r="H696" s="36" t="n">
        <v>0</v>
      </c>
      <c r="I696" s="36" t="n">
        <v>0</v>
      </c>
      <c r="J696" s="36" t="n">
        <v>2</v>
      </c>
      <c r="K696" s="12" t="n">
        <v>24</v>
      </c>
    </row>
    <row r="697">
      <c r="A697" s="33" t="n">
        <v>46319.64444444444</v>
      </c>
      <c r="B697" s="33" t="n">
        <v>46319.66458333333</v>
      </c>
      <c r="C697" s="13" t="n">
        <v>46319</v>
      </c>
      <c r="D697" s="14" t="n">
        <v>0.8854166666666666</v>
      </c>
      <c r="E697" s="37" t="n">
        <v>1</v>
      </c>
      <c r="F697" s="37" t="n">
        <v>1</v>
      </c>
      <c r="G697" s="37" t="n">
        <v>0</v>
      </c>
      <c r="H697" s="37" t="n">
        <v>0</v>
      </c>
      <c r="I697" s="37" t="n">
        <v>0</v>
      </c>
      <c r="J697" s="37" t="n">
        <v>2</v>
      </c>
      <c r="K697" s="16" t="n">
        <v>24</v>
      </c>
    </row>
    <row r="698">
      <c r="A698" s="30" t="n">
        <v>46319.64444444444</v>
      </c>
      <c r="B698" s="30" t="n">
        <v>46319.66458333333</v>
      </c>
      <c r="C698" s="9" t="n">
        <v>46319</v>
      </c>
      <c r="D698" s="10" t="n">
        <v>0.9270833333333334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46319.64444444444</v>
      </c>
      <c r="B699" s="33" t="n">
        <v>46319.66458333333</v>
      </c>
      <c r="C699" s="13" t="n">
        <v>46319</v>
      </c>
      <c r="D699" s="14" t="n">
        <v>0.96875</v>
      </c>
      <c r="E699" s="37" t="n">
        <v>2</v>
      </c>
      <c r="F699" s="37" t="n">
        <v>0</v>
      </c>
      <c r="G699" s="37" t="n">
        <v>0</v>
      </c>
      <c r="H699" s="37" t="n">
        <v>2</v>
      </c>
      <c r="I699" s="37" t="n">
        <v>0</v>
      </c>
      <c r="J699" s="37" t="n">
        <v>8</v>
      </c>
      <c r="K699" s="16" t="n">
        <v>96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0.9993055555555556</v>
      </c>
      <c r="E700" s="36" t="n">
        <v>3</v>
      </c>
      <c r="F700" s="36" t="n">
        <v>2</v>
      </c>
      <c r="G700" s="36" t="n">
        <v>0</v>
      </c>
      <c r="H700" s="36" t="n">
        <v>0</v>
      </c>
      <c r="I700" s="36" t="n">
        <v>1</v>
      </c>
      <c r="J700" s="36" t="n">
        <v>9</v>
      </c>
      <c r="K700" s="12" t="n">
        <v>108</v>
      </c>
    </row>
    <row r="701">
      <c r="A701" s="33" t="n">
        <v>46319.64444444444</v>
      </c>
      <c r="B701" s="33" t="n">
        <v>46319.66458333333</v>
      </c>
      <c r="C701" s="13" t="n">
        <v>46320</v>
      </c>
      <c r="D701" s="14" t="n">
        <v>0.8854166666666666</v>
      </c>
      <c r="E701" s="37" t="n">
        <v>1</v>
      </c>
      <c r="F701" s="37" t="n">
        <v>0</v>
      </c>
      <c r="G701" s="37" t="n">
        <v>0</v>
      </c>
      <c r="H701" s="37" t="n">
        <v>0</v>
      </c>
      <c r="I701" s="37" t="n">
        <v>1</v>
      </c>
      <c r="J701" s="37" t="n">
        <v>5</v>
      </c>
      <c r="K701" s="16" t="n">
        <v>60</v>
      </c>
    </row>
    <row r="702">
      <c r="A702" s="30" t="n">
        <v>46319.64444444444</v>
      </c>
      <c r="B702" s="30" t="n">
        <v>46319.66458333333</v>
      </c>
      <c r="C702" s="9" t="n">
        <v>46320</v>
      </c>
      <c r="D702" s="10" t="n">
        <v>0.9270833333333334</v>
      </c>
      <c r="E702" s="36" t="n">
        <v>1</v>
      </c>
      <c r="F702" s="36" t="n">
        <v>1</v>
      </c>
      <c r="G702" s="36" t="n">
        <v>0</v>
      </c>
      <c r="H702" s="36" t="n">
        <v>0</v>
      </c>
      <c r="I702" s="36" t="n">
        <v>0</v>
      </c>
      <c r="J702" s="36" t="n">
        <v>2</v>
      </c>
      <c r="K702" s="12" t="n">
        <v>24</v>
      </c>
    </row>
    <row r="703">
      <c r="A703" s="33" t="n">
        <v>46319.64444444444</v>
      </c>
      <c r="B703" s="33" t="n">
        <v>46319.66458333333</v>
      </c>
      <c r="C703" s="13" t="n">
        <v>46325</v>
      </c>
      <c r="D703" s="14" t="n">
        <v>0.9993055555555556</v>
      </c>
      <c r="E703" s="37" t="n">
        <v>1</v>
      </c>
      <c r="F703" s="37" t="n">
        <v>1</v>
      </c>
      <c r="G703" s="37" t="n">
        <v>0</v>
      </c>
      <c r="H703" s="37" t="n">
        <v>0</v>
      </c>
      <c r="I703" s="37" t="n">
        <v>0</v>
      </c>
      <c r="J703" s="37" t="n">
        <v>2</v>
      </c>
      <c r="K703" s="16" t="n">
        <v>24</v>
      </c>
    </row>
    <row r="704">
      <c r="A704" s="30" t="n">
        <v>46319.64444444444</v>
      </c>
      <c r="B704" s="30" t="n">
        <v>46319.66458333333</v>
      </c>
      <c r="C704" s="9" t="n">
        <v>46326</v>
      </c>
      <c r="D704" s="10" t="n">
        <v>0.9270833333333334</v>
      </c>
      <c r="E704" s="36" t="n">
        <v>1</v>
      </c>
      <c r="F704" s="36" t="n">
        <v>0</v>
      </c>
      <c r="G704" s="36" t="n">
        <v>0</v>
      </c>
      <c r="H704" s="36" t="n">
        <v>1</v>
      </c>
      <c r="I704" s="36" t="n">
        <v>0</v>
      </c>
      <c r="J704" s="36" t="n">
        <v>4</v>
      </c>
      <c r="K704" s="12" t="n">
        <v>48</v>
      </c>
    </row>
    <row r="705">
      <c r="A705" s="33" t="n">
        <v>46319.66458333333</v>
      </c>
      <c r="B705" s="33" t="n">
        <v>46319.67291666667</v>
      </c>
      <c r="C705" s="13" t="n">
        <v>46319</v>
      </c>
      <c r="D705" s="14" t="n">
        <v>0.9270833333333334</v>
      </c>
      <c r="E705" s="37" t="n">
        <v>6</v>
      </c>
      <c r="F705" s="37" t="n">
        <v>0</v>
      </c>
      <c r="G705" s="37" t="n">
        <v>2</v>
      </c>
      <c r="H705" s="37" t="n">
        <v>1</v>
      </c>
      <c r="I705" s="37" t="n">
        <v>3</v>
      </c>
      <c r="J705" s="37" t="n">
        <v>25</v>
      </c>
      <c r="K705" s="16" t="n">
        <v>300</v>
      </c>
    </row>
    <row r="706">
      <c r="A706" s="30" t="n">
        <v>46319.66458333333</v>
      </c>
      <c r="B706" s="30" t="n">
        <v>46319.67291666667</v>
      </c>
      <c r="C706" s="9" t="n">
        <v>46319</v>
      </c>
      <c r="D706" s="10" t="n">
        <v>0.96875</v>
      </c>
      <c r="E706" s="36" t="n">
        <v>1</v>
      </c>
      <c r="F706" s="36" t="n">
        <v>0</v>
      </c>
      <c r="G706" s="36" t="n">
        <v>0</v>
      </c>
      <c r="H706" s="36" t="n">
        <v>1</v>
      </c>
      <c r="I706" s="36" t="n">
        <v>0</v>
      </c>
      <c r="J706" s="36" t="n">
        <v>4</v>
      </c>
      <c r="K706" s="12" t="n">
        <v>48</v>
      </c>
    </row>
    <row r="707">
      <c r="A707" s="33" t="n">
        <v>46319.66458333333</v>
      </c>
      <c r="B707" s="33" t="n">
        <v>46319.67291666667</v>
      </c>
      <c r="C707" s="13" t="n">
        <v>46320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46319.67291666667</v>
      </c>
      <c r="B708" s="30" t="n">
        <v>46319.68263888889</v>
      </c>
      <c r="C708" s="9" t="n">
        <v>46319</v>
      </c>
      <c r="D708" s="10" t="n">
        <v>0.9270833333333334</v>
      </c>
      <c r="E708" s="36" t="n">
        <v>1</v>
      </c>
      <c r="F708" s="36" t="n">
        <v>1</v>
      </c>
      <c r="G708" s="36" t="n">
        <v>0</v>
      </c>
      <c r="H708" s="36" t="n">
        <v>0</v>
      </c>
      <c r="I708" s="36" t="n">
        <v>0</v>
      </c>
      <c r="J708" s="36" t="n">
        <v>2</v>
      </c>
      <c r="K708" s="12" t="n">
        <v>24</v>
      </c>
    </row>
    <row r="709">
      <c r="A709" s="33" t="n">
        <v>46319.67291666667</v>
      </c>
      <c r="B709" s="33" t="n">
        <v>46319.68263888889</v>
      </c>
      <c r="C709" s="13" t="n">
        <v>46319</v>
      </c>
      <c r="D709" s="14" t="n">
        <v>0.96875</v>
      </c>
      <c r="E709" s="37" t="n">
        <v>3</v>
      </c>
      <c r="F709" s="37" t="n">
        <v>2</v>
      </c>
      <c r="G709" s="37" t="n">
        <v>0</v>
      </c>
      <c r="H709" s="37" t="n">
        <v>1</v>
      </c>
      <c r="I709" s="37" t="n">
        <v>0</v>
      </c>
      <c r="J709" s="37" t="n">
        <v>8</v>
      </c>
      <c r="K709" s="16" t="n">
        <v>96</v>
      </c>
    </row>
    <row r="710">
      <c r="A710" s="30" t="n">
        <v>46319.68263888889</v>
      </c>
      <c r="B710" s="30" t="n">
        <v>46319.72430555556</v>
      </c>
      <c r="C710" s="9" t="n">
        <v>46319</v>
      </c>
      <c r="D710" s="10" t="n">
        <v>0.8854166666666666</v>
      </c>
      <c r="E710" s="36" t="n">
        <v>1</v>
      </c>
      <c r="F710" s="36" t="n">
        <v>0</v>
      </c>
      <c r="G710" s="36" t="n">
        <v>0</v>
      </c>
      <c r="H710" s="36" t="n">
        <v>0</v>
      </c>
      <c r="I710" s="36" t="n">
        <v>1</v>
      </c>
      <c r="J710" s="36" t="n">
        <v>5</v>
      </c>
      <c r="K710" s="12" t="n">
        <v>60</v>
      </c>
    </row>
    <row r="711">
      <c r="A711" s="33" t="n">
        <v>46319.68263888889</v>
      </c>
      <c r="B711" s="33" t="n">
        <v>46319.72430555556</v>
      </c>
      <c r="C711" s="13" t="n">
        <v>46319</v>
      </c>
      <c r="D711" s="14" t="n">
        <v>0.9270833333333334</v>
      </c>
      <c r="E711" s="37" t="n">
        <v>5</v>
      </c>
      <c r="F711" s="37" t="n">
        <v>1</v>
      </c>
      <c r="G711" s="37" t="n">
        <v>1</v>
      </c>
      <c r="H711" s="37" t="n">
        <v>3</v>
      </c>
      <c r="I711" s="37" t="n">
        <v>0</v>
      </c>
      <c r="J711" s="37" t="n">
        <v>17</v>
      </c>
      <c r="K711" s="16" t="n">
        <v>204</v>
      </c>
    </row>
    <row r="712">
      <c r="A712" s="30" t="n">
        <v>46319.68263888889</v>
      </c>
      <c r="B712" s="30" t="n">
        <v>46319.72430555556</v>
      </c>
      <c r="C712" s="9" t="n">
        <v>46319</v>
      </c>
      <c r="D712" s="10" t="n">
        <v>0.96875</v>
      </c>
      <c r="E712" s="36" t="n">
        <v>4</v>
      </c>
      <c r="F712" s="36" t="n">
        <v>1</v>
      </c>
      <c r="G712" s="36" t="n">
        <v>0</v>
      </c>
      <c r="H712" s="36" t="n">
        <v>1</v>
      </c>
      <c r="I712" s="36" t="n">
        <v>2</v>
      </c>
      <c r="J712" s="36" t="n">
        <v>16</v>
      </c>
      <c r="K712" s="12" t="n">
        <v>192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0.9993055555555556</v>
      </c>
      <c r="E713" s="37" t="n">
        <v>5</v>
      </c>
      <c r="F713" s="37" t="n">
        <v>1</v>
      </c>
      <c r="G713" s="37" t="n">
        <v>1</v>
      </c>
      <c r="H713" s="37" t="n">
        <v>3</v>
      </c>
      <c r="I713" s="37" t="n">
        <v>0</v>
      </c>
      <c r="J713" s="37" t="n">
        <v>17</v>
      </c>
      <c r="K713" s="16" t="n">
        <v>204</v>
      </c>
    </row>
    <row r="714">
      <c r="A714" s="30" t="n">
        <v>46319.68263888889</v>
      </c>
      <c r="B714" s="30" t="n">
        <v>46319.72430555556</v>
      </c>
      <c r="C714" s="9" t="n">
        <v>46320</v>
      </c>
      <c r="D714" s="10" t="n">
        <v>0.84375</v>
      </c>
      <c r="E714" s="36" t="n">
        <v>2</v>
      </c>
      <c r="F714" s="36" t="n">
        <v>2</v>
      </c>
      <c r="G714" s="36" t="n">
        <v>0</v>
      </c>
      <c r="H714" s="36" t="n">
        <v>0</v>
      </c>
      <c r="I714" s="36" t="n">
        <v>0</v>
      </c>
      <c r="J714" s="36" t="n">
        <v>4</v>
      </c>
      <c r="K714" s="12" t="n">
        <v>48</v>
      </c>
    </row>
    <row r="715">
      <c r="A715" s="33" t="n">
        <v>46319.68263888889</v>
      </c>
      <c r="B715" s="33" t="n">
        <v>46319.72430555556</v>
      </c>
      <c r="C715" s="13" t="n">
        <v>46320</v>
      </c>
      <c r="D715" s="14" t="n">
        <v>0.9270833333333334</v>
      </c>
      <c r="E715" s="37" t="n">
        <v>4</v>
      </c>
      <c r="F715" s="37" t="n">
        <v>2</v>
      </c>
      <c r="G715" s="37" t="n">
        <v>0</v>
      </c>
      <c r="H715" s="37" t="n">
        <v>2</v>
      </c>
      <c r="I715" s="37" t="n">
        <v>0</v>
      </c>
      <c r="J715" s="37" t="n">
        <v>12</v>
      </c>
      <c r="K715" s="16" t="n">
        <v>144</v>
      </c>
    </row>
    <row r="716">
      <c r="A716" s="30" t="n">
        <v>46319.68263888889</v>
      </c>
      <c r="B716" s="30" t="n">
        <v>46319.72430555556</v>
      </c>
      <c r="C716" s="9" t="n">
        <v>46320</v>
      </c>
      <c r="D716" s="10" t="n">
        <v>0.96875</v>
      </c>
      <c r="E716" s="36" t="n">
        <v>2</v>
      </c>
      <c r="F716" s="36" t="n">
        <v>0</v>
      </c>
      <c r="G716" s="36" t="n">
        <v>0</v>
      </c>
      <c r="H716" s="36" t="n">
        <v>2</v>
      </c>
      <c r="I716" s="36" t="n">
        <v>0</v>
      </c>
      <c r="J716" s="36" t="n">
        <v>8</v>
      </c>
      <c r="K716" s="12" t="n">
        <v>96</v>
      </c>
    </row>
    <row r="717">
      <c r="A717" s="33" t="n">
        <v>46319.68263888889</v>
      </c>
      <c r="B717" s="33" t="n">
        <v>46319.72430555556</v>
      </c>
      <c r="C717" s="13" t="n">
        <v>46324</v>
      </c>
      <c r="D717" s="14" t="n">
        <v>0.96875</v>
      </c>
      <c r="E717" s="37" t="n">
        <v>1</v>
      </c>
      <c r="F717" s="37" t="n">
        <v>1</v>
      </c>
      <c r="G717" s="37" t="n">
        <v>0</v>
      </c>
      <c r="H717" s="37" t="n">
        <v>0</v>
      </c>
      <c r="I717" s="37" t="n">
        <v>0</v>
      </c>
      <c r="J717" s="37" t="n">
        <v>2</v>
      </c>
      <c r="K717" s="16" t="n">
        <v>24</v>
      </c>
    </row>
    <row r="718">
      <c r="A718" s="30" t="n">
        <v>46319.68263888889</v>
      </c>
      <c r="B718" s="30" t="n">
        <v>46319.72430555556</v>
      </c>
      <c r="C718" s="9" t="n">
        <v>46325</v>
      </c>
      <c r="D718" s="10" t="n">
        <v>0.96875</v>
      </c>
      <c r="E718" s="36" t="n">
        <v>1</v>
      </c>
      <c r="F718" s="36" t="n">
        <v>0</v>
      </c>
      <c r="G718" s="36" t="n">
        <v>1</v>
      </c>
      <c r="H718" s="36" t="n">
        <v>0</v>
      </c>
      <c r="I718" s="36" t="n">
        <v>0</v>
      </c>
      <c r="J718" s="36" t="n">
        <v>3</v>
      </c>
      <c r="K718" s="12" t="n">
        <v>36</v>
      </c>
    </row>
    <row r="719">
      <c r="A719" s="33" t="n">
        <v>46319.68263888889</v>
      </c>
      <c r="B719" s="33" t="n">
        <v>46319.72430555556</v>
      </c>
      <c r="C719" s="13" t="n">
        <v>46326</v>
      </c>
      <c r="D719" s="14" t="n">
        <v>0.8854166666666666</v>
      </c>
      <c r="E719" s="37" t="n">
        <v>1</v>
      </c>
      <c r="F719" s="37" t="n">
        <v>0</v>
      </c>
      <c r="G719" s="37" t="n">
        <v>1</v>
      </c>
      <c r="H719" s="37" t="n">
        <v>0</v>
      </c>
      <c r="I719" s="37" t="n">
        <v>0</v>
      </c>
      <c r="J719" s="37" t="n">
        <v>3</v>
      </c>
      <c r="K719" s="16" t="n">
        <v>36</v>
      </c>
    </row>
    <row r="720">
      <c r="A720" s="30" t="n">
        <v>46319.68263888889</v>
      </c>
      <c r="B720" s="30" t="n">
        <v>46319.72430555556</v>
      </c>
      <c r="C720" s="9" t="n">
        <v>46326</v>
      </c>
      <c r="D720" s="10" t="n">
        <v>0.9270833333333334</v>
      </c>
      <c r="E720" s="36" t="n">
        <v>2</v>
      </c>
      <c r="F720" s="36" t="n">
        <v>0</v>
      </c>
      <c r="G720" s="36" t="n">
        <v>0</v>
      </c>
      <c r="H720" s="36" t="n">
        <v>1</v>
      </c>
      <c r="I720" s="36" t="n">
        <v>1</v>
      </c>
      <c r="J720" s="36" t="n">
        <v>9</v>
      </c>
      <c r="K720" s="12" t="n">
        <v>108</v>
      </c>
    </row>
    <row r="721">
      <c r="A721" s="33" t="n">
        <v>46319.72430555556</v>
      </c>
      <c r="B721" s="33" t="n">
        <v>46319.75763888889</v>
      </c>
      <c r="C721" s="13" t="n">
        <v>46319</v>
      </c>
      <c r="D721" s="14" t="n">
        <v>0.8854166666666666</v>
      </c>
      <c r="E721" s="37" t="n">
        <v>1</v>
      </c>
      <c r="F721" s="37" t="n">
        <v>1</v>
      </c>
      <c r="G721" s="37" t="n">
        <v>0</v>
      </c>
      <c r="H721" s="37" t="n">
        <v>0</v>
      </c>
      <c r="I721" s="37" t="n">
        <v>0</v>
      </c>
      <c r="J721" s="37" t="n">
        <v>2</v>
      </c>
      <c r="K721" s="16" t="n">
        <v>24</v>
      </c>
    </row>
    <row r="722">
      <c r="A722" s="30" t="n">
        <v>46319.72430555556</v>
      </c>
      <c r="B722" s="30" t="n">
        <v>46319.75763888889</v>
      </c>
      <c r="C722" s="9" t="n">
        <v>46319</v>
      </c>
      <c r="D722" s="10" t="n">
        <v>0.9270833333333334</v>
      </c>
      <c r="E722" s="36" t="n">
        <v>5</v>
      </c>
      <c r="F722" s="36" t="n">
        <v>2</v>
      </c>
      <c r="G722" s="36" t="n">
        <v>0</v>
      </c>
      <c r="H722" s="36" t="n">
        <v>3</v>
      </c>
      <c r="I722" s="36" t="n">
        <v>0</v>
      </c>
      <c r="J722" s="36" t="n">
        <v>16</v>
      </c>
      <c r="K722" s="12" t="n">
        <v>192</v>
      </c>
    </row>
    <row r="723">
      <c r="A723" s="33" t="n">
        <v>46319.72430555556</v>
      </c>
      <c r="B723" s="33" t="n">
        <v>46319.75763888889</v>
      </c>
      <c r="C723" s="13" t="n">
        <v>46319</v>
      </c>
      <c r="D723" s="14" t="n">
        <v>0.96875</v>
      </c>
      <c r="E723" s="37" t="n">
        <v>2</v>
      </c>
      <c r="F723" s="37" t="n">
        <v>1</v>
      </c>
      <c r="G723" s="37" t="n">
        <v>1</v>
      </c>
      <c r="H723" s="37" t="n">
        <v>0</v>
      </c>
      <c r="I723" s="37" t="n">
        <v>0</v>
      </c>
      <c r="J723" s="37" t="n">
        <v>5</v>
      </c>
      <c r="K723" s="16" t="n">
        <v>60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0.9993055555555556</v>
      </c>
      <c r="E724" s="36" t="n">
        <v>9</v>
      </c>
      <c r="F724" s="36" t="n">
        <v>4</v>
      </c>
      <c r="G724" s="36" t="n">
        <v>2</v>
      </c>
      <c r="H724" s="36" t="n">
        <v>3</v>
      </c>
      <c r="I724" s="36" t="n">
        <v>0</v>
      </c>
      <c r="J724" s="36" t="n">
        <v>26</v>
      </c>
      <c r="K724" s="12" t="n">
        <v>312</v>
      </c>
    </row>
    <row r="725">
      <c r="A725" s="33" t="n">
        <v>46319.72430555556</v>
      </c>
      <c r="B725" s="33" t="n">
        <v>46319.75763888889</v>
      </c>
      <c r="C725" s="13" t="n">
        <v>46326</v>
      </c>
      <c r="D725" s="14" t="n">
        <v>0.9993055555555556</v>
      </c>
      <c r="E725" s="37" t="n">
        <v>1</v>
      </c>
      <c r="F725" s="37" t="n">
        <v>0</v>
      </c>
      <c r="G725" s="37" t="n">
        <v>0</v>
      </c>
      <c r="H725" s="37" t="n">
        <v>1</v>
      </c>
      <c r="I725" s="37" t="n">
        <v>0</v>
      </c>
      <c r="J725" s="37" t="n">
        <v>4</v>
      </c>
      <c r="K725" s="16" t="n">
        <v>48</v>
      </c>
    </row>
    <row r="726">
      <c r="A726" s="30" t="n">
        <v>46319.75763888889</v>
      </c>
      <c r="B726" s="30" t="n">
        <v>46319.76597222222</v>
      </c>
      <c r="C726" s="9" t="n">
        <v>46319</v>
      </c>
      <c r="D726" s="10" t="n">
        <v>0.8854166666666666</v>
      </c>
      <c r="E726" s="36" t="n">
        <v>1</v>
      </c>
      <c r="F726" s="36" t="n">
        <v>0</v>
      </c>
      <c r="G726" s="36" t="n">
        <v>0</v>
      </c>
      <c r="H726" s="36" t="n">
        <v>0</v>
      </c>
      <c r="I726" s="36" t="n">
        <v>1</v>
      </c>
      <c r="J726" s="36" t="n">
        <v>5</v>
      </c>
      <c r="K726" s="12" t="n">
        <v>60</v>
      </c>
    </row>
    <row r="727">
      <c r="A727" s="33" t="n">
        <v>46319.75763888889</v>
      </c>
      <c r="B727" s="33" t="n">
        <v>46319.76597222222</v>
      </c>
      <c r="C727" s="13" t="n">
        <v>46319</v>
      </c>
      <c r="D727" s="14" t="n">
        <v>0.9270833333333334</v>
      </c>
      <c r="E727" s="37" t="n">
        <v>1</v>
      </c>
      <c r="F727" s="37" t="n">
        <v>0</v>
      </c>
      <c r="G727" s="37" t="n">
        <v>0</v>
      </c>
      <c r="H727" s="37" t="n">
        <v>0</v>
      </c>
      <c r="I727" s="37" t="n">
        <v>1</v>
      </c>
      <c r="J727" s="37" t="n">
        <v>5</v>
      </c>
      <c r="K727" s="16" t="n">
        <v>60</v>
      </c>
    </row>
    <row r="728">
      <c r="A728" s="30" t="n">
        <v>46319.75763888889</v>
      </c>
      <c r="B728" s="30" t="n">
        <v>46319.76597222222</v>
      </c>
      <c r="C728" s="9" t="n">
        <v>46319</v>
      </c>
      <c r="D728" s="10" t="n">
        <v>0.96875</v>
      </c>
      <c r="E728" s="36" t="n">
        <v>3</v>
      </c>
      <c r="F728" s="36" t="n">
        <v>0</v>
      </c>
      <c r="G728" s="36" t="n">
        <v>0</v>
      </c>
      <c r="H728" s="36" t="n">
        <v>2</v>
      </c>
      <c r="I728" s="36" t="n">
        <v>1</v>
      </c>
      <c r="J728" s="36" t="n">
        <v>13</v>
      </c>
      <c r="K728" s="12" t="n">
        <v>156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0.9993055555555556</v>
      </c>
      <c r="E729" s="37" t="n">
        <v>2</v>
      </c>
      <c r="F729" s="37" t="n">
        <v>1</v>
      </c>
      <c r="G729" s="37" t="n">
        <v>0</v>
      </c>
      <c r="H729" s="37" t="n">
        <v>1</v>
      </c>
      <c r="I729" s="37" t="n">
        <v>0</v>
      </c>
      <c r="J729" s="37" t="n">
        <v>6</v>
      </c>
      <c r="K729" s="16" t="n">
        <v>72</v>
      </c>
    </row>
    <row r="730">
      <c r="A730" s="30" t="n">
        <v>46319.76597222222</v>
      </c>
      <c r="B730" s="30" t="n">
        <v>46319.77777777778</v>
      </c>
      <c r="C730" s="9" t="n">
        <v>46319</v>
      </c>
      <c r="D730" s="10" t="n">
        <v>0.8854166666666666</v>
      </c>
      <c r="E730" s="36" t="n">
        <v>2</v>
      </c>
      <c r="F730" s="36" t="n">
        <v>0</v>
      </c>
      <c r="G730" s="36" t="n">
        <v>0</v>
      </c>
      <c r="H730" s="36" t="n">
        <v>2</v>
      </c>
      <c r="I730" s="36" t="n">
        <v>0</v>
      </c>
      <c r="J730" s="36" t="n">
        <v>8</v>
      </c>
      <c r="K730" s="12" t="n">
        <v>96</v>
      </c>
    </row>
    <row r="731">
      <c r="A731" s="33" t="n">
        <v>46319.76597222222</v>
      </c>
      <c r="B731" s="33" t="n">
        <v>46319.77777777778</v>
      </c>
      <c r="C731" s="13" t="n">
        <v>46319</v>
      </c>
      <c r="D731" s="14" t="n">
        <v>0.9270833333333334</v>
      </c>
      <c r="E731" s="37" t="n">
        <v>4</v>
      </c>
      <c r="F731" s="37" t="n">
        <v>1</v>
      </c>
      <c r="G731" s="37" t="n">
        <v>0</v>
      </c>
      <c r="H731" s="37" t="n">
        <v>3</v>
      </c>
      <c r="I731" s="37" t="n">
        <v>0</v>
      </c>
      <c r="J731" s="37" t="n">
        <v>14</v>
      </c>
      <c r="K731" s="16" t="n">
        <v>168</v>
      </c>
    </row>
    <row r="732">
      <c r="A732" s="30" t="n">
        <v>46319.76597222222</v>
      </c>
      <c r="B732" s="30" t="n">
        <v>46319.77777777778</v>
      </c>
      <c r="C732" s="9" t="n">
        <v>46319</v>
      </c>
      <c r="D732" s="10" t="n">
        <v>0.96875</v>
      </c>
      <c r="E732" s="36" t="n">
        <v>4</v>
      </c>
      <c r="F732" s="36" t="n">
        <v>1</v>
      </c>
      <c r="G732" s="36" t="n">
        <v>0</v>
      </c>
      <c r="H732" s="36" t="n">
        <v>2</v>
      </c>
      <c r="I732" s="36" t="n">
        <v>1</v>
      </c>
      <c r="J732" s="36" t="n">
        <v>15</v>
      </c>
      <c r="K732" s="12" t="n">
        <v>180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0.9993055555555556</v>
      </c>
      <c r="E733" s="37" t="n">
        <v>5</v>
      </c>
      <c r="F733" s="37" t="n">
        <v>1</v>
      </c>
      <c r="G733" s="37" t="n">
        <v>0</v>
      </c>
      <c r="H733" s="37" t="n">
        <v>2</v>
      </c>
      <c r="I733" s="37" t="n">
        <v>2</v>
      </c>
      <c r="J733" s="37" t="n">
        <v>20</v>
      </c>
      <c r="K733" s="16" t="n">
        <v>240</v>
      </c>
    </row>
    <row r="734">
      <c r="A734" s="30" t="n">
        <v>46319.76597222222</v>
      </c>
      <c r="B734" s="30" t="n">
        <v>46319.77777777778</v>
      </c>
      <c r="C734" s="9" t="n">
        <v>46320</v>
      </c>
      <c r="D734" s="10" t="n">
        <v>0.84375</v>
      </c>
      <c r="E734" s="36" t="n">
        <v>1</v>
      </c>
      <c r="F734" s="36" t="n">
        <v>0</v>
      </c>
      <c r="G734" s="36" t="n">
        <v>0</v>
      </c>
      <c r="H734" s="36" t="n">
        <v>1</v>
      </c>
      <c r="I734" s="36" t="n">
        <v>0</v>
      </c>
      <c r="J734" s="36" t="n">
        <v>4</v>
      </c>
      <c r="K734" s="12" t="n">
        <v>48</v>
      </c>
    </row>
    <row r="735">
      <c r="A735" s="33" t="n">
        <v>46319.76597222222</v>
      </c>
      <c r="B735" s="33" t="n">
        <v>46319.77777777778</v>
      </c>
      <c r="C735" s="13" t="n">
        <v>46320</v>
      </c>
      <c r="D735" s="14" t="n">
        <v>0.96875</v>
      </c>
      <c r="E735" s="37" t="n">
        <v>1</v>
      </c>
      <c r="F735" s="37" t="n">
        <v>1</v>
      </c>
      <c r="G735" s="37" t="n">
        <v>0</v>
      </c>
      <c r="H735" s="37" t="n">
        <v>0</v>
      </c>
      <c r="I735" s="37" t="n">
        <v>0</v>
      </c>
      <c r="J735" s="37" t="n">
        <v>2</v>
      </c>
      <c r="K735" s="16" t="n">
        <v>24</v>
      </c>
    </row>
    <row r="736">
      <c r="A736" s="30" t="n">
        <v>46319.76597222222</v>
      </c>
      <c r="B736" s="30" t="n">
        <v>46319.77777777778</v>
      </c>
      <c r="C736" s="9" t="n">
        <v>46324</v>
      </c>
      <c r="D736" s="10" t="n">
        <v>0.9270833333333334</v>
      </c>
      <c r="E736" s="36" t="n">
        <v>1</v>
      </c>
      <c r="F736" s="36" t="n">
        <v>1</v>
      </c>
      <c r="G736" s="36" t="n">
        <v>0</v>
      </c>
      <c r="H736" s="36" t="n">
        <v>0</v>
      </c>
      <c r="I736" s="36" t="n">
        <v>0</v>
      </c>
      <c r="J736" s="36" t="n">
        <v>2</v>
      </c>
      <c r="K736" s="12" t="n">
        <v>24</v>
      </c>
    </row>
    <row r="737">
      <c r="A737" s="33" t="n">
        <v>46319.77777777778</v>
      </c>
      <c r="B737" s="33" t="n">
        <v>46319.78819444445</v>
      </c>
      <c r="C737" s="13" t="n">
        <v>46319</v>
      </c>
      <c r="D737" s="14" t="n">
        <v>0.8854166666666666</v>
      </c>
      <c r="E737" s="37" t="n">
        <v>-1</v>
      </c>
      <c r="F737" s="37" t="n">
        <v>0</v>
      </c>
      <c r="G737" s="37" t="n">
        <v>0</v>
      </c>
      <c r="H737" s="37" t="n">
        <v>-1</v>
      </c>
      <c r="I737" s="37" t="n">
        <v>0</v>
      </c>
      <c r="J737" s="37" t="n">
        <v>-4</v>
      </c>
      <c r="K737" s="16" t="n">
        <v>-48</v>
      </c>
    </row>
    <row r="738">
      <c r="A738" s="30" t="n">
        <v>46319.77777777778</v>
      </c>
      <c r="B738" s="30" t="n">
        <v>46319.78819444445</v>
      </c>
      <c r="C738" s="9" t="n">
        <v>46319</v>
      </c>
      <c r="D738" s="10" t="n">
        <v>0.9270833333333334</v>
      </c>
      <c r="E738" s="36" t="n">
        <v>-3</v>
      </c>
      <c r="F738" s="36" t="n">
        <v>-1</v>
      </c>
      <c r="G738" s="36" t="n">
        <v>0</v>
      </c>
      <c r="H738" s="36" t="n">
        <v>-2</v>
      </c>
      <c r="I738" s="36" t="n">
        <v>0</v>
      </c>
      <c r="J738" s="36" t="n">
        <v>-10</v>
      </c>
      <c r="K738" s="12" t="n">
        <v>-120</v>
      </c>
    </row>
    <row r="739">
      <c r="A739" s="33" t="n">
        <v>46319.77777777778</v>
      </c>
      <c r="B739" s="33" t="n">
        <v>46319.78819444445</v>
      </c>
      <c r="C739" s="13" t="n">
        <v>46319</v>
      </c>
      <c r="D739" s="14" t="n">
        <v>0.9993055555555556</v>
      </c>
      <c r="E739" s="37" t="n">
        <v>2</v>
      </c>
      <c r="F739" s="37" t="n">
        <v>1</v>
      </c>
      <c r="G739" s="37" t="n">
        <v>0</v>
      </c>
      <c r="H739" s="37" t="n">
        <v>1</v>
      </c>
      <c r="I739" s="37" t="n">
        <v>0</v>
      </c>
      <c r="J739" s="37" t="n">
        <v>6</v>
      </c>
      <c r="K739" s="16" t="n">
        <v>72</v>
      </c>
    </row>
    <row r="740">
      <c r="A740" s="30" t="n">
        <v>46319.77777777778</v>
      </c>
      <c r="B740" s="30" t="n">
        <v>46319.78819444445</v>
      </c>
      <c r="C740" s="9" t="n">
        <v>46320</v>
      </c>
      <c r="D740" s="10" t="n">
        <v>0.84375</v>
      </c>
      <c r="E740" s="36" t="n">
        <v>2</v>
      </c>
      <c r="F740" s="36" t="n">
        <v>1</v>
      </c>
      <c r="G740" s="36" t="n">
        <v>0</v>
      </c>
      <c r="H740" s="36" t="n">
        <v>1</v>
      </c>
      <c r="I740" s="36" t="n">
        <v>0</v>
      </c>
      <c r="J740" s="36" t="n">
        <v>6</v>
      </c>
      <c r="K740" s="12" t="n">
        <v>72</v>
      </c>
    </row>
    <row r="741">
      <c r="A741" s="33" t="n">
        <v>46319.77777777778</v>
      </c>
      <c r="B741" s="33" t="n">
        <v>46319.78819444445</v>
      </c>
      <c r="C741" s="13" t="n">
        <v>46320</v>
      </c>
      <c r="D741" s="14" t="n">
        <v>0.9270833333333334</v>
      </c>
      <c r="E741" s="37" t="n">
        <v>1</v>
      </c>
      <c r="F741" s="37" t="n">
        <v>0</v>
      </c>
      <c r="G741" s="37" t="n">
        <v>0</v>
      </c>
      <c r="H741" s="37" t="n">
        <v>1</v>
      </c>
      <c r="I741" s="37" t="n">
        <v>0</v>
      </c>
      <c r="J741" s="37" t="n">
        <v>4</v>
      </c>
      <c r="K741" s="16" t="n">
        <v>48</v>
      </c>
    </row>
    <row r="742">
      <c r="A742" s="30" t="n">
        <v>46319.77777777778</v>
      </c>
      <c r="B742" s="30" t="n">
        <v>46319.78819444445</v>
      </c>
      <c r="C742" s="9" t="n">
        <v>46325</v>
      </c>
      <c r="D742" s="10" t="n">
        <v>0.84375</v>
      </c>
      <c r="E742" s="36" t="n">
        <v>1</v>
      </c>
      <c r="F742" s="36" t="n">
        <v>1</v>
      </c>
      <c r="G742" s="36" t="n">
        <v>0</v>
      </c>
      <c r="H742" s="36" t="n">
        <v>0</v>
      </c>
      <c r="I742" s="36" t="n">
        <v>0</v>
      </c>
      <c r="J742" s="36" t="n">
        <v>2</v>
      </c>
      <c r="K742" s="12" t="n">
        <v>24</v>
      </c>
    </row>
    <row r="743">
      <c r="A743" s="33" t="n">
        <v>46319.78819444445</v>
      </c>
      <c r="B743" s="33" t="n">
        <v>46319.80694444444</v>
      </c>
      <c r="C743" s="13" t="n">
        <v>46319</v>
      </c>
      <c r="D743" s="14" t="n">
        <v>0.8854166666666666</v>
      </c>
      <c r="E743" s="37" t="n">
        <v>1</v>
      </c>
      <c r="F743" s="37" t="n">
        <v>1</v>
      </c>
      <c r="G743" s="37" t="n">
        <v>0</v>
      </c>
      <c r="H743" s="37" t="n">
        <v>0</v>
      </c>
      <c r="I743" s="37" t="n">
        <v>0</v>
      </c>
      <c r="J743" s="37" t="n">
        <v>2</v>
      </c>
      <c r="K743" s="16" t="n">
        <v>24</v>
      </c>
    </row>
    <row r="744">
      <c r="A744" s="30" t="n">
        <v>46319.78819444445</v>
      </c>
      <c r="B744" s="30" t="n">
        <v>46319.80694444444</v>
      </c>
      <c r="C744" s="9" t="n">
        <v>46319</v>
      </c>
      <c r="D744" s="10" t="n">
        <v>0.9270833333333334</v>
      </c>
      <c r="E744" s="36" t="n">
        <v>3</v>
      </c>
      <c r="F744" s="36" t="n">
        <v>1</v>
      </c>
      <c r="G744" s="36" t="n">
        <v>0</v>
      </c>
      <c r="H744" s="36" t="n">
        <v>2</v>
      </c>
      <c r="I744" s="36" t="n">
        <v>0</v>
      </c>
      <c r="J744" s="36" t="n">
        <v>10</v>
      </c>
      <c r="K744" s="12" t="n">
        <v>120</v>
      </c>
    </row>
    <row r="745">
      <c r="A745" s="33" t="n">
        <v>46319.78819444445</v>
      </c>
      <c r="B745" s="33" t="n">
        <v>46319.80694444444</v>
      </c>
      <c r="C745" s="13" t="n">
        <v>46319</v>
      </c>
      <c r="D745" s="14" t="n">
        <v>0.96875</v>
      </c>
      <c r="E745" s="37" t="n">
        <v>2</v>
      </c>
      <c r="F745" s="37" t="n">
        <v>2</v>
      </c>
      <c r="G745" s="37" t="n">
        <v>0</v>
      </c>
      <c r="H745" s="37" t="n">
        <v>0</v>
      </c>
      <c r="I745" s="37" t="n">
        <v>0</v>
      </c>
      <c r="J745" s="37" t="n">
        <v>4</v>
      </c>
      <c r="K745" s="16" t="n">
        <v>48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0.9993055555555556</v>
      </c>
      <c r="E746" s="36" t="n">
        <v>10</v>
      </c>
      <c r="F746" s="36" t="n">
        <v>7</v>
      </c>
      <c r="G746" s="36" t="n">
        <v>0</v>
      </c>
      <c r="H746" s="36" t="n">
        <v>2</v>
      </c>
      <c r="I746" s="36" t="n">
        <v>1</v>
      </c>
      <c r="J746" s="36" t="n">
        <v>27</v>
      </c>
      <c r="K746" s="12" t="n">
        <v>324</v>
      </c>
    </row>
    <row r="747">
      <c r="A747" s="33" t="n">
        <v>46319.78819444445</v>
      </c>
      <c r="B747" s="33" t="n">
        <v>46319.80694444444</v>
      </c>
      <c r="C747" s="13" t="n">
        <v>46326</v>
      </c>
      <c r="D747" s="14" t="n">
        <v>0.9270833333333334</v>
      </c>
      <c r="E747" s="37" t="n">
        <v>1</v>
      </c>
      <c r="F747" s="37" t="n">
        <v>1</v>
      </c>
      <c r="G747" s="37" t="n">
        <v>0</v>
      </c>
      <c r="H747" s="37" t="n">
        <v>0</v>
      </c>
      <c r="I747" s="37" t="n">
        <v>0</v>
      </c>
      <c r="J747" s="37" t="n">
        <v>2</v>
      </c>
      <c r="K747" s="16" t="n">
        <v>24</v>
      </c>
    </row>
    <row r="748">
      <c r="A748" s="30" t="n">
        <v>46319.78819444445</v>
      </c>
      <c r="B748" s="30" t="n">
        <v>46319.80694444444</v>
      </c>
      <c r="C748" s="9" t="n">
        <v>46327</v>
      </c>
      <c r="D748" s="10" t="n">
        <v>0.8854166666666666</v>
      </c>
      <c r="E748" s="36" t="n">
        <v>3</v>
      </c>
      <c r="F748" s="36" t="n">
        <v>0</v>
      </c>
      <c r="G748" s="36" t="n">
        <v>2</v>
      </c>
      <c r="H748" s="36" t="n">
        <v>1</v>
      </c>
      <c r="I748" s="36" t="n">
        <v>0</v>
      </c>
      <c r="J748" s="36" t="n">
        <v>10</v>
      </c>
      <c r="K748" s="12" t="n">
        <v>120</v>
      </c>
    </row>
    <row r="749">
      <c r="A749" s="33" t="n">
        <v>46319.80694444444</v>
      </c>
      <c r="B749" s="33" t="n">
        <v>46319.825</v>
      </c>
      <c r="C749" s="13" t="n">
        <v>46319</v>
      </c>
      <c r="D749" s="14" t="n">
        <v>0.84375</v>
      </c>
      <c r="E749" s="37" t="n">
        <v>1</v>
      </c>
      <c r="F749" s="37" t="n">
        <v>1</v>
      </c>
      <c r="G749" s="37" t="n">
        <v>0</v>
      </c>
      <c r="H749" s="37" t="n">
        <v>0</v>
      </c>
      <c r="I749" s="37" t="n">
        <v>0</v>
      </c>
      <c r="J749" s="37" t="n">
        <v>2</v>
      </c>
      <c r="K749" s="16" t="n">
        <v>24</v>
      </c>
    </row>
    <row r="750">
      <c r="A750" s="30" t="n">
        <v>46319.80694444444</v>
      </c>
      <c r="B750" s="30" t="n">
        <v>46319.825</v>
      </c>
      <c r="C750" s="9" t="n">
        <v>46319</v>
      </c>
      <c r="D750" s="10" t="n">
        <v>0.8854166666666666</v>
      </c>
      <c r="E750" s="36" t="n">
        <v>2</v>
      </c>
      <c r="F750" s="36" t="n">
        <v>3</v>
      </c>
      <c r="G750" s="36" t="n">
        <v>0</v>
      </c>
      <c r="H750" s="36" t="n">
        <v>0</v>
      </c>
      <c r="I750" s="36" t="n">
        <v>-1</v>
      </c>
      <c r="J750" s="36" t="n">
        <v>1</v>
      </c>
      <c r="K750" s="12" t="n">
        <v>12</v>
      </c>
    </row>
    <row r="751">
      <c r="A751" s="33" t="n">
        <v>46319.80694444444</v>
      </c>
      <c r="B751" s="33" t="n">
        <v>46319.825</v>
      </c>
      <c r="C751" s="13" t="n">
        <v>46319</v>
      </c>
      <c r="D751" s="14" t="n">
        <v>0.96875</v>
      </c>
      <c r="E751" s="37" t="n">
        <v>1</v>
      </c>
      <c r="F751" s="37" t="n">
        <v>1</v>
      </c>
      <c r="G751" s="37" t="n">
        <v>0</v>
      </c>
      <c r="H751" s="37" t="n">
        <v>0</v>
      </c>
      <c r="I751" s="37" t="n">
        <v>0</v>
      </c>
      <c r="J751" s="37" t="n">
        <v>2</v>
      </c>
      <c r="K751" s="16" t="n">
        <v>24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0.9993055555555556</v>
      </c>
      <c r="E752" s="36" t="n">
        <v>3</v>
      </c>
      <c r="F752" s="36" t="n">
        <v>3</v>
      </c>
      <c r="G752" s="36" t="n">
        <v>0</v>
      </c>
      <c r="H752" s="36" t="n">
        <v>0</v>
      </c>
      <c r="I752" s="36" t="n">
        <v>0</v>
      </c>
      <c r="J752" s="36" t="n">
        <v>6</v>
      </c>
      <c r="K752" s="12" t="n">
        <v>72</v>
      </c>
    </row>
    <row r="753">
      <c r="A753" s="33" t="n">
        <v>46319.80694444444</v>
      </c>
      <c r="B753" s="33" t="n">
        <v>46319.825</v>
      </c>
      <c r="C753" s="13" t="n">
        <v>46320</v>
      </c>
      <c r="D753" s="14" t="n">
        <v>0.8854166666666666</v>
      </c>
      <c r="E753" s="37" t="n">
        <v>1</v>
      </c>
      <c r="F753" s="37" t="n">
        <v>0</v>
      </c>
      <c r="G753" s="37" t="n">
        <v>0</v>
      </c>
      <c r="H753" s="37" t="n">
        <v>0</v>
      </c>
      <c r="I753" s="37" t="n">
        <v>1</v>
      </c>
      <c r="J753" s="37" t="n">
        <v>5</v>
      </c>
      <c r="K753" s="16" t="n">
        <v>60</v>
      </c>
    </row>
    <row r="754">
      <c r="A754" s="30" t="n">
        <v>46319.80694444444</v>
      </c>
      <c r="B754" s="30" t="n">
        <v>46319.825</v>
      </c>
      <c r="C754" s="9" t="n">
        <v>46320</v>
      </c>
      <c r="D754" s="10" t="n">
        <v>0.9270833333333334</v>
      </c>
      <c r="E754" s="36" t="n">
        <v>1</v>
      </c>
      <c r="F754" s="36" t="n">
        <v>0</v>
      </c>
      <c r="G754" s="36" t="n">
        <v>0</v>
      </c>
      <c r="H754" s="36" t="n">
        <v>1</v>
      </c>
      <c r="I754" s="36" t="n">
        <v>0</v>
      </c>
      <c r="J754" s="36" t="n">
        <v>4</v>
      </c>
      <c r="K754" s="12" t="n">
        <v>48</v>
      </c>
    </row>
    <row r="755">
      <c r="A755" s="33" t="n">
        <v>46319.80694444444</v>
      </c>
      <c r="B755" s="33" t="n">
        <v>46319.825</v>
      </c>
      <c r="C755" s="13" t="n">
        <v>46325</v>
      </c>
      <c r="D755" s="14" t="n">
        <v>0.8854166666666666</v>
      </c>
      <c r="E755" s="37" t="n">
        <v>1</v>
      </c>
      <c r="F755" s="37" t="n">
        <v>1</v>
      </c>
      <c r="G755" s="37" t="n">
        <v>0</v>
      </c>
      <c r="H755" s="37" t="n">
        <v>0</v>
      </c>
      <c r="I755" s="37" t="n">
        <v>0</v>
      </c>
      <c r="J755" s="37" t="n">
        <v>2</v>
      </c>
      <c r="K755" s="16" t="n">
        <v>24</v>
      </c>
    </row>
    <row r="756">
      <c r="A756" s="30" t="n">
        <v>46319.825</v>
      </c>
      <c r="B756" s="30" t="n">
        <v>46319.84930555556</v>
      </c>
      <c r="C756" s="9" t="n">
        <v>46319</v>
      </c>
      <c r="D756" s="10" t="n">
        <v>0.8854166666666666</v>
      </c>
      <c r="E756" s="36" t="n">
        <v>5</v>
      </c>
      <c r="F756" s="36" t="n">
        <v>4</v>
      </c>
      <c r="G756" s="36" t="n">
        <v>1</v>
      </c>
      <c r="H756" s="36" t="n">
        <v>0</v>
      </c>
      <c r="I756" s="36" t="n">
        <v>0</v>
      </c>
      <c r="J756" s="36" t="n">
        <v>11</v>
      </c>
      <c r="K756" s="12" t="n">
        <v>132</v>
      </c>
    </row>
    <row r="757">
      <c r="A757" s="33" t="n">
        <v>46319.825</v>
      </c>
      <c r="B757" s="33" t="n">
        <v>46319.84930555556</v>
      </c>
      <c r="C757" s="13" t="n">
        <v>46319</v>
      </c>
      <c r="D757" s="14" t="n">
        <v>0.9270833333333334</v>
      </c>
      <c r="E757" s="37" t="n">
        <v>2</v>
      </c>
      <c r="F757" s="37" t="n">
        <v>1</v>
      </c>
      <c r="G757" s="37" t="n">
        <v>0</v>
      </c>
      <c r="H757" s="37" t="n">
        <v>0</v>
      </c>
      <c r="I757" s="37" t="n">
        <v>1</v>
      </c>
      <c r="J757" s="37" t="n">
        <v>7</v>
      </c>
      <c r="K757" s="16" t="n">
        <v>84</v>
      </c>
    </row>
    <row r="758">
      <c r="A758" s="30" t="n">
        <v>46319.825</v>
      </c>
      <c r="B758" s="30" t="n">
        <v>46319.84930555556</v>
      </c>
      <c r="C758" s="9" t="n">
        <v>46320</v>
      </c>
      <c r="D758" s="10" t="n">
        <v>0.9270833333333334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46324</v>
      </c>
      <c r="D759" s="14" t="n">
        <v>0.8854166666666666</v>
      </c>
      <c r="E759" s="37" t="n">
        <v>1</v>
      </c>
      <c r="F759" s="37" t="n">
        <v>1</v>
      </c>
      <c r="G759" s="37" t="n">
        <v>0</v>
      </c>
      <c r="H759" s="37" t="n">
        <v>0</v>
      </c>
      <c r="I759" s="37" t="n">
        <v>0</v>
      </c>
      <c r="J759" s="37" t="n">
        <v>2</v>
      </c>
      <c r="K759" s="16" t="n">
        <v>24</v>
      </c>
    </row>
    <row r="760">
      <c r="A760" s="30" t="n">
        <v>46319.825</v>
      </c>
      <c r="B760" s="30" t="n">
        <v>46319.84930555556</v>
      </c>
      <c r="C760" s="9" t="n">
        <v>46326</v>
      </c>
      <c r="D760" s="10" t="n">
        <v>0.9270833333333334</v>
      </c>
      <c r="E760" s="36" t="n">
        <v>1</v>
      </c>
      <c r="F760" s="36" t="n">
        <v>1</v>
      </c>
      <c r="G760" s="36" t="n">
        <v>0</v>
      </c>
      <c r="H760" s="36" t="n">
        <v>0</v>
      </c>
      <c r="I760" s="36" t="n">
        <v>0</v>
      </c>
      <c r="J760" s="36" t="n">
        <v>2</v>
      </c>
      <c r="K760" s="12" t="n">
        <v>24</v>
      </c>
    </row>
    <row r="761">
      <c r="A761" s="33" t="n">
        <v>46319.825</v>
      </c>
      <c r="B761" s="33" t="n">
        <v>46319.84930555556</v>
      </c>
      <c r="C761" s="13" t="n">
        <v>46326</v>
      </c>
      <c r="D761" s="14" t="n">
        <v>0.9993055555555556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46319.84930555556</v>
      </c>
      <c r="B762" s="30" t="n">
        <v>46319.85416666666</v>
      </c>
      <c r="C762" s="9" t="n">
        <v>46319</v>
      </c>
      <c r="D762" s="10" t="n">
        <v>0.8854166666666666</v>
      </c>
      <c r="E762" s="36" t="n">
        <v>1</v>
      </c>
      <c r="F762" s="36" t="n">
        <v>0</v>
      </c>
      <c r="G762" s="36" t="n">
        <v>1</v>
      </c>
      <c r="H762" s="36" t="n">
        <v>0</v>
      </c>
      <c r="I762" s="36" t="n">
        <v>0</v>
      </c>
      <c r="J762" s="36" t="n">
        <v>3</v>
      </c>
      <c r="K762" s="12" t="n">
        <v>36</v>
      </c>
    </row>
    <row r="763">
      <c r="A763" s="33" t="n">
        <v>46319.85416666666</v>
      </c>
      <c r="B763" s="33" t="n">
        <v>46319.86736111111</v>
      </c>
      <c r="C763" s="13" t="n">
        <v>46324</v>
      </c>
      <c r="D763" s="14" t="n">
        <v>0.96875</v>
      </c>
      <c r="E763" s="37" t="n">
        <v>1</v>
      </c>
      <c r="F763" s="37" t="n">
        <v>0</v>
      </c>
      <c r="G763" s="37" t="n">
        <v>1</v>
      </c>
      <c r="H763" s="37" t="n">
        <v>0</v>
      </c>
      <c r="I763" s="37" t="n">
        <v>0</v>
      </c>
      <c r="J763" s="37" t="n">
        <v>3</v>
      </c>
      <c r="K763" s="16" t="n">
        <v>36</v>
      </c>
    </row>
    <row r="764">
      <c r="A764" s="30" t="n">
        <v>46319.86736111111</v>
      </c>
      <c r="B764" s="30" t="n">
        <v>46319.87291666667</v>
      </c>
      <c r="C764" s="9" t="n">
        <v>46320</v>
      </c>
      <c r="D764" s="10" t="n">
        <v>0.84375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46319.86736111111</v>
      </c>
      <c r="B765" s="33" t="n">
        <v>46319.87291666667</v>
      </c>
      <c r="C765" s="13" t="n">
        <v>46326</v>
      </c>
      <c r="D765" s="14" t="n">
        <v>0.8854166666666666</v>
      </c>
      <c r="E765" s="37" t="n">
        <v>1</v>
      </c>
      <c r="F765" s="37" t="n">
        <v>1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24</v>
      </c>
    </row>
    <row r="766">
      <c r="A766" s="30" t="n">
        <v>46319.87291666667</v>
      </c>
      <c r="B766" s="30" t="n">
        <v>46319.89027777778</v>
      </c>
      <c r="C766" s="9" t="n">
        <v>46320</v>
      </c>
      <c r="D766" s="10" t="n">
        <v>0.84375</v>
      </c>
      <c r="E766" s="36" t="n">
        <v>2</v>
      </c>
      <c r="F766" s="36" t="n">
        <v>1</v>
      </c>
      <c r="G766" s="36" t="n">
        <v>1</v>
      </c>
      <c r="H766" s="36" t="n">
        <v>0</v>
      </c>
      <c r="I766" s="36" t="n">
        <v>0</v>
      </c>
      <c r="J766" s="36" t="n">
        <v>5</v>
      </c>
      <c r="K766" s="12" t="n">
        <v>60</v>
      </c>
    </row>
    <row r="767">
      <c r="A767" s="33" t="n">
        <v>46319.87291666667</v>
      </c>
      <c r="B767" s="33" t="n">
        <v>46319.89027777778</v>
      </c>
      <c r="C767" s="13" t="n">
        <v>46320</v>
      </c>
      <c r="D767" s="14" t="n">
        <v>0.9270833333333334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46319.89027777778</v>
      </c>
      <c r="B768" s="30" t="n">
        <v>46319.90347222222</v>
      </c>
      <c r="C768" s="9" t="n">
        <v>46320</v>
      </c>
      <c r="D768" s="10" t="n">
        <v>0.8854166666666666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46319.89027777778</v>
      </c>
      <c r="B769" s="33" t="n">
        <v>46319.90347222222</v>
      </c>
      <c r="C769" s="13" t="n">
        <v>46326</v>
      </c>
      <c r="D769" s="14" t="n">
        <v>0.96875</v>
      </c>
      <c r="E769" s="37" t="n">
        <v>1</v>
      </c>
      <c r="F769" s="37" t="n">
        <v>0</v>
      </c>
      <c r="G769" s="37" t="n">
        <v>0</v>
      </c>
      <c r="H769" s="37" t="n">
        <v>1</v>
      </c>
      <c r="I769" s="37" t="n">
        <v>0</v>
      </c>
      <c r="J769" s="37" t="n">
        <v>4</v>
      </c>
      <c r="K769" s="16" t="n">
        <v>48</v>
      </c>
    </row>
    <row r="770">
      <c r="A770" s="30" t="n">
        <v>46319.89027777778</v>
      </c>
      <c r="B770" s="30" t="n">
        <v>46319.90347222222</v>
      </c>
      <c r="C770" s="9" t="n">
        <v>46327</v>
      </c>
      <c r="D770" s="10" t="n">
        <v>0.9270833333333334</v>
      </c>
      <c r="E770" s="36" t="n">
        <v>1</v>
      </c>
      <c r="F770" s="36" t="n">
        <v>0</v>
      </c>
      <c r="G770" s="36" t="n">
        <v>1</v>
      </c>
      <c r="H770" s="36" t="n">
        <v>0</v>
      </c>
      <c r="I770" s="36" t="n">
        <v>0</v>
      </c>
      <c r="J770" s="36" t="n">
        <v>3</v>
      </c>
      <c r="K770" s="12" t="n">
        <v>36</v>
      </c>
    </row>
    <row r="771">
      <c r="A771" s="33" t="n">
        <v>46319.90347222222</v>
      </c>
      <c r="B771" s="33" t="n">
        <v>46319.93055555555</v>
      </c>
      <c r="C771" s="13" t="n">
        <v>46320</v>
      </c>
      <c r="D771" s="14" t="n">
        <v>0.84375</v>
      </c>
      <c r="E771" s="37" t="n">
        <v>2</v>
      </c>
      <c r="F771" s="37" t="n">
        <v>2</v>
      </c>
      <c r="G771" s="37" t="n">
        <v>0</v>
      </c>
      <c r="H771" s="37" t="n">
        <v>0</v>
      </c>
      <c r="I771" s="37" t="n">
        <v>0</v>
      </c>
      <c r="J771" s="37" t="n">
        <v>4</v>
      </c>
      <c r="K771" s="16" t="n">
        <v>48</v>
      </c>
    </row>
    <row r="772">
      <c r="A772" s="30" t="n">
        <v>46319.90347222222</v>
      </c>
      <c r="B772" s="30" t="n">
        <v>46319.93055555555</v>
      </c>
      <c r="C772" s="9" t="n">
        <v>46320</v>
      </c>
      <c r="D772" s="10" t="n">
        <v>0.9270833333333334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46319.90347222222</v>
      </c>
      <c r="B773" s="33" t="n">
        <v>46319.93055555555</v>
      </c>
      <c r="C773" s="13" t="n">
        <v>46324</v>
      </c>
      <c r="D773" s="14" t="n">
        <v>0.96875</v>
      </c>
      <c r="E773" s="37" t="n">
        <v>1</v>
      </c>
      <c r="F773" s="37" t="n">
        <v>1</v>
      </c>
      <c r="G773" s="37" t="n">
        <v>0</v>
      </c>
      <c r="H773" s="37" t="n">
        <v>0</v>
      </c>
      <c r="I773" s="37" t="n">
        <v>0</v>
      </c>
      <c r="J773" s="37" t="n">
        <v>2</v>
      </c>
      <c r="K773" s="16" t="n">
        <v>24</v>
      </c>
    </row>
    <row r="774">
      <c r="A774" s="30" t="n">
        <v>46319.90347222222</v>
      </c>
      <c r="B774" s="30" t="n">
        <v>46319.93055555555</v>
      </c>
      <c r="C774" s="9" t="n">
        <v>46325</v>
      </c>
      <c r="D774" s="10" t="n">
        <v>0.9270833333333334</v>
      </c>
      <c r="E774" s="36" t="n">
        <v>1</v>
      </c>
      <c r="F774" s="36" t="n">
        <v>0</v>
      </c>
      <c r="G774" s="36" t="n">
        <v>0</v>
      </c>
      <c r="H774" s="36" t="n">
        <v>1</v>
      </c>
      <c r="I774" s="36" t="n">
        <v>0</v>
      </c>
      <c r="J774" s="36" t="n">
        <v>4</v>
      </c>
      <c r="K774" s="12" t="n">
        <v>48</v>
      </c>
    </row>
    <row r="775">
      <c r="A775" s="33" t="n">
        <v>46319.90347222222</v>
      </c>
      <c r="B775" s="33" t="n">
        <v>46319.93055555555</v>
      </c>
      <c r="C775" s="13" t="n">
        <v>46326</v>
      </c>
      <c r="D775" s="14" t="n">
        <v>0.9270833333333334</v>
      </c>
      <c r="E775" s="37" t="n">
        <v>1</v>
      </c>
      <c r="F775" s="37" t="n">
        <v>1</v>
      </c>
      <c r="G775" s="37" t="n">
        <v>0</v>
      </c>
      <c r="H775" s="37" t="n">
        <v>0</v>
      </c>
      <c r="I775" s="37" t="n">
        <v>0</v>
      </c>
      <c r="J775" s="37" t="n">
        <v>2</v>
      </c>
      <c r="K775" s="16" t="n">
        <v>24</v>
      </c>
    </row>
    <row r="776">
      <c r="A776" s="30" t="n">
        <v>46319.90347222222</v>
      </c>
      <c r="B776" s="30" t="n">
        <v>46319.93055555555</v>
      </c>
      <c r="C776" s="9" t="n">
        <v>46326</v>
      </c>
      <c r="D776" s="10" t="n">
        <v>0.96875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46326</v>
      </c>
      <c r="D777" s="14" t="n">
        <v>0.9993055555555556</v>
      </c>
      <c r="E777" s="37" t="n">
        <v>1</v>
      </c>
      <c r="F777" s="37" t="n">
        <v>0</v>
      </c>
      <c r="G777" s="37" t="n">
        <v>0</v>
      </c>
      <c r="H777" s="37" t="n">
        <v>1</v>
      </c>
      <c r="I777" s="37" t="n">
        <v>0</v>
      </c>
      <c r="J777" s="37" t="n">
        <v>4</v>
      </c>
      <c r="K777" s="16" t="n">
        <v>48</v>
      </c>
    </row>
    <row r="778">
      <c r="A778" s="30" t="n">
        <v>46319.93055555555</v>
      </c>
      <c r="B778" s="30" t="n">
        <v>46319.93958333333</v>
      </c>
      <c r="C778" s="9" t="n">
        <v>46320</v>
      </c>
      <c r="D778" s="10" t="n">
        <v>0.8854166666666666</v>
      </c>
      <c r="E778" s="36" t="n">
        <v>1</v>
      </c>
      <c r="F778" s="36" t="n">
        <v>1</v>
      </c>
      <c r="G778" s="36" t="n">
        <v>0</v>
      </c>
      <c r="H778" s="36" t="n">
        <v>0</v>
      </c>
      <c r="I778" s="36" t="n">
        <v>0</v>
      </c>
      <c r="J778" s="36" t="n">
        <v>2</v>
      </c>
      <c r="K778" s="12" t="n">
        <v>24</v>
      </c>
    </row>
    <row r="779">
      <c r="A779" s="33" t="n">
        <v>46319.93055555555</v>
      </c>
      <c r="B779" s="33" t="n">
        <v>46319.93958333333</v>
      </c>
      <c r="C779" s="13" t="n">
        <v>46326</v>
      </c>
      <c r="D779" s="14" t="n">
        <v>0.9993055555555556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46319.93958333333</v>
      </c>
      <c r="B780" s="30" t="n">
        <v>46319.97361111111</v>
      </c>
      <c r="C780" s="9" t="n">
        <v>46320</v>
      </c>
      <c r="D780" s="10" t="n">
        <v>0.84375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46319.93958333333</v>
      </c>
      <c r="B781" s="33" t="n">
        <v>46319.97361111111</v>
      </c>
      <c r="C781" s="13" t="n">
        <v>46320</v>
      </c>
      <c r="D781" s="14" t="n">
        <v>0.8854166666666666</v>
      </c>
      <c r="E781" s="37" t="n">
        <v>2</v>
      </c>
      <c r="F781" s="37" t="n">
        <v>2</v>
      </c>
      <c r="G781" s="37" t="n">
        <v>0</v>
      </c>
      <c r="H781" s="37" t="n">
        <v>0</v>
      </c>
      <c r="I781" s="37" t="n">
        <v>0</v>
      </c>
      <c r="J781" s="37" t="n">
        <v>4</v>
      </c>
      <c r="K781" s="16" t="n">
        <v>48</v>
      </c>
    </row>
    <row r="782">
      <c r="A782" s="30" t="n">
        <v>46319.93958333333</v>
      </c>
      <c r="B782" s="30" t="n">
        <v>46319.97361111111</v>
      </c>
      <c r="C782" s="9" t="n">
        <v>46320</v>
      </c>
      <c r="D782" s="10" t="n">
        <v>0.9270833333333334</v>
      </c>
      <c r="E782" s="36" t="n">
        <v>1</v>
      </c>
      <c r="F782" s="36" t="n">
        <v>0</v>
      </c>
      <c r="G782" s="36" t="n">
        <v>0</v>
      </c>
      <c r="H782" s="36" t="n">
        <v>1</v>
      </c>
      <c r="I782" s="36" t="n">
        <v>0</v>
      </c>
      <c r="J782" s="36" t="n">
        <v>4</v>
      </c>
      <c r="K782" s="12" t="n">
        <v>48</v>
      </c>
    </row>
    <row r="783">
      <c r="A783" s="33" t="n">
        <v>46319.93958333333</v>
      </c>
      <c r="B783" s="33" t="n">
        <v>46319.97361111111</v>
      </c>
      <c r="C783" s="13" t="n">
        <v>46320</v>
      </c>
      <c r="D783" s="14" t="n">
        <v>0.96875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46324</v>
      </c>
      <c r="D784" s="10" t="n">
        <v>0.9270833333333334</v>
      </c>
      <c r="E784" s="36" t="n">
        <v>1</v>
      </c>
      <c r="F784" s="36" t="n">
        <v>0</v>
      </c>
      <c r="G784" s="36" t="n">
        <v>0</v>
      </c>
      <c r="H784" s="36" t="n">
        <v>1</v>
      </c>
      <c r="I784" s="36" t="n">
        <v>0</v>
      </c>
      <c r="J784" s="36" t="n">
        <v>4</v>
      </c>
      <c r="K784" s="12" t="n">
        <v>48</v>
      </c>
    </row>
    <row r="785">
      <c r="A785" s="33" t="n">
        <v>46319.93958333333</v>
      </c>
      <c r="B785" s="33" t="n">
        <v>46319.97361111111</v>
      </c>
      <c r="C785" s="13" t="n">
        <v>46325</v>
      </c>
      <c r="D785" s="14" t="n">
        <v>0.96875</v>
      </c>
      <c r="E785" s="37" t="n">
        <v>1</v>
      </c>
      <c r="F785" s="37" t="n">
        <v>0</v>
      </c>
      <c r="G785" s="37" t="n">
        <v>0</v>
      </c>
      <c r="H785" s="37" t="n">
        <v>1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46326</v>
      </c>
      <c r="D786" s="10" t="n">
        <v>0.84375</v>
      </c>
      <c r="E786" s="36" t="n">
        <v>1</v>
      </c>
      <c r="F786" s="36" t="n">
        <v>1</v>
      </c>
      <c r="G786" s="36" t="n">
        <v>0</v>
      </c>
      <c r="H786" s="36" t="n">
        <v>0</v>
      </c>
      <c r="I786" s="36" t="n">
        <v>0</v>
      </c>
      <c r="J786" s="36" t="n">
        <v>2</v>
      </c>
      <c r="K786" s="12" t="n">
        <v>24</v>
      </c>
    </row>
    <row r="787">
      <c r="A787" s="33" t="n">
        <v>46319.93958333333</v>
      </c>
      <c r="B787" s="33" t="n">
        <v>46319.97361111111</v>
      </c>
      <c r="C787" s="13" t="n">
        <v>46326</v>
      </c>
      <c r="D787" s="14" t="n">
        <v>0.9270833333333334</v>
      </c>
      <c r="E787" s="37" t="n">
        <v>3</v>
      </c>
      <c r="F787" s="37" t="n">
        <v>1</v>
      </c>
      <c r="G787" s="37" t="n">
        <v>0</v>
      </c>
      <c r="H787" s="37" t="n">
        <v>1</v>
      </c>
      <c r="I787" s="37" t="n">
        <v>1</v>
      </c>
      <c r="J787" s="37" t="n">
        <v>11</v>
      </c>
      <c r="K787" s="16" t="n">
        <v>132</v>
      </c>
    </row>
    <row r="788">
      <c r="A788" s="30" t="n">
        <v>46319.93958333333</v>
      </c>
      <c r="B788" s="30" t="n">
        <v>46319.97361111111</v>
      </c>
      <c r="C788" s="9" t="n">
        <v>46326</v>
      </c>
      <c r="D788" s="10" t="n">
        <v>0.96875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46327</v>
      </c>
      <c r="D789" s="14" t="n">
        <v>0.9270833333333334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46319.975</v>
      </c>
      <c r="B790" s="30" t="n">
        <v>46319.98402777778</v>
      </c>
      <c r="C790" s="9" t="n">
        <v>46326</v>
      </c>
      <c r="D790" s="10" t="n">
        <v>0.8854166666666666</v>
      </c>
      <c r="E790" s="36" t="n">
        <v>1</v>
      </c>
      <c r="F790" s="36" t="n">
        <v>0</v>
      </c>
      <c r="G790" s="36" t="n">
        <v>0</v>
      </c>
      <c r="H790" s="36" t="n">
        <v>1</v>
      </c>
      <c r="I790" s="36" t="n">
        <v>0</v>
      </c>
      <c r="J790" s="36" t="n">
        <v>4</v>
      </c>
      <c r="K790" s="12" t="n">
        <v>48</v>
      </c>
    </row>
    <row r="791">
      <c r="A791" s="33" t="n">
        <v>46319.975</v>
      </c>
      <c r="B791" s="33" t="n">
        <v>46319.98402777778</v>
      </c>
      <c r="C791" s="13" t="n">
        <v>46326</v>
      </c>
      <c r="D791" s="14" t="n">
        <v>0.96875</v>
      </c>
      <c r="E791" s="37" t="n">
        <v>1</v>
      </c>
      <c r="F791" s="37" t="n">
        <v>0</v>
      </c>
      <c r="G791" s="37" t="n">
        <v>0</v>
      </c>
      <c r="H791" s="37" t="n">
        <v>1</v>
      </c>
      <c r="I791" s="37" t="n">
        <v>0</v>
      </c>
      <c r="J791" s="37" t="n">
        <v>4</v>
      </c>
      <c r="K791" s="16" t="n">
        <v>48</v>
      </c>
    </row>
    <row r="792">
      <c r="A792" s="30" t="n">
        <v>46319.98402777778</v>
      </c>
      <c r="B792" s="30" t="n">
        <v>46320.01458333333</v>
      </c>
      <c r="C792" s="9" t="n">
        <v>46320</v>
      </c>
      <c r="D792" s="10" t="n">
        <v>0.8854166666666666</v>
      </c>
      <c r="E792" s="36" t="n">
        <v>1</v>
      </c>
      <c r="F792" s="36" t="n">
        <v>1</v>
      </c>
      <c r="G792" s="36" t="n">
        <v>0</v>
      </c>
      <c r="H792" s="36" t="n">
        <v>0</v>
      </c>
      <c r="I792" s="36" t="n">
        <v>0</v>
      </c>
      <c r="J792" s="36" t="n">
        <v>2</v>
      </c>
      <c r="K792" s="12" t="n">
        <v>24</v>
      </c>
    </row>
    <row r="793">
      <c r="A793" s="33" t="n">
        <v>46319.98402777778</v>
      </c>
      <c r="B793" s="33" t="n">
        <v>46320.01458333333</v>
      </c>
      <c r="C793" s="13" t="n">
        <v>46320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46319.98402777778</v>
      </c>
      <c r="B794" s="30" t="n">
        <v>46320.01458333333</v>
      </c>
      <c r="C794" s="9" t="n">
        <v>46326</v>
      </c>
      <c r="D794" s="10" t="n">
        <v>0.96875</v>
      </c>
      <c r="E794" s="36" t="n">
        <v>1</v>
      </c>
      <c r="F794" s="36" t="n">
        <v>0</v>
      </c>
      <c r="G794" s="36" t="n">
        <v>0</v>
      </c>
      <c r="H794" s="36" t="n">
        <v>1</v>
      </c>
      <c r="I794" s="36" t="n">
        <v>0</v>
      </c>
      <c r="J794" s="36" t="n">
        <v>4</v>
      </c>
      <c r="K794" s="12" t="n">
        <v>48</v>
      </c>
    </row>
    <row r="795">
      <c r="A795" s="33" t="n">
        <v>46320.01458333333</v>
      </c>
      <c r="B795" s="33" t="n">
        <v>46320.05486111111</v>
      </c>
      <c r="C795" s="13" t="n">
        <v>46320</v>
      </c>
      <c r="D795" s="14" t="n">
        <v>0.84375</v>
      </c>
      <c r="E795" s="37" t="n">
        <v>1</v>
      </c>
      <c r="F795" s="37" t="n">
        <v>1</v>
      </c>
      <c r="G795" s="37" t="n">
        <v>0</v>
      </c>
      <c r="H795" s="37" t="n">
        <v>0</v>
      </c>
      <c r="I795" s="37" t="n">
        <v>0</v>
      </c>
      <c r="J795" s="37" t="n">
        <v>2</v>
      </c>
      <c r="K795" s="16" t="n">
        <v>24</v>
      </c>
    </row>
    <row r="796">
      <c r="A796" s="30" t="n">
        <v>46320.01458333333</v>
      </c>
      <c r="B796" s="30" t="n">
        <v>46320.05486111111</v>
      </c>
      <c r="C796" s="9" t="n">
        <v>46320</v>
      </c>
      <c r="D796" s="10" t="n">
        <v>0.9270833333333334</v>
      </c>
      <c r="E796" s="36" t="n">
        <v>2</v>
      </c>
      <c r="F796" s="36" t="n">
        <v>0</v>
      </c>
      <c r="G796" s="36" t="n">
        <v>0</v>
      </c>
      <c r="H796" s="36" t="n">
        <v>1</v>
      </c>
      <c r="I796" s="36" t="n">
        <v>1</v>
      </c>
      <c r="J796" s="36" t="n">
        <v>9</v>
      </c>
      <c r="K796" s="12" t="n">
        <v>108</v>
      </c>
    </row>
    <row r="797">
      <c r="A797" s="33" t="n">
        <v>46320.01458333333</v>
      </c>
      <c r="B797" s="33" t="n">
        <v>46320.05486111111</v>
      </c>
      <c r="C797" s="13" t="n">
        <v>46325</v>
      </c>
      <c r="D797" s="14" t="n">
        <v>0.96875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46320.01458333333</v>
      </c>
      <c r="B798" s="30" t="n">
        <v>46320.05486111111</v>
      </c>
      <c r="C798" s="9" t="n">
        <v>46326</v>
      </c>
      <c r="D798" s="10" t="n">
        <v>0.8854166666666666</v>
      </c>
      <c r="E798" s="36" t="n">
        <v>2</v>
      </c>
      <c r="F798" s="36" t="n">
        <v>2</v>
      </c>
      <c r="G798" s="36" t="n">
        <v>0</v>
      </c>
      <c r="H798" s="36" t="n">
        <v>0</v>
      </c>
      <c r="I798" s="36" t="n">
        <v>0</v>
      </c>
      <c r="J798" s="36" t="n">
        <v>4</v>
      </c>
      <c r="K798" s="12" t="n">
        <v>48</v>
      </c>
    </row>
    <row r="799">
      <c r="A799" s="33" t="n">
        <v>46320.01458333333</v>
      </c>
      <c r="B799" s="33" t="n">
        <v>46320.05486111111</v>
      </c>
      <c r="C799" s="13" t="n">
        <v>46326</v>
      </c>
      <c r="D799" s="14" t="n">
        <v>0.9270833333333334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46320.05486111111</v>
      </c>
      <c r="B800" s="30" t="n">
        <v>46320.09583333333</v>
      </c>
      <c r="C800" s="9" t="n">
        <v>46320</v>
      </c>
      <c r="D800" s="10" t="n">
        <v>0.8854166666666666</v>
      </c>
      <c r="E800" s="36" t="n">
        <v>1</v>
      </c>
      <c r="F800" s="36" t="n">
        <v>0</v>
      </c>
      <c r="G800" s="36" t="n">
        <v>0</v>
      </c>
      <c r="H800" s="36" t="n">
        <v>1</v>
      </c>
      <c r="I800" s="36" t="n">
        <v>0</v>
      </c>
      <c r="J800" s="36" t="n">
        <v>4</v>
      </c>
      <c r="K800" s="12" t="n">
        <v>48</v>
      </c>
    </row>
    <row r="801">
      <c r="A801" s="33" t="n">
        <v>46320.05486111111</v>
      </c>
      <c r="B801" s="33" t="n">
        <v>46320.09583333333</v>
      </c>
      <c r="C801" s="13" t="n">
        <v>46320</v>
      </c>
      <c r="D801" s="14" t="n">
        <v>0.9270833333333334</v>
      </c>
      <c r="E801" s="37" t="n">
        <v>1</v>
      </c>
      <c r="F801" s="37" t="n">
        <v>0</v>
      </c>
      <c r="G801" s="37" t="n">
        <v>0</v>
      </c>
      <c r="H801" s="37" t="n">
        <v>1</v>
      </c>
      <c r="I801" s="37" t="n">
        <v>0</v>
      </c>
      <c r="J801" s="37" t="n">
        <v>4</v>
      </c>
      <c r="K801" s="16" t="n">
        <v>48</v>
      </c>
    </row>
    <row r="802">
      <c r="A802" s="30" t="n">
        <v>46320.05486111111</v>
      </c>
      <c r="B802" s="30" t="n">
        <v>46320.09583333333</v>
      </c>
      <c r="C802" s="9" t="n">
        <v>46326</v>
      </c>
      <c r="D802" s="10" t="n">
        <v>0.96875</v>
      </c>
      <c r="E802" s="36" t="n">
        <v>1</v>
      </c>
      <c r="F802" s="36" t="n">
        <v>1</v>
      </c>
      <c r="G802" s="36" t="n">
        <v>0</v>
      </c>
      <c r="H802" s="36" t="n">
        <v>0</v>
      </c>
      <c r="I802" s="36" t="n">
        <v>0</v>
      </c>
      <c r="J802" s="36" t="n">
        <v>2</v>
      </c>
      <c r="K802" s="12" t="n">
        <v>24</v>
      </c>
    </row>
    <row r="803">
      <c r="A803" s="33" t="n">
        <v>46320.10277777778</v>
      </c>
      <c r="B803" s="33" t="n">
        <v>46320.14305555556</v>
      </c>
      <c r="C803" s="13" t="n">
        <v>46320</v>
      </c>
      <c r="D803" s="14" t="n">
        <v>0.8854166666666666</v>
      </c>
      <c r="E803" s="37" t="n">
        <v>2</v>
      </c>
      <c r="F803" s="37" t="n">
        <v>2</v>
      </c>
      <c r="G803" s="37" t="n">
        <v>0</v>
      </c>
      <c r="H803" s="37" t="n">
        <v>0</v>
      </c>
      <c r="I803" s="37" t="n">
        <v>0</v>
      </c>
      <c r="J803" s="37" t="n">
        <v>4</v>
      </c>
      <c r="K803" s="16" t="n">
        <v>48</v>
      </c>
    </row>
    <row r="804">
      <c r="A804" s="30" t="n">
        <v>46320.10277777778</v>
      </c>
      <c r="B804" s="30" t="n">
        <v>46320.14305555556</v>
      </c>
      <c r="C804" s="9" t="n">
        <v>46320</v>
      </c>
      <c r="D804" s="10" t="n">
        <v>0.96875</v>
      </c>
      <c r="E804" s="36" t="n">
        <v>1</v>
      </c>
      <c r="F804" s="36" t="n">
        <v>0</v>
      </c>
      <c r="G804" s="36" t="n">
        <v>0</v>
      </c>
      <c r="H804" s="36" t="n">
        <v>1</v>
      </c>
      <c r="I804" s="36" t="n">
        <v>0</v>
      </c>
      <c r="J804" s="36" t="n">
        <v>4</v>
      </c>
      <c r="K804" s="12" t="n">
        <v>48</v>
      </c>
    </row>
    <row r="805">
      <c r="A805" s="33" t="n">
        <v>46320.18472222222</v>
      </c>
      <c r="B805" s="33" t="n">
        <v>46320.22708333333</v>
      </c>
      <c r="C805" s="13" t="n">
        <v>46320</v>
      </c>
      <c r="D805" s="14" t="n">
        <v>0.8854166666666666</v>
      </c>
      <c r="E805" s="37" t="n">
        <v>1</v>
      </c>
      <c r="F805" s="37" t="n">
        <v>0</v>
      </c>
      <c r="G805" s="37" t="n">
        <v>1</v>
      </c>
      <c r="H805" s="37" t="n">
        <v>0</v>
      </c>
      <c r="I805" s="37" t="n">
        <v>0</v>
      </c>
      <c r="J805" s="37" t="n">
        <v>3</v>
      </c>
      <c r="K805" s="16" t="n">
        <v>36</v>
      </c>
    </row>
    <row r="806">
      <c r="A806" s="30" t="n">
        <v>46320.18472222222</v>
      </c>
      <c r="B806" s="30" t="n">
        <v>46320.22708333333</v>
      </c>
      <c r="C806" s="9" t="n">
        <v>46320</v>
      </c>
      <c r="D806" s="10" t="n">
        <v>0.96875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46320.26736111111</v>
      </c>
      <c r="B807" s="33" t="n">
        <v>46320.31180555555</v>
      </c>
      <c r="C807" s="13" t="n">
        <v>46320</v>
      </c>
      <c r="D807" s="14" t="n">
        <v>0.8854166666666666</v>
      </c>
      <c r="E807" s="37" t="n">
        <v>1</v>
      </c>
      <c r="F807" s="37" t="n">
        <v>0</v>
      </c>
      <c r="G807" s="37" t="n">
        <v>0</v>
      </c>
      <c r="H807" s="37" t="n">
        <v>0</v>
      </c>
      <c r="I807" s="37" t="n">
        <v>1</v>
      </c>
      <c r="J807" s="37" t="n">
        <v>5</v>
      </c>
      <c r="K807" s="16" t="n">
        <v>60</v>
      </c>
    </row>
    <row r="808">
      <c r="A808" s="30" t="n">
        <v>46320.26736111111</v>
      </c>
      <c r="B808" s="30" t="n">
        <v>46320.31180555555</v>
      </c>
      <c r="C808" s="9" t="n">
        <v>46320</v>
      </c>
      <c r="D808" s="10" t="n">
        <v>0.9993055555555556</v>
      </c>
      <c r="E808" s="36" t="n">
        <v>1</v>
      </c>
      <c r="F808" s="36" t="n">
        <v>0</v>
      </c>
      <c r="G808" s="36" t="n">
        <v>1</v>
      </c>
      <c r="H808" s="36" t="n">
        <v>0</v>
      </c>
      <c r="I808" s="36" t="n">
        <v>0</v>
      </c>
      <c r="J808" s="36" t="n">
        <v>3</v>
      </c>
      <c r="K808" s="12" t="n">
        <v>36</v>
      </c>
    </row>
    <row r="809">
      <c r="A809" s="33" t="n">
        <v>46320.31180555555</v>
      </c>
      <c r="B809" s="33" t="n">
        <v>46320.35694444444</v>
      </c>
      <c r="C809" s="13" t="n">
        <v>46320</v>
      </c>
      <c r="D809" s="14" t="n">
        <v>0.9993055555555556</v>
      </c>
      <c r="E809" s="37" t="n">
        <v>1</v>
      </c>
      <c r="F809" s="37" t="n">
        <v>1</v>
      </c>
      <c r="G809" s="37" t="n">
        <v>0</v>
      </c>
      <c r="H809" s="37" t="n">
        <v>0</v>
      </c>
      <c r="I809" s="37" t="n">
        <v>0</v>
      </c>
      <c r="J809" s="37" t="n">
        <v>2</v>
      </c>
      <c r="K809" s="16" t="n">
        <v>24</v>
      </c>
    </row>
    <row r="810">
      <c r="A810" s="30" t="n">
        <v>46320.31180555555</v>
      </c>
      <c r="B810" s="30" t="n">
        <v>46320.35694444444</v>
      </c>
      <c r="C810" s="9" t="n">
        <v>46327</v>
      </c>
      <c r="D810" s="10" t="n">
        <v>0.8854166666666666</v>
      </c>
      <c r="E810" s="36" t="n">
        <v>1</v>
      </c>
      <c r="F810" s="36" t="n">
        <v>1</v>
      </c>
      <c r="G810" s="36" t="n">
        <v>0</v>
      </c>
      <c r="H810" s="36" t="n">
        <v>0</v>
      </c>
      <c r="I810" s="36" t="n">
        <v>0</v>
      </c>
      <c r="J810" s="36" t="n">
        <v>2</v>
      </c>
      <c r="K810" s="12" t="n">
        <v>24</v>
      </c>
    </row>
    <row r="811">
      <c r="A811" s="33" t="n">
        <v>46320.35694444444</v>
      </c>
      <c r="B811" s="33" t="n">
        <v>46320.39166666667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0</v>
      </c>
      <c r="H811" s="37" t="n">
        <v>1</v>
      </c>
      <c r="I811" s="37" t="n">
        <v>0</v>
      </c>
      <c r="J811" s="37" t="n">
        <v>4</v>
      </c>
      <c r="K811" s="16" t="n">
        <v>48</v>
      </c>
    </row>
    <row r="812">
      <c r="A812" s="30" t="n">
        <v>46320.35694444444</v>
      </c>
      <c r="B812" s="30" t="n">
        <v>46320.39166666667</v>
      </c>
      <c r="C812" s="9" t="n">
        <v>46320</v>
      </c>
      <c r="D812" s="10" t="n">
        <v>0.96875</v>
      </c>
      <c r="E812" s="36" t="n">
        <v>1</v>
      </c>
      <c r="F812" s="36" t="n">
        <v>1</v>
      </c>
      <c r="G812" s="36" t="n">
        <v>0</v>
      </c>
      <c r="H812" s="36" t="n">
        <v>0</v>
      </c>
      <c r="I812" s="36" t="n">
        <v>0</v>
      </c>
      <c r="J812" s="36" t="n">
        <v>2</v>
      </c>
      <c r="K812" s="12" t="n">
        <v>24</v>
      </c>
    </row>
    <row r="813">
      <c r="A813" s="33" t="n">
        <v>46320.35694444444</v>
      </c>
      <c r="B813" s="33" t="n">
        <v>46320.39166666667</v>
      </c>
      <c r="C813" s="13" t="n">
        <v>46325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1</v>
      </c>
      <c r="I813" s="37" t="n">
        <v>0</v>
      </c>
      <c r="J813" s="37" t="n">
        <v>4</v>
      </c>
      <c r="K813" s="16" t="n">
        <v>48</v>
      </c>
    </row>
    <row r="814">
      <c r="A814" s="30" t="n">
        <v>46320.39166666667</v>
      </c>
      <c r="B814" s="30" t="n">
        <v>46320.43055555555</v>
      </c>
      <c r="C814" s="9" t="n">
        <v>46320</v>
      </c>
      <c r="D814" s="10" t="n">
        <v>0.9270833333333334</v>
      </c>
      <c r="E814" s="36" t="n">
        <v>1</v>
      </c>
      <c r="F814" s="36" t="n">
        <v>1</v>
      </c>
      <c r="G814" s="36" t="n">
        <v>0</v>
      </c>
      <c r="H814" s="36" t="n">
        <v>0</v>
      </c>
      <c r="I814" s="36" t="n">
        <v>0</v>
      </c>
      <c r="J814" s="36" t="n">
        <v>2</v>
      </c>
      <c r="K814" s="12" t="n">
        <v>24</v>
      </c>
    </row>
    <row r="815">
      <c r="A815" s="33" t="n">
        <v>46320.39166666667</v>
      </c>
      <c r="B815" s="33" t="n">
        <v>46320.43055555555</v>
      </c>
      <c r="C815" s="13" t="n">
        <v>46320</v>
      </c>
      <c r="D815" s="14" t="n">
        <v>0.96875</v>
      </c>
      <c r="E815" s="37" t="n">
        <v>4</v>
      </c>
      <c r="F815" s="37" t="n">
        <v>4</v>
      </c>
      <c r="G815" s="37" t="n">
        <v>0</v>
      </c>
      <c r="H815" s="37" t="n">
        <v>0</v>
      </c>
      <c r="I815" s="37" t="n">
        <v>0</v>
      </c>
      <c r="J815" s="37" t="n">
        <v>8</v>
      </c>
      <c r="K815" s="16" t="n">
        <v>96</v>
      </c>
    </row>
    <row r="816">
      <c r="A816" s="30" t="n">
        <v>46320.39166666667</v>
      </c>
      <c r="B816" s="30" t="n">
        <v>46320.43055555555</v>
      </c>
      <c r="C816" s="9" t="n">
        <v>46326</v>
      </c>
      <c r="D816" s="10" t="n">
        <v>0.9270833333333334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46320.39166666667</v>
      </c>
      <c r="B817" s="33" t="n">
        <v>46320.43055555555</v>
      </c>
      <c r="C817" s="13" t="n">
        <v>46326</v>
      </c>
      <c r="D817" s="14" t="n">
        <v>0.96875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46320.43333333333</v>
      </c>
      <c r="B818" s="30" t="n">
        <v>46320.47430555556</v>
      </c>
      <c r="C818" s="9" t="n">
        <v>46320</v>
      </c>
      <c r="D818" s="10" t="n">
        <v>0.84375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46320.43333333333</v>
      </c>
      <c r="B819" s="33" t="n">
        <v>46320.47430555556</v>
      </c>
      <c r="C819" s="13" t="n">
        <v>46320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46320.43333333333</v>
      </c>
      <c r="B820" s="30" t="n">
        <v>46320.47430555556</v>
      </c>
      <c r="C820" s="9" t="n">
        <v>46320</v>
      </c>
      <c r="D820" s="10" t="n">
        <v>0.96875</v>
      </c>
      <c r="E820" s="36" t="n">
        <v>1</v>
      </c>
      <c r="F820" s="36" t="n">
        <v>0</v>
      </c>
      <c r="G820" s="36" t="n">
        <v>0</v>
      </c>
      <c r="H820" s="36" t="n">
        <v>1</v>
      </c>
      <c r="I820" s="36" t="n">
        <v>0</v>
      </c>
      <c r="J820" s="36" t="n">
        <v>4</v>
      </c>
      <c r="K820" s="12" t="n">
        <v>48</v>
      </c>
    </row>
    <row r="821">
      <c r="A821" s="33" t="n">
        <v>46320.43333333333</v>
      </c>
      <c r="B821" s="33" t="n">
        <v>46320.47430555556</v>
      </c>
      <c r="C821" s="13" t="n">
        <v>46324</v>
      </c>
      <c r="D821" s="14" t="n">
        <v>0.9270833333333334</v>
      </c>
      <c r="E821" s="37" t="n">
        <v>2</v>
      </c>
      <c r="F821" s="37" t="n">
        <v>1</v>
      </c>
      <c r="G821" s="37" t="n">
        <v>0</v>
      </c>
      <c r="H821" s="37" t="n">
        <v>1</v>
      </c>
      <c r="I821" s="37" t="n">
        <v>0</v>
      </c>
      <c r="J821" s="37" t="n">
        <v>6</v>
      </c>
      <c r="K821" s="16" t="n">
        <v>72</v>
      </c>
    </row>
    <row r="822">
      <c r="A822" s="30" t="n">
        <v>46320.43333333333</v>
      </c>
      <c r="B822" s="30" t="n">
        <v>46320.47430555556</v>
      </c>
      <c r="C822" s="9" t="n">
        <v>46325</v>
      </c>
      <c r="D822" s="10" t="n">
        <v>0.9270833333333334</v>
      </c>
      <c r="E822" s="36" t="n">
        <v>1</v>
      </c>
      <c r="F822" s="36" t="n">
        <v>0</v>
      </c>
      <c r="G822" s="36" t="n">
        <v>0</v>
      </c>
      <c r="H822" s="36" t="n">
        <v>1</v>
      </c>
      <c r="I822" s="36" t="n">
        <v>0</v>
      </c>
      <c r="J822" s="36" t="n">
        <v>4</v>
      </c>
      <c r="K822" s="12" t="n">
        <v>48</v>
      </c>
    </row>
    <row r="823">
      <c r="A823" s="33" t="n">
        <v>46320.47430555556</v>
      </c>
      <c r="B823" s="33" t="n">
        <v>46320.49930555555</v>
      </c>
      <c r="C823" s="13" t="n">
        <v>46320</v>
      </c>
      <c r="D823" s="14" t="n">
        <v>0.84375</v>
      </c>
      <c r="E823" s="37" t="n">
        <v>1</v>
      </c>
      <c r="F823" s="37" t="n">
        <v>0</v>
      </c>
      <c r="G823" s="37" t="n">
        <v>1</v>
      </c>
      <c r="H823" s="37" t="n">
        <v>0</v>
      </c>
      <c r="I823" s="37" t="n">
        <v>0</v>
      </c>
      <c r="J823" s="37" t="n">
        <v>3</v>
      </c>
      <c r="K823" s="16" t="n">
        <v>36</v>
      </c>
    </row>
    <row r="824">
      <c r="A824" s="30" t="n">
        <v>46320.47430555556</v>
      </c>
      <c r="B824" s="30" t="n">
        <v>46320.49930555555</v>
      </c>
      <c r="C824" s="9" t="n">
        <v>46320</v>
      </c>
      <c r="D824" s="10" t="n">
        <v>0.8854166666666666</v>
      </c>
      <c r="E824" s="36" t="n">
        <v>3</v>
      </c>
      <c r="F824" s="36" t="n">
        <v>1</v>
      </c>
      <c r="G824" s="36" t="n">
        <v>0</v>
      </c>
      <c r="H824" s="36" t="n">
        <v>1</v>
      </c>
      <c r="I824" s="36" t="n">
        <v>1</v>
      </c>
      <c r="J824" s="36" t="n">
        <v>11</v>
      </c>
      <c r="K824" s="12" t="n">
        <v>132</v>
      </c>
    </row>
    <row r="825">
      <c r="A825" s="33" t="n">
        <v>46320.47430555556</v>
      </c>
      <c r="B825" s="33" t="n">
        <v>46320.49930555555</v>
      </c>
      <c r="C825" s="13" t="n">
        <v>46320</v>
      </c>
      <c r="D825" s="14" t="n">
        <v>0.9270833333333334</v>
      </c>
      <c r="E825" s="37" t="n">
        <v>2</v>
      </c>
      <c r="F825" s="37" t="n">
        <v>1</v>
      </c>
      <c r="G825" s="37" t="n">
        <v>0</v>
      </c>
      <c r="H825" s="37" t="n">
        <v>1</v>
      </c>
      <c r="I825" s="37" t="n">
        <v>0</v>
      </c>
      <c r="J825" s="37" t="n">
        <v>6</v>
      </c>
      <c r="K825" s="16" t="n">
        <v>72</v>
      </c>
    </row>
    <row r="826">
      <c r="A826" s="30" t="n">
        <v>46320.49930555555</v>
      </c>
      <c r="B826" s="30" t="n">
        <v>46320.51527777778</v>
      </c>
      <c r="C826" s="9" t="n">
        <v>46320</v>
      </c>
      <c r="D826" s="10" t="n">
        <v>0.9270833333333334</v>
      </c>
      <c r="E826" s="36" t="n">
        <v>2</v>
      </c>
      <c r="F826" s="36" t="n">
        <v>0</v>
      </c>
      <c r="G826" s="36" t="n">
        <v>0</v>
      </c>
      <c r="H826" s="36" t="n">
        <v>2</v>
      </c>
      <c r="I826" s="36" t="n">
        <v>0</v>
      </c>
      <c r="J826" s="36" t="n">
        <v>8</v>
      </c>
      <c r="K826" s="12" t="n">
        <v>96</v>
      </c>
    </row>
    <row r="827">
      <c r="A827" s="33" t="n">
        <v>46320.49930555555</v>
      </c>
      <c r="B827" s="33" t="n">
        <v>46320.51527777778</v>
      </c>
      <c r="C827" s="13" t="n">
        <v>46320</v>
      </c>
      <c r="D827" s="14" t="n">
        <v>0.96875</v>
      </c>
      <c r="E827" s="37" t="n">
        <v>2</v>
      </c>
      <c r="F827" s="37" t="n">
        <v>0</v>
      </c>
      <c r="G827" s="37" t="n">
        <v>0</v>
      </c>
      <c r="H827" s="37" t="n">
        <v>1</v>
      </c>
      <c r="I827" s="37" t="n">
        <v>1</v>
      </c>
      <c r="J827" s="37" t="n">
        <v>9</v>
      </c>
      <c r="K827" s="16" t="n">
        <v>108</v>
      </c>
    </row>
    <row r="828">
      <c r="A828" s="30" t="n">
        <v>46320.49930555555</v>
      </c>
      <c r="B828" s="30" t="n">
        <v>46320.51527777778</v>
      </c>
      <c r="C828" s="9" t="n">
        <v>46326</v>
      </c>
      <c r="D828" s="10" t="n">
        <v>0.84375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46320.51527777778</v>
      </c>
      <c r="B829" s="33" t="n">
        <v>46320.53680555556</v>
      </c>
      <c r="C829" s="13" t="n">
        <v>46320</v>
      </c>
      <c r="D829" s="14" t="n">
        <v>0.84375</v>
      </c>
      <c r="E829" s="37" t="n">
        <v>4</v>
      </c>
      <c r="F829" s="37" t="n">
        <v>1</v>
      </c>
      <c r="G829" s="37" t="n">
        <v>0</v>
      </c>
      <c r="H829" s="37" t="n">
        <v>2</v>
      </c>
      <c r="I829" s="37" t="n">
        <v>1</v>
      </c>
      <c r="J829" s="37" t="n">
        <v>15</v>
      </c>
      <c r="K829" s="16" t="n">
        <v>180</v>
      </c>
    </row>
    <row r="830">
      <c r="A830" s="30" t="n">
        <v>46320.51527777778</v>
      </c>
      <c r="B830" s="30" t="n">
        <v>46320.53680555556</v>
      </c>
      <c r="C830" s="9" t="n">
        <v>46320</v>
      </c>
      <c r="D830" s="10" t="n">
        <v>0.8854166666666666</v>
      </c>
      <c r="E830" s="36" t="n">
        <v>2</v>
      </c>
      <c r="F830" s="36" t="n">
        <v>1</v>
      </c>
      <c r="G830" s="36" t="n">
        <v>1</v>
      </c>
      <c r="H830" s="36" t="n">
        <v>0</v>
      </c>
      <c r="I830" s="36" t="n">
        <v>0</v>
      </c>
      <c r="J830" s="36" t="n">
        <v>5</v>
      </c>
      <c r="K830" s="12" t="n">
        <v>60</v>
      </c>
    </row>
    <row r="831">
      <c r="A831" s="33" t="n">
        <v>46320.51527777778</v>
      </c>
      <c r="B831" s="33" t="n">
        <v>46320.53680555556</v>
      </c>
      <c r="C831" s="13" t="n">
        <v>46320</v>
      </c>
      <c r="D831" s="14" t="n">
        <v>0.9270833333333334</v>
      </c>
      <c r="E831" s="37" t="n">
        <v>1</v>
      </c>
      <c r="F831" s="37" t="n">
        <v>1</v>
      </c>
      <c r="G831" s="37" t="n">
        <v>0</v>
      </c>
      <c r="H831" s="37" t="n">
        <v>0</v>
      </c>
      <c r="I831" s="37" t="n">
        <v>0</v>
      </c>
      <c r="J831" s="37" t="n">
        <v>2</v>
      </c>
      <c r="K831" s="16" t="n">
        <v>24</v>
      </c>
    </row>
    <row r="832">
      <c r="A832" s="30" t="n">
        <v>46320.51527777778</v>
      </c>
      <c r="B832" s="30" t="n">
        <v>46320.53680555556</v>
      </c>
      <c r="C832" s="9" t="n">
        <v>46320</v>
      </c>
      <c r="D832" s="10" t="n">
        <v>0.96875</v>
      </c>
      <c r="E832" s="36" t="n">
        <v>2</v>
      </c>
      <c r="F832" s="36" t="n">
        <v>0</v>
      </c>
      <c r="G832" s="36" t="n">
        <v>0</v>
      </c>
      <c r="H832" s="36" t="n">
        <v>1</v>
      </c>
      <c r="I832" s="36" t="n">
        <v>1</v>
      </c>
      <c r="J832" s="36" t="n">
        <v>9</v>
      </c>
      <c r="K832" s="12" t="n">
        <v>108</v>
      </c>
    </row>
    <row r="833">
      <c r="A833" s="33" t="n">
        <v>46320.51527777778</v>
      </c>
      <c r="B833" s="33" t="n">
        <v>46320.53680555556</v>
      </c>
      <c r="C833" s="13" t="n">
        <v>46320</v>
      </c>
      <c r="D833" s="14" t="n">
        <v>0.9993055555555556</v>
      </c>
      <c r="E833" s="37" t="n">
        <v>1</v>
      </c>
      <c r="F833" s="37" t="n">
        <v>0</v>
      </c>
      <c r="G833" s="37" t="n">
        <v>0</v>
      </c>
      <c r="H833" s="37" t="n">
        <v>1</v>
      </c>
      <c r="I833" s="37" t="n">
        <v>0</v>
      </c>
      <c r="J833" s="37" t="n">
        <v>4</v>
      </c>
      <c r="K833" s="16" t="n">
        <v>48</v>
      </c>
    </row>
    <row r="834">
      <c r="A834" s="30" t="n">
        <v>46320.51527777778</v>
      </c>
      <c r="B834" s="30" t="n">
        <v>46320.53680555556</v>
      </c>
      <c r="C834" s="9" t="n">
        <v>46325</v>
      </c>
      <c r="D834" s="10" t="n">
        <v>0.9270833333333334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46326</v>
      </c>
      <c r="D835" s="14" t="n">
        <v>0.8854166666666666</v>
      </c>
      <c r="E835" s="37" t="n">
        <v>2</v>
      </c>
      <c r="F835" s="37" t="n">
        <v>0</v>
      </c>
      <c r="G835" s="37" t="n">
        <v>2</v>
      </c>
      <c r="H835" s="37" t="n">
        <v>0</v>
      </c>
      <c r="I835" s="37" t="n">
        <v>0</v>
      </c>
      <c r="J835" s="37" t="n">
        <v>6</v>
      </c>
      <c r="K835" s="16" t="n">
        <v>72</v>
      </c>
    </row>
    <row r="836">
      <c r="A836" s="30" t="n">
        <v>46320.51527777778</v>
      </c>
      <c r="B836" s="30" t="n">
        <v>46320.53680555556</v>
      </c>
      <c r="C836" s="9" t="n">
        <v>46326</v>
      </c>
      <c r="D836" s="10" t="n">
        <v>0.96875</v>
      </c>
      <c r="E836" s="36" t="n">
        <v>1</v>
      </c>
      <c r="F836" s="36" t="n">
        <v>0</v>
      </c>
      <c r="G836" s="36" t="n">
        <v>0</v>
      </c>
      <c r="H836" s="36" t="n">
        <v>1</v>
      </c>
      <c r="I836" s="36" t="n">
        <v>0</v>
      </c>
      <c r="J836" s="36" t="n">
        <v>4</v>
      </c>
      <c r="K836" s="12" t="n">
        <v>48</v>
      </c>
    </row>
    <row r="837">
      <c r="A837" s="33" t="n">
        <v>46320.53680555556</v>
      </c>
      <c r="B837" s="33" t="n">
        <v>46320.55833333333</v>
      </c>
      <c r="C837" s="13" t="n">
        <v>46320</v>
      </c>
      <c r="D837" s="14" t="n">
        <v>0.84375</v>
      </c>
      <c r="E837" s="37" t="n">
        <v>3</v>
      </c>
      <c r="F837" s="37" t="n">
        <v>3</v>
      </c>
      <c r="G837" s="37" t="n">
        <v>0</v>
      </c>
      <c r="H837" s="37" t="n">
        <v>0</v>
      </c>
      <c r="I837" s="37" t="n">
        <v>0</v>
      </c>
      <c r="J837" s="37" t="n">
        <v>6</v>
      </c>
      <c r="K837" s="16" t="n">
        <v>72</v>
      </c>
    </row>
    <row r="838">
      <c r="A838" s="30" t="n">
        <v>46320.53680555556</v>
      </c>
      <c r="B838" s="30" t="n">
        <v>46320.55833333333</v>
      </c>
      <c r="C838" s="9" t="n">
        <v>46320</v>
      </c>
      <c r="D838" s="10" t="n">
        <v>0.8854166666666666</v>
      </c>
      <c r="E838" s="36" t="n">
        <v>1</v>
      </c>
      <c r="F838" s="36" t="n">
        <v>0</v>
      </c>
      <c r="G838" s="36" t="n">
        <v>0</v>
      </c>
      <c r="H838" s="36" t="n">
        <v>1</v>
      </c>
      <c r="I838" s="36" t="n">
        <v>0</v>
      </c>
      <c r="J838" s="36" t="n">
        <v>4</v>
      </c>
      <c r="K838" s="12" t="n">
        <v>48</v>
      </c>
    </row>
    <row r="839">
      <c r="A839" s="33" t="n">
        <v>46320.53680555556</v>
      </c>
      <c r="B839" s="33" t="n">
        <v>46320.55833333333</v>
      </c>
      <c r="C839" s="13" t="n">
        <v>46320</v>
      </c>
      <c r="D839" s="14" t="n">
        <v>0.9270833333333334</v>
      </c>
      <c r="E839" s="37" t="n">
        <v>1</v>
      </c>
      <c r="F839" s="37" t="n">
        <v>1</v>
      </c>
      <c r="G839" s="37" t="n">
        <v>0</v>
      </c>
      <c r="H839" s="37" t="n">
        <v>0</v>
      </c>
      <c r="I839" s="37" t="n">
        <v>0</v>
      </c>
      <c r="J839" s="37" t="n">
        <v>2</v>
      </c>
      <c r="K839" s="16" t="n">
        <v>24</v>
      </c>
    </row>
    <row r="840">
      <c r="A840" s="30" t="n">
        <v>46320.53680555556</v>
      </c>
      <c r="B840" s="30" t="n">
        <v>46320.55833333333</v>
      </c>
      <c r="C840" s="9" t="n">
        <v>46320</v>
      </c>
      <c r="D840" s="10" t="n">
        <v>0.9993055555555556</v>
      </c>
      <c r="E840" s="36" t="n">
        <v>1</v>
      </c>
      <c r="F840" s="36" t="n">
        <v>1</v>
      </c>
      <c r="G840" s="36" t="n">
        <v>0</v>
      </c>
      <c r="H840" s="36" t="n">
        <v>0</v>
      </c>
      <c r="I840" s="36" t="n">
        <v>0</v>
      </c>
      <c r="J840" s="36" t="n">
        <v>2</v>
      </c>
      <c r="K840" s="12" t="n">
        <v>24</v>
      </c>
    </row>
    <row r="841">
      <c r="A841" s="33" t="n">
        <v>46320.53680555556</v>
      </c>
      <c r="B841" s="33" t="n">
        <v>46320.55833333333</v>
      </c>
      <c r="C841" s="13" t="n">
        <v>46326</v>
      </c>
      <c r="D841" s="14" t="n">
        <v>0.8854166666666666</v>
      </c>
      <c r="E841" s="37" t="n">
        <v>1</v>
      </c>
      <c r="F841" s="37" t="n">
        <v>0</v>
      </c>
      <c r="G841" s="37" t="n">
        <v>0</v>
      </c>
      <c r="H841" s="37" t="n">
        <v>1</v>
      </c>
      <c r="I841" s="37" t="n">
        <v>0</v>
      </c>
      <c r="J841" s="37" t="n">
        <v>4</v>
      </c>
      <c r="K841" s="16" t="n">
        <v>48</v>
      </c>
    </row>
    <row r="842">
      <c r="A842" s="30" t="n">
        <v>46320.53680555556</v>
      </c>
      <c r="B842" s="30" t="n">
        <v>46320.55833333333</v>
      </c>
      <c r="C842" s="9" t="n">
        <v>46326</v>
      </c>
      <c r="D842" s="10" t="n">
        <v>0.9270833333333334</v>
      </c>
      <c r="E842" s="36" t="n">
        <v>2</v>
      </c>
      <c r="F842" s="36" t="n">
        <v>2</v>
      </c>
      <c r="G842" s="36" t="n">
        <v>0</v>
      </c>
      <c r="H842" s="36" t="n">
        <v>0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46326</v>
      </c>
      <c r="D843" s="14" t="n">
        <v>0.96875</v>
      </c>
      <c r="E843" s="37" t="n">
        <v>1</v>
      </c>
      <c r="F843" s="37" t="n">
        <v>0</v>
      </c>
      <c r="G843" s="37" t="n">
        <v>1</v>
      </c>
      <c r="H843" s="37" t="n">
        <v>0</v>
      </c>
      <c r="I843" s="37" t="n">
        <v>0</v>
      </c>
      <c r="J843" s="37" t="n">
        <v>3</v>
      </c>
      <c r="K843" s="16" t="n">
        <v>36</v>
      </c>
    </row>
    <row r="844">
      <c r="A844" s="30" t="n">
        <v>46320.53680555556</v>
      </c>
      <c r="B844" s="30" t="n">
        <v>46320.55833333333</v>
      </c>
      <c r="C844" s="9" t="n">
        <v>46326</v>
      </c>
      <c r="D844" s="10" t="n">
        <v>0.9993055555555556</v>
      </c>
      <c r="E844" s="36" t="n">
        <v>1</v>
      </c>
      <c r="F844" s="36" t="n">
        <v>1</v>
      </c>
      <c r="G844" s="36" t="n">
        <v>0</v>
      </c>
      <c r="H844" s="36" t="n">
        <v>0</v>
      </c>
      <c r="I844" s="36" t="n">
        <v>0</v>
      </c>
      <c r="J844" s="36" t="n">
        <v>2</v>
      </c>
      <c r="K844" s="12" t="n">
        <v>24</v>
      </c>
    </row>
    <row r="845">
      <c r="A845" s="33" t="n">
        <v>46320.56041666667</v>
      </c>
      <c r="B845" s="33" t="n">
        <v>46320.58819444444</v>
      </c>
      <c r="C845" s="13" t="n">
        <v>46320</v>
      </c>
      <c r="D845" s="14" t="n">
        <v>0.84375</v>
      </c>
      <c r="E845" s="37" t="n">
        <v>1</v>
      </c>
      <c r="F845" s="37" t="n">
        <v>0</v>
      </c>
      <c r="G845" s="37" t="n">
        <v>0</v>
      </c>
      <c r="H845" s="37" t="n">
        <v>1</v>
      </c>
      <c r="I845" s="37" t="n">
        <v>0</v>
      </c>
      <c r="J845" s="37" t="n">
        <v>4</v>
      </c>
      <c r="K845" s="16" t="n">
        <v>48</v>
      </c>
    </row>
    <row r="846">
      <c r="A846" s="30" t="n">
        <v>46320.56041666667</v>
      </c>
      <c r="B846" s="30" t="n">
        <v>46320.58819444444</v>
      </c>
      <c r="C846" s="9" t="n">
        <v>46320</v>
      </c>
      <c r="D846" s="10" t="n">
        <v>0.8854166666666666</v>
      </c>
      <c r="E846" s="36" t="n">
        <v>3</v>
      </c>
      <c r="F846" s="36" t="n">
        <v>1</v>
      </c>
      <c r="G846" s="36" t="n">
        <v>0</v>
      </c>
      <c r="H846" s="36" t="n">
        <v>2</v>
      </c>
      <c r="I846" s="36" t="n">
        <v>0</v>
      </c>
      <c r="J846" s="36" t="n">
        <v>10</v>
      </c>
      <c r="K846" s="12" t="n">
        <v>120</v>
      </c>
    </row>
    <row r="847">
      <c r="A847" s="33" t="n">
        <v>46320.56041666667</v>
      </c>
      <c r="B847" s="33" t="n">
        <v>46320.58819444444</v>
      </c>
      <c r="C847" s="13" t="n">
        <v>46320</v>
      </c>
      <c r="D847" s="14" t="n">
        <v>0.9270833333333334</v>
      </c>
      <c r="E847" s="37" t="n">
        <v>1</v>
      </c>
      <c r="F847" s="37" t="n">
        <v>0</v>
      </c>
      <c r="G847" s="37" t="n">
        <v>0</v>
      </c>
      <c r="H847" s="37" t="n">
        <v>0</v>
      </c>
      <c r="I847" s="37" t="n">
        <v>1</v>
      </c>
      <c r="J847" s="37" t="n">
        <v>5</v>
      </c>
      <c r="K847" s="16" t="n">
        <v>60</v>
      </c>
    </row>
    <row r="848">
      <c r="A848" s="30" t="n">
        <v>46320.56041666667</v>
      </c>
      <c r="B848" s="30" t="n">
        <v>46320.58819444444</v>
      </c>
      <c r="C848" s="9" t="n">
        <v>46320</v>
      </c>
      <c r="D848" s="10" t="n">
        <v>0.96875</v>
      </c>
      <c r="E848" s="36" t="n">
        <v>3</v>
      </c>
      <c r="F848" s="36" t="n">
        <v>1</v>
      </c>
      <c r="G848" s="36" t="n">
        <v>0</v>
      </c>
      <c r="H848" s="36" t="n">
        <v>2</v>
      </c>
      <c r="I848" s="36" t="n">
        <v>0</v>
      </c>
      <c r="J848" s="36" t="n">
        <v>10</v>
      </c>
      <c r="K848" s="12" t="n">
        <v>120</v>
      </c>
    </row>
    <row r="849">
      <c r="A849" s="33" t="n">
        <v>46320.56041666667</v>
      </c>
      <c r="B849" s="33" t="n">
        <v>46320.58819444444</v>
      </c>
      <c r="C849" s="13" t="n">
        <v>46320</v>
      </c>
      <c r="D849" s="14" t="n">
        <v>0.9993055555555556</v>
      </c>
      <c r="E849" s="37" t="n">
        <v>1</v>
      </c>
      <c r="F849" s="37" t="n">
        <v>0</v>
      </c>
      <c r="G849" s="37" t="n">
        <v>0</v>
      </c>
      <c r="H849" s="37" t="n">
        <v>1</v>
      </c>
      <c r="I849" s="37" t="n">
        <v>0</v>
      </c>
      <c r="J849" s="37" t="n">
        <v>4</v>
      </c>
      <c r="K849" s="16" t="n">
        <v>48</v>
      </c>
    </row>
    <row r="850">
      <c r="A850" s="30" t="n">
        <v>46320.56041666667</v>
      </c>
      <c r="B850" s="30" t="n">
        <v>46320.58819444444</v>
      </c>
      <c r="C850" s="9" t="n">
        <v>46324</v>
      </c>
      <c r="D850" s="10" t="n">
        <v>0.9270833333333334</v>
      </c>
      <c r="E850" s="36" t="n">
        <v>1</v>
      </c>
      <c r="F850" s="36" t="n">
        <v>0</v>
      </c>
      <c r="G850" s="36" t="n">
        <v>0</v>
      </c>
      <c r="H850" s="36" t="n">
        <v>1</v>
      </c>
      <c r="I850" s="36" t="n">
        <v>0</v>
      </c>
      <c r="J850" s="36" t="n">
        <v>4</v>
      </c>
      <c r="K850" s="12" t="n">
        <v>48</v>
      </c>
    </row>
    <row r="851">
      <c r="A851" s="33" t="n">
        <v>46320.56041666667</v>
      </c>
      <c r="B851" s="33" t="n">
        <v>46320.58819444444</v>
      </c>
      <c r="C851" s="13" t="n">
        <v>46326</v>
      </c>
      <c r="D851" s="14" t="n">
        <v>0.8854166666666666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46326</v>
      </c>
      <c r="D852" s="10" t="n">
        <v>0.9993055555555556</v>
      </c>
      <c r="E852" s="36" t="n">
        <v>2</v>
      </c>
      <c r="F852" s="36" t="n">
        <v>2</v>
      </c>
      <c r="G852" s="36" t="n">
        <v>0</v>
      </c>
      <c r="H852" s="36" t="n">
        <v>0</v>
      </c>
      <c r="I852" s="36" t="n">
        <v>0</v>
      </c>
      <c r="J852" s="36" t="n">
        <v>4</v>
      </c>
      <c r="K852" s="12" t="n">
        <v>48</v>
      </c>
    </row>
    <row r="853">
      <c r="A853" s="33" t="n">
        <v>46320.56041666667</v>
      </c>
      <c r="B853" s="33" t="n">
        <v>46320.58819444444</v>
      </c>
      <c r="C853" s="13" t="n">
        <v>46327</v>
      </c>
      <c r="D853" s="14" t="n">
        <v>0.8854166666666666</v>
      </c>
      <c r="E853" s="37" t="n">
        <v>1</v>
      </c>
      <c r="F853" s="37" t="n">
        <v>1</v>
      </c>
      <c r="G853" s="37" t="n">
        <v>0</v>
      </c>
      <c r="H853" s="37" t="n">
        <v>0</v>
      </c>
      <c r="I853" s="37" t="n">
        <v>0</v>
      </c>
      <c r="J853" s="37" t="n">
        <v>2</v>
      </c>
      <c r="K853" s="16" t="n">
        <v>24</v>
      </c>
    </row>
    <row r="854">
      <c r="A854" s="30" t="n">
        <v>46320.56041666667</v>
      </c>
      <c r="B854" s="30" t="n">
        <v>46320.58819444444</v>
      </c>
      <c r="C854" s="9" t="n">
        <v>46327</v>
      </c>
      <c r="D854" s="10" t="n">
        <v>0.9270833333333334</v>
      </c>
      <c r="E854" s="36" t="n">
        <v>1</v>
      </c>
      <c r="F854" s="36" t="n">
        <v>1</v>
      </c>
      <c r="G854" s="36" t="n">
        <v>0</v>
      </c>
      <c r="H854" s="36" t="n">
        <v>0</v>
      </c>
      <c r="I854" s="36" t="n">
        <v>0</v>
      </c>
      <c r="J854" s="36" t="n">
        <v>2</v>
      </c>
      <c r="K854" s="12" t="n">
        <v>24</v>
      </c>
    </row>
    <row r="855">
      <c r="A855" s="33" t="n">
        <v>46320.58819444444</v>
      </c>
      <c r="B855" s="33" t="n">
        <v>46320.59305555555</v>
      </c>
      <c r="C855" s="13" t="n">
        <v>46326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46320.59305555555</v>
      </c>
      <c r="B856" s="30" t="n">
        <v>46320.60277777778</v>
      </c>
      <c r="C856" s="9" t="n">
        <v>46320</v>
      </c>
      <c r="D856" s="10" t="n">
        <v>0.8854166666666666</v>
      </c>
      <c r="E856" s="36" t="n">
        <v>2</v>
      </c>
      <c r="F856" s="36" t="n">
        <v>2</v>
      </c>
      <c r="G856" s="36" t="n">
        <v>0</v>
      </c>
      <c r="H856" s="36" t="n">
        <v>0</v>
      </c>
      <c r="I856" s="36" t="n">
        <v>0</v>
      </c>
      <c r="J856" s="36" t="n">
        <v>4</v>
      </c>
      <c r="K856" s="12" t="n">
        <v>48</v>
      </c>
    </row>
    <row r="857">
      <c r="A857" s="33" t="n">
        <v>46320.59305555555</v>
      </c>
      <c r="B857" s="33" t="n">
        <v>46320.60277777778</v>
      </c>
      <c r="C857" s="13" t="n">
        <v>46320</v>
      </c>
      <c r="D857" s="14" t="n">
        <v>0.9270833333333334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46320.60277777778</v>
      </c>
      <c r="B858" s="30" t="n">
        <v>46320.62847222222</v>
      </c>
      <c r="C858" s="9" t="n">
        <v>46320</v>
      </c>
      <c r="D858" s="10" t="n">
        <v>0.84375</v>
      </c>
      <c r="E858" s="36" t="n">
        <v>5</v>
      </c>
      <c r="F858" s="36" t="n">
        <v>1</v>
      </c>
      <c r="G858" s="36" t="n">
        <v>1</v>
      </c>
      <c r="H858" s="36" t="n">
        <v>2</v>
      </c>
      <c r="I858" s="36" t="n">
        <v>1</v>
      </c>
      <c r="J858" s="36" t="n">
        <v>18</v>
      </c>
      <c r="K858" s="12" t="n">
        <v>216</v>
      </c>
    </row>
    <row r="859">
      <c r="A859" s="33" t="n">
        <v>46320.60277777778</v>
      </c>
      <c r="B859" s="33" t="n">
        <v>46320.62847222222</v>
      </c>
      <c r="C859" s="13" t="n">
        <v>46320</v>
      </c>
      <c r="D859" s="14" t="n">
        <v>0.8854166666666666</v>
      </c>
      <c r="E859" s="37" t="n">
        <v>5</v>
      </c>
      <c r="F859" s="37" t="n">
        <v>3</v>
      </c>
      <c r="G859" s="37" t="n">
        <v>0</v>
      </c>
      <c r="H859" s="37" t="n">
        <v>1</v>
      </c>
      <c r="I859" s="37" t="n">
        <v>1</v>
      </c>
      <c r="J859" s="37" t="n">
        <v>15</v>
      </c>
      <c r="K859" s="16" t="n">
        <v>180</v>
      </c>
    </row>
    <row r="860">
      <c r="A860" s="30" t="n">
        <v>46320.60277777778</v>
      </c>
      <c r="B860" s="30" t="n">
        <v>46320.62847222222</v>
      </c>
      <c r="C860" s="9" t="n">
        <v>46320</v>
      </c>
      <c r="D860" s="10" t="n">
        <v>0.9270833333333334</v>
      </c>
      <c r="E860" s="36" t="n">
        <v>8</v>
      </c>
      <c r="F860" s="36" t="n">
        <v>4</v>
      </c>
      <c r="G860" s="36" t="n">
        <v>0</v>
      </c>
      <c r="H860" s="36" t="n">
        <v>3</v>
      </c>
      <c r="I860" s="36" t="n">
        <v>1</v>
      </c>
      <c r="J860" s="36" t="n">
        <v>25</v>
      </c>
      <c r="K860" s="12" t="n">
        <v>300</v>
      </c>
    </row>
    <row r="861">
      <c r="A861" s="33" t="n">
        <v>46320.60277777778</v>
      </c>
      <c r="B861" s="33" t="n">
        <v>46320.62847222222</v>
      </c>
      <c r="C861" s="13" t="n">
        <v>46320</v>
      </c>
      <c r="D861" s="14" t="n">
        <v>0.96875</v>
      </c>
      <c r="E861" s="37" t="n">
        <v>5</v>
      </c>
      <c r="F861" s="37" t="n">
        <v>0</v>
      </c>
      <c r="G861" s="37" t="n">
        <v>1</v>
      </c>
      <c r="H861" s="37" t="n">
        <v>3</v>
      </c>
      <c r="I861" s="37" t="n">
        <v>1</v>
      </c>
      <c r="J861" s="37" t="n">
        <v>20</v>
      </c>
      <c r="K861" s="16" t="n">
        <v>240</v>
      </c>
    </row>
    <row r="862">
      <c r="A862" s="30" t="n">
        <v>46320.60277777778</v>
      </c>
      <c r="B862" s="30" t="n">
        <v>46320.62847222222</v>
      </c>
      <c r="C862" s="9" t="n">
        <v>46320</v>
      </c>
      <c r="D862" s="10" t="n">
        <v>0.9993055555555556</v>
      </c>
      <c r="E862" s="36" t="n">
        <v>2</v>
      </c>
      <c r="F862" s="36" t="n">
        <v>0</v>
      </c>
      <c r="G862" s="36" t="n">
        <v>0</v>
      </c>
      <c r="H862" s="36" t="n">
        <v>2</v>
      </c>
      <c r="I862" s="36" t="n">
        <v>0</v>
      </c>
      <c r="J862" s="36" t="n">
        <v>8</v>
      </c>
      <c r="K862" s="12" t="n">
        <v>96</v>
      </c>
    </row>
    <row r="863">
      <c r="A863" s="33" t="n">
        <v>46320.60277777778</v>
      </c>
      <c r="B863" s="33" t="n">
        <v>46320.62847222222</v>
      </c>
      <c r="C863" s="13" t="n">
        <v>46324</v>
      </c>
      <c r="D863" s="14" t="n">
        <v>0.9270833333333334</v>
      </c>
      <c r="E863" s="37" t="n">
        <v>1</v>
      </c>
      <c r="F863" s="37" t="n">
        <v>1</v>
      </c>
      <c r="G863" s="37" t="n">
        <v>0</v>
      </c>
      <c r="H863" s="37" t="n">
        <v>0</v>
      </c>
      <c r="I863" s="37" t="n">
        <v>0</v>
      </c>
      <c r="J863" s="37" t="n">
        <v>2</v>
      </c>
      <c r="K863" s="16" t="n">
        <v>24</v>
      </c>
    </row>
    <row r="864">
      <c r="A864" s="30" t="n">
        <v>46320.60277777778</v>
      </c>
      <c r="B864" s="30" t="n">
        <v>46320.62847222222</v>
      </c>
      <c r="C864" s="9" t="n">
        <v>46327</v>
      </c>
      <c r="D864" s="10" t="n">
        <v>0.8854166666666666</v>
      </c>
      <c r="E864" s="36" t="n">
        <v>1</v>
      </c>
      <c r="F864" s="36" t="n">
        <v>1</v>
      </c>
      <c r="G864" s="36" t="n">
        <v>0</v>
      </c>
      <c r="H864" s="36" t="n">
        <v>0</v>
      </c>
      <c r="I864" s="36" t="n">
        <v>0</v>
      </c>
      <c r="J864" s="36" t="n">
        <v>2</v>
      </c>
      <c r="K864" s="12" t="n">
        <v>24</v>
      </c>
    </row>
    <row r="865">
      <c r="A865" s="33" t="n">
        <v>46320.62847222222</v>
      </c>
      <c r="B865" s="33" t="n">
        <v>46320.64097222222</v>
      </c>
      <c r="C865" s="13" t="n">
        <v>46320</v>
      </c>
      <c r="D865" s="14" t="n">
        <v>0.84375</v>
      </c>
      <c r="E865" s="37" t="n">
        <v>3</v>
      </c>
      <c r="F865" s="37" t="n">
        <v>1</v>
      </c>
      <c r="G865" s="37" t="n">
        <v>0</v>
      </c>
      <c r="H865" s="37" t="n">
        <v>1</v>
      </c>
      <c r="I865" s="37" t="n">
        <v>1</v>
      </c>
      <c r="J865" s="37" t="n">
        <v>11</v>
      </c>
      <c r="K865" s="16" t="n">
        <v>132</v>
      </c>
    </row>
    <row r="866">
      <c r="A866" s="30" t="n">
        <v>46320.62847222222</v>
      </c>
      <c r="B866" s="30" t="n">
        <v>46320.64097222222</v>
      </c>
      <c r="C866" s="9" t="n">
        <v>46320</v>
      </c>
      <c r="D866" s="10" t="n">
        <v>0.8854166666666666</v>
      </c>
      <c r="E866" s="36" t="n">
        <v>3</v>
      </c>
      <c r="F866" s="36" t="n">
        <v>1</v>
      </c>
      <c r="G866" s="36" t="n">
        <v>1</v>
      </c>
      <c r="H866" s="36" t="n">
        <v>1</v>
      </c>
      <c r="I866" s="36" t="n">
        <v>0</v>
      </c>
      <c r="J866" s="36" t="n">
        <v>9</v>
      </c>
      <c r="K866" s="12" t="n">
        <v>108</v>
      </c>
    </row>
    <row r="867">
      <c r="A867" s="33" t="n">
        <v>46320.62847222222</v>
      </c>
      <c r="B867" s="33" t="n">
        <v>46320.64097222222</v>
      </c>
      <c r="C867" s="13" t="n">
        <v>46320</v>
      </c>
      <c r="D867" s="14" t="n">
        <v>0.9270833333333334</v>
      </c>
      <c r="E867" s="37" t="n">
        <v>1</v>
      </c>
      <c r="F867" s="37" t="n">
        <v>0</v>
      </c>
      <c r="G867" s="37" t="n">
        <v>0</v>
      </c>
      <c r="H867" s="37" t="n">
        <v>1</v>
      </c>
      <c r="I867" s="37" t="n">
        <v>0</v>
      </c>
      <c r="J867" s="37" t="n">
        <v>4</v>
      </c>
      <c r="K867" s="16" t="n">
        <v>48</v>
      </c>
    </row>
    <row r="868">
      <c r="A868" s="30" t="n">
        <v>46320.62847222222</v>
      </c>
      <c r="B868" s="30" t="n">
        <v>46320.64097222222</v>
      </c>
      <c r="C868" s="9" t="n">
        <v>46320</v>
      </c>
      <c r="D868" s="10" t="n">
        <v>0.96875</v>
      </c>
      <c r="E868" s="36" t="n">
        <v>2</v>
      </c>
      <c r="F868" s="36" t="n">
        <v>0</v>
      </c>
      <c r="G868" s="36" t="n">
        <v>0</v>
      </c>
      <c r="H868" s="36" t="n">
        <v>1</v>
      </c>
      <c r="I868" s="36" t="n">
        <v>1</v>
      </c>
      <c r="J868" s="36" t="n">
        <v>9</v>
      </c>
      <c r="K868" s="12" t="n">
        <v>108</v>
      </c>
    </row>
    <row r="869">
      <c r="A869" s="33" t="n">
        <v>46320.64097222222</v>
      </c>
      <c r="B869" s="33" t="n">
        <v>46320.65138888889</v>
      </c>
      <c r="C869" s="13" t="n">
        <v>46320</v>
      </c>
      <c r="D869" s="14" t="n">
        <v>0.8854166666666666</v>
      </c>
      <c r="E869" s="37" t="n">
        <v>5</v>
      </c>
      <c r="F869" s="37" t="n">
        <v>3</v>
      </c>
      <c r="G869" s="37" t="n">
        <v>0</v>
      </c>
      <c r="H869" s="37" t="n">
        <v>2</v>
      </c>
      <c r="I869" s="37" t="n">
        <v>0</v>
      </c>
      <c r="J869" s="37" t="n">
        <v>14</v>
      </c>
      <c r="K869" s="16" t="n">
        <v>168</v>
      </c>
    </row>
    <row r="870">
      <c r="A870" s="30" t="n">
        <v>46320.64097222222</v>
      </c>
      <c r="B870" s="30" t="n">
        <v>46320.65138888889</v>
      </c>
      <c r="C870" s="9" t="n">
        <v>46320</v>
      </c>
      <c r="D870" s="10" t="n">
        <v>0.9270833333333334</v>
      </c>
      <c r="E870" s="36" t="n">
        <v>1</v>
      </c>
      <c r="F870" s="36" t="n">
        <v>0</v>
      </c>
      <c r="G870" s="36" t="n">
        <v>0</v>
      </c>
      <c r="H870" s="36" t="n">
        <v>1</v>
      </c>
      <c r="I870" s="36" t="n">
        <v>0</v>
      </c>
      <c r="J870" s="36" t="n">
        <v>4</v>
      </c>
      <c r="K870" s="12" t="n">
        <v>48</v>
      </c>
    </row>
    <row r="871">
      <c r="A871" s="33" t="n">
        <v>46320.64097222222</v>
      </c>
      <c r="B871" s="33" t="n">
        <v>46320.65138888889</v>
      </c>
      <c r="C871" s="13" t="n">
        <v>46320</v>
      </c>
      <c r="D871" s="14" t="n">
        <v>0.96875</v>
      </c>
      <c r="E871" s="37" t="n">
        <v>1</v>
      </c>
      <c r="F871" s="37" t="n">
        <v>0</v>
      </c>
      <c r="G871" s="37" t="n">
        <v>0</v>
      </c>
      <c r="H871" s="37" t="n">
        <v>0</v>
      </c>
      <c r="I871" s="37" t="n">
        <v>1</v>
      </c>
      <c r="J871" s="37" t="n">
        <v>5</v>
      </c>
      <c r="K871" s="16" t="n">
        <v>60</v>
      </c>
    </row>
    <row r="872">
      <c r="A872" s="30" t="n">
        <v>46320.64097222222</v>
      </c>
      <c r="B872" s="30" t="n">
        <v>46320.65138888889</v>
      </c>
      <c r="C872" s="9" t="n">
        <v>46325</v>
      </c>
      <c r="D872" s="10" t="n">
        <v>0.9270833333333334</v>
      </c>
      <c r="E872" s="36" t="n">
        <v>1</v>
      </c>
      <c r="F872" s="36" t="n">
        <v>0</v>
      </c>
      <c r="G872" s="36" t="n">
        <v>0</v>
      </c>
      <c r="H872" s="36" t="n">
        <v>0</v>
      </c>
      <c r="I872" s="36" t="n">
        <v>1</v>
      </c>
      <c r="J872" s="36" t="n">
        <v>5</v>
      </c>
      <c r="K872" s="12" t="n">
        <v>60</v>
      </c>
    </row>
    <row r="873">
      <c r="A873" s="33" t="n">
        <v>46320.65138888889</v>
      </c>
      <c r="B873" s="33" t="n">
        <v>46320.65833333333</v>
      </c>
      <c r="C873" s="13" t="n">
        <v>46320</v>
      </c>
      <c r="D873" s="14" t="n">
        <v>0.8854166666666666</v>
      </c>
      <c r="E873" s="37" t="n">
        <v>1</v>
      </c>
      <c r="F873" s="37" t="n">
        <v>0</v>
      </c>
      <c r="G873" s="37" t="n">
        <v>1</v>
      </c>
      <c r="H873" s="37" t="n">
        <v>0</v>
      </c>
      <c r="I873" s="37" t="n">
        <v>0</v>
      </c>
      <c r="J873" s="37" t="n">
        <v>3</v>
      </c>
      <c r="K873" s="16" t="n">
        <v>36</v>
      </c>
    </row>
    <row r="874">
      <c r="A874" s="30" t="n">
        <v>46320.65138888889</v>
      </c>
      <c r="B874" s="30" t="n">
        <v>46320.65833333333</v>
      </c>
      <c r="C874" s="9" t="n">
        <v>46320</v>
      </c>
      <c r="D874" s="10" t="n">
        <v>0.9993055555555556</v>
      </c>
      <c r="E874" s="36" t="n">
        <v>1</v>
      </c>
      <c r="F874" s="36" t="n">
        <v>1</v>
      </c>
      <c r="G874" s="36" t="n">
        <v>0</v>
      </c>
      <c r="H874" s="36" t="n">
        <v>0</v>
      </c>
      <c r="I874" s="36" t="n">
        <v>0</v>
      </c>
      <c r="J874" s="36" t="n">
        <v>2</v>
      </c>
      <c r="K874" s="12" t="n">
        <v>24</v>
      </c>
    </row>
    <row r="875">
      <c r="A875" s="33" t="n">
        <v>46320.65138888889</v>
      </c>
      <c r="B875" s="33" t="n">
        <v>46320.65833333333</v>
      </c>
      <c r="C875" s="13" t="n">
        <v>46326</v>
      </c>
      <c r="D875" s="14" t="n">
        <v>0.96875</v>
      </c>
      <c r="E875" s="37" t="n">
        <v>1</v>
      </c>
      <c r="F875" s="37" t="n">
        <v>0</v>
      </c>
      <c r="G875" s="37" t="n">
        <v>0</v>
      </c>
      <c r="H875" s="37" t="n">
        <v>1</v>
      </c>
      <c r="I875" s="37" t="n">
        <v>0</v>
      </c>
      <c r="J875" s="37" t="n">
        <v>4</v>
      </c>
      <c r="K875" s="16" t="n">
        <v>48</v>
      </c>
    </row>
    <row r="876">
      <c r="A876" s="30" t="n">
        <v>46320.65833333333</v>
      </c>
      <c r="B876" s="30" t="n">
        <v>46320.66527777778</v>
      </c>
      <c r="C876" s="9" t="n">
        <v>46320</v>
      </c>
      <c r="D876" s="10" t="n">
        <v>0.84375</v>
      </c>
      <c r="E876" s="36" t="n">
        <v>3</v>
      </c>
      <c r="F876" s="36" t="n">
        <v>1</v>
      </c>
      <c r="G876" s="36" t="n">
        <v>2</v>
      </c>
      <c r="H876" s="36" t="n">
        <v>0</v>
      </c>
      <c r="I876" s="36" t="n">
        <v>0</v>
      </c>
      <c r="J876" s="36" t="n">
        <v>8</v>
      </c>
      <c r="K876" s="12" t="n">
        <v>96</v>
      </c>
    </row>
    <row r="877">
      <c r="A877" s="33" t="n">
        <v>46320.65833333333</v>
      </c>
      <c r="B877" s="33" t="n">
        <v>46320.66527777778</v>
      </c>
      <c r="C877" s="13" t="n">
        <v>46320</v>
      </c>
      <c r="D877" s="14" t="n">
        <v>0.8854166666666666</v>
      </c>
      <c r="E877" s="37" t="n">
        <v>1</v>
      </c>
      <c r="F877" s="37" t="n">
        <v>1</v>
      </c>
      <c r="G877" s="37" t="n">
        <v>0</v>
      </c>
      <c r="H877" s="37" t="n">
        <v>0</v>
      </c>
      <c r="I877" s="37" t="n">
        <v>0</v>
      </c>
      <c r="J877" s="37" t="n">
        <v>2</v>
      </c>
      <c r="K877" s="16" t="n">
        <v>24</v>
      </c>
    </row>
    <row r="878">
      <c r="A878" s="30" t="n">
        <v>46320.65833333333</v>
      </c>
      <c r="B878" s="30" t="n">
        <v>46320.66527777778</v>
      </c>
      <c r="C878" s="9" t="n">
        <v>46320</v>
      </c>
      <c r="D878" s="10" t="n">
        <v>0.96875</v>
      </c>
      <c r="E878" s="36" t="n">
        <v>2</v>
      </c>
      <c r="F878" s="36" t="n">
        <v>0</v>
      </c>
      <c r="G878" s="36" t="n">
        <v>0</v>
      </c>
      <c r="H878" s="36" t="n">
        <v>1</v>
      </c>
      <c r="I878" s="36" t="n">
        <v>1</v>
      </c>
      <c r="J878" s="36" t="n">
        <v>9</v>
      </c>
      <c r="K878" s="12" t="n">
        <v>108</v>
      </c>
    </row>
    <row r="879">
      <c r="A879" s="33" t="n">
        <v>46320.65833333333</v>
      </c>
      <c r="B879" s="33" t="n">
        <v>46320.66527777778</v>
      </c>
      <c r="C879" s="13" t="n">
        <v>46326</v>
      </c>
      <c r="D879" s="14" t="n">
        <v>0.84375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46320.66597222222</v>
      </c>
      <c r="B880" s="30" t="n">
        <v>46320.67847222222</v>
      </c>
      <c r="C880" s="9" t="n">
        <v>46320</v>
      </c>
      <c r="D880" s="10" t="n">
        <v>0.84375</v>
      </c>
      <c r="E880" s="36" t="n">
        <v>3</v>
      </c>
      <c r="F880" s="36" t="n">
        <v>1</v>
      </c>
      <c r="G880" s="36" t="n">
        <v>1</v>
      </c>
      <c r="H880" s="36" t="n">
        <v>1</v>
      </c>
      <c r="I880" s="36" t="n">
        <v>0</v>
      </c>
      <c r="J880" s="36" t="n">
        <v>9</v>
      </c>
      <c r="K880" s="12" t="n">
        <v>108</v>
      </c>
    </row>
    <row r="881">
      <c r="A881" s="33" t="n">
        <v>46320.66597222222</v>
      </c>
      <c r="B881" s="33" t="n">
        <v>46320.67847222222</v>
      </c>
      <c r="C881" s="13" t="n">
        <v>46320</v>
      </c>
      <c r="D881" s="14" t="n">
        <v>0.8854166666666666</v>
      </c>
      <c r="E881" s="37" t="n">
        <v>3</v>
      </c>
      <c r="F881" s="37" t="n">
        <v>3</v>
      </c>
      <c r="G881" s="37" t="n">
        <v>0</v>
      </c>
      <c r="H881" s="37" t="n">
        <v>0</v>
      </c>
      <c r="I881" s="37" t="n">
        <v>0</v>
      </c>
      <c r="J881" s="37" t="n">
        <v>6</v>
      </c>
      <c r="K881" s="16" t="n">
        <v>72</v>
      </c>
    </row>
    <row r="882">
      <c r="A882" s="30" t="n">
        <v>46320.66597222222</v>
      </c>
      <c r="B882" s="30" t="n">
        <v>46320.67847222222</v>
      </c>
      <c r="C882" s="9" t="n">
        <v>46320</v>
      </c>
      <c r="D882" s="10" t="n">
        <v>0.96875</v>
      </c>
      <c r="E882" s="36" t="n">
        <v>1</v>
      </c>
      <c r="F882" s="36" t="n">
        <v>0</v>
      </c>
      <c r="G882" s="36" t="n">
        <v>0</v>
      </c>
      <c r="H882" s="36" t="n">
        <v>0</v>
      </c>
      <c r="I882" s="36" t="n">
        <v>1</v>
      </c>
      <c r="J882" s="36" t="n">
        <v>5</v>
      </c>
      <c r="K882" s="12" t="n">
        <v>60</v>
      </c>
    </row>
    <row r="883">
      <c r="A883" s="33" t="n">
        <v>46320.66597222222</v>
      </c>
      <c r="B883" s="33" t="n">
        <v>46320.67847222222</v>
      </c>
      <c r="C883" s="13" t="n">
        <v>46320</v>
      </c>
      <c r="D883" s="14" t="n">
        <v>0.9993055555555556</v>
      </c>
      <c r="E883" s="37" t="n">
        <v>2</v>
      </c>
      <c r="F883" s="37" t="n">
        <v>0</v>
      </c>
      <c r="G883" s="37" t="n">
        <v>0</v>
      </c>
      <c r="H883" s="37" t="n">
        <v>2</v>
      </c>
      <c r="I883" s="37" t="n">
        <v>0</v>
      </c>
      <c r="J883" s="37" t="n">
        <v>8</v>
      </c>
      <c r="K883" s="16" t="n">
        <v>96</v>
      </c>
    </row>
    <row r="884">
      <c r="A884" s="30" t="n">
        <v>46320.66597222222</v>
      </c>
      <c r="B884" s="30" t="n">
        <v>46320.67847222222</v>
      </c>
      <c r="C884" s="9" t="n">
        <v>46324</v>
      </c>
      <c r="D884" s="10" t="n">
        <v>0.84375</v>
      </c>
      <c r="E884" s="36" t="n">
        <v>1</v>
      </c>
      <c r="F884" s="36" t="n">
        <v>0</v>
      </c>
      <c r="G884" s="36" t="n">
        <v>0</v>
      </c>
      <c r="H884" s="36" t="n">
        <v>1</v>
      </c>
      <c r="I884" s="36" t="n">
        <v>0</v>
      </c>
      <c r="J884" s="36" t="n">
        <v>4</v>
      </c>
      <c r="K884" s="12" t="n">
        <v>48</v>
      </c>
    </row>
    <row r="885">
      <c r="A885" s="33" t="n">
        <v>46320.66597222222</v>
      </c>
      <c r="B885" s="33" t="n">
        <v>46320.67847222222</v>
      </c>
      <c r="C885" s="13" t="n">
        <v>46326</v>
      </c>
      <c r="D885" s="14" t="n">
        <v>0.9993055555555556</v>
      </c>
      <c r="E885" s="37" t="n">
        <v>1</v>
      </c>
      <c r="F885" s="37" t="n">
        <v>0</v>
      </c>
      <c r="G885" s="37" t="n">
        <v>0</v>
      </c>
      <c r="H885" s="37" t="n">
        <v>1</v>
      </c>
      <c r="I885" s="37" t="n">
        <v>0</v>
      </c>
      <c r="J885" s="37" t="n">
        <v>4</v>
      </c>
      <c r="K885" s="16" t="n">
        <v>48</v>
      </c>
    </row>
    <row r="886">
      <c r="A886" s="30" t="n">
        <v>46320.67847222222</v>
      </c>
      <c r="B886" s="30" t="n">
        <v>46320.68263888889</v>
      </c>
      <c r="C886" s="9" t="n">
        <v>46320</v>
      </c>
      <c r="D886" s="10" t="n">
        <v>0.9270833333333334</v>
      </c>
      <c r="E886" s="36" t="n">
        <v>2</v>
      </c>
      <c r="F886" s="36" t="n">
        <v>1</v>
      </c>
      <c r="G886" s="36" t="n">
        <v>0</v>
      </c>
      <c r="H886" s="36" t="n">
        <v>1</v>
      </c>
      <c r="I886" s="36" t="n">
        <v>0</v>
      </c>
      <c r="J886" s="36" t="n">
        <v>6</v>
      </c>
      <c r="K886" s="12" t="n">
        <v>72</v>
      </c>
    </row>
    <row r="887">
      <c r="A887" s="33" t="n">
        <v>46320.67847222222</v>
      </c>
      <c r="B887" s="33" t="n">
        <v>46320.68263888889</v>
      </c>
      <c r="C887" s="13" t="n">
        <v>46327</v>
      </c>
      <c r="D887" s="14" t="n">
        <v>0.8854166666666666</v>
      </c>
      <c r="E887" s="37" t="n">
        <v>1</v>
      </c>
      <c r="F887" s="37" t="n">
        <v>1</v>
      </c>
      <c r="G887" s="37" t="n">
        <v>0</v>
      </c>
      <c r="H887" s="37" t="n">
        <v>0</v>
      </c>
      <c r="I887" s="37" t="n">
        <v>0</v>
      </c>
      <c r="J887" s="37" t="n">
        <v>2</v>
      </c>
      <c r="K887" s="16" t="n">
        <v>24</v>
      </c>
    </row>
    <row r="888">
      <c r="A888" s="30" t="n">
        <v>46320.68263888889</v>
      </c>
      <c r="B888" s="30" t="n">
        <v>46320.68402777778</v>
      </c>
      <c r="C888" s="9" t="n">
        <v>46320</v>
      </c>
      <c r="D888" s="10" t="n">
        <v>0.84375</v>
      </c>
      <c r="E888" s="36" t="n">
        <v>1</v>
      </c>
      <c r="F888" s="36" t="n">
        <v>0</v>
      </c>
      <c r="G888" s="36" t="n">
        <v>1</v>
      </c>
      <c r="H888" s="36" t="n">
        <v>0</v>
      </c>
      <c r="I888" s="36" t="n">
        <v>0</v>
      </c>
      <c r="J888" s="36" t="n">
        <v>3</v>
      </c>
      <c r="K888" s="12" t="n">
        <v>36</v>
      </c>
    </row>
    <row r="889">
      <c r="A889" s="33" t="n">
        <v>46320.68402777778</v>
      </c>
      <c r="B889" s="33" t="n">
        <v>46320.70347222222</v>
      </c>
      <c r="C889" s="13" t="n">
        <v>46320</v>
      </c>
      <c r="D889" s="14" t="n">
        <v>0.84375</v>
      </c>
      <c r="E889" s="37" t="n">
        <v>1</v>
      </c>
      <c r="F889" s="37" t="n">
        <v>1</v>
      </c>
      <c r="G889" s="37" t="n">
        <v>0</v>
      </c>
      <c r="H889" s="37" t="n">
        <v>0</v>
      </c>
      <c r="I889" s="37" t="n">
        <v>0</v>
      </c>
      <c r="J889" s="37" t="n">
        <v>2</v>
      </c>
      <c r="K889" s="16" t="n">
        <v>24</v>
      </c>
    </row>
    <row r="890">
      <c r="A890" s="30" t="n">
        <v>46320.68402777778</v>
      </c>
      <c r="B890" s="30" t="n">
        <v>46320.70347222222</v>
      </c>
      <c r="C890" s="9" t="n">
        <v>46320</v>
      </c>
      <c r="D890" s="10" t="n">
        <v>0.8854166666666666</v>
      </c>
      <c r="E890" s="36" t="n">
        <v>1</v>
      </c>
      <c r="F890" s="36" t="n">
        <v>0</v>
      </c>
      <c r="G890" s="36" t="n">
        <v>0</v>
      </c>
      <c r="H890" s="36" t="n">
        <v>0</v>
      </c>
      <c r="I890" s="36" t="n">
        <v>1</v>
      </c>
      <c r="J890" s="36" t="n">
        <v>5</v>
      </c>
      <c r="K890" s="12" t="n">
        <v>60</v>
      </c>
    </row>
    <row r="891">
      <c r="A891" s="33" t="n">
        <v>46320.68402777778</v>
      </c>
      <c r="B891" s="33" t="n">
        <v>46320.70347222222</v>
      </c>
      <c r="C891" s="13" t="n">
        <v>46320</v>
      </c>
      <c r="D891" s="14" t="n">
        <v>0.9270833333333334</v>
      </c>
      <c r="E891" s="37" t="n">
        <v>7</v>
      </c>
      <c r="F891" s="37" t="n">
        <v>4</v>
      </c>
      <c r="G891" s="37" t="n">
        <v>0</v>
      </c>
      <c r="H891" s="37" t="n">
        <v>3</v>
      </c>
      <c r="I891" s="37" t="n">
        <v>0</v>
      </c>
      <c r="J891" s="37" t="n">
        <v>20</v>
      </c>
      <c r="K891" s="16" t="n">
        <v>240</v>
      </c>
    </row>
    <row r="892">
      <c r="A892" s="30" t="n">
        <v>46320.68402777778</v>
      </c>
      <c r="B892" s="30" t="n">
        <v>46320.70347222222</v>
      </c>
      <c r="C892" s="9" t="n">
        <v>46320</v>
      </c>
      <c r="D892" s="10" t="n">
        <v>0.96875</v>
      </c>
      <c r="E892" s="36" t="n">
        <v>3</v>
      </c>
      <c r="F892" s="36" t="n">
        <v>0</v>
      </c>
      <c r="G892" s="36" t="n">
        <v>0</v>
      </c>
      <c r="H892" s="36" t="n">
        <v>2</v>
      </c>
      <c r="I892" s="36" t="n">
        <v>1</v>
      </c>
      <c r="J892" s="36" t="n">
        <v>13</v>
      </c>
      <c r="K892" s="12" t="n">
        <v>156</v>
      </c>
    </row>
    <row r="893">
      <c r="A893" s="33" t="n">
        <v>46320.68402777778</v>
      </c>
      <c r="B893" s="33" t="n">
        <v>46320.70347222222</v>
      </c>
      <c r="C893" s="13" t="n">
        <v>46320</v>
      </c>
      <c r="D893" s="14" t="n">
        <v>0.9993055555555556</v>
      </c>
      <c r="E893" s="37" t="n">
        <v>7</v>
      </c>
      <c r="F893" s="37" t="n">
        <v>2</v>
      </c>
      <c r="G893" s="37" t="n">
        <v>4</v>
      </c>
      <c r="H893" s="37" t="n">
        <v>1</v>
      </c>
      <c r="I893" s="37" t="n">
        <v>0</v>
      </c>
      <c r="J893" s="37" t="n">
        <v>20</v>
      </c>
      <c r="K893" s="16" t="n">
        <v>240</v>
      </c>
    </row>
    <row r="894">
      <c r="A894" s="30" t="n">
        <v>46320.68402777778</v>
      </c>
      <c r="B894" s="30" t="n">
        <v>46320.70347222222</v>
      </c>
      <c r="C894" s="9" t="n">
        <v>46325</v>
      </c>
      <c r="D894" s="10" t="n">
        <v>0.8854166666666666</v>
      </c>
      <c r="E894" s="36" t="n">
        <v>1</v>
      </c>
      <c r="F894" s="36" t="n">
        <v>1</v>
      </c>
      <c r="G894" s="36" t="n">
        <v>0</v>
      </c>
      <c r="H894" s="36" t="n">
        <v>0</v>
      </c>
      <c r="I894" s="36" t="n">
        <v>0</v>
      </c>
      <c r="J894" s="36" t="n">
        <v>2</v>
      </c>
      <c r="K894" s="12" t="n">
        <v>24</v>
      </c>
    </row>
    <row r="895">
      <c r="A895" s="33" t="n">
        <v>46320.68402777778</v>
      </c>
      <c r="B895" s="33" t="n">
        <v>46320.70347222222</v>
      </c>
      <c r="C895" s="13" t="n">
        <v>46326</v>
      </c>
      <c r="D895" s="14" t="n">
        <v>0.9270833333333334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46320.70347222222</v>
      </c>
      <c r="B896" s="30" t="n">
        <v>46320.71388888889</v>
      </c>
      <c r="C896" s="9" t="n">
        <v>46320</v>
      </c>
      <c r="D896" s="10" t="n">
        <v>0.84375</v>
      </c>
      <c r="E896" s="36" t="n">
        <v>1</v>
      </c>
      <c r="F896" s="36" t="n">
        <v>0</v>
      </c>
      <c r="G896" s="36" t="n">
        <v>0</v>
      </c>
      <c r="H896" s="36" t="n">
        <v>1</v>
      </c>
      <c r="I896" s="36" t="n">
        <v>0</v>
      </c>
      <c r="J896" s="36" t="n">
        <v>4</v>
      </c>
      <c r="K896" s="12" t="n">
        <v>48</v>
      </c>
    </row>
    <row r="897">
      <c r="A897" s="33" t="n">
        <v>46320.70347222222</v>
      </c>
      <c r="B897" s="33" t="n">
        <v>46320.71388888889</v>
      </c>
      <c r="C897" s="13" t="n">
        <v>46320</v>
      </c>
      <c r="D897" s="14" t="n">
        <v>0.8854166666666666</v>
      </c>
      <c r="E897" s="37" t="n">
        <v>1</v>
      </c>
      <c r="F897" s="37" t="n">
        <v>1</v>
      </c>
      <c r="G897" s="37" t="n">
        <v>0</v>
      </c>
      <c r="H897" s="37" t="n">
        <v>0</v>
      </c>
      <c r="I897" s="37" t="n">
        <v>0</v>
      </c>
      <c r="J897" s="37" t="n">
        <v>2</v>
      </c>
      <c r="K897" s="16" t="n">
        <v>24</v>
      </c>
    </row>
    <row r="898">
      <c r="A898" s="30" t="n">
        <v>46320.70347222222</v>
      </c>
      <c r="B898" s="30" t="n">
        <v>46320.71388888889</v>
      </c>
      <c r="C898" s="9" t="n">
        <v>46320</v>
      </c>
      <c r="D898" s="10" t="n">
        <v>0.9270833333333334</v>
      </c>
      <c r="E898" s="36" t="n">
        <v>2</v>
      </c>
      <c r="F898" s="36" t="n">
        <v>2</v>
      </c>
      <c r="G898" s="36" t="n">
        <v>0</v>
      </c>
      <c r="H898" s="36" t="n">
        <v>0</v>
      </c>
      <c r="I898" s="36" t="n">
        <v>0</v>
      </c>
      <c r="J898" s="36" t="n">
        <v>4</v>
      </c>
      <c r="K898" s="12" t="n">
        <v>48</v>
      </c>
    </row>
    <row r="899">
      <c r="A899" s="33" t="n">
        <v>46320.70347222222</v>
      </c>
      <c r="B899" s="33" t="n">
        <v>46320.71388888889</v>
      </c>
      <c r="C899" s="13" t="n">
        <v>46320</v>
      </c>
      <c r="D899" s="14" t="n">
        <v>0.96875</v>
      </c>
      <c r="E899" s="37" t="n">
        <v>1</v>
      </c>
      <c r="F899" s="37" t="n">
        <v>0</v>
      </c>
      <c r="G899" s="37" t="n">
        <v>0</v>
      </c>
      <c r="H899" s="37" t="n">
        <v>1</v>
      </c>
      <c r="I899" s="37" t="n">
        <v>0</v>
      </c>
      <c r="J899" s="37" t="n">
        <v>4</v>
      </c>
      <c r="K899" s="16" t="n">
        <v>48</v>
      </c>
    </row>
    <row r="900">
      <c r="A900" s="30" t="n">
        <v>46320.70347222222</v>
      </c>
      <c r="B900" s="30" t="n">
        <v>46320.71388888889</v>
      </c>
      <c r="C900" s="9" t="n">
        <v>46326</v>
      </c>
      <c r="D900" s="10" t="n">
        <v>0.9270833333333334</v>
      </c>
      <c r="E900" s="36" t="n">
        <v>1</v>
      </c>
      <c r="F900" s="36" t="n">
        <v>0</v>
      </c>
      <c r="G900" s="36" t="n">
        <v>0</v>
      </c>
      <c r="H900" s="36" t="n">
        <v>1</v>
      </c>
      <c r="I900" s="36" t="n">
        <v>0</v>
      </c>
      <c r="J900" s="36" t="n">
        <v>4</v>
      </c>
      <c r="K900" s="12" t="n">
        <v>48</v>
      </c>
    </row>
    <row r="901">
      <c r="A901" s="33" t="n">
        <v>46320.71388888889</v>
      </c>
      <c r="B901" s="33" t="n">
        <v>46320.71875</v>
      </c>
      <c r="C901" s="13" t="n">
        <v>46320</v>
      </c>
      <c r="D901" s="14" t="n">
        <v>0.84375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46320.71388888889</v>
      </c>
      <c r="B902" s="30" t="n">
        <v>46320.71875</v>
      </c>
      <c r="C902" s="9" t="n">
        <v>46320</v>
      </c>
      <c r="D902" s="10" t="n">
        <v>0.9270833333333334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46320.71388888889</v>
      </c>
      <c r="B903" s="33" t="n">
        <v>46320.71875</v>
      </c>
      <c r="C903" s="13" t="n">
        <v>46325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46320.71875</v>
      </c>
      <c r="B904" s="30" t="n">
        <v>46320.725</v>
      </c>
      <c r="C904" s="9" t="n">
        <v>46320</v>
      </c>
      <c r="D904" s="10" t="n">
        <v>0.84375</v>
      </c>
      <c r="E904" s="36" t="n">
        <v>2</v>
      </c>
      <c r="F904" s="36" t="n">
        <v>1</v>
      </c>
      <c r="G904" s="36" t="n">
        <v>0</v>
      </c>
      <c r="H904" s="36" t="n">
        <v>1</v>
      </c>
      <c r="I904" s="36" t="n">
        <v>0</v>
      </c>
      <c r="J904" s="36" t="n">
        <v>6</v>
      </c>
      <c r="K904" s="12" t="n">
        <v>72</v>
      </c>
    </row>
    <row r="905">
      <c r="A905" s="33" t="n">
        <v>46320.71875</v>
      </c>
      <c r="B905" s="33" t="n">
        <v>46320.725</v>
      </c>
      <c r="C905" s="13" t="n">
        <v>46320</v>
      </c>
      <c r="D905" s="14" t="n">
        <v>0.9270833333333334</v>
      </c>
      <c r="E905" s="37" t="n">
        <v>5</v>
      </c>
      <c r="F905" s="37" t="n">
        <v>3</v>
      </c>
      <c r="G905" s="37" t="n">
        <v>0</v>
      </c>
      <c r="H905" s="37" t="n">
        <v>1</v>
      </c>
      <c r="I905" s="37" t="n">
        <v>1</v>
      </c>
      <c r="J905" s="37" t="n">
        <v>15</v>
      </c>
      <c r="K905" s="16" t="n">
        <v>180</v>
      </c>
    </row>
    <row r="906">
      <c r="A906" s="30" t="n">
        <v>46320.71875</v>
      </c>
      <c r="B906" s="30" t="n">
        <v>46320.725</v>
      </c>
      <c r="C906" s="9" t="n">
        <v>46320</v>
      </c>
      <c r="D906" s="10" t="n">
        <v>0.96875</v>
      </c>
      <c r="E906" s="36" t="n">
        <v>1</v>
      </c>
      <c r="F906" s="36" t="n">
        <v>1</v>
      </c>
      <c r="G906" s="36" t="n">
        <v>0</v>
      </c>
      <c r="H906" s="36" t="n">
        <v>0</v>
      </c>
      <c r="I906" s="36" t="n">
        <v>0</v>
      </c>
      <c r="J906" s="36" t="n">
        <v>2</v>
      </c>
      <c r="K906" s="12" t="n">
        <v>24</v>
      </c>
    </row>
    <row r="907">
      <c r="A907" s="33" t="n">
        <v>46320.71875</v>
      </c>
      <c r="B907" s="33" t="n">
        <v>46320.725</v>
      </c>
      <c r="C907" s="13" t="n">
        <v>46320</v>
      </c>
      <c r="D907" s="14" t="n">
        <v>0.9993055555555556</v>
      </c>
      <c r="E907" s="37" t="n">
        <v>-2</v>
      </c>
      <c r="F907" s="37" t="n">
        <v>0</v>
      </c>
      <c r="G907" s="37" t="n">
        <v>-2</v>
      </c>
      <c r="H907" s="37" t="n">
        <v>0</v>
      </c>
      <c r="I907" s="37" t="n">
        <v>0</v>
      </c>
      <c r="J907" s="37" t="n">
        <v>-6</v>
      </c>
      <c r="K907" s="16" t="n">
        <v>-72</v>
      </c>
    </row>
    <row r="908">
      <c r="A908" s="30" t="n">
        <v>46320.725</v>
      </c>
      <c r="B908" s="30" t="n">
        <v>46320.72847222222</v>
      </c>
      <c r="C908" s="9" t="n">
        <v>46320</v>
      </c>
      <c r="D908" s="10" t="n">
        <v>0.9270833333333334</v>
      </c>
      <c r="E908" s="36" t="n">
        <v>1</v>
      </c>
      <c r="F908" s="36" t="n">
        <v>1</v>
      </c>
      <c r="G908" s="36" t="n">
        <v>0</v>
      </c>
      <c r="H908" s="36" t="n">
        <v>0</v>
      </c>
      <c r="I908" s="36" t="n">
        <v>0</v>
      </c>
      <c r="J908" s="36" t="n">
        <v>2</v>
      </c>
      <c r="K908" s="12" t="n">
        <v>24</v>
      </c>
    </row>
    <row r="909">
      <c r="A909" s="33" t="n">
        <v>46320.72847222222</v>
      </c>
      <c r="B909" s="33" t="n">
        <v>46320.73125</v>
      </c>
      <c r="C909" s="13" t="n">
        <v>46320</v>
      </c>
      <c r="D909" s="14" t="n">
        <v>0.84375</v>
      </c>
      <c r="E909" s="37" t="n">
        <v>2</v>
      </c>
      <c r="F909" s="37" t="n">
        <v>1</v>
      </c>
      <c r="G909" s="37" t="n">
        <v>0</v>
      </c>
      <c r="H909" s="37" t="n">
        <v>1</v>
      </c>
      <c r="I909" s="37" t="n">
        <v>0</v>
      </c>
      <c r="J909" s="37" t="n">
        <v>6</v>
      </c>
      <c r="K909" s="16" t="n">
        <v>72</v>
      </c>
    </row>
    <row r="910">
      <c r="A910" s="30" t="n">
        <v>46320.72847222222</v>
      </c>
      <c r="B910" s="30" t="n">
        <v>46320.73125</v>
      </c>
      <c r="C910" s="9" t="n">
        <v>46320</v>
      </c>
      <c r="D910" s="10" t="n">
        <v>0.9993055555555556</v>
      </c>
      <c r="E910" s="36" t="n">
        <v>1</v>
      </c>
      <c r="F910" s="36" t="n">
        <v>1</v>
      </c>
      <c r="G910" s="36" t="n">
        <v>0</v>
      </c>
      <c r="H910" s="36" t="n">
        <v>0</v>
      </c>
      <c r="I910" s="36" t="n">
        <v>0</v>
      </c>
      <c r="J910" s="36" t="n">
        <v>2</v>
      </c>
      <c r="K910" s="12" t="n">
        <v>24</v>
      </c>
    </row>
    <row r="911">
      <c r="A911" s="33" t="n">
        <v>46320.73125</v>
      </c>
      <c r="B911" s="33" t="n">
        <v>46320.74027777778</v>
      </c>
      <c r="C911" s="13" t="n">
        <v>46320</v>
      </c>
      <c r="D911" s="14" t="n">
        <v>0.84375</v>
      </c>
      <c r="E911" s="37" t="n">
        <v>4</v>
      </c>
      <c r="F911" s="37" t="n">
        <v>2</v>
      </c>
      <c r="G911" s="37" t="n">
        <v>0</v>
      </c>
      <c r="H911" s="37" t="n">
        <v>2</v>
      </c>
      <c r="I911" s="37" t="n">
        <v>0</v>
      </c>
      <c r="J911" s="37" t="n">
        <v>12</v>
      </c>
      <c r="K911" s="16" t="n">
        <v>144</v>
      </c>
    </row>
    <row r="912">
      <c r="A912" s="30" t="n">
        <v>46320.73125</v>
      </c>
      <c r="B912" s="30" t="n">
        <v>46320.74027777778</v>
      </c>
      <c r="C912" s="9" t="n">
        <v>46320</v>
      </c>
      <c r="D912" s="10" t="n">
        <v>0.8854166666666666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46320.73125</v>
      </c>
      <c r="B913" s="33" t="n">
        <v>46320.74027777778</v>
      </c>
      <c r="C913" s="13" t="n">
        <v>46320</v>
      </c>
      <c r="D913" s="14" t="n">
        <v>0.96875</v>
      </c>
      <c r="E913" s="37" t="n">
        <v>6</v>
      </c>
      <c r="F913" s="37" t="n">
        <v>3</v>
      </c>
      <c r="G913" s="37" t="n">
        <v>2</v>
      </c>
      <c r="H913" s="37" t="n">
        <v>1</v>
      </c>
      <c r="I913" s="37" t="n">
        <v>0</v>
      </c>
      <c r="J913" s="37" t="n">
        <v>16</v>
      </c>
      <c r="K913" s="16" t="n">
        <v>192</v>
      </c>
    </row>
    <row r="914">
      <c r="A914" s="30" t="n">
        <v>46320.73125</v>
      </c>
      <c r="B914" s="30" t="n">
        <v>46320.74027777778</v>
      </c>
      <c r="C914" s="9" t="n">
        <v>46324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46320.73125</v>
      </c>
      <c r="B915" s="33" t="n">
        <v>46320.74027777778</v>
      </c>
      <c r="C915" s="13" t="n">
        <v>46326</v>
      </c>
      <c r="D915" s="14" t="n">
        <v>0.9270833333333334</v>
      </c>
      <c r="E915" s="37" t="n">
        <v>1</v>
      </c>
      <c r="F915" s="37" t="n">
        <v>0</v>
      </c>
      <c r="G915" s="37" t="n">
        <v>0</v>
      </c>
      <c r="H915" s="37" t="n">
        <v>1</v>
      </c>
      <c r="I915" s="37" t="n">
        <v>0</v>
      </c>
      <c r="J915" s="37" t="n">
        <v>4</v>
      </c>
      <c r="K915" s="16" t="n">
        <v>48</v>
      </c>
    </row>
    <row r="916">
      <c r="A916" s="30" t="n">
        <v>46320.74027777778</v>
      </c>
      <c r="B916" s="30" t="n">
        <v>46320.75416666667</v>
      </c>
      <c r="C916" s="9" t="n">
        <v>46320</v>
      </c>
      <c r="D916" s="10" t="n">
        <v>0.9270833333333334</v>
      </c>
      <c r="E916" s="36" t="n">
        <v>1</v>
      </c>
      <c r="F916" s="36" t="n">
        <v>0</v>
      </c>
      <c r="G916" s="36" t="n">
        <v>0</v>
      </c>
      <c r="H916" s="36" t="n">
        <v>1</v>
      </c>
      <c r="I916" s="36" t="n">
        <v>0</v>
      </c>
      <c r="J916" s="36" t="n">
        <v>4</v>
      </c>
      <c r="K916" s="12" t="n">
        <v>48</v>
      </c>
    </row>
    <row r="917">
      <c r="A917" s="33" t="n">
        <v>46320.74027777778</v>
      </c>
      <c r="B917" s="33" t="n">
        <v>46320.75416666667</v>
      </c>
      <c r="C917" s="13" t="n">
        <v>46320</v>
      </c>
      <c r="D917" s="14" t="n">
        <v>0.96875</v>
      </c>
      <c r="E917" s="37" t="n">
        <v>4</v>
      </c>
      <c r="F917" s="37" t="n">
        <v>3</v>
      </c>
      <c r="G917" s="37" t="n">
        <v>0</v>
      </c>
      <c r="H917" s="37" t="n">
        <v>0</v>
      </c>
      <c r="I917" s="37" t="n">
        <v>1</v>
      </c>
      <c r="J917" s="37" t="n">
        <v>11</v>
      </c>
      <c r="K917" s="16" t="n">
        <v>132</v>
      </c>
    </row>
    <row r="918">
      <c r="A918" s="30" t="n">
        <v>46320.74027777778</v>
      </c>
      <c r="B918" s="30" t="n">
        <v>46320.75416666667</v>
      </c>
      <c r="C918" s="9" t="n">
        <v>46320</v>
      </c>
      <c r="D918" s="10" t="n">
        <v>0.9993055555555556</v>
      </c>
      <c r="E918" s="36" t="n">
        <v>1</v>
      </c>
      <c r="F918" s="36" t="n">
        <v>0</v>
      </c>
      <c r="G918" s="36" t="n">
        <v>0</v>
      </c>
      <c r="H918" s="36" t="n">
        <v>1</v>
      </c>
      <c r="I918" s="36" t="n">
        <v>0</v>
      </c>
      <c r="J918" s="36" t="n">
        <v>4</v>
      </c>
      <c r="K918" s="12" t="n">
        <v>48</v>
      </c>
    </row>
    <row r="919">
      <c r="A919" s="33" t="n">
        <v>46320.74027777778</v>
      </c>
      <c r="B919" s="33" t="n">
        <v>46320.75416666667</v>
      </c>
      <c r="C919" s="13" t="n">
        <v>46326</v>
      </c>
      <c r="D919" s="14" t="n">
        <v>0.9270833333333334</v>
      </c>
      <c r="E919" s="37" t="n">
        <v>2</v>
      </c>
      <c r="F919" s="37" t="n">
        <v>2</v>
      </c>
      <c r="G919" s="37" t="n">
        <v>0</v>
      </c>
      <c r="H919" s="37" t="n">
        <v>0</v>
      </c>
      <c r="I919" s="37" t="n">
        <v>0</v>
      </c>
      <c r="J919" s="37" t="n">
        <v>4</v>
      </c>
      <c r="K919" s="16" t="n">
        <v>48</v>
      </c>
    </row>
    <row r="920">
      <c r="A920" s="30" t="n">
        <v>46320.75416666667</v>
      </c>
      <c r="B920" s="30" t="n">
        <v>46320.76527777778</v>
      </c>
      <c r="C920" s="9" t="n">
        <v>46320</v>
      </c>
      <c r="D920" s="10" t="n">
        <v>0.84375</v>
      </c>
      <c r="E920" s="36" t="n">
        <v>5</v>
      </c>
      <c r="F920" s="36" t="n">
        <v>3</v>
      </c>
      <c r="G920" s="36" t="n">
        <v>0</v>
      </c>
      <c r="H920" s="36" t="n">
        <v>1</v>
      </c>
      <c r="I920" s="36" t="n">
        <v>1</v>
      </c>
      <c r="J920" s="36" t="n">
        <v>15</v>
      </c>
      <c r="K920" s="12" t="n">
        <v>180</v>
      </c>
    </row>
    <row r="921">
      <c r="A921" s="33" t="n">
        <v>46320.75416666667</v>
      </c>
      <c r="B921" s="33" t="n">
        <v>46320.76527777778</v>
      </c>
      <c r="C921" s="13" t="n">
        <v>46320</v>
      </c>
      <c r="D921" s="14" t="n">
        <v>0.9270833333333334</v>
      </c>
      <c r="E921" s="37" t="n">
        <v>3</v>
      </c>
      <c r="F921" s="37" t="n">
        <v>2</v>
      </c>
      <c r="G921" s="37" t="n">
        <v>1</v>
      </c>
      <c r="H921" s="37" t="n">
        <v>0</v>
      </c>
      <c r="I921" s="37" t="n">
        <v>0</v>
      </c>
      <c r="J921" s="37" t="n">
        <v>7</v>
      </c>
      <c r="K921" s="16" t="n">
        <v>84</v>
      </c>
    </row>
    <row r="922">
      <c r="A922" s="30" t="n">
        <v>46320.75416666667</v>
      </c>
      <c r="B922" s="30" t="n">
        <v>46320.76527777778</v>
      </c>
      <c r="C922" s="9" t="n">
        <v>46320</v>
      </c>
      <c r="D922" s="10" t="n">
        <v>0.96875</v>
      </c>
      <c r="E922" s="36" t="n">
        <v>8</v>
      </c>
      <c r="F922" s="36" t="n">
        <v>2</v>
      </c>
      <c r="G922" s="36" t="n">
        <v>0</v>
      </c>
      <c r="H922" s="36" t="n">
        <v>5</v>
      </c>
      <c r="I922" s="36" t="n">
        <v>1</v>
      </c>
      <c r="J922" s="36" t="n">
        <v>29</v>
      </c>
      <c r="K922" s="12" t="n">
        <v>348</v>
      </c>
    </row>
    <row r="923">
      <c r="A923" s="33" t="n">
        <v>46320.75416666667</v>
      </c>
      <c r="B923" s="33" t="n">
        <v>46320.76527777778</v>
      </c>
      <c r="C923" s="13" t="n">
        <v>46324</v>
      </c>
      <c r="D923" s="14" t="n">
        <v>0.8854166666666666</v>
      </c>
      <c r="E923" s="37" t="n">
        <v>1</v>
      </c>
      <c r="F923" s="37" t="n">
        <v>1</v>
      </c>
      <c r="G923" s="37" t="n">
        <v>0</v>
      </c>
      <c r="H923" s="37" t="n">
        <v>0</v>
      </c>
      <c r="I923" s="37" t="n">
        <v>0</v>
      </c>
      <c r="J923" s="37" t="n">
        <v>2</v>
      </c>
      <c r="K923" s="16" t="n">
        <v>24</v>
      </c>
    </row>
    <row r="924">
      <c r="A924" s="30" t="n">
        <v>46320.75416666667</v>
      </c>
      <c r="B924" s="30" t="n">
        <v>46320.76527777778</v>
      </c>
      <c r="C924" s="9" t="n">
        <v>46325</v>
      </c>
      <c r="D924" s="10" t="n">
        <v>0.9270833333333334</v>
      </c>
      <c r="E924" s="36" t="n">
        <v>2</v>
      </c>
      <c r="F924" s="36" t="n">
        <v>2</v>
      </c>
      <c r="G924" s="36" t="n">
        <v>0</v>
      </c>
      <c r="H924" s="36" t="n">
        <v>0</v>
      </c>
      <c r="I924" s="36" t="n">
        <v>0</v>
      </c>
      <c r="J924" s="36" t="n">
        <v>4</v>
      </c>
      <c r="K924" s="12" t="n">
        <v>48</v>
      </c>
    </row>
    <row r="925">
      <c r="A925" s="33" t="n">
        <v>46320.75416666667</v>
      </c>
      <c r="B925" s="33" t="n">
        <v>46320.76527777778</v>
      </c>
      <c r="C925" s="13" t="n">
        <v>46326</v>
      </c>
      <c r="D925" s="14" t="n">
        <v>0.8854166666666666</v>
      </c>
      <c r="E925" s="37" t="n">
        <v>1</v>
      </c>
      <c r="F925" s="37" t="n">
        <v>0</v>
      </c>
      <c r="G925" s="37" t="n">
        <v>0</v>
      </c>
      <c r="H925" s="37" t="n">
        <v>1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46326</v>
      </c>
      <c r="D926" s="10" t="n">
        <v>0.9270833333333334</v>
      </c>
      <c r="E926" s="36" t="n">
        <v>1</v>
      </c>
      <c r="F926" s="36" t="n">
        <v>0</v>
      </c>
      <c r="G926" s="36" t="n">
        <v>0</v>
      </c>
      <c r="H926" s="36" t="n">
        <v>1</v>
      </c>
      <c r="I926" s="36" t="n">
        <v>0</v>
      </c>
      <c r="J926" s="36" t="n">
        <v>4</v>
      </c>
      <c r="K926" s="12" t="n">
        <v>48</v>
      </c>
    </row>
    <row r="927">
      <c r="A927" s="33" t="n">
        <v>46320.75416666667</v>
      </c>
      <c r="B927" s="33" t="n">
        <v>46320.76527777778</v>
      </c>
      <c r="C927" s="13" t="n">
        <v>46327</v>
      </c>
      <c r="D927" s="14" t="n">
        <v>0.8854166666666666</v>
      </c>
      <c r="E927" s="37" t="n">
        <v>1</v>
      </c>
      <c r="F927" s="37" t="n">
        <v>1</v>
      </c>
      <c r="G927" s="37" t="n">
        <v>0</v>
      </c>
      <c r="H927" s="37" t="n">
        <v>0</v>
      </c>
      <c r="I927" s="37" t="n">
        <v>0</v>
      </c>
      <c r="J927" s="37" t="n">
        <v>2</v>
      </c>
      <c r="K927" s="16" t="n">
        <v>24</v>
      </c>
    </row>
    <row r="928">
      <c r="A928" s="30" t="n">
        <v>46320.75416666667</v>
      </c>
      <c r="B928" s="30" t="n">
        <v>46320.76527777778</v>
      </c>
      <c r="C928" s="9" t="n">
        <v>46327</v>
      </c>
      <c r="D928" s="10" t="n">
        <v>0.9270833333333334</v>
      </c>
      <c r="E928" s="36" t="n">
        <v>1</v>
      </c>
      <c r="F928" s="36" t="n">
        <v>0</v>
      </c>
      <c r="G928" s="36" t="n">
        <v>0</v>
      </c>
      <c r="H928" s="36" t="n">
        <v>1</v>
      </c>
      <c r="I928" s="36" t="n">
        <v>0</v>
      </c>
      <c r="J928" s="36" t="n">
        <v>4</v>
      </c>
      <c r="K928" s="12" t="n">
        <v>48</v>
      </c>
    </row>
    <row r="929">
      <c r="A929" s="33" t="n">
        <v>46320.76527777778</v>
      </c>
      <c r="B929" s="33" t="n">
        <v>46320.78055555555</v>
      </c>
      <c r="C929" s="13" t="n">
        <v>46320</v>
      </c>
      <c r="D929" s="14" t="n">
        <v>0.84375</v>
      </c>
      <c r="E929" s="37" t="n">
        <v>8</v>
      </c>
      <c r="F929" s="37" t="n">
        <v>4</v>
      </c>
      <c r="G929" s="37" t="n">
        <v>0</v>
      </c>
      <c r="H929" s="37" t="n">
        <v>4</v>
      </c>
      <c r="I929" s="37" t="n">
        <v>0</v>
      </c>
      <c r="J929" s="37" t="n">
        <v>24</v>
      </c>
      <c r="K929" s="16" t="n">
        <v>288</v>
      </c>
    </row>
    <row r="930">
      <c r="A930" s="30" t="n">
        <v>46320.76527777778</v>
      </c>
      <c r="B930" s="30" t="n">
        <v>46320.78055555555</v>
      </c>
      <c r="C930" s="9" t="n">
        <v>46320</v>
      </c>
      <c r="D930" s="10" t="n">
        <v>0.9270833333333334</v>
      </c>
      <c r="E930" s="36" t="n">
        <v>1</v>
      </c>
      <c r="F930" s="36" t="n">
        <v>1</v>
      </c>
      <c r="G930" s="36" t="n">
        <v>0</v>
      </c>
      <c r="H930" s="36" t="n">
        <v>0</v>
      </c>
      <c r="I930" s="36" t="n">
        <v>0</v>
      </c>
      <c r="J930" s="36" t="n">
        <v>2</v>
      </c>
      <c r="K930" s="12" t="n">
        <v>24</v>
      </c>
    </row>
    <row r="931">
      <c r="A931" s="33" t="n">
        <v>46320.76527777778</v>
      </c>
      <c r="B931" s="33" t="n">
        <v>46320.78055555555</v>
      </c>
      <c r="C931" s="13" t="n">
        <v>46320</v>
      </c>
      <c r="D931" s="14" t="n">
        <v>0.96875</v>
      </c>
      <c r="E931" s="37" t="n">
        <v>7</v>
      </c>
      <c r="F931" s="37" t="n">
        <v>4</v>
      </c>
      <c r="G931" s="37" t="n">
        <v>1</v>
      </c>
      <c r="H931" s="37" t="n">
        <v>2</v>
      </c>
      <c r="I931" s="37" t="n">
        <v>0</v>
      </c>
      <c r="J931" s="37" t="n">
        <v>19</v>
      </c>
      <c r="K931" s="16" t="n">
        <v>228</v>
      </c>
    </row>
    <row r="932">
      <c r="A932" s="30" t="n">
        <v>46320.76527777778</v>
      </c>
      <c r="B932" s="30" t="n">
        <v>46320.78055555555</v>
      </c>
      <c r="C932" s="9" t="n">
        <v>46320</v>
      </c>
      <c r="D932" s="10" t="n">
        <v>0.9993055555555556</v>
      </c>
      <c r="E932" s="36" t="n">
        <v>2</v>
      </c>
      <c r="F932" s="36" t="n">
        <v>0</v>
      </c>
      <c r="G932" s="36" t="n">
        <v>1</v>
      </c>
      <c r="H932" s="36" t="n">
        <v>1</v>
      </c>
      <c r="I932" s="36" t="n">
        <v>0</v>
      </c>
      <c r="J932" s="36" t="n">
        <v>7</v>
      </c>
      <c r="K932" s="12" t="n">
        <v>84</v>
      </c>
    </row>
    <row r="933">
      <c r="A933" s="33" t="n">
        <v>46320.76527777778</v>
      </c>
      <c r="B933" s="33" t="n">
        <v>46320.78055555555</v>
      </c>
      <c r="C933" s="13" t="n">
        <v>46325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46320.76527777778</v>
      </c>
      <c r="B934" s="30" t="n">
        <v>46320.78055555555</v>
      </c>
      <c r="C934" s="9" t="n">
        <v>46327</v>
      </c>
      <c r="D934" s="10" t="n">
        <v>0.9270833333333334</v>
      </c>
      <c r="E934" s="36" t="n">
        <v>1</v>
      </c>
      <c r="F934" s="36" t="n">
        <v>1</v>
      </c>
      <c r="G934" s="36" t="n">
        <v>0</v>
      </c>
      <c r="H934" s="36" t="n">
        <v>0</v>
      </c>
      <c r="I934" s="36" t="n">
        <v>0</v>
      </c>
      <c r="J934" s="36" t="n">
        <v>2</v>
      </c>
      <c r="K934" s="12" t="n">
        <v>24</v>
      </c>
    </row>
    <row r="935">
      <c r="A935" s="33" t="n">
        <v>46320.76527777778</v>
      </c>
      <c r="B935" s="33" t="n">
        <v>46320.78055555555</v>
      </c>
      <c r="C935" s="13" t="n">
        <v>46327</v>
      </c>
      <c r="D935" s="14" t="n">
        <v>0.96875</v>
      </c>
      <c r="E935" s="37" t="n">
        <v>1</v>
      </c>
      <c r="F935" s="37" t="n">
        <v>0</v>
      </c>
      <c r="G935" s="37" t="n">
        <v>1</v>
      </c>
      <c r="H935" s="37" t="n">
        <v>0</v>
      </c>
      <c r="I935" s="37" t="n">
        <v>0</v>
      </c>
      <c r="J935" s="37" t="n">
        <v>3</v>
      </c>
      <c r="K935" s="16" t="n">
        <v>36</v>
      </c>
    </row>
    <row r="936">
      <c r="A936" s="30" t="n">
        <v>46320.78055555555</v>
      </c>
      <c r="B936" s="30" t="n">
        <v>46320.79722222222</v>
      </c>
      <c r="C936" s="9" t="n">
        <v>46320</v>
      </c>
      <c r="D936" s="10" t="n">
        <v>0.96875</v>
      </c>
      <c r="E936" s="36" t="n">
        <v>2</v>
      </c>
      <c r="F936" s="36" t="n">
        <v>1</v>
      </c>
      <c r="G936" s="36" t="n">
        <v>1</v>
      </c>
      <c r="H936" s="36" t="n">
        <v>0</v>
      </c>
      <c r="I936" s="36" t="n">
        <v>0</v>
      </c>
      <c r="J936" s="36" t="n">
        <v>5</v>
      </c>
      <c r="K936" s="12" t="n">
        <v>60</v>
      </c>
    </row>
    <row r="937">
      <c r="A937" s="33" t="n">
        <v>46320.78055555555</v>
      </c>
      <c r="B937" s="33" t="n">
        <v>46320.79722222222</v>
      </c>
      <c r="C937" s="13" t="n">
        <v>46320</v>
      </c>
      <c r="D937" s="14" t="n">
        <v>0.9993055555555556</v>
      </c>
      <c r="E937" s="37" t="n">
        <v>7</v>
      </c>
      <c r="F937" s="37" t="n">
        <v>1</v>
      </c>
      <c r="G937" s="37" t="n">
        <v>1</v>
      </c>
      <c r="H937" s="37" t="n">
        <v>4</v>
      </c>
      <c r="I937" s="37" t="n">
        <v>1</v>
      </c>
      <c r="J937" s="37" t="n">
        <v>26</v>
      </c>
      <c r="K937" s="16" t="n">
        <v>312</v>
      </c>
    </row>
    <row r="938">
      <c r="A938" s="30" t="n">
        <v>46320.78055555555</v>
      </c>
      <c r="B938" s="30" t="n">
        <v>46320.79722222222</v>
      </c>
      <c r="C938" s="9" t="n">
        <v>46325</v>
      </c>
      <c r="D938" s="10" t="n">
        <v>0.8854166666666666</v>
      </c>
      <c r="E938" s="36" t="n">
        <v>1</v>
      </c>
      <c r="F938" s="36" t="n">
        <v>0</v>
      </c>
      <c r="G938" s="36" t="n">
        <v>0</v>
      </c>
      <c r="H938" s="36" t="n">
        <v>0</v>
      </c>
      <c r="I938" s="36" t="n">
        <v>1</v>
      </c>
      <c r="J938" s="36" t="n">
        <v>5</v>
      </c>
      <c r="K938" s="12" t="n">
        <v>60</v>
      </c>
    </row>
    <row r="939">
      <c r="A939" s="33" t="n">
        <v>46320.78055555555</v>
      </c>
      <c r="B939" s="33" t="n">
        <v>46320.79722222222</v>
      </c>
      <c r="C939" s="13" t="n">
        <v>46325</v>
      </c>
      <c r="D939" s="14" t="n">
        <v>0.9270833333333334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46320.78055555555</v>
      </c>
      <c r="B940" s="30" t="n">
        <v>46320.79722222222</v>
      </c>
      <c r="C940" s="9" t="n">
        <v>46325</v>
      </c>
      <c r="D940" s="10" t="n">
        <v>0.96875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46320.78055555555</v>
      </c>
      <c r="B941" s="33" t="n">
        <v>46320.79722222222</v>
      </c>
      <c r="C941" s="13" t="n">
        <v>46326</v>
      </c>
      <c r="D941" s="14" t="n">
        <v>0.96875</v>
      </c>
      <c r="E941" s="37" t="n">
        <v>1</v>
      </c>
      <c r="F941" s="37" t="n">
        <v>0</v>
      </c>
      <c r="G941" s="37" t="n">
        <v>0</v>
      </c>
      <c r="H941" s="37" t="n">
        <v>1</v>
      </c>
      <c r="I941" s="37" t="n">
        <v>0</v>
      </c>
      <c r="J941" s="37" t="n">
        <v>4</v>
      </c>
      <c r="K941" s="16" t="n">
        <v>48</v>
      </c>
    </row>
    <row r="942">
      <c r="A942" s="30" t="n">
        <v>46320.78055555555</v>
      </c>
      <c r="B942" s="30" t="n">
        <v>46320.79722222222</v>
      </c>
      <c r="C942" s="9" t="n">
        <v>46327</v>
      </c>
      <c r="D942" s="10" t="n">
        <v>0.9270833333333334</v>
      </c>
      <c r="E942" s="36" t="n">
        <v>2</v>
      </c>
      <c r="F942" s="36" t="n">
        <v>0</v>
      </c>
      <c r="G942" s="36" t="n">
        <v>1</v>
      </c>
      <c r="H942" s="36" t="n">
        <v>1</v>
      </c>
      <c r="I942" s="36" t="n">
        <v>0</v>
      </c>
      <c r="J942" s="36" t="n">
        <v>7</v>
      </c>
      <c r="K942" s="12" t="n">
        <v>84</v>
      </c>
    </row>
    <row r="943">
      <c r="A943" s="33" t="n">
        <v>46320.79722222222</v>
      </c>
      <c r="B943" s="33" t="n">
        <v>46320.80833333333</v>
      </c>
      <c r="C943" s="13" t="n">
        <v>46320</v>
      </c>
      <c r="D943" s="14" t="n">
        <v>0.84375</v>
      </c>
      <c r="E943" s="37" t="n">
        <v>1</v>
      </c>
      <c r="F943" s="37" t="n">
        <v>1</v>
      </c>
      <c r="G943" s="37" t="n">
        <v>0</v>
      </c>
      <c r="H943" s="37" t="n">
        <v>0</v>
      </c>
      <c r="I943" s="37" t="n">
        <v>0</v>
      </c>
      <c r="J943" s="37" t="n">
        <v>2</v>
      </c>
      <c r="K943" s="16" t="n">
        <v>24</v>
      </c>
    </row>
    <row r="944">
      <c r="A944" s="30" t="n">
        <v>46320.79722222222</v>
      </c>
      <c r="B944" s="30" t="n">
        <v>46320.80833333333</v>
      </c>
      <c r="C944" s="9" t="n">
        <v>46320</v>
      </c>
      <c r="D944" s="10" t="n">
        <v>0.96875</v>
      </c>
      <c r="E944" s="36" t="n">
        <v>2</v>
      </c>
      <c r="F944" s="36" t="n">
        <v>2</v>
      </c>
      <c r="G944" s="36" t="n">
        <v>0</v>
      </c>
      <c r="H944" s="36" t="n">
        <v>0</v>
      </c>
      <c r="I944" s="36" t="n">
        <v>0</v>
      </c>
      <c r="J944" s="36" t="n">
        <v>4</v>
      </c>
      <c r="K944" s="12" t="n">
        <v>48</v>
      </c>
    </row>
    <row r="945">
      <c r="A945" s="33" t="n">
        <v>46320.79722222222</v>
      </c>
      <c r="B945" s="33" t="n">
        <v>46320.80833333333</v>
      </c>
      <c r="C945" s="13" t="n">
        <v>46320</v>
      </c>
      <c r="D945" s="14" t="n">
        <v>0.9993055555555556</v>
      </c>
      <c r="E945" s="37" t="n">
        <v>6</v>
      </c>
      <c r="F945" s="37" t="n">
        <v>2</v>
      </c>
      <c r="G945" s="37" t="n">
        <v>1</v>
      </c>
      <c r="H945" s="37" t="n">
        <v>3</v>
      </c>
      <c r="I945" s="37" t="n">
        <v>0</v>
      </c>
      <c r="J945" s="37" t="n">
        <v>19</v>
      </c>
      <c r="K945" s="16" t="n">
        <v>228</v>
      </c>
    </row>
    <row r="946">
      <c r="A946" s="30" t="n">
        <v>46320.79722222222</v>
      </c>
      <c r="B946" s="30" t="n">
        <v>46320.80833333333</v>
      </c>
      <c r="C946" s="9" t="n">
        <v>46326</v>
      </c>
      <c r="D946" s="10" t="n">
        <v>0.9270833333333334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46320.80833333333</v>
      </c>
      <c r="B947" s="33" t="n">
        <v>46320.80972222222</v>
      </c>
      <c r="C947" s="13" t="n">
        <v>46326</v>
      </c>
      <c r="D947" s="14" t="n">
        <v>0.9993055555555556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46320.80972222222</v>
      </c>
      <c r="B948" s="30" t="n">
        <v>46320.82152777778</v>
      </c>
      <c r="C948" s="9" t="n">
        <v>46320</v>
      </c>
      <c r="D948" s="10" t="n">
        <v>0.9993055555555556</v>
      </c>
      <c r="E948" s="36" t="n">
        <v>4</v>
      </c>
      <c r="F948" s="36" t="n">
        <v>2</v>
      </c>
      <c r="G948" s="36" t="n">
        <v>0</v>
      </c>
      <c r="H948" s="36" t="n">
        <v>2</v>
      </c>
      <c r="I948" s="36" t="n">
        <v>0</v>
      </c>
      <c r="J948" s="36" t="n">
        <v>12</v>
      </c>
      <c r="K948" s="12" t="n">
        <v>144</v>
      </c>
    </row>
    <row r="949">
      <c r="A949" s="33" t="n">
        <v>46320.80972222222</v>
      </c>
      <c r="B949" s="33" t="n">
        <v>46320.82152777778</v>
      </c>
      <c r="C949" s="13" t="n">
        <v>46324</v>
      </c>
      <c r="D949" s="14" t="n">
        <v>0.8854166666666666</v>
      </c>
      <c r="E949" s="37" t="n">
        <v>3</v>
      </c>
      <c r="F949" s="37" t="n">
        <v>2</v>
      </c>
      <c r="G949" s="37" t="n">
        <v>0</v>
      </c>
      <c r="H949" s="37" t="n">
        <v>1</v>
      </c>
      <c r="I949" s="37" t="n">
        <v>0</v>
      </c>
      <c r="J949" s="37" t="n">
        <v>8</v>
      </c>
      <c r="K949" s="16" t="n">
        <v>96</v>
      </c>
    </row>
    <row r="950">
      <c r="A950" s="30" t="n">
        <v>46320.80972222222</v>
      </c>
      <c r="B950" s="30" t="n">
        <v>46320.82152777778</v>
      </c>
      <c r="C950" s="9" t="n">
        <v>46326</v>
      </c>
      <c r="D950" s="10" t="n">
        <v>0.8854166666666666</v>
      </c>
      <c r="E950" s="36" t="n">
        <v>1</v>
      </c>
      <c r="F950" s="36" t="n">
        <v>0</v>
      </c>
      <c r="G950" s="36" t="n">
        <v>0</v>
      </c>
      <c r="H950" s="36" t="n">
        <v>0</v>
      </c>
      <c r="I950" s="36" t="n">
        <v>1</v>
      </c>
      <c r="J950" s="36" t="n">
        <v>5</v>
      </c>
      <c r="K950" s="12" t="n">
        <v>60</v>
      </c>
    </row>
    <row r="951">
      <c r="A951" s="33" t="n">
        <v>46320.80972222222</v>
      </c>
      <c r="B951" s="33" t="n">
        <v>46320.82152777778</v>
      </c>
      <c r="C951" s="13" t="n">
        <v>46326</v>
      </c>
      <c r="D951" s="14" t="n">
        <v>0.96875</v>
      </c>
      <c r="E951" s="37" t="n">
        <v>2</v>
      </c>
      <c r="F951" s="37" t="n">
        <v>0</v>
      </c>
      <c r="G951" s="37" t="n">
        <v>0</v>
      </c>
      <c r="H951" s="37" t="n">
        <v>2</v>
      </c>
      <c r="I951" s="37" t="n">
        <v>0</v>
      </c>
      <c r="J951" s="37" t="n">
        <v>8</v>
      </c>
      <c r="K951" s="16" t="n">
        <v>96</v>
      </c>
    </row>
    <row r="952">
      <c r="A952" s="30" t="n">
        <v>46320.80972222222</v>
      </c>
      <c r="B952" s="30" t="n">
        <v>46320.82152777778</v>
      </c>
      <c r="C952" s="9" t="n">
        <v>46327</v>
      </c>
      <c r="D952" s="10" t="n">
        <v>0.84375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46320.80972222222</v>
      </c>
      <c r="B953" s="33" t="n">
        <v>46320.82152777778</v>
      </c>
      <c r="C953" s="13" t="n">
        <v>46327</v>
      </c>
      <c r="D953" s="14" t="n">
        <v>0.9270833333333334</v>
      </c>
      <c r="E953" s="37" t="n">
        <v>1</v>
      </c>
      <c r="F953" s="37" t="n">
        <v>1</v>
      </c>
      <c r="G953" s="37" t="n">
        <v>0</v>
      </c>
      <c r="H953" s="37" t="n">
        <v>0</v>
      </c>
      <c r="I953" s="37" t="n">
        <v>0</v>
      </c>
      <c r="J953" s="37" t="n">
        <v>2</v>
      </c>
      <c r="K953" s="16" t="n">
        <v>24</v>
      </c>
    </row>
    <row r="954">
      <c r="A954" s="30" t="n">
        <v>46320.82152777778</v>
      </c>
      <c r="B954" s="30" t="n">
        <v>46320.82430555556</v>
      </c>
      <c r="C954" s="9" t="n">
        <v>46320</v>
      </c>
      <c r="D954" s="10" t="n">
        <v>0.9993055555555556</v>
      </c>
      <c r="E954" s="36" t="n">
        <v>3</v>
      </c>
      <c r="F954" s="36" t="n">
        <v>1</v>
      </c>
      <c r="G954" s="36" t="n">
        <v>1</v>
      </c>
      <c r="H954" s="36" t="n">
        <v>1</v>
      </c>
      <c r="I954" s="36" t="n">
        <v>0</v>
      </c>
      <c r="J954" s="36" t="n">
        <v>9</v>
      </c>
      <c r="K954" s="12" t="n">
        <v>108</v>
      </c>
    </row>
    <row r="955">
      <c r="A955" s="33" t="n">
        <v>46320.82152777778</v>
      </c>
      <c r="B955" s="33" t="n">
        <v>46320.82430555556</v>
      </c>
      <c r="C955" s="13" t="n">
        <v>46325</v>
      </c>
      <c r="D955" s="14" t="n">
        <v>0.9270833333333334</v>
      </c>
      <c r="E955" s="37" t="n">
        <v>1</v>
      </c>
      <c r="F955" s="37" t="n">
        <v>1</v>
      </c>
      <c r="G955" s="37" t="n">
        <v>0</v>
      </c>
      <c r="H955" s="37" t="n">
        <v>0</v>
      </c>
      <c r="I955" s="37" t="n">
        <v>0</v>
      </c>
      <c r="J955" s="37" t="n">
        <v>2</v>
      </c>
      <c r="K955" s="16" t="n">
        <v>24</v>
      </c>
    </row>
    <row r="956">
      <c r="A956" s="30" t="n">
        <v>46320.82430555556</v>
      </c>
      <c r="B956" s="30" t="n">
        <v>46320.83888888889</v>
      </c>
      <c r="C956" s="9" t="n">
        <v>46320</v>
      </c>
      <c r="D956" s="10" t="n">
        <v>0.9993055555555556</v>
      </c>
      <c r="E956" s="36" t="n">
        <v>2</v>
      </c>
      <c r="F956" s="36" t="n">
        <v>0</v>
      </c>
      <c r="G956" s="36" t="n">
        <v>0</v>
      </c>
      <c r="H956" s="36" t="n">
        <v>2</v>
      </c>
      <c r="I956" s="36" t="n">
        <v>0</v>
      </c>
      <c r="J956" s="36" t="n">
        <v>8</v>
      </c>
      <c r="K956" s="12" t="n">
        <v>96</v>
      </c>
    </row>
    <row r="957">
      <c r="A957" s="33" t="n">
        <v>46320.82430555556</v>
      </c>
      <c r="B957" s="33" t="n">
        <v>46320.83888888889</v>
      </c>
      <c r="C957" s="13" t="n">
        <v>46324</v>
      </c>
      <c r="D957" s="14" t="n">
        <v>0.8854166666666666</v>
      </c>
      <c r="E957" s="37" t="n">
        <v>1</v>
      </c>
      <c r="F957" s="37" t="n">
        <v>0</v>
      </c>
      <c r="G957" s="37" t="n">
        <v>0</v>
      </c>
      <c r="H957" s="37" t="n">
        <v>1</v>
      </c>
      <c r="I957" s="37" t="n">
        <v>0</v>
      </c>
      <c r="J957" s="37" t="n">
        <v>4</v>
      </c>
      <c r="K957" s="16" t="n">
        <v>48</v>
      </c>
    </row>
    <row r="958">
      <c r="A958" s="30" t="n">
        <v>46320.82430555556</v>
      </c>
      <c r="B958" s="30" t="n">
        <v>46320.83888888889</v>
      </c>
      <c r="C958" s="9" t="n">
        <v>46327</v>
      </c>
      <c r="D958" s="10" t="n">
        <v>0.84375</v>
      </c>
      <c r="E958" s="36" t="n">
        <v>1</v>
      </c>
      <c r="F958" s="36" t="n">
        <v>0</v>
      </c>
      <c r="G958" s="36" t="n">
        <v>0</v>
      </c>
      <c r="H958" s="36" t="n">
        <v>1</v>
      </c>
      <c r="I958" s="36" t="n">
        <v>0</v>
      </c>
      <c r="J958" s="36" t="n">
        <v>4</v>
      </c>
      <c r="K958" s="12" t="n">
        <v>48</v>
      </c>
    </row>
    <row r="959">
      <c r="A959" s="33" t="n">
        <v>46320.83888888889</v>
      </c>
      <c r="B959" s="33" t="n">
        <v>46320.84861111111</v>
      </c>
      <c r="C959" s="13" t="n">
        <v>46320</v>
      </c>
      <c r="D959" s="14" t="n">
        <v>0.9993055555555556</v>
      </c>
      <c r="E959" s="37" t="n">
        <v>4</v>
      </c>
      <c r="F959" s="37" t="n">
        <v>0</v>
      </c>
      <c r="G959" s="37" t="n">
        <v>1</v>
      </c>
      <c r="H959" s="37" t="n">
        <v>1</v>
      </c>
      <c r="I959" s="37" t="n">
        <v>2</v>
      </c>
      <c r="J959" s="37" t="n">
        <v>17</v>
      </c>
      <c r="K959" s="16" t="n">
        <v>204</v>
      </c>
    </row>
    <row r="960">
      <c r="A960" s="30" t="n">
        <v>46320.83888888889</v>
      </c>
      <c r="B960" s="30" t="n">
        <v>46320.84861111111</v>
      </c>
      <c r="C960" s="9" t="n">
        <v>46325</v>
      </c>
      <c r="D960" s="10" t="n">
        <v>0.8854166666666666</v>
      </c>
      <c r="E960" s="36" t="n">
        <v>1</v>
      </c>
      <c r="F960" s="36" t="n">
        <v>1</v>
      </c>
      <c r="G960" s="36" t="n">
        <v>0</v>
      </c>
      <c r="H960" s="36" t="n">
        <v>0</v>
      </c>
      <c r="I960" s="36" t="n">
        <v>0</v>
      </c>
      <c r="J960" s="36" t="n">
        <v>2</v>
      </c>
      <c r="K960" s="12" t="n">
        <v>24</v>
      </c>
    </row>
    <row r="961">
      <c r="A961" s="33" t="n">
        <v>46320.83888888889</v>
      </c>
      <c r="B961" s="33" t="n">
        <v>46320.84861111111</v>
      </c>
      <c r="C961" s="13" t="n">
        <v>46326</v>
      </c>
      <c r="D961" s="14" t="n">
        <v>0.8854166666666666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46320.84861111111</v>
      </c>
      <c r="B962" s="30" t="n">
        <v>46320.86319444444</v>
      </c>
      <c r="C962" s="9" t="n">
        <v>46320</v>
      </c>
      <c r="D962" s="10" t="n">
        <v>0.9993055555555556</v>
      </c>
      <c r="E962" s="36" t="n">
        <v>5</v>
      </c>
      <c r="F962" s="36" t="n">
        <v>3</v>
      </c>
      <c r="G962" s="36" t="n">
        <v>0</v>
      </c>
      <c r="H962" s="36" t="n">
        <v>1</v>
      </c>
      <c r="I962" s="36" t="n">
        <v>1</v>
      </c>
      <c r="J962" s="36" t="n">
        <v>15</v>
      </c>
      <c r="K962" s="12" t="n">
        <v>180</v>
      </c>
    </row>
    <row r="963">
      <c r="A963" s="33" t="n">
        <v>46320.84861111111</v>
      </c>
      <c r="B963" s="33" t="n">
        <v>46320.86319444444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1</v>
      </c>
      <c r="H963" s="37" t="n">
        <v>0</v>
      </c>
      <c r="I963" s="37" t="n">
        <v>0</v>
      </c>
      <c r="J963" s="37" t="n">
        <v>3</v>
      </c>
      <c r="K963" s="16" t="n">
        <v>36</v>
      </c>
    </row>
    <row r="964">
      <c r="A964" s="30" t="n">
        <v>46320.84861111111</v>
      </c>
      <c r="B964" s="30" t="n">
        <v>46320.86319444444</v>
      </c>
      <c r="C964" s="9" t="n">
        <v>46324</v>
      </c>
      <c r="D964" s="10" t="n">
        <v>0.9270833333333334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46320.84861111111</v>
      </c>
      <c r="B965" s="33" t="n">
        <v>46320.86319444444</v>
      </c>
      <c r="C965" s="13" t="n">
        <v>46326</v>
      </c>
      <c r="D965" s="14" t="n">
        <v>0.96875</v>
      </c>
      <c r="E965" s="37" t="n">
        <v>2</v>
      </c>
      <c r="F965" s="37" t="n">
        <v>1</v>
      </c>
      <c r="G965" s="37" t="n">
        <v>0</v>
      </c>
      <c r="H965" s="37" t="n">
        <v>1</v>
      </c>
      <c r="I965" s="37" t="n">
        <v>0</v>
      </c>
      <c r="J965" s="37" t="n">
        <v>6</v>
      </c>
      <c r="K965" s="16" t="n">
        <v>72</v>
      </c>
    </row>
    <row r="966">
      <c r="A966" s="30" t="n">
        <v>46320.86319444444</v>
      </c>
      <c r="B966" s="30" t="n">
        <v>46320.86666666667</v>
      </c>
      <c r="C966" s="9" t="n">
        <v>46325</v>
      </c>
      <c r="D966" s="10" t="n">
        <v>0.9270833333333334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46320.86944444444</v>
      </c>
      <c r="B967" s="33" t="n">
        <v>46320.87083333333</v>
      </c>
      <c r="C967" s="13" t="n">
        <v>46320</v>
      </c>
      <c r="D967" s="14" t="n">
        <v>0.9993055555555556</v>
      </c>
      <c r="E967" s="37" t="n">
        <v>1</v>
      </c>
      <c r="F967" s="37" t="n">
        <v>0</v>
      </c>
      <c r="G967" s="37" t="n">
        <v>0</v>
      </c>
      <c r="H967" s="37" t="n">
        <v>1</v>
      </c>
      <c r="I967" s="37" t="n">
        <v>0</v>
      </c>
      <c r="J967" s="37" t="n">
        <v>4</v>
      </c>
      <c r="K967" s="16" t="n">
        <v>48</v>
      </c>
    </row>
    <row r="968">
      <c r="A968" s="30" t="n">
        <v>46320.86944444444</v>
      </c>
      <c r="B968" s="30" t="n">
        <v>46320.87083333333</v>
      </c>
      <c r="C968" s="9" t="n">
        <v>46326</v>
      </c>
      <c r="D968" s="10" t="n">
        <v>0.96875</v>
      </c>
      <c r="E968" s="36" t="n">
        <v>1</v>
      </c>
      <c r="F968" s="36" t="n">
        <v>0</v>
      </c>
      <c r="G968" s="36" t="n">
        <v>0</v>
      </c>
      <c r="H968" s="36" t="n">
        <v>1</v>
      </c>
      <c r="I968" s="36" t="n">
        <v>0</v>
      </c>
      <c r="J968" s="36" t="n">
        <v>4</v>
      </c>
      <c r="K968" s="12" t="n">
        <v>48</v>
      </c>
    </row>
    <row r="969">
      <c r="A969" s="33" t="n">
        <v>46320.87152777778</v>
      </c>
      <c r="B969" s="33" t="n">
        <v>46320.88541666666</v>
      </c>
      <c r="C969" s="13" t="n">
        <v>46320</v>
      </c>
      <c r="D969" s="14" t="n">
        <v>0.9993055555555556</v>
      </c>
      <c r="E969" s="37" t="n">
        <v>3</v>
      </c>
      <c r="F969" s="37" t="n">
        <v>1</v>
      </c>
      <c r="G969" s="37" t="n">
        <v>0</v>
      </c>
      <c r="H969" s="37" t="n">
        <v>2</v>
      </c>
      <c r="I969" s="37" t="n">
        <v>0</v>
      </c>
      <c r="J969" s="37" t="n">
        <v>10</v>
      </c>
      <c r="K969" s="16" t="n">
        <v>120</v>
      </c>
    </row>
    <row r="970">
      <c r="A970" s="30" t="n">
        <v>46320.87152777778</v>
      </c>
      <c r="B970" s="30" t="n">
        <v>46320.88541666666</v>
      </c>
      <c r="C970" s="9" t="n">
        <v>46324</v>
      </c>
      <c r="D970" s="10" t="n">
        <v>0.8854166666666666</v>
      </c>
      <c r="E970" s="36" t="n">
        <v>1</v>
      </c>
      <c r="F970" s="36" t="n">
        <v>1</v>
      </c>
      <c r="G970" s="36" t="n">
        <v>0</v>
      </c>
      <c r="H970" s="36" t="n">
        <v>0</v>
      </c>
      <c r="I970" s="36" t="n">
        <v>0</v>
      </c>
      <c r="J970" s="36" t="n">
        <v>2</v>
      </c>
      <c r="K970" s="12" t="n">
        <v>24</v>
      </c>
    </row>
    <row r="971">
      <c r="A971" s="33" t="n">
        <v>46320.87152777778</v>
      </c>
      <c r="B971" s="33" t="n">
        <v>46320.88541666666</v>
      </c>
      <c r="C971" s="13" t="n">
        <v>46324</v>
      </c>
      <c r="D971" s="14" t="n">
        <v>0.9270833333333334</v>
      </c>
      <c r="E971" s="37" t="n">
        <v>1</v>
      </c>
      <c r="F971" s="37" t="n">
        <v>0</v>
      </c>
      <c r="G971" s="37" t="n">
        <v>0</v>
      </c>
      <c r="H971" s="37" t="n">
        <v>0</v>
      </c>
      <c r="I971" s="37" t="n">
        <v>1</v>
      </c>
      <c r="J971" s="37" t="n">
        <v>5</v>
      </c>
      <c r="K971" s="16" t="n">
        <v>60</v>
      </c>
    </row>
    <row r="972">
      <c r="A972" s="30" t="n">
        <v>46320.87152777778</v>
      </c>
      <c r="B972" s="30" t="n">
        <v>46320.88541666666</v>
      </c>
      <c r="C972" s="9" t="n">
        <v>46324</v>
      </c>
      <c r="D972" s="10" t="n">
        <v>0.96875</v>
      </c>
      <c r="E972" s="36" t="n">
        <v>2</v>
      </c>
      <c r="F972" s="36" t="n">
        <v>0</v>
      </c>
      <c r="G972" s="36" t="n">
        <v>0</v>
      </c>
      <c r="H972" s="36" t="n">
        <v>1</v>
      </c>
      <c r="I972" s="36" t="n">
        <v>1</v>
      </c>
      <c r="J972" s="36" t="n">
        <v>9</v>
      </c>
      <c r="K972" s="12" t="n">
        <v>108</v>
      </c>
    </row>
    <row r="973">
      <c r="A973" s="33" t="n">
        <v>46320.87152777778</v>
      </c>
      <c r="B973" s="33" t="n">
        <v>46320.88541666666</v>
      </c>
      <c r="C973" s="13" t="n">
        <v>46325</v>
      </c>
      <c r="D973" s="14" t="n">
        <v>0.9993055555555556</v>
      </c>
      <c r="E973" s="37" t="n">
        <v>2</v>
      </c>
      <c r="F973" s="37" t="n">
        <v>2</v>
      </c>
      <c r="G973" s="37" t="n">
        <v>0</v>
      </c>
      <c r="H973" s="37" t="n">
        <v>0</v>
      </c>
      <c r="I973" s="37" t="n">
        <v>0</v>
      </c>
      <c r="J973" s="37" t="n">
        <v>4</v>
      </c>
      <c r="K973" s="16" t="n">
        <v>48</v>
      </c>
    </row>
    <row r="974">
      <c r="A974" s="30" t="n">
        <v>46320.87152777778</v>
      </c>
      <c r="B974" s="30" t="n">
        <v>46320.88541666666</v>
      </c>
      <c r="C974" s="9" t="n">
        <v>46326</v>
      </c>
      <c r="D974" s="10" t="n">
        <v>0.84375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46326</v>
      </c>
      <c r="D975" s="14" t="n">
        <v>0.8854166666666666</v>
      </c>
      <c r="E975" s="37" t="n">
        <v>3</v>
      </c>
      <c r="F975" s="37" t="n">
        <v>1</v>
      </c>
      <c r="G975" s="37" t="n">
        <v>1</v>
      </c>
      <c r="H975" s="37" t="n">
        <v>1</v>
      </c>
      <c r="I975" s="37" t="n">
        <v>0</v>
      </c>
      <c r="J975" s="37" t="n">
        <v>9</v>
      </c>
      <c r="K975" s="16" t="n">
        <v>108</v>
      </c>
    </row>
    <row r="976">
      <c r="A976" s="30" t="n">
        <v>46320.87152777778</v>
      </c>
      <c r="B976" s="30" t="n">
        <v>46320.88541666666</v>
      </c>
      <c r="C976" s="9" t="n">
        <v>46326</v>
      </c>
      <c r="D976" s="10" t="n">
        <v>0.9270833333333334</v>
      </c>
      <c r="E976" s="36" t="n">
        <v>2</v>
      </c>
      <c r="F976" s="36" t="n">
        <v>1</v>
      </c>
      <c r="G976" s="36" t="n">
        <v>0</v>
      </c>
      <c r="H976" s="36" t="n">
        <v>1</v>
      </c>
      <c r="I976" s="36" t="n">
        <v>0</v>
      </c>
      <c r="J976" s="36" t="n">
        <v>6</v>
      </c>
      <c r="K976" s="12" t="n">
        <v>72</v>
      </c>
    </row>
    <row r="977">
      <c r="A977" s="33" t="n">
        <v>46320.87152777778</v>
      </c>
      <c r="B977" s="33" t="n">
        <v>46320.88541666666</v>
      </c>
      <c r="C977" s="13" t="n">
        <v>46326</v>
      </c>
      <c r="D977" s="14" t="n">
        <v>0.9993055555555556</v>
      </c>
      <c r="E977" s="37" t="n">
        <v>1</v>
      </c>
      <c r="F977" s="37" t="n">
        <v>0</v>
      </c>
      <c r="G977" s="37" t="n">
        <v>0</v>
      </c>
      <c r="H977" s="37" t="n">
        <v>1</v>
      </c>
      <c r="I977" s="37" t="n">
        <v>0</v>
      </c>
      <c r="J977" s="37" t="n">
        <v>4</v>
      </c>
      <c r="K977" s="16" t="n">
        <v>48</v>
      </c>
    </row>
    <row r="978">
      <c r="A978" s="30" t="n">
        <v>46320.88541666666</v>
      </c>
      <c r="B978" s="30" t="n">
        <v>46320.88888888889</v>
      </c>
      <c r="C978" s="9" t="n">
        <v>46320</v>
      </c>
      <c r="D978" s="10" t="n">
        <v>0.9993055555555556</v>
      </c>
      <c r="E978" s="36" t="n">
        <v>4</v>
      </c>
      <c r="F978" s="36" t="n">
        <v>0</v>
      </c>
      <c r="G978" s="36" t="n">
        <v>0</v>
      </c>
      <c r="H978" s="36" t="n">
        <v>4</v>
      </c>
      <c r="I978" s="36" t="n">
        <v>0</v>
      </c>
      <c r="J978" s="36" t="n">
        <v>16</v>
      </c>
      <c r="K978" s="12" t="n">
        <v>192</v>
      </c>
    </row>
    <row r="979">
      <c r="A979" s="33" t="n">
        <v>46320.88541666666</v>
      </c>
      <c r="B979" s="33" t="n">
        <v>46320.88888888889</v>
      </c>
      <c r="C979" s="13" t="n">
        <v>46326</v>
      </c>
      <c r="D979" s="14" t="n">
        <v>0.9270833333333334</v>
      </c>
      <c r="E979" s="37" t="n">
        <v>1</v>
      </c>
      <c r="F979" s="37" t="n">
        <v>1</v>
      </c>
      <c r="G979" s="37" t="n">
        <v>0</v>
      </c>
      <c r="H979" s="37" t="n">
        <v>0</v>
      </c>
      <c r="I979" s="37" t="n">
        <v>0</v>
      </c>
      <c r="J979" s="37" t="n">
        <v>2</v>
      </c>
      <c r="K979" s="16" t="n">
        <v>24</v>
      </c>
    </row>
    <row r="980">
      <c r="A980" s="30" t="n">
        <v>46320.88888888889</v>
      </c>
      <c r="B980" s="30" t="n">
        <v>46320.89444444444</v>
      </c>
      <c r="C980" s="9" t="n">
        <v>46320</v>
      </c>
      <c r="D980" s="10" t="n">
        <v>0.9993055555555556</v>
      </c>
      <c r="E980" s="36" t="n">
        <v>2</v>
      </c>
      <c r="F980" s="36" t="n">
        <v>1</v>
      </c>
      <c r="G980" s="36" t="n">
        <v>0</v>
      </c>
      <c r="H980" s="36" t="n">
        <v>1</v>
      </c>
      <c r="I980" s="36" t="n">
        <v>0</v>
      </c>
      <c r="J980" s="36" t="n">
        <v>6</v>
      </c>
      <c r="K980" s="12" t="n">
        <v>72</v>
      </c>
    </row>
    <row r="981">
      <c r="A981" s="33" t="n">
        <v>46320.89444444444</v>
      </c>
      <c r="B981" s="33" t="n">
        <v>46320.90069444444</v>
      </c>
      <c r="C981" s="13" t="n">
        <v>46320</v>
      </c>
      <c r="D981" s="14" t="n">
        <v>0.9993055555555556</v>
      </c>
      <c r="E981" s="37" t="n">
        <v>6</v>
      </c>
      <c r="F981" s="37" t="n">
        <v>3</v>
      </c>
      <c r="G981" s="37" t="n">
        <v>0</v>
      </c>
      <c r="H981" s="37" t="n">
        <v>2</v>
      </c>
      <c r="I981" s="37" t="n">
        <v>1</v>
      </c>
      <c r="J981" s="37" t="n">
        <v>19</v>
      </c>
      <c r="K981" s="16" t="n">
        <v>228</v>
      </c>
    </row>
    <row r="982">
      <c r="A982" s="30" t="n">
        <v>46320.89444444444</v>
      </c>
      <c r="B982" s="30" t="n">
        <v>46320.90069444444</v>
      </c>
      <c r="C982" s="9" t="n">
        <v>46325</v>
      </c>
      <c r="D982" s="10" t="n">
        <v>0.9270833333333334</v>
      </c>
      <c r="E982" s="36" t="n">
        <v>1</v>
      </c>
      <c r="F982" s="36" t="n">
        <v>0</v>
      </c>
      <c r="G982" s="36" t="n">
        <v>1</v>
      </c>
      <c r="H982" s="36" t="n">
        <v>0</v>
      </c>
      <c r="I982" s="36" t="n">
        <v>0</v>
      </c>
      <c r="J982" s="36" t="n">
        <v>3</v>
      </c>
      <c r="K982" s="12" t="n">
        <v>36</v>
      </c>
    </row>
    <row r="983">
      <c r="A983" s="33" t="n">
        <v>46320.89444444444</v>
      </c>
      <c r="B983" s="33" t="n">
        <v>46320.90069444444</v>
      </c>
      <c r="C983" s="13" t="n">
        <v>46325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0</v>
      </c>
      <c r="I983" s="37" t="n">
        <v>1</v>
      </c>
      <c r="J983" s="37" t="n">
        <v>5</v>
      </c>
      <c r="K983" s="16" t="n">
        <v>60</v>
      </c>
    </row>
    <row r="984">
      <c r="A984" s="30" t="n">
        <v>46320.90069444444</v>
      </c>
      <c r="B984" s="30" t="n">
        <v>46320.90208333333</v>
      </c>
      <c r="C984" s="9" t="n">
        <v>46320</v>
      </c>
      <c r="D984" s="10" t="n">
        <v>0.9993055555555556</v>
      </c>
      <c r="E984" s="36" t="n">
        <v>2</v>
      </c>
      <c r="F984" s="36" t="n">
        <v>0</v>
      </c>
      <c r="G984" s="36" t="n">
        <v>1</v>
      </c>
      <c r="H984" s="36" t="n">
        <v>0</v>
      </c>
      <c r="I984" s="36" t="n">
        <v>1</v>
      </c>
      <c r="J984" s="36" t="n">
        <v>8</v>
      </c>
      <c r="K984" s="12" t="n">
        <v>96</v>
      </c>
    </row>
    <row r="985">
      <c r="A985" s="33" t="n">
        <v>46320.90069444444</v>
      </c>
      <c r="B985" s="33" t="n">
        <v>46320.90208333333</v>
      </c>
      <c r="C985" s="13" t="n">
        <v>46325</v>
      </c>
      <c r="D985" s="14" t="n">
        <v>0.8854166666666666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46320.90069444444</v>
      </c>
      <c r="B986" s="30" t="n">
        <v>46320.90208333333</v>
      </c>
      <c r="C986" s="9" t="n">
        <v>46326</v>
      </c>
      <c r="D986" s="10" t="n">
        <v>0.8854166666666666</v>
      </c>
      <c r="E986" s="36" t="n">
        <v>1</v>
      </c>
      <c r="F986" s="36" t="n">
        <v>1</v>
      </c>
      <c r="G986" s="36" t="n">
        <v>0</v>
      </c>
      <c r="H986" s="36" t="n">
        <v>0</v>
      </c>
      <c r="I986" s="36" t="n">
        <v>0</v>
      </c>
      <c r="J986" s="36" t="n">
        <v>2</v>
      </c>
      <c r="K986" s="12" t="n">
        <v>24</v>
      </c>
    </row>
    <row r="987">
      <c r="A987" s="33" t="n">
        <v>46320.90069444444</v>
      </c>
      <c r="B987" s="33" t="n">
        <v>46320.90208333333</v>
      </c>
      <c r="C987" s="13" t="n">
        <v>46327</v>
      </c>
      <c r="D987" s="14" t="n">
        <v>0.8854166666666666</v>
      </c>
      <c r="E987" s="37" t="n">
        <v>1</v>
      </c>
      <c r="F987" s="37" t="n">
        <v>1</v>
      </c>
      <c r="G987" s="37" t="n">
        <v>0</v>
      </c>
      <c r="H987" s="37" t="n">
        <v>0</v>
      </c>
      <c r="I987" s="37" t="n">
        <v>0</v>
      </c>
      <c r="J987" s="37" t="n">
        <v>2</v>
      </c>
      <c r="K987" s="16" t="n">
        <v>24</v>
      </c>
    </row>
    <row r="988">
      <c r="A988" s="30" t="n">
        <v>46320.90208333333</v>
      </c>
      <c r="B988" s="30" t="n">
        <v>46320.90347222222</v>
      </c>
      <c r="C988" s="9" t="n">
        <v>46320</v>
      </c>
      <c r="D988" s="10" t="n">
        <v>0.9993055555555556</v>
      </c>
      <c r="E988" s="36" t="n">
        <v>1</v>
      </c>
      <c r="F988" s="36" t="n">
        <v>1</v>
      </c>
      <c r="G988" s="36" t="n">
        <v>0</v>
      </c>
      <c r="H988" s="36" t="n">
        <v>0</v>
      </c>
      <c r="I988" s="36" t="n">
        <v>0</v>
      </c>
      <c r="J988" s="36" t="n">
        <v>2</v>
      </c>
      <c r="K988" s="12" t="n">
        <v>24</v>
      </c>
    </row>
    <row r="989">
      <c r="A989" s="33" t="n">
        <v>46320.90347222222</v>
      </c>
      <c r="B989" s="33" t="n">
        <v>46320.91319444445</v>
      </c>
      <c r="C989" s="13" t="n">
        <v>46320</v>
      </c>
      <c r="D989" s="14" t="n">
        <v>0.9993055555555556</v>
      </c>
      <c r="E989" s="37" t="n">
        <v>3</v>
      </c>
      <c r="F989" s="37" t="n">
        <v>2</v>
      </c>
      <c r="G989" s="37" t="n">
        <v>0</v>
      </c>
      <c r="H989" s="37" t="n">
        <v>1</v>
      </c>
      <c r="I989" s="37" t="n">
        <v>0</v>
      </c>
      <c r="J989" s="37" t="n">
        <v>8</v>
      </c>
      <c r="K989" s="16" t="n">
        <v>96</v>
      </c>
    </row>
    <row r="990">
      <c r="A990" s="30" t="n">
        <v>46320.90347222222</v>
      </c>
      <c r="B990" s="30" t="n">
        <v>46320.91319444445</v>
      </c>
      <c r="C990" s="9" t="n">
        <v>46324</v>
      </c>
      <c r="D990" s="10" t="n">
        <v>0.9270833333333334</v>
      </c>
      <c r="E990" s="36" t="n">
        <v>1</v>
      </c>
      <c r="F990" s="36" t="n">
        <v>0</v>
      </c>
      <c r="G990" s="36" t="n">
        <v>0</v>
      </c>
      <c r="H990" s="36" t="n">
        <v>1</v>
      </c>
      <c r="I990" s="36" t="n">
        <v>0</v>
      </c>
      <c r="J990" s="36" t="n">
        <v>4</v>
      </c>
      <c r="K990" s="12" t="n">
        <v>48</v>
      </c>
    </row>
    <row r="991">
      <c r="A991" s="33" t="n">
        <v>46320.90347222222</v>
      </c>
      <c r="B991" s="33" t="n">
        <v>46320.91319444445</v>
      </c>
      <c r="C991" s="13" t="n">
        <v>46326</v>
      </c>
      <c r="D991" s="14" t="n">
        <v>0.9270833333333334</v>
      </c>
      <c r="E991" s="37" t="n">
        <v>1</v>
      </c>
      <c r="F991" s="37" t="n">
        <v>0</v>
      </c>
      <c r="G991" s="37" t="n">
        <v>0</v>
      </c>
      <c r="H991" s="37" t="n">
        <v>0</v>
      </c>
      <c r="I991" s="37" t="n">
        <v>1</v>
      </c>
      <c r="J991" s="37" t="n">
        <v>5</v>
      </c>
      <c r="K991" s="16" t="n">
        <v>60</v>
      </c>
    </row>
    <row r="992">
      <c r="A992" s="30" t="n">
        <v>46320.91319444445</v>
      </c>
      <c r="B992" s="30" t="n">
        <v>46320.91805555556</v>
      </c>
      <c r="C992" s="9" t="n">
        <v>46320</v>
      </c>
      <c r="D992" s="10" t="n">
        <v>0.9993055555555556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46320.91319444445</v>
      </c>
      <c r="B993" s="33" t="n">
        <v>46320.91805555556</v>
      </c>
      <c r="C993" s="13" t="n">
        <v>46325</v>
      </c>
      <c r="D993" s="14" t="n">
        <v>0.9270833333333334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46320.91319444445</v>
      </c>
      <c r="B994" s="30" t="n">
        <v>46320.91805555556</v>
      </c>
      <c r="C994" s="9" t="n">
        <v>46326</v>
      </c>
      <c r="D994" s="10" t="n">
        <v>0.84375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46320.91805555556</v>
      </c>
      <c r="B995" s="33" t="n">
        <v>46320.92569444444</v>
      </c>
      <c r="C995" s="13" t="n">
        <v>46320</v>
      </c>
      <c r="D995" s="14" t="n">
        <v>0.9993055555555556</v>
      </c>
      <c r="E995" s="37" t="n">
        <v>1</v>
      </c>
      <c r="F995" s="37" t="n">
        <v>0</v>
      </c>
      <c r="G995" s="37" t="n">
        <v>0</v>
      </c>
      <c r="H995" s="37" t="n">
        <v>1</v>
      </c>
      <c r="I995" s="37" t="n">
        <v>0</v>
      </c>
      <c r="J995" s="37" t="n">
        <v>4</v>
      </c>
      <c r="K995" s="16" t="n">
        <v>48</v>
      </c>
    </row>
    <row r="996">
      <c r="A996" s="30" t="n">
        <v>46320.91805555556</v>
      </c>
      <c r="B996" s="30" t="n">
        <v>46320.92569444444</v>
      </c>
      <c r="C996" s="9" t="n">
        <v>46325</v>
      </c>
      <c r="D996" s="10" t="n">
        <v>0.96875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46320.91805555556</v>
      </c>
      <c r="B997" s="33" t="n">
        <v>46320.92569444444</v>
      </c>
      <c r="C997" s="13" t="n">
        <v>46326</v>
      </c>
      <c r="D997" s="14" t="n">
        <v>0.96875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46320.92569444444</v>
      </c>
      <c r="B998" s="30" t="n">
        <v>46320.93194444444</v>
      </c>
      <c r="C998" s="9" t="n">
        <v>46326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46320.93194444444</v>
      </c>
      <c r="B999" s="33" t="n">
        <v>46320.93958333333</v>
      </c>
      <c r="C999" s="13" t="n">
        <v>46324</v>
      </c>
      <c r="D999" s="14" t="n">
        <v>0.96875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46320.93194444444</v>
      </c>
      <c r="B1000" s="30" t="n">
        <v>46320.93958333333</v>
      </c>
      <c r="C1000" s="9" t="n">
        <v>46325</v>
      </c>
      <c r="D1000" s="10" t="n">
        <v>0.9270833333333334</v>
      </c>
      <c r="E1000" s="36" t="n">
        <v>1</v>
      </c>
      <c r="F1000" s="36" t="n">
        <v>0</v>
      </c>
      <c r="G1000" s="36" t="n">
        <v>0</v>
      </c>
      <c r="H1000" s="36" t="n">
        <v>1</v>
      </c>
      <c r="I1000" s="36" t="n">
        <v>0</v>
      </c>
      <c r="J1000" s="36" t="n">
        <v>4</v>
      </c>
      <c r="K1000" s="12" t="n">
        <v>48</v>
      </c>
    </row>
    <row r="1001">
      <c r="A1001" s="33" t="n">
        <v>46320.93194444444</v>
      </c>
      <c r="B1001" s="33" t="n">
        <v>46320.93958333333</v>
      </c>
      <c r="C1001" s="13" t="n">
        <v>46326</v>
      </c>
      <c r="D1001" s="14" t="n">
        <v>0.96875</v>
      </c>
      <c r="E1001" s="37" t="n">
        <v>1</v>
      </c>
      <c r="F1001" s="37" t="n">
        <v>0</v>
      </c>
      <c r="G1001" s="37" t="n">
        <v>0</v>
      </c>
      <c r="H1001" s="37" t="n">
        <v>1</v>
      </c>
      <c r="I1001" s="37" t="n">
        <v>0</v>
      </c>
      <c r="J1001" s="37" t="n">
        <v>4</v>
      </c>
      <c r="K1001" s="16" t="n">
        <v>48</v>
      </c>
    </row>
    <row r="1002">
      <c r="A1002" s="30" t="n">
        <v>46320.93194444444</v>
      </c>
      <c r="B1002" s="30" t="n">
        <v>46320.93958333333</v>
      </c>
      <c r="C1002" s="9" t="n">
        <v>46326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46320.94236111111</v>
      </c>
      <c r="B1003" s="33" t="n">
        <v>46320.95347222222</v>
      </c>
      <c r="C1003" s="13" t="n">
        <v>46320</v>
      </c>
      <c r="D1003" s="14" t="n">
        <v>0.9993055555555556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46320.94236111111</v>
      </c>
      <c r="B1004" s="30" t="n">
        <v>46320.95347222222</v>
      </c>
      <c r="C1004" s="9" t="n">
        <v>46325</v>
      </c>
      <c r="D1004" s="10" t="n">
        <v>0.9270833333333334</v>
      </c>
      <c r="E1004" s="36" t="n">
        <v>1</v>
      </c>
      <c r="F1004" s="36" t="n">
        <v>1</v>
      </c>
      <c r="G1004" s="36" t="n">
        <v>0</v>
      </c>
      <c r="H1004" s="36" t="n">
        <v>0</v>
      </c>
      <c r="I1004" s="36" t="n">
        <v>0</v>
      </c>
      <c r="J1004" s="36" t="n">
        <v>2</v>
      </c>
      <c r="K1004" s="12" t="n">
        <v>24</v>
      </c>
    </row>
    <row r="1005">
      <c r="A1005" s="33" t="n">
        <v>46320.94236111111</v>
      </c>
      <c r="B1005" s="33" t="n">
        <v>46320.95347222222</v>
      </c>
      <c r="C1005" s="13" t="n">
        <v>46326</v>
      </c>
      <c r="D1005" s="14" t="n">
        <v>0.8854166666666666</v>
      </c>
      <c r="E1005" s="37" t="n">
        <v>1</v>
      </c>
      <c r="F1005" s="37" t="n">
        <v>1</v>
      </c>
      <c r="G1005" s="37" t="n">
        <v>0</v>
      </c>
      <c r="H1005" s="37" t="n">
        <v>0</v>
      </c>
      <c r="I1005" s="37" t="n">
        <v>0</v>
      </c>
      <c r="J1005" s="37" t="n">
        <v>2</v>
      </c>
      <c r="K1005" s="16" t="n">
        <v>24</v>
      </c>
    </row>
    <row r="1006">
      <c r="A1006" s="30" t="n">
        <v>46320.94236111111</v>
      </c>
      <c r="B1006" s="30" t="n">
        <v>46320.95347222222</v>
      </c>
      <c r="C1006" s="9" t="n">
        <v>46326</v>
      </c>
      <c r="D1006" s="10" t="n">
        <v>0.9270833333333334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46320.94236111111</v>
      </c>
      <c r="B1007" s="33" t="n">
        <v>46320.95347222222</v>
      </c>
      <c r="C1007" s="13" t="n">
        <v>46326</v>
      </c>
      <c r="D1007" s="14" t="n">
        <v>0.96875</v>
      </c>
      <c r="E1007" s="37" t="n">
        <v>1</v>
      </c>
      <c r="F1007" s="37" t="n">
        <v>0</v>
      </c>
      <c r="G1007" s="37" t="n">
        <v>0</v>
      </c>
      <c r="H1007" s="37" t="n">
        <v>1</v>
      </c>
      <c r="I1007" s="37" t="n">
        <v>0</v>
      </c>
      <c r="J1007" s="37" t="n">
        <v>4</v>
      </c>
      <c r="K1007" s="16" t="n">
        <v>48</v>
      </c>
    </row>
    <row r="1008">
      <c r="A1008" s="30" t="n">
        <v>46320.95347222222</v>
      </c>
      <c r="B1008" s="30" t="n">
        <v>46320.95694444444</v>
      </c>
      <c r="C1008" s="9" t="n">
        <v>46326</v>
      </c>
      <c r="D1008" s="10" t="n">
        <v>0.9993055555555556</v>
      </c>
      <c r="E1008" s="36" t="n">
        <v>1</v>
      </c>
      <c r="F1008" s="36" t="n">
        <v>0</v>
      </c>
      <c r="G1008" s="36" t="n">
        <v>0</v>
      </c>
      <c r="H1008" s="36" t="n">
        <v>0</v>
      </c>
      <c r="I1008" s="36" t="n">
        <v>1</v>
      </c>
      <c r="J1008" s="36" t="n">
        <v>5</v>
      </c>
      <c r="K1008" s="12" t="n">
        <v>60</v>
      </c>
    </row>
    <row r="1009">
      <c r="A1009" s="33" t="n">
        <v>46320.95694444444</v>
      </c>
      <c r="B1009" s="33" t="n">
        <v>46320.9625</v>
      </c>
      <c r="C1009" s="13" t="n">
        <v>46326</v>
      </c>
      <c r="D1009" s="14" t="n">
        <v>0.9270833333333334</v>
      </c>
      <c r="E1009" s="37" t="n">
        <v>2</v>
      </c>
      <c r="F1009" s="37" t="n">
        <v>0</v>
      </c>
      <c r="G1009" s="37" t="n">
        <v>0</v>
      </c>
      <c r="H1009" s="37" t="n">
        <v>2</v>
      </c>
      <c r="I1009" s="37" t="n">
        <v>0</v>
      </c>
      <c r="J1009" s="37" t="n">
        <v>8</v>
      </c>
      <c r="K1009" s="16" t="n">
        <v>96</v>
      </c>
    </row>
    <row r="1010">
      <c r="A1010" s="30" t="n">
        <v>46320.95694444444</v>
      </c>
      <c r="B1010" s="30" t="n">
        <v>46320.9625</v>
      </c>
      <c r="C1010" s="9" t="n">
        <v>46326</v>
      </c>
      <c r="D1010" s="10" t="n">
        <v>0.96875</v>
      </c>
      <c r="E1010" s="36" t="n">
        <v>2</v>
      </c>
      <c r="F1010" s="36" t="n">
        <v>0</v>
      </c>
      <c r="G1010" s="36" t="n">
        <v>0</v>
      </c>
      <c r="H1010" s="36" t="n">
        <v>2</v>
      </c>
      <c r="I1010" s="36" t="n">
        <v>0</v>
      </c>
      <c r="J1010" s="36" t="n">
        <v>8</v>
      </c>
      <c r="K1010" s="12" t="n">
        <v>96</v>
      </c>
    </row>
    <row r="1011">
      <c r="A1011" s="33" t="n">
        <v>46320.9625</v>
      </c>
      <c r="B1011" s="33" t="n">
        <v>46320.97152777778</v>
      </c>
      <c r="C1011" s="13" t="n">
        <v>46324</v>
      </c>
      <c r="D1011" s="14" t="n">
        <v>0.8854166666666666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46320.9625</v>
      </c>
      <c r="B1012" s="30" t="n">
        <v>46320.97152777778</v>
      </c>
      <c r="C1012" s="9" t="n">
        <v>46324</v>
      </c>
      <c r="D1012" s="10" t="n">
        <v>0.9993055555555556</v>
      </c>
      <c r="E1012" s="36" t="n">
        <v>1</v>
      </c>
      <c r="F1012" s="36" t="n">
        <v>1</v>
      </c>
      <c r="G1012" s="36" t="n">
        <v>0</v>
      </c>
      <c r="H1012" s="36" t="n">
        <v>0</v>
      </c>
      <c r="I1012" s="36" t="n">
        <v>0</v>
      </c>
      <c r="J1012" s="36" t="n">
        <v>2</v>
      </c>
      <c r="K1012" s="12" t="n">
        <v>24</v>
      </c>
    </row>
    <row r="1013">
      <c r="A1013" s="33" t="n">
        <v>46320.9625</v>
      </c>
      <c r="B1013" s="33" t="n">
        <v>46320.97152777778</v>
      </c>
      <c r="C1013" s="13" t="n">
        <v>46325</v>
      </c>
      <c r="D1013" s="14" t="n">
        <v>0.96875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46320.9625</v>
      </c>
      <c r="B1014" s="30" t="n">
        <v>46320.97152777778</v>
      </c>
      <c r="C1014" s="9" t="n">
        <v>46326</v>
      </c>
      <c r="D1014" s="10" t="n">
        <v>0.9993055555555556</v>
      </c>
      <c r="E1014" s="36" t="n">
        <v>1</v>
      </c>
      <c r="F1014" s="36" t="n">
        <v>0</v>
      </c>
      <c r="G1014" s="36" t="n">
        <v>0</v>
      </c>
      <c r="H1014" s="36" t="n">
        <v>1</v>
      </c>
      <c r="I1014" s="36" t="n">
        <v>0</v>
      </c>
      <c r="J1014" s="36" t="n">
        <v>4</v>
      </c>
      <c r="K1014" s="12" t="n">
        <v>48</v>
      </c>
    </row>
    <row r="1015">
      <c r="A1015" s="33" t="n">
        <v>46320.97152777778</v>
      </c>
      <c r="B1015" s="33" t="n">
        <v>46320.98055555556</v>
      </c>
      <c r="C1015" s="13" t="n">
        <v>46324</v>
      </c>
      <c r="D1015" s="14" t="n">
        <v>0.96875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46320.97152777778</v>
      </c>
      <c r="B1016" s="30" t="n">
        <v>46320.98055555556</v>
      </c>
      <c r="C1016" s="9" t="n">
        <v>46325</v>
      </c>
      <c r="D1016" s="10" t="n">
        <v>0.96875</v>
      </c>
      <c r="E1016" s="36" t="n">
        <v>2</v>
      </c>
      <c r="F1016" s="36" t="n">
        <v>0</v>
      </c>
      <c r="G1016" s="36" t="n">
        <v>0</v>
      </c>
      <c r="H1016" s="36" t="n">
        <v>1</v>
      </c>
      <c r="I1016" s="36" t="n">
        <v>1</v>
      </c>
      <c r="J1016" s="36" t="n">
        <v>9</v>
      </c>
      <c r="K1016" s="12" t="n">
        <v>108</v>
      </c>
    </row>
    <row r="1017">
      <c r="A1017" s="33" t="n">
        <v>46320.97152777778</v>
      </c>
      <c r="B1017" s="33" t="n">
        <v>46320.98055555556</v>
      </c>
      <c r="C1017" s="13" t="n">
        <v>46326</v>
      </c>
      <c r="D1017" s="14" t="n">
        <v>0.9270833333333334</v>
      </c>
      <c r="E1017" s="37" t="n">
        <v>2</v>
      </c>
      <c r="F1017" s="37" t="n">
        <v>0</v>
      </c>
      <c r="G1017" s="37" t="n">
        <v>0</v>
      </c>
      <c r="H1017" s="37" t="n">
        <v>1</v>
      </c>
      <c r="I1017" s="37" t="n">
        <v>1</v>
      </c>
      <c r="J1017" s="37" t="n">
        <v>9</v>
      </c>
      <c r="K1017" s="16" t="n">
        <v>108</v>
      </c>
    </row>
    <row r="1018">
      <c r="A1018" s="30" t="n">
        <v>46320.97152777778</v>
      </c>
      <c r="B1018" s="30" t="n">
        <v>46320.98055555556</v>
      </c>
      <c r="C1018" s="9" t="n">
        <v>46326</v>
      </c>
      <c r="D1018" s="10" t="n">
        <v>0.96875</v>
      </c>
      <c r="E1018" s="36" t="n">
        <v>1</v>
      </c>
      <c r="F1018" s="36" t="n">
        <v>1</v>
      </c>
      <c r="G1018" s="36" t="n">
        <v>0</v>
      </c>
      <c r="H1018" s="36" t="n">
        <v>0</v>
      </c>
      <c r="I1018" s="36" t="n">
        <v>0</v>
      </c>
      <c r="J1018" s="36" t="n">
        <v>2</v>
      </c>
      <c r="K1018" s="12" t="n">
        <v>24</v>
      </c>
    </row>
    <row r="1019">
      <c r="A1019" s="33" t="n">
        <v>46320.98055555556</v>
      </c>
      <c r="B1019" s="33" t="n">
        <v>46320.98680555556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1</v>
      </c>
      <c r="I1019" s="37" t="n">
        <v>1</v>
      </c>
      <c r="J1019" s="37" t="n">
        <v>9</v>
      </c>
      <c r="K1019" s="16" t="n">
        <v>108</v>
      </c>
    </row>
    <row r="1020">
      <c r="A1020" s="30" t="n">
        <v>46320.98680555556</v>
      </c>
      <c r="B1020" s="30" t="n">
        <v>46321.01458333333</v>
      </c>
      <c r="C1020" s="9" t="n">
        <v>46325</v>
      </c>
      <c r="D1020" s="10" t="n">
        <v>0.96875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46320.98680555556</v>
      </c>
      <c r="B1021" s="33" t="n">
        <v>46321.01458333333</v>
      </c>
      <c r="C1021" s="13" t="n">
        <v>46326</v>
      </c>
      <c r="D1021" s="14" t="n">
        <v>0.96875</v>
      </c>
      <c r="E1021" s="37" t="n">
        <v>1</v>
      </c>
      <c r="F1021" s="37" t="n">
        <v>0</v>
      </c>
      <c r="G1021" s="37" t="n">
        <v>0</v>
      </c>
      <c r="H1021" s="37" t="n">
        <v>1</v>
      </c>
      <c r="I1021" s="37" t="n">
        <v>0</v>
      </c>
      <c r="J1021" s="37" t="n">
        <v>4</v>
      </c>
      <c r="K1021" s="16" t="n">
        <v>48</v>
      </c>
    </row>
    <row r="1022">
      <c r="A1022" s="30" t="n">
        <v>46320.98680555556</v>
      </c>
      <c r="B1022" s="30" t="n">
        <v>46321.01458333333</v>
      </c>
      <c r="C1022" s="9" t="n">
        <v>46326</v>
      </c>
      <c r="D1022" s="10" t="n">
        <v>0.9993055555555556</v>
      </c>
      <c r="E1022" s="36" t="n">
        <v>1</v>
      </c>
      <c r="F1022" s="36" t="n">
        <v>0</v>
      </c>
      <c r="G1022" s="36" t="n">
        <v>0</v>
      </c>
      <c r="H1022" s="36" t="n">
        <v>0</v>
      </c>
      <c r="I1022" s="36" t="n">
        <v>1</v>
      </c>
      <c r="J1022" s="36" t="n">
        <v>5</v>
      </c>
      <c r="K1022" s="12" t="n">
        <v>60</v>
      </c>
    </row>
    <row r="1023">
      <c r="A1023" s="33" t="n">
        <v>46321.01458333333</v>
      </c>
      <c r="B1023" s="33" t="n">
        <v>46321.06944444445</v>
      </c>
      <c r="C1023" s="13" t="n">
        <v>46324</v>
      </c>
      <c r="D1023" s="14" t="n">
        <v>0.96875</v>
      </c>
      <c r="E1023" s="37" t="n">
        <v>1</v>
      </c>
      <c r="F1023" s="37" t="n">
        <v>0</v>
      </c>
      <c r="G1023" s="37" t="n">
        <v>0</v>
      </c>
      <c r="H1023" s="37" t="n">
        <v>0</v>
      </c>
      <c r="I1023" s="37" t="n">
        <v>1</v>
      </c>
      <c r="J1023" s="37" t="n">
        <v>5</v>
      </c>
      <c r="K1023" s="16" t="n">
        <v>60</v>
      </c>
    </row>
    <row r="1024">
      <c r="A1024" s="30" t="n">
        <v>46321.01458333333</v>
      </c>
      <c r="B1024" s="30" t="n">
        <v>46321.06944444445</v>
      </c>
      <c r="C1024" s="9" t="n">
        <v>46325</v>
      </c>
      <c r="D1024" s="10" t="n">
        <v>0.9993055555555556</v>
      </c>
      <c r="E1024" s="36" t="n">
        <v>2</v>
      </c>
      <c r="F1024" s="36" t="n">
        <v>1</v>
      </c>
      <c r="G1024" s="36" t="n">
        <v>0</v>
      </c>
      <c r="H1024" s="36" t="n">
        <v>0</v>
      </c>
      <c r="I1024" s="36" t="n">
        <v>1</v>
      </c>
      <c r="J1024" s="36" t="n">
        <v>7</v>
      </c>
      <c r="K1024" s="12" t="n">
        <v>84</v>
      </c>
    </row>
    <row r="1025">
      <c r="A1025" s="33" t="n">
        <v>46321.01458333333</v>
      </c>
      <c r="B1025" s="33" t="n">
        <v>46321.06944444445</v>
      </c>
      <c r="C1025" s="13" t="n">
        <v>46326</v>
      </c>
      <c r="D1025" s="14" t="n">
        <v>0.84375</v>
      </c>
      <c r="E1025" s="37" t="n">
        <v>1</v>
      </c>
      <c r="F1025" s="37" t="n">
        <v>1</v>
      </c>
      <c r="G1025" s="37" t="n">
        <v>0</v>
      </c>
      <c r="H1025" s="37" t="n">
        <v>0</v>
      </c>
      <c r="I1025" s="37" t="n">
        <v>0</v>
      </c>
      <c r="J1025" s="37" t="n">
        <v>2</v>
      </c>
      <c r="K1025" s="16" t="n">
        <v>24</v>
      </c>
    </row>
    <row r="1026">
      <c r="A1026" s="30" t="n">
        <v>46321.01458333333</v>
      </c>
      <c r="B1026" s="30" t="n">
        <v>46321.06944444445</v>
      </c>
      <c r="C1026" s="9" t="n">
        <v>46326</v>
      </c>
      <c r="D1026" s="10" t="n">
        <v>0.9270833333333334</v>
      </c>
      <c r="E1026" s="36" t="n">
        <v>1</v>
      </c>
      <c r="F1026" s="36" t="n">
        <v>1</v>
      </c>
      <c r="G1026" s="36" t="n">
        <v>0</v>
      </c>
      <c r="H1026" s="36" t="n">
        <v>0</v>
      </c>
      <c r="I1026" s="36" t="n">
        <v>0</v>
      </c>
      <c r="J1026" s="36" t="n">
        <v>2</v>
      </c>
      <c r="K1026" s="12" t="n">
        <v>24</v>
      </c>
    </row>
    <row r="1027">
      <c r="A1027" s="33" t="n">
        <v>46321.01458333333</v>
      </c>
      <c r="B1027" s="33" t="n">
        <v>46321.06944444445</v>
      </c>
      <c r="C1027" s="13" t="n">
        <v>46326</v>
      </c>
      <c r="D1027" s="14" t="n">
        <v>0.96875</v>
      </c>
      <c r="E1027" s="37" t="n">
        <v>1</v>
      </c>
      <c r="F1027" s="37" t="n">
        <v>0</v>
      </c>
      <c r="G1027" s="37" t="n">
        <v>0</v>
      </c>
      <c r="H1027" s="37" t="n">
        <v>1</v>
      </c>
      <c r="I1027" s="37" t="n">
        <v>0</v>
      </c>
      <c r="J1027" s="37" t="n">
        <v>4</v>
      </c>
      <c r="K1027" s="16" t="n">
        <v>48</v>
      </c>
    </row>
    <row r="1028">
      <c r="A1028" s="30" t="n">
        <v>46321.01458333333</v>
      </c>
      <c r="B1028" s="30" t="n">
        <v>46321.06944444445</v>
      </c>
      <c r="C1028" s="9" t="n">
        <v>46326</v>
      </c>
      <c r="D1028" s="10" t="n">
        <v>0.9993055555555556</v>
      </c>
      <c r="E1028" s="36" t="n">
        <v>2</v>
      </c>
      <c r="F1028" s="36" t="n">
        <v>0</v>
      </c>
      <c r="G1028" s="36" t="n">
        <v>0</v>
      </c>
      <c r="H1028" s="36" t="n">
        <v>2</v>
      </c>
      <c r="I1028" s="36" t="n">
        <v>0</v>
      </c>
      <c r="J1028" s="36" t="n">
        <v>8</v>
      </c>
      <c r="K1028" s="12" t="n">
        <v>96</v>
      </c>
    </row>
    <row r="1029">
      <c r="A1029" s="33" t="n">
        <v>46321.01458333333</v>
      </c>
      <c r="B1029" s="33" t="n">
        <v>46321.06944444445</v>
      </c>
      <c r="C1029" s="13" t="n">
        <v>46327</v>
      </c>
      <c r="D1029" s="14" t="n">
        <v>0.9270833333333334</v>
      </c>
      <c r="E1029" s="37" t="n">
        <v>2</v>
      </c>
      <c r="F1029" s="37" t="n">
        <v>2</v>
      </c>
      <c r="G1029" s="37" t="n">
        <v>0</v>
      </c>
      <c r="H1029" s="37" t="n">
        <v>0</v>
      </c>
      <c r="I1029" s="37" t="n">
        <v>0</v>
      </c>
      <c r="J1029" s="37" t="n">
        <v>4</v>
      </c>
      <c r="K1029" s="16" t="n">
        <v>48</v>
      </c>
    </row>
    <row r="1030">
      <c r="A1030" s="30" t="n">
        <v>46321.06944444445</v>
      </c>
      <c r="B1030" s="30" t="n">
        <v>46321.08263888889</v>
      </c>
      <c r="C1030" s="9" t="n">
        <v>46324</v>
      </c>
      <c r="D1030" s="10" t="n">
        <v>0.96875</v>
      </c>
      <c r="E1030" s="36" t="n">
        <v>1</v>
      </c>
      <c r="F1030" s="36" t="n">
        <v>0</v>
      </c>
      <c r="G1030" s="36" t="n">
        <v>1</v>
      </c>
      <c r="H1030" s="36" t="n">
        <v>0</v>
      </c>
      <c r="I1030" s="36" t="n">
        <v>0</v>
      </c>
      <c r="J1030" s="36" t="n">
        <v>3</v>
      </c>
      <c r="K1030" s="12" t="n">
        <v>36</v>
      </c>
    </row>
    <row r="1031">
      <c r="A1031" s="33" t="n">
        <v>46321.06944444445</v>
      </c>
      <c r="B1031" s="33" t="n">
        <v>46321.08263888889</v>
      </c>
      <c r="C1031" s="13" t="n">
        <v>46327</v>
      </c>
      <c r="D1031" s="14" t="n">
        <v>0.9270833333333334</v>
      </c>
      <c r="E1031" s="37" t="n">
        <v>1</v>
      </c>
      <c r="F1031" s="37" t="n">
        <v>0</v>
      </c>
      <c r="G1031" s="37" t="n">
        <v>0</v>
      </c>
      <c r="H1031" s="37" t="n">
        <v>1</v>
      </c>
      <c r="I1031" s="37" t="n">
        <v>0</v>
      </c>
      <c r="J1031" s="37" t="n">
        <v>4</v>
      </c>
      <c r="K1031" s="16" t="n">
        <v>48</v>
      </c>
    </row>
    <row r="1032">
      <c r="A1032" s="30" t="n">
        <v>46321.27083333334</v>
      </c>
      <c r="B1032" s="30" t="n">
        <v>46321.31805555556</v>
      </c>
      <c r="C1032" s="9" t="n">
        <v>46324</v>
      </c>
      <c r="D1032" s="10" t="n">
        <v>0.9270833333333334</v>
      </c>
      <c r="E1032" s="36" t="n">
        <v>1</v>
      </c>
      <c r="F1032" s="36" t="n">
        <v>1</v>
      </c>
      <c r="G1032" s="36" t="n">
        <v>0</v>
      </c>
      <c r="H1032" s="36" t="n">
        <v>0</v>
      </c>
      <c r="I1032" s="36" t="n">
        <v>0</v>
      </c>
      <c r="J1032" s="36" t="n">
        <v>2</v>
      </c>
      <c r="K1032" s="12" t="n">
        <v>24</v>
      </c>
    </row>
    <row r="1033">
      <c r="A1033" s="33" t="n">
        <v>46321.31805555556</v>
      </c>
      <c r="B1033" s="33" t="n">
        <v>46321.36597222222</v>
      </c>
      <c r="C1033" s="13" t="n">
        <v>46324</v>
      </c>
      <c r="D1033" s="14" t="n">
        <v>0.8854166666666666</v>
      </c>
      <c r="E1033" s="37" t="n">
        <v>1</v>
      </c>
      <c r="F1033" s="37" t="n">
        <v>0</v>
      </c>
      <c r="G1033" s="37" t="n">
        <v>1</v>
      </c>
      <c r="H1033" s="37" t="n">
        <v>0</v>
      </c>
      <c r="I1033" s="37" t="n">
        <v>0</v>
      </c>
      <c r="J1033" s="37" t="n">
        <v>3</v>
      </c>
      <c r="K1033" s="16" t="n">
        <v>36</v>
      </c>
    </row>
    <row r="1034">
      <c r="A1034" s="30" t="n">
        <v>46321.31805555556</v>
      </c>
      <c r="B1034" s="30" t="n">
        <v>46321.36597222222</v>
      </c>
      <c r="C1034" s="9" t="n">
        <v>46326</v>
      </c>
      <c r="D1034" s="10" t="n">
        <v>0.9270833333333334</v>
      </c>
      <c r="E1034" s="36" t="n">
        <v>1</v>
      </c>
      <c r="F1034" s="36" t="n">
        <v>0</v>
      </c>
      <c r="G1034" s="36" t="n">
        <v>0</v>
      </c>
      <c r="H1034" s="36" t="n">
        <v>1</v>
      </c>
      <c r="I1034" s="36" t="n">
        <v>0</v>
      </c>
      <c r="J1034" s="36" t="n">
        <v>4</v>
      </c>
      <c r="K1034" s="12" t="n">
        <v>48</v>
      </c>
    </row>
    <row r="1035">
      <c r="A1035" s="33" t="n">
        <v>46321.31805555556</v>
      </c>
      <c r="B1035" s="33" t="n">
        <v>46321.36597222222</v>
      </c>
      <c r="C1035" s="13" t="n">
        <v>46326</v>
      </c>
      <c r="D1035" s="14" t="n">
        <v>0.96875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46321.36597222222</v>
      </c>
      <c r="B1036" s="30" t="n">
        <v>46321.40277777778</v>
      </c>
      <c r="C1036" s="9" t="n">
        <v>46324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46321.36597222222</v>
      </c>
      <c r="B1037" s="33" t="n">
        <v>46321.40277777778</v>
      </c>
      <c r="C1037" s="13" t="n">
        <v>46325</v>
      </c>
      <c r="D1037" s="14" t="n">
        <v>0.9270833333333334</v>
      </c>
      <c r="E1037" s="37" t="n">
        <v>1</v>
      </c>
      <c r="F1037" s="37" t="n">
        <v>0</v>
      </c>
      <c r="G1037" s="37" t="n">
        <v>0</v>
      </c>
      <c r="H1037" s="37" t="n">
        <v>1</v>
      </c>
      <c r="I1037" s="37" t="n">
        <v>0</v>
      </c>
      <c r="J1037" s="37" t="n">
        <v>4</v>
      </c>
      <c r="K1037" s="16" t="n">
        <v>48</v>
      </c>
    </row>
    <row r="1038">
      <c r="A1038" s="30" t="n">
        <v>46321.36597222222</v>
      </c>
      <c r="B1038" s="30" t="n">
        <v>46321.40277777778</v>
      </c>
      <c r="C1038" s="9" t="n">
        <v>46326</v>
      </c>
      <c r="D1038" s="10" t="n">
        <v>0.9993055555555556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46321.36597222222</v>
      </c>
      <c r="B1039" s="33" t="n">
        <v>46321.40277777778</v>
      </c>
      <c r="C1039" s="13" t="n">
        <v>46327</v>
      </c>
      <c r="D1039" s="14" t="n">
        <v>0.9270833333333334</v>
      </c>
      <c r="E1039" s="37" t="n">
        <v>1</v>
      </c>
      <c r="F1039" s="37" t="n">
        <v>0</v>
      </c>
      <c r="G1039" s="37" t="n">
        <v>0</v>
      </c>
      <c r="H1039" s="37" t="n">
        <v>1</v>
      </c>
      <c r="I1039" s="37" t="n">
        <v>0</v>
      </c>
      <c r="J1039" s="37" t="n">
        <v>4</v>
      </c>
      <c r="K1039" s="16" t="n">
        <v>48</v>
      </c>
    </row>
    <row r="1040">
      <c r="A1040" s="30" t="n">
        <v>46321.40277777778</v>
      </c>
      <c r="B1040" s="30" t="n">
        <v>46321.45138888889</v>
      </c>
      <c r="C1040" s="9" t="n">
        <v>46324</v>
      </c>
      <c r="D1040" s="10" t="n">
        <v>0.8854166666666666</v>
      </c>
      <c r="E1040" s="36" t="n">
        <v>1</v>
      </c>
      <c r="F1040" s="36" t="n">
        <v>1</v>
      </c>
      <c r="G1040" s="36" t="n">
        <v>0</v>
      </c>
      <c r="H1040" s="36" t="n">
        <v>0</v>
      </c>
      <c r="I1040" s="36" t="n">
        <v>0</v>
      </c>
      <c r="J1040" s="36" t="n">
        <v>2</v>
      </c>
      <c r="K1040" s="12" t="n">
        <v>24</v>
      </c>
    </row>
    <row r="1041">
      <c r="A1041" s="33" t="n">
        <v>46321.40277777778</v>
      </c>
      <c r="B1041" s="33" t="n">
        <v>46321.45138888889</v>
      </c>
      <c r="C1041" s="13" t="n">
        <v>46324</v>
      </c>
      <c r="D1041" s="14" t="n">
        <v>0.9993055555555556</v>
      </c>
      <c r="E1041" s="37" t="n">
        <v>2</v>
      </c>
      <c r="F1041" s="37" t="n">
        <v>2</v>
      </c>
      <c r="G1041" s="37" t="n">
        <v>0</v>
      </c>
      <c r="H1041" s="37" t="n">
        <v>0</v>
      </c>
      <c r="I1041" s="37" t="n">
        <v>0</v>
      </c>
      <c r="J1041" s="37" t="n">
        <v>4</v>
      </c>
      <c r="K1041" s="16" t="n">
        <v>48</v>
      </c>
    </row>
    <row r="1042">
      <c r="A1042" s="30" t="n">
        <v>46321.40277777778</v>
      </c>
      <c r="B1042" s="30" t="n">
        <v>46321.45138888889</v>
      </c>
      <c r="C1042" s="9" t="n">
        <v>46325</v>
      </c>
      <c r="D1042" s="10" t="n">
        <v>0.9270833333333334</v>
      </c>
      <c r="E1042" s="36" t="n">
        <v>1</v>
      </c>
      <c r="F1042" s="36" t="n">
        <v>1</v>
      </c>
      <c r="G1042" s="36" t="n">
        <v>0</v>
      </c>
      <c r="H1042" s="36" t="n">
        <v>0</v>
      </c>
      <c r="I1042" s="36" t="n">
        <v>0</v>
      </c>
      <c r="J1042" s="36" t="n">
        <v>2</v>
      </c>
      <c r="K1042" s="12" t="n">
        <v>24</v>
      </c>
    </row>
    <row r="1043">
      <c r="A1043" s="33" t="n">
        <v>46321.40277777778</v>
      </c>
      <c r="B1043" s="33" t="n">
        <v>46321.45138888889</v>
      </c>
      <c r="C1043" s="13" t="n">
        <v>46326</v>
      </c>
      <c r="D1043" s="14" t="n">
        <v>0.84375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46321.40277777778</v>
      </c>
      <c r="B1044" s="30" t="n">
        <v>46321.45138888889</v>
      </c>
      <c r="C1044" s="9" t="n">
        <v>46326</v>
      </c>
      <c r="D1044" s="10" t="n">
        <v>0.9270833333333334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46321.40277777778</v>
      </c>
      <c r="B1045" s="33" t="n">
        <v>46321.45138888889</v>
      </c>
      <c r="C1045" s="13" t="n">
        <v>46327</v>
      </c>
      <c r="D1045" s="14" t="n">
        <v>0.84375</v>
      </c>
      <c r="E1045" s="37" t="n">
        <v>2</v>
      </c>
      <c r="F1045" s="37" t="n">
        <v>0</v>
      </c>
      <c r="G1045" s="37" t="n">
        <v>0</v>
      </c>
      <c r="H1045" s="37" t="n">
        <v>1</v>
      </c>
      <c r="I1045" s="37" t="n">
        <v>1</v>
      </c>
      <c r="J1045" s="37" t="n">
        <v>9</v>
      </c>
      <c r="K1045" s="16" t="n">
        <v>108</v>
      </c>
    </row>
    <row r="1046">
      <c r="A1046" s="30" t="n">
        <v>46321.45138888889</v>
      </c>
      <c r="B1046" s="30" t="n">
        <v>46321.49375</v>
      </c>
      <c r="C1046" s="9" t="n">
        <v>46324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46321.45138888889</v>
      </c>
      <c r="B1047" s="33" t="n">
        <v>46321.49375</v>
      </c>
      <c r="C1047" s="13" t="n">
        <v>46325</v>
      </c>
      <c r="D1047" s="14" t="n">
        <v>0.9993055555555556</v>
      </c>
      <c r="E1047" s="37" t="n">
        <v>1</v>
      </c>
      <c r="F1047" s="37" t="n">
        <v>0</v>
      </c>
      <c r="G1047" s="37" t="n">
        <v>0</v>
      </c>
      <c r="H1047" s="37" t="n">
        <v>0</v>
      </c>
      <c r="I1047" s="37" t="n">
        <v>1</v>
      </c>
      <c r="J1047" s="37" t="n">
        <v>5</v>
      </c>
      <c r="K1047" s="16" t="n">
        <v>60</v>
      </c>
    </row>
    <row r="1048">
      <c r="A1048" s="30" t="n">
        <v>46321.45138888889</v>
      </c>
      <c r="B1048" s="30" t="n">
        <v>46321.49375</v>
      </c>
      <c r="C1048" s="9" t="n">
        <v>46326</v>
      </c>
      <c r="D1048" s="10" t="n">
        <v>0.8854166666666666</v>
      </c>
      <c r="E1048" s="36" t="n">
        <v>2</v>
      </c>
      <c r="F1048" s="36" t="n">
        <v>2</v>
      </c>
      <c r="G1048" s="36" t="n">
        <v>0</v>
      </c>
      <c r="H1048" s="36" t="n">
        <v>0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46321.45138888889</v>
      </c>
      <c r="B1049" s="33" t="n">
        <v>46321.49375</v>
      </c>
      <c r="C1049" s="13" t="n">
        <v>46326</v>
      </c>
      <c r="D1049" s="14" t="n">
        <v>0.96875</v>
      </c>
      <c r="E1049" s="37" t="n">
        <v>2</v>
      </c>
      <c r="F1049" s="37" t="n">
        <v>0</v>
      </c>
      <c r="G1049" s="37" t="n">
        <v>0</v>
      </c>
      <c r="H1049" s="37" t="n">
        <v>2</v>
      </c>
      <c r="I1049" s="37" t="n">
        <v>0</v>
      </c>
      <c r="J1049" s="37" t="n">
        <v>8</v>
      </c>
      <c r="K1049" s="16" t="n">
        <v>96</v>
      </c>
    </row>
    <row r="1050">
      <c r="A1050" s="30" t="n">
        <v>46321.49375</v>
      </c>
      <c r="B1050" s="30" t="n">
        <v>46321.50972222222</v>
      </c>
      <c r="C1050" s="9" t="n">
        <v>46324</v>
      </c>
      <c r="D1050" s="10" t="n">
        <v>0.8854166666666666</v>
      </c>
      <c r="E1050" s="36" t="n">
        <v>1</v>
      </c>
      <c r="F1050" s="36" t="n">
        <v>0</v>
      </c>
      <c r="G1050" s="36" t="n">
        <v>1</v>
      </c>
      <c r="H1050" s="36" t="n">
        <v>0</v>
      </c>
      <c r="I1050" s="36" t="n">
        <v>0</v>
      </c>
      <c r="J1050" s="36" t="n">
        <v>3</v>
      </c>
      <c r="K1050" s="12" t="n">
        <v>36</v>
      </c>
    </row>
    <row r="1051">
      <c r="A1051" s="33" t="n">
        <v>46321.49375</v>
      </c>
      <c r="B1051" s="33" t="n">
        <v>46321.50972222222</v>
      </c>
      <c r="C1051" s="13" t="n">
        <v>46324</v>
      </c>
      <c r="D1051" s="14" t="n">
        <v>0.96875</v>
      </c>
      <c r="E1051" s="37" t="n">
        <v>2</v>
      </c>
      <c r="F1051" s="37" t="n">
        <v>1</v>
      </c>
      <c r="G1051" s="37" t="n">
        <v>0</v>
      </c>
      <c r="H1051" s="37" t="n">
        <v>1</v>
      </c>
      <c r="I1051" s="37" t="n">
        <v>0</v>
      </c>
      <c r="J1051" s="37" t="n">
        <v>6</v>
      </c>
      <c r="K1051" s="16" t="n">
        <v>72</v>
      </c>
    </row>
    <row r="1052">
      <c r="A1052" s="30" t="n">
        <v>46321.49375</v>
      </c>
      <c r="B1052" s="30" t="n">
        <v>46321.50972222222</v>
      </c>
      <c r="C1052" s="9" t="n">
        <v>46325</v>
      </c>
      <c r="D1052" s="10" t="n">
        <v>0.9270833333333334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46321.49375</v>
      </c>
      <c r="B1053" s="33" t="n">
        <v>46321.50972222222</v>
      </c>
      <c r="C1053" s="13" t="n">
        <v>46326</v>
      </c>
      <c r="D1053" s="14" t="n">
        <v>0.8854166666666666</v>
      </c>
      <c r="E1053" s="37" t="n">
        <v>1</v>
      </c>
      <c r="F1053" s="37" t="n">
        <v>0</v>
      </c>
      <c r="G1053" s="37" t="n">
        <v>0</v>
      </c>
      <c r="H1053" s="37" t="n">
        <v>1</v>
      </c>
      <c r="I1053" s="37" t="n">
        <v>0</v>
      </c>
      <c r="J1053" s="37" t="n">
        <v>4</v>
      </c>
      <c r="K1053" s="16" t="n">
        <v>48</v>
      </c>
    </row>
    <row r="1054">
      <c r="A1054" s="30" t="n">
        <v>46321.50972222222</v>
      </c>
      <c r="B1054" s="30" t="n">
        <v>46321.52569444444</v>
      </c>
      <c r="C1054" s="9" t="n">
        <v>46325</v>
      </c>
      <c r="D1054" s="10" t="n">
        <v>0.8854166666666666</v>
      </c>
      <c r="E1054" s="36" t="n">
        <v>1</v>
      </c>
      <c r="F1054" s="36" t="n">
        <v>1</v>
      </c>
      <c r="G1054" s="36" t="n">
        <v>0</v>
      </c>
      <c r="H1054" s="36" t="n">
        <v>0</v>
      </c>
      <c r="I1054" s="36" t="n">
        <v>0</v>
      </c>
      <c r="J1054" s="36" t="n">
        <v>2</v>
      </c>
      <c r="K1054" s="12" t="n">
        <v>24</v>
      </c>
    </row>
    <row r="1055">
      <c r="A1055" s="33" t="n">
        <v>46321.50972222222</v>
      </c>
      <c r="B1055" s="33" t="n">
        <v>46321.52569444444</v>
      </c>
      <c r="C1055" s="13" t="n">
        <v>46325</v>
      </c>
      <c r="D1055" s="14" t="n">
        <v>0.9270833333333334</v>
      </c>
      <c r="E1055" s="37" t="n">
        <v>1</v>
      </c>
      <c r="F1055" s="37" t="n">
        <v>1</v>
      </c>
      <c r="G1055" s="37" t="n">
        <v>0</v>
      </c>
      <c r="H1055" s="37" t="n">
        <v>0</v>
      </c>
      <c r="I1055" s="37" t="n">
        <v>0</v>
      </c>
      <c r="J1055" s="37" t="n">
        <v>2</v>
      </c>
      <c r="K1055" s="16" t="n">
        <v>24</v>
      </c>
    </row>
    <row r="1056">
      <c r="A1056" s="30" t="n">
        <v>46321.52569444444</v>
      </c>
      <c r="B1056" s="30" t="n">
        <v>46321.56180555555</v>
      </c>
      <c r="C1056" s="9" t="n">
        <v>46324</v>
      </c>
      <c r="D1056" s="10" t="n">
        <v>0.9270833333333334</v>
      </c>
      <c r="E1056" s="36" t="n">
        <v>3</v>
      </c>
      <c r="F1056" s="36" t="n">
        <v>3</v>
      </c>
      <c r="G1056" s="36" t="n">
        <v>0</v>
      </c>
      <c r="H1056" s="36" t="n">
        <v>0</v>
      </c>
      <c r="I1056" s="36" t="n">
        <v>0</v>
      </c>
      <c r="J1056" s="36" t="n">
        <v>6</v>
      </c>
      <c r="K1056" s="12" t="n">
        <v>72</v>
      </c>
    </row>
    <row r="1057">
      <c r="A1057" s="33" t="n">
        <v>46321.52569444444</v>
      </c>
      <c r="B1057" s="33" t="n">
        <v>46321.56180555555</v>
      </c>
      <c r="C1057" s="13" t="n">
        <v>46325</v>
      </c>
      <c r="D1057" s="14" t="n">
        <v>0.9270833333333334</v>
      </c>
      <c r="E1057" s="37" t="n">
        <v>3</v>
      </c>
      <c r="F1057" s="37" t="n">
        <v>1</v>
      </c>
      <c r="G1057" s="37" t="n">
        <v>0</v>
      </c>
      <c r="H1057" s="37" t="n">
        <v>2</v>
      </c>
      <c r="I1057" s="37" t="n">
        <v>0</v>
      </c>
      <c r="J1057" s="37" t="n">
        <v>10</v>
      </c>
      <c r="K1057" s="16" t="n">
        <v>120</v>
      </c>
    </row>
    <row r="1058">
      <c r="A1058" s="30" t="n">
        <v>46321.52569444444</v>
      </c>
      <c r="B1058" s="30" t="n">
        <v>46321.56180555555</v>
      </c>
      <c r="C1058" s="9" t="n">
        <v>46325</v>
      </c>
      <c r="D1058" s="10" t="n">
        <v>0.96875</v>
      </c>
      <c r="E1058" s="36" t="n">
        <v>1</v>
      </c>
      <c r="F1058" s="36" t="n">
        <v>0</v>
      </c>
      <c r="G1058" s="36" t="n">
        <v>0</v>
      </c>
      <c r="H1058" s="36" t="n">
        <v>0</v>
      </c>
      <c r="I1058" s="36" t="n">
        <v>1</v>
      </c>
      <c r="J1058" s="36" t="n">
        <v>5</v>
      </c>
      <c r="K1058" s="12" t="n">
        <v>60</v>
      </c>
    </row>
    <row r="1059">
      <c r="A1059" s="33" t="n">
        <v>46321.52569444444</v>
      </c>
      <c r="B1059" s="33" t="n">
        <v>46321.56180555555</v>
      </c>
      <c r="C1059" s="13" t="n">
        <v>46326</v>
      </c>
      <c r="D1059" s="14" t="n">
        <v>0.9270833333333334</v>
      </c>
      <c r="E1059" s="37" t="n">
        <v>2</v>
      </c>
      <c r="F1059" s="37" t="n">
        <v>0</v>
      </c>
      <c r="G1059" s="37" t="n">
        <v>1</v>
      </c>
      <c r="H1059" s="37" t="n">
        <v>1</v>
      </c>
      <c r="I1059" s="37" t="n">
        <v>0</v>
      </c>
      <c r="J1059" s="37" t="n">
        <v>7</v>
      </c>
      <c r="K1059" s="16" t="n">
        <v>84</v>
      </c>
    </row>
    <row r="1060">
      <c r="A1060" s="30" t="n">
        <v>46321.52569444444</v>
      </c>
      <c r="B1060" s="30" t="n">
        <v>46321.56180555555</v>
      </c>
      <c r="C1060" s="9" t="n">
        <v>46327</v>
      </c>
      <c r="D1060" s="10" t="n">
        <v>0.9270833333333334</v>
      </c>
      <c r="E1060" s="36" t="n">
        <v>1</v>
      </c>
      <c r="F1060" s="36" t="n">
        <v>0</v>
      </c>
      <c r="G1060" s="36" t="n">
        <v>0</v>
      </c>
      <c r="H1060" s="36" t="n">
        <v>1</v>
      </c>
      <c r="I1060" s="36" t="n">
        <v>0</v>
      </c>
      <c r="J1060" s="36" t="n">
        <v>4</v>
      </c>
      <c r="K1060" s="12" t="n">
        <v>48</v>
      </c>
    </row>
    <row r="1061">
      <c r="A1061" s="33" t="n">
        <v>46321.56180555555</v>
      </c>
      <c r="B1061" s="33" t="n">
        <v>46321.60347222222</v>
      </c>
      <c r="C1061" s="13" t="n">
        <v>46324</v>
      </c>
      <c r="D1061" s="14" t="n">
        <v>0.84375</v>
      </c>
      <c r="E1061" s="37" t="n">
        <v>1</v>
      </c>
      <c r="F1061" s="37" t="n">
        <v>1</v>
      </c>
      <c r="G1061" s="37" t="n">
        <v>0</v>
      </c>
      <c r="H1061" s="37" t="n">
        <v>0</v>
      </c>
      <c r="I1061" s="37" t="n">
        <v>0</v>
      </c>
      <c r="J1061" s="37" t="n">
        <v>2</v>
      </c>
      <c r="K1061" s="16" t="n">
        <v>24</v>
      </c>
    </row>
    <row r="1062">
      <c r="A1062" s="30" t="n">
        <v>46321.56180555555</v>
      </c>
      <c r="B1062" s="30" t="n">
        <v>46321.60347222222</v>
      </c>
      <c r="C1062" s="9" t="n">
        <v>46324</v>
      </c>
      <c r="D1062" s="10" t="n">
        <v>0.9270833333333334</v>
      </c>
      <c r="E1062" s="36" t="n">
        <v>3</v>
      </c>
      <c r="F1062" s="36" t="n">
        <v>1</v>
      </c>
      <c r="G1062" s="36" t="n">
        <v>1</v>
      </c>
      <c r="H1062" s="36" t="n">
        <v>1</v>
      </c>
      <c r="I1062" s="36" t="n">
        <v>0</v>
      </c>
      <c r="J1062" s="36" t="n">
        <v>9</v>
      </c>
      <c r="K1062" s="12" t="n">
        <v>108</v>
      </c>
    </row>
    <row r="1063">
      <c r="A1063" s="33" t="n">
        <v>46321.56180555555</v>
      </c>
      <c r="B1063" s="33" t="n">
        <v>46321.60347222222</v>
      </c>
      <c r="C1063" s="13" t="n">
        <v>46325</v>
      </c>
      <c r="D1063" s="14" t="n">
        <v>0.84375</v>
      </c>
      <c r="E1063" s="37" t="n">
        <v>1</v>
      </c>
      <c r="F1063" s="37" t="n">
        <v>0</v>
      </c>
      <c r="G1063" s="37" t="n">
        <v>0</v>
      </c>
      <c r="H1063" s="37" t="n">
        <v>1</v>
      </c>
      <c r="I1063" s="37" t="n">
        <v>0</v>
      </c>
      <c r="J1063" s="37" t="n">
        <v>4</v>
      </c>
      <c r="K1063" s="16" t="n">
        <v>48</v>
      </c>
    </row>
    <row r="1064">
      <c r="A1064" s="30" t="n">
        <v>46321.56180555555</v>
      </c>
      <c r="B1064" s="30" t="n">
        <v>46321.60347222222</v>
      </c>
      <c r="C1064" s="9" t="n">
        <v>46325</v>
      </c>
      <c r="D1064" s="10" t="n">
        <v>0.9270833333333334</v>
      </c>
      <c r="E1064" s="36" t="n">
        <v>1</v>
      </c>
      <c r="F1064" s="36" t="n">
        <v>0</v>
      </c>
      <c r="G1064" s="36" t="n">
        <v>0</v>
      </c>
      <c r="H1064" s="36" t="n">
        <v>1</v>
      </c>
      <c r="I1064" s="36" t="n">
        <v>0</v>
      </c>
      <c r="J1064" s="36" t="n">
        <v>4</v>
      </c>
      <c r="K1064" s="12" t="n">
        <v>48</v>
      </c>
    </row>
    <row r="1065">
      <c r="A1065" s="33" t="n">
        <v>46321.56180555555</v>
      </c>
      <c r="B1065" s="33" t="n">
        <v>46321.60347222222</v>
      </c>
      <c r="C1065" s="13" t="n">
        <v>46325</v>
      </c>
      <c r="D1065" s="14" t="n">
        <v>0.96875</v>
      </c>
      <c r="E1065" s="37" t="n">
        <v>1</v>
      </c>
      <c r="F1065" s="37" t="n">
        <v>1</v>
      </c>
      <c r="G1065" s="37" t="n">
        <v>0</v>
      </c>
      <c r="H1065" s="37" t="n">
        <v>0</v>
      </c>
      <c r="I1065" s="37" t="n">
        <v>0</v>
      </c>
      <c r="J1065" s="37" t="n">
        <v>2</v>
      </c>
      <c r="K1065" s="16" t="n">
        <v>24</v>
      </c>
    </row>
    <row r="1066">
      <c r="A1066" s="30" t="n">
        <v>46321.56180555555</v>
      </c>
      <c r="B1066" s="30" t="n">
        <v>46321.60347222222</v>
      </c>
      <c r="C1066" s="9" t="n">
        <v>46325</v>
      </c>
      <c r="D1066" s="10" t="n">
        <v>0.9993055555555556</v>
      </c>
      <c r="E1066" s="36" t="n">
        <v>1</v>
      </c>
      <c r="F1066" s="36" t="n">
        <v>1</v>
      </c>
      <c r="G1066" s="36" t="n">
        <v>0</v>
      </c>
      <c r="H1066" s="36" t="n">
        <v>0</v>
      </c>
      <c r="I1066" s="36" t="n">
        <v>0</v>
      </c>
      <c r="J1066" s="36" t="n">
        <v>2</v>
      </c>
      <c r="K1066" s="12" t="n">
        <v>24</v>
      </c>
    </row>
    <row r="1067">
      <c r="A1067" s="33" t="n">
        <v>46321.56180555555</v>
      </c>
      <c r="B1067" s="33" t="n">
        <v>46321.60347222222</v>
      </c>
      <c r="C1067" s="13" t="n">
        <v>46326</v>
      </c>
      <c r="D1067" s="14" t="n">
        <v>0.84375</v>
      </c>
      <c r="E1067" s="37" t="n">
        <v>1</v>
      </c>
      <c r="F1067" s="37" t="n">
        <v>0</v>
      </c>
      <c r="G1067" s="37" t="n">
        <v>1</v>
      </c>
      <c r="H1067" s="37" t="n">
        <v>0</v>
      </c>
      <c r="I1067" s="37" t="n">
        <v>0</v>
      </c>
      <c r="J1067" s="37" t="n">
        <v>3</v>
      </c>
      <c r="K1067" s="16" t="n">
        <v>36</v>
      </c>
    </row>
    <row r="1068">
      <c r="A1068" s="30" t="n">
        <v>46321.56180555555</v>
      </c>
      <c r="B1068" s="30" t="n">
        <v>46321.60347222222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0</v>
      </c>
      <c r="H1068" s="36" t="n">
        <v>2</v>
      </c>
      <c r="I1068" s="36" t="n">
        <v>0</v>
      </c>
      <c r="J1068" s="36" t="n">
        <v>8</v>
      </c>
      <c r="K1068" s="12" t="n">
        <v>96</v>
      </c>
    </row>
    <row r="1069">
      <c r="A1069" s="33" t="n">
        <v>46321.60347222222</v>
      </c>
      <c r="B1069" s="33" t="n">
        <v>46321.62847222222</v>
      </c>
      <c r="C1069" s="13" t="n">
        <v>46324</v>
      </c>
      <c r="D1069" s="14" t="n">
        <v>0.9270833333333334</v>
      </c>
      <c r="E1069" s="37" t="n">
        <v>1</v>
      </c>
      <c r="F1069" s="37" t="n">
        <v>0</v>
      </c>
      <c r="G1069" s="37" t="n">
        <v>1</v>
      </c>
      <c r="H1069" s="37" t="n">
        <v>0</v>
      </c>
      <c r="I1069" s="37" t="n">
        <v>0</v>
      </c>
      <c r="J1069" s="37" t="n">
        <v>3</v>
      </c>
      <c r="K1069" s="16" t="n">
        <v>36</v>
      </c>
    </row>
    <row r="1070">
      <c r="A1070" s="30" t="n">
        <v>46321.60347222222</v>
      </c>
      <c r="B1070" s="30" t="n">
        <v>46321.62847222222</v>
      </c>
      <c r="C1070" s="9" t="n">
        <v>46324</v>
      </c>
      <c r="D1070" s="10" t="n">
        <v>0.96875</v>
      </c>
      <c r="E1070" s="36" t="n">
        <v>1</v>
      </c>
      <c r="F1070" s="36" t="n">
        <v>0</v>
      </c>
      <c r="G1070" s="36" t="n">
        <v>0</v>
      </c>
      <c r="H1070" s="36" t="n">
        <v>1</v>
      </c>
      <c r="I1070" s="36" t="n">
        <v>0</v>
      </c>
      <c r="J1070" s="36" t="n">
        <v>4</v>
      </c>
      <c r="K1070" s="12" t="n">
        <v>48</v>
      </c>
    </row>
    <row r="1071">
      <c r="A1071" s="33" t="n">
        <v>46321.60347222222</v>
      </c>
      <c r="B1071" s="33" t="n">
        <v>46321.62847222222</v>
      </c>
      <c r="C1071" s="13" t="n">
        <v>46324</v>
      </c>
      <c r="D1071" s="14" t="n">
        <v>0.9993055555555556</v>
      </c>
      <c r="E1071" s="37" t="n">
        <v>1</v>
      </c>
      <c r="F1071" s="37" t="n">
        <v>0</v>
      </c>
      <c r="G1071" s="37" t="n">
        <v>0</v>
      </c>
      <c r="H1071" s="37" t="n">
        <v>0</v>
      </c>
      <c r="I1071" s="37" t="n">
        <v>1</v>
      </c>
      <c r="J1071" s="37" t="n">
        <v>5</v>
      </c>
      <c r="K1071" s="16" t="n">
        <v>60</v>
      </c>
    </row>
    <row r="1072">
      <c r="A1072" s="30" t="n">
        <v>46321.60347222222</v>
      </c>
      <c r="B1072" s="30" t="n">
        <v>46321.62847222222</v>
      </c>
      <c r="C1072" s="9" t="n">
        <v>46325</v>
      </c>
      <c r="D1072" s="10" t="n">
        <v>0.9270833333333334</v>
      </c>
      <c r="E1072" s="36" t="n">
        <v>1</v>
      </c>
      <c r="F1072" s="36" t="n">
        <v>0</v>
      </c>
      <c r="G1072" s="36" t="n">
        <v>0</v>
      </c>
      <c r="H1072" s="36" t="n">
        <v>0</v>
      </c>
      <c r="I1072" s="36" t="n">
        <v>1</v>
      </c>
      <c r="J1072" s="36" t="n">
        <v>5</v>
      </c>
      <c r="K1072" s="12" t="n">
        <v>60</v>
      </c>
    </row>
    <row r="1073">
      <c r="A1073" s="33" t="n">
        <v>46321.60347222222</v>
      </c>
      <c r="B1073" s="33" t="n">
        <v>46321.62847222222</v>
      </c>
      <c r="C1073" s="13" t="n">
        <v>46326</v>
      </c>
      <c r="D1073" s="14" t="n">
        <v>0.9270833333333334</v>
      </c>
      <c r="E1073" s="37" t="n">
        <v>1</v>
      </c>
      <c r="F1073" s="37" t="n">
        <v>1</v>
      </c>
      <c r="G1073" s="37" t="n">
        <v>0</v>
      </c>
      <c r="H1073" s="37" t="n">
        <v>0</v>
      </c>
      <c r="I1073" s="37" t="n">
        <v>0</v>
      </c>
      <c r="J1073" s="37" t="n">
        <v>2</v>
      </c>
      <c r="K1073" s="16" t="n">
        <v>24</v>
      </c>
    </row>
    <row r="1074">
      <c r="A1074" s="30" t="n">
        <v>46321.62847222222</v>
      </c>
      <c r="B1074" s="30" t="n">
        <v>46321.65277777778</v>
      </c>
      <c r="C1074" s="9" t="n">
        <v>46324</v>
      </c>
      <c r="D1074" s="10" t="n">
        <v>0.9270833333333334</v>
      </c>
      <c r="E1074" s="36" t="n">
        <v>1</v>
      </c>
      <c r="F1074" s="36" t="n">
        <v>0</v>
      </c>
      <c r="G1074" s="36" t="n">
        <v>1</v>
      </c>
      <c r="H1074" s="36" t="n">
        <v>0</v>
      </c>
      <c r="I1074" s="36" t="n">
        <v>0</v>
      </c>
      <c r="J1074" s="36" t="n">
        <v>3</v>
      </c>
      <c r="K1074" s="12" t="n">
        <v>36</v>
      </c>
    </row>
    <row r="1075">
      <c r="A1075" s="33" t="n">
        <v>46321.62847222222</v>
      </c>
      <c r="B1075" s="33" t="n">
        <v>46321.65277777778</v>
      </c>
      <c r="C1075" s="13" t="n">
        <v>46325</v>
      </c>
      <c r="D1075" s="14" t="n">
        <v>0.8854166666666666</v>
      </c>
      <c r="E1075" s="37" t="n">
        <v>1</v>
      </c>
      <c r="F1075" s="37" t="n">
        <v>0</v>
      </c>
      <c r="G1075" s="37" t="n">
        <v>0</v>
      </c>
      <c r="H1075" s="37" t="n">
        <v>1</v>
      </c>
      <c r="I1075" s="37" t="n">
        <v>0</v>
      </c>
      <c r="J1075" s="37" t="n">
        <v>4</v>
      </c>
      <c r="K1075" s="16" t="n">
        <v>48</v>
      </c>
    </row>
    <row r="1076">
      <c r="A1076" s="30" t="n">
        <v>46321.62847222222</v>
      </c>
      <c r="B1076" s="30" t="n">
        <v>46321.65277777778</v>
      </c>
      <c r="C1076" s="9" t="n">
        <v>46326</v>
      </c>
      <c r="D1076" s="10" t="n">
        <v>0.8854166666666666</v>
      </c>
      <c r="E1076" s="36" t="n">
        <v>1</v>
      </c>
      <c r="F1076" s="36" t="n">
        <v>1</v>
      </c>
      <c r="G1076" s="36" t="n">
        <v>0</v>
      </c>
      <c r="H1076" s="36" t="n">
        <v>0</v>
      </c>
      <c r="I1076" s="36" t="n">
        <v>0</v>
      </c>
      <c r="J1076" s="36" t="n">
        <v>2</v>
      </c>
      <c r="K1076" s="12" t="n">
        <v>24</v>
      </c>
    </row>
    <row r="1077">
      <c r="A1077" s="33" t="n">
        <v>46321.62847222222</v>
      </c>
      <c r="B1077" s="33" t="n">
        <v>46321.65277777778</v>
      </c>
      <c r="C1077" s="13" t="n">
        <v>46326</v>
      </c>
      <c r="D1077" s="14" t="n">
        <v>0.9270833333333334</v>
      </c>
      <c r="E1077" s="37" t="n">
        <v>1</v>
      </c>
      <c r="F1077" s="37" t="n">
        <v>0</v>
      </c>
      <c r="G1077" s="37" t="n">
        <v>0</v>
      </c>
      <c r="H1077" s="37" t="n">
        <v>1</v>
      </c>
      <c r="I1077" s="37" t="n">
        <v>0</v>
      </c>
      <c r="J1077" s="37" t="n">
        <v>4</v>
      </c>
      <c r="K1077" s="16" t="n">
        <v>48</v>
      </c>
    </row>
    <row r="1078">
      <c r="A1078" s="30" t="n">
        <v>46321.62847222222</v>
      </c>
      <c r="B1078" s="30" t="n">
        <v>46321.65277777778</v>
      </c>
      <c r="C1078" s="9" t="n">
        <v>46326</v>
      </c>
      <c r="D1078" s="10" t="n">
        <v>0.96875</v>
      </c>
      <c r="E1078" s="36" t="n">
        <v>1</v>
      </c>
      <c r="F1078" s="36" t="n">
        <v>0</v>
      </c>
      <c r="G1078" s="36" t="n">
        <v>0</v>
      </c>
      <c r="H1078" s="36" t="n">
        <v>1</v>
      </c>
      <c r="I1078" s="36" t="n">
        <v>0</v>
      </c>
      <c r="J1078" s="36" t="n">
        <v>4</v>
      </c>
      <c r="K1078" s="12" t="n">
        <v>48</v>
      </c>
    </row>
    <row r="1079">
      <c r="A1079" s="33" t="n">
        <v>46321.62847222222</v>
      </c>
      <c r="B1079" s="33" t="n">
        <v>46321.65277777778</v>
      </c>
      <c r="C1079" s="13" t="n">
        <v>46327</v>
      </c>
      <c r="D1079" s="14" t="n">
        <v>0.84375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46321.62847222222</v>
      </c>
      <c r="B1080" s="30" t="n">
        <v>46321.65277777778</v>
      </c>
      <c r="C1080" s="9" t="n">
        <v>46327</v>
      </c>
      <c r="D1080" s="10" t="n">
        <v>0.8854166666666666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46321.65277777778</v>
      </c>
      <c r="B1081" s="33" t="n">
        <v>46321.675</v>
      </c>
      <c r="C1081" s="13" t="n">
        <v>46324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46321.65277777778</v>
      </c>
      <c r="B1082" s="30" t="n">
        <v>46321.675</v>
      </c>
      <c r="C1082" s="9" t="n">
        <v>46325</v>
      </c>
      <c r="D1082" s="10" t="n">
        <v>0.9270833333333334</v>
      </c>
      <c r="E1082" s="36" t="n">
        <v>3</v>
      </c>
      <c r="F1082" s="36" t="n">
        <v>1</v>
      </c>
      <c r="G1082" s="36" t="n">
        <v>0</v>
      </c>
      <c r="H1082" s="36" t="n">
        <v>2</v>
      </c>
      <c r="I1082" s="36" t="n">
        <v>0</v>
      </c>
      <c r="J1082" s="36" t="n">
        <v>10</v>
      </c>
      <c r="K1082" s="12" t="n">
        <v>120</v>
      </c>
    </row>
    <row r="1083">
      <c r="A1083" s="33" t="n">
        <v>46321.65277777778</v>
      </c>
      <c r="B1083" s="33" t="n">
        <v>46321.675</v>
      </c>
      <c r="C1083" s="13" t="n">
        <v>46325</v>
      </c>
      <c r="D1083" s="14" t="n">
        <v>0.96875</v>
      </c>
      <c r="E1083" s="37" t="n">
        <v>3</v>
      </c>
      <c r="F1083" s="37" t="n">
        <v>2</v>
      </c>
      <c r="G1083" s="37" t="n">
        <v>0</v>
      </c>
      <c r="H1083" s="37" t="n">
        <v>1</v>
      </c>
      <c r="I1083" s="37" t="n">
        <v>0</v>
      </c>
      <c r="J1083" s="37" t="n">
        <v>8</v>
      </c>
      <c r="K1083" s="16" t="n">
        <v>96</v>
      </c>
    </row>
    <row r="1084">
      <c r="A1084" s="30" t="n">
        <v>46321.65277777778</v>
      </c>
      <c r="B1084" s="30" t="n">
        <v>46321.675</v>
      </c>
      <c r="C1084" s="9" t="n">
        <v>46326</v>
      </c>
      <c r="D1084" s="10" t="n">
        <v>0.9270833333333334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46321.675</v>
      </c>
      <c r="B1085" s="33" t="n">
        <v>46321.71666666667</v>
      </c>
      <c r="C1085" s="13" t="n">
        <v>46324</v>
      </c>
      <c r="D1085" s="14" t="n">
        <v>0.8854166666666666</v>
      </c>
      <c r="E1085" s="37" t="n">
        <v>2</v>
      </c>
      <c r="F1085" s="37" t="n">
        <v>1</v>
      </c>
      <c r="G1085" s="37" t="n">
        <v>0</v>
      </c>
      <c r="H1085" s="37" t="n">
        <v>1</v>
      </c>
      <c r="I1085" s="37" t="n">
        <v>0</v>
      </c>
      <c r="J1085" s="37" t="n">
        <v>6</v>
      </c>
      <c r="K1085" s="16" t="n">
        <v>72</v>
      </c>
    </row>
    <row r="1086">
      <c r="A1086" s="30" t="n">
        <v>46321.675</v>
      </c>
      <c r="B1086" s="30" t="n">
        <v>46321.71666666667</v>
      </c>
      <c r="C1086" s="9" t="n">
        <v>46324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46321.675</v>
      </c>
      <c r="B1087" s="33" t="n">
        <v>46321.71666666667</v>
      </c>
      <c r="C1087" s="13" t="n">
        <v>46324</v>
      </c>
      <c r="D1087" s="14" t="n">
        <v>0.96875</v>
      </c>
      <c r="E1087" s="37" t="n">
        <v>3</v>
      </c>
      <c r="F1087" s="37" t="n">
        <v>0</v>
      </c>
      <c r="G1087" s="37" t="n">
        <v>0</v>
      </c>
      <c r="H1087" s="37" t="n">
        <v>2</v>
      </c>
      <c r="I1087" s="37" t="n">
        <v>1</v>
      </c>
      <c r="J1087" s="37" t="n">
        <v>13</v>
      </c>
      <c r="K1087" s="16" t="n">
        <v>156</v>
      </c>
    </row>
    <row r="1088">
      <c r="A1088" s="30" t="n">
        <v>46321.675</v>
      </c>
      <c r="B1088" s="30" t="n">
        <v>46321.71666666667</v>
      </c>
      <c r="C1088" s="9" t="n">
        <v>46325</v>
      </c>
      <c r="D1088" s="10" t="n">
        <v>0.9993055555555556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46321.675</v>
      </c>
      <c r="B1089" s="33" t="n">
        <v>46321.71666666667</v>
      </c>
      <c r="C1089" s="13" t="n">
        <v>46326</v>
      </c>
      <c r="D1089" s="14" t="n">
        <v>0.84375</v>
      </c>
      <c r="E1089" s="37" t="n">
        <v>2</v>
      </c>
      <c r="F1089" s="37" t="n">
        <v>2</v>
      </c>
      <c r="G1089" s="37" t="n">
        <v>0</v>
      </c>
      <c r="H1089" s="37" t="n">
        <v>0</v>
      </c>
      <c r="I1089" s="37" t="n">
        <v>0</v>
      </c>
      <c r="J1089" s="37" t="n">
        <v>4</v>
      </c>
      <c r="K1089" s="16" t="n">
        <v>48</v>
      </c>
    </row>
    <row r="1090">
      <c r="A1090" s="30" t="n">
        <v>46321.675</v>
      </c>
      <c r="B1090" s="30" t="n">
        <v>46321.71666666667</v>
      </c>
      <c r="C1090" s="9" t="n">
        <v>46326</v>
      </c>
      <c r="D1090" s="10" t="n">
        <v>0.8854166666666666</v>
      </c>
      <c r="E1090" s="36" t="n">
        <v>1</v>
      </c>
      <c r="F1090" s="36" t="n">
        <v>0</v>
      </c>
      <c r="G1090" s="36" t="n">
        <v>0</v>
      </c>
      <c r="H1090" s="36" t="n">
        <v>1</v>
      </c>
      <c r="I1090" s="36" t="n">
        <v>0</v>
      </c>
      <c r="J1090" s="36" t="n">
        <v>4</v>
      </c>
      <c r="K1090" s="12" t="n">
        <v>48</v>
      </c>
    </row>
    <row r="1091">
      <c r="A1091" s="33" t="n">
        <v>46321.675</v>
      </c>
      <c r="B1091" s="33" t="n">
        <v>46321.71666666667</v>
      </c>
      <c r="C1091" s="13" t="n">
        <v>46326</v>
      </c>
      <c r="D1091" s="14" t="n">
        <v>0.9270833333333334</v>
      </c>
      <c r="E1091" s="37" t="n">
        <v>2</v>
      </c>
      <c r="F1091" s="37" t="n">
        <v>1</v>
      </c>
      <c r="G1091" s="37" t="n">
        <v>0</v>
      </c>
      <c r="H1091" s="37" t="n">
        <v>1</v>
      </c>
      <c r="I1091" s="37" t="n">
        <v>0</v>
      </c>
      <c r="J1091" s="37" t="n">
        <v>6</v>
      </c>
      <c r="K1091" s="16" t="n">
        <v>72</v>
      </c>
    </row>
    <row r="1092">
      <c r="A1092" s="30" t="n">
        <v>46321.675</v>
      </c>
      <c r="B1092" s="30" t="n">
        <v>46321.71666666667</v>
      </c>
      <c r="C1092" s="9" t="n">
        <v>46326</v>
      </c>
      <c r="D1092" s="10" t="n">
        <v>0.96875</v>
      </c>
      <c r="E1092" s="36" t="n">
        <v>1</v>
      </c>
      <c r="F1092" s="36" t="n">
        <v>1</v>
      </c>
      <c r="G1092" s="36" t="n">
        <v>0</v>
      </c>
      <c r="H1092" s="36" t="n">
        <v>0</v>
      </c>
      <c r="I1092" s="36" t="n">
        <v>0</v>
      </c>
      <c r="J1092" s="36" t="n">
        <v>2</v>
      </c>
      <c r="K1092" s="12" t="n">
        <v>24</v>
      </c>
    </row>
    <row r="1093">
      <c r="A1093" s="33" t="n">
        <v>46321.675</v>
      </c>
      <c r="B1093" s="33" t="n">
        <v>46321.71666666667</v>
      </c>
      <c r="C1093" s="13" t="n">
        <v>46327</v>
      </c>
      <c r="D1093" s="14" t="n">
        <v>0.9270833333333334</v>
      </c>
      <c r="E1093" s="37" t="n">
        <v>1</v>
      </c>
      <c r="F1093" s="37" t="n">
        <v>1</v>
      </c>
      <c r="G1093" s="37" t="n">
        <v>0</v>
      </c>
      <c r="H1093" s="37" t="n">
        <v>0</v>
      </c>
      <c r="I1093" s="37" t="n">
        <v>0</v>
      </c>
      <c r="J1093" s="37" t="n">
        <v>2</v>
      </c>
      <c r="K1093" s="16" t="n">
        <v>24</v>
      </c>
    </row>
    <row r="1094">
      <c r="A1094" s="30" t="n">
        <v>46321.71666666667</v>
      </c>
      <c r="B1094" s="30" t="n">
        <v>46321.73819444444</v>
      </c>
      <c r="C1094" s="9" t="n">
        <v>46326</v>
      </c>
      <c r="D1094" s="10" t="n">
        <v>0.9993055555555556</v>
      </c>
      <c r="E1094" s="36" t="n">
        <v>2</v>
      </c>
      <c r="F1094" s="36" t="n">
        <v>0</v>
      </c>
      <c r="G1094" s="36" t="n">
        <v>0</v>
      </c>
      <c r="H1094" s="36" t="n">
        <v>2</v>
      </c>
      <c r="I1094" s="36" t="n">
        <v>0</v>
      </c>
      <c r="J1094" s="36" t="n">
        <v>8</v>
      </c>
      <c r="K1094" s="12" t="n">
        <v>96</v>
      </c>
    </row>
    <row r="1095">
      <c r="A1095" s="33" t="n">
        <v>46321.73819444444</v>
      </c>
      <c r="B1095" s="33" t="n">
        <v>46321.76597222222</v>
      </c>
      <c r="C1095" s="13" t="n">
        <v>46324</v>
      </c>
      <c r="D1095" s="14" t="n">
        <v>0.9270833333333334</v>
      </c>
      <c r="E1095" s="37" t="n">
        <v>2</v>
      </c>
      <c r="F1095" s="37" t="n">
        <v>1</v>
      </c>
      <c r="G1095" s="37" t="n">
        <v>0</v>
      </c>
      <c r="H1095" s="37" t="n">
        <v>1</v>
      </c>
      <c r="I1095" s="37" t="n">
        <v>0</v>
      </c>
      <c r="J1095" s="37" t="n">
        <v>6</v>
      </c>
      <c r="K1095" s="16" t="n">
        <v>72</v>
      </c>
    </row>
    <row r="1096">
      <c r="A1096" s="30" t="n">
        <v>46321.73819444444</v>
      </c>
      <c r="B1096" s="30" t="n">
        <v>46321.76597222222</v>
      </c>
      <c r="C1096" s="9" t="n">
        <v>46326</v>
      </c>
      <c r="D1096" s="10" t="n">
        <v>0.9270833333333334</v>
      </c>
      <c r="E1096" s="36" t="n">
        <v>1</v>
      </c>
      <c r="F1096" s="36" t="n">
        <v>1</v>
      </c>
      <c r="G1096" s="36" t="n">
        <v>0</v>
      </c>
      <c r="H1096" s="36" t="n">
        <v>0</v>
      </c>
      <c r="I1096" s="36" t="n">
        <v>0</v>
      </c>
      <c r="J1096" s="36" t="n">
        <v>2</v>
      </c>
      <c r="K1096" s="12" t="n">
        <v>24</v>
      </c>
    </row>
    <row r="1097">
      <c r="A1097" s="33" t="n">
        <v>46321.76597222222</v>
      </c>
      <c r="B1097" s="33" t="n">
        <v>46321.77222222222</v>
      </c>
      <c r="C1097" s="13" t="n">
        <v>46325</v>
      </c>
      <c r="D1097" s="14" t="n">
        <v>0.8854166666666666</v>
      </c>
      <c r="E1097" s="37" t="n">
        <v>1</v>
      </c>
      <c r="F1097" s="37" t="n">
        <v>1</v>
      </c>
      <c r="G1097" s="37" t="n">
        <v>0</v>
      </c>
      <c r="H1097" s="37" t="n">
        <v>0</v>
      </c>
      <c r="I1097" s="37" t="n">
        <v>0</v>
      </c>
      <c r="J1097" s="37" t="n">
        <v>2</v>
      </c>
      <c r="K1097" s="16" t="n">
        <v>24</v>
      </c>
    </row>
    <row r="1098">
      <c r="A1098" s="30" t="n">
        <v>46321.76597222222</v>
      </c>
      <c r="B1098" s="30" t="n">
        <v>46321.77222222222</v>
      </c>
      <c r="C1098" s="9" t="n">
        <v>46327</v>
      </c>
      <c r="D1098" s="10" t="n">
        <v>0.8854166666666666</v>
      </c>
      <c r="E1098" s="36" t="n">
        <v>1</v>
      </c>
      <c r="F1098" s="36" t="n">
        <v>0</v>
      </c>
      <c r="G1098" s="36" t="n">
        <v>0</v>
      </c>
      <c r="H1098" s="36" t="n">
        <v>1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46321.77361111111</v>
      </c>
      <c r="B1099" s="33" t="n">
        <v>46321.81388888889</v>
      </c>
      <c r="C1099" s="13" t="n">
        <v>46324</v>
      </c>
      <c r="D1099" s="14" t="n">
        <v>0.8854166666666666</v>
      </c>
      <c r="E1099" s="37" t="n">
        <v>1</v>
      </c>
      <c r="F1099" s="37" t="n">
        <v>1</v>
      </c>
      <c r="G1099" s="37" t="n">
        <v>0</v>
      </c>
      <c r="H1099" s="37" t="n">
        <v>0</v>
      </c>
      <c r="I1099" s="37" t="n">
        <v>0</v>
      </c>
      <c r="J1099" s="37" t="n">
        <v>2</v>
      </c>
      <c r="K1099" s="16" t="n">
        <v>24</v>
      </c>
    </row>
    <row r="1100">
      <c r="A1100" s="30" t="n">
        <v>46321.77361111111</v>
      </c>
      <c r="B1100" s="30" t="n">
        <v>46321.81388888889</v>
      </c>
      <c r="C1100" s="9" t="n">
        <v>46324</v>
      </c>
      <c r="D1100" s="10" t="n">
        <v>0.9993055555555556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46321.77361111111</v>
      </c>
      <c r="B1101" s="33" t="n">
        <v>46321.81388888889</v>
      </c>
      <c r="C1101" s="13" t="n">
        <v>46325</v>
      </c>
      <c r="D1101" s="14" t="n">
        <v>0.8854166666666666</v>
      </c>
      <c r="E1101" s="37" t="n">
        <v>1</v>
      </c>
      <c r="F1101" s="37" t="n">
        <v>0</v>
      </c>
      <c r="G1101" s="37" t="n">
        <v>0</v>
      </c>
      <c r="H1101" s="37" t="n">
        <v>0</v>
      </c>
      <c r="I1101" s="37" t="n">
        <v>1</v>
      </c>
      <c r="J1101" s="37" t="n">
        <v>5</v>
      </c>
      <c r="K1101" s="16" t="n">
        <v>60</v>
      </c>
    </row>
    <row r="1102">
      <c r="A1102" s="30" t="n">
        <v>46321.77361111111</v>
      </c>
      <c r="B1102" s="30" t="n">
        <v>46321.81388888889</v>
      </c>
      <c r="C1102" s="9" t="n">
        <v>46325</v>
      </c>
      <c r="D1102" s="10" t="n">
        <v>0.9270833333333334</v>
      </c>
      <c r="E1102" s="36" t="n">
        <v>3</v>
      </c>
      <c r="F1102" s="36" t="n">
        <v>0</v>
      </c>
      <c r="G1102" s="36" t="n">
        <v>0</v>
      </c>
      <c r="H1102" s="36" t="n">
        <v>2</v>
      </c>
      <c r="I1102" s="36" t="n">
        <v>1</v>
      </c>
      <c r="J1102" s="36" t="n">
        <v>13</v>
      </c>
      <c r="K1102" s="12" t="n">
        <v>156</v>
      </c>
    </row>
    <row r="1103">
      <c r="A1103" s="33" t="n">
        <v>46321.77361111111</v>
      </c>
      <c r="B1103" s="33" t="n">
        <v>46321.81388888889</v>
      </c>
      <c r="C1103" s="13" t="n">
        <v>46325</v>
      </c>
      <c r="D1103" s="14" t="n">
        <v>0.96875</v>
      </c>
      <c r="E1103" s="37" t="n">
        <v>1</v>
      </c>
      <c r="F1103" s="37" t="n">
        <v>0</v>
      </c>
      <c r="G1103" s="37" t="n">
        <v>0</v>
      </c>
      <c r="H1103" s="37" t="n">
        <v>1</v>
      </c>
      <c r="I1103" s="37" t="n">
        <v>0</v>
      </c>
      <c r="J1103" s="37" t="n">
        <v>4</v>
      </c>
      <c r="K1103" s="16" t="n">
        <v>48</v>
      </c>
    </row>
    <row r="1104">
      <c r="A1104" s="30" t="n">
        <v>46321.77361111111</v>
      </c>
      <c r="B1104" s="30" t="n">
        <v>46321.81388888889</v>
      </c>
      <c r="C1104" s="9" t="n">
        <v>46326</v>
      </c>
      <c r="D1104" s="10" t="n">
        <v>0.9270833333333334</v>
      </c>
      <c r="E1104" s="36" t="n">
        <v>1</v>
      </c>
      <c r="F1104" s="36" t="n">
        <v>1</v>
      </c>
      <c r="G1104" s="36" t="n">
        <v>0</v>
      </c>
      <c r="H1104" s="36" t="n">
        <v>0</v>
      </c>
      <c r="I1104" s="36" t="n">
        <v>0</v>
      </c>
      <c r="J1104" s="36" t="n">
        <v>2</v>
      </c>
      <c r="K1104" s="12" t="n">
        <v>24</v>
      </c>
    </row>
    <row r="1105">
      <c r="A1105" s="33" t="n">
        <v>46321.77361111111</v>
      </c>
      <c r="B1105" s="33" t="n">
        <v>46321.81388888889</v>
      </c>
      <c r="C1105" s="13" t="n">
        <v>46326</v>
      </c>
      <c r="D1105" s="14" t="n">
        <v>0.96875</v>
      </c>
      <c r="E1105" s="37" t="n">
        <v>3</v>
      </c>
      <c r="F1105" s="37" t="n">
        <v>3</v>
      </c>
      <c r="G1105" s="37" t="n">
        <v>0</v>
      </c>
      <c r="H1105" s="37" t="n">
        <v>0</v>
      </c>
      <c r="I1105" s="37" t="n">
        <v>0</v>
      </c>
      <c r="J1105" s="37" t="n">
        <v>6</v>
      </c>
      <c r="K1105" s="16" t="n">
        <v>72</v>
      </c>
    </row>
    <row r="1106">
      <c r="A1106" s="30" t="n">
        <v>46321.77361111111</v>
      </c>
      <c r="B1106" s="30" t="n">
        <v>46321.81388888889</v>
      </c>
      <c r="C1106" s="9" t="n">
        <v>46326</v>
      </c>
      <c r="D1106" s="10" t="n">
        <v>0.9993055555555556</v>
      </c>
      <c r="E1106" s="36" t="n">
        <v>2</v>
      </c>
      <c r="F1106" s="36" t="n">
        <v>1</v>
      </c>
      <c r="G1106" s="36" t="n">
        <v>0</v>
      </c>
      <c r="H1106" s="36" t="n">
        <v>1</v>
      </c>
      <c r="I1106" s="36" t="n">
        <v>0</v>
      </c>
      <c r="J1106" s="36" t="n">
        <v>6</v>
      </c>
      <c r="K1106" s="12" t="n">
        <v>72</v>
      </c>
    </row>
    <row r="1107">
      <c r="A1107" s="33" t="n">
        <v>46321.77361111111</v>
      </c>
      <c r="B1107" s="33" t="n">
        <v>46321.81388888889</v>
      </c>
      <c r="C1107" s="13" t="n">
        <v>46327</v>
      </c>
      <c r="D1107" s="14" t="n">
        <v>0.84375</v>
      </c>
      <c r="E1107" s="37" t="n">
        <v>2</v>
      </c>
      <c r="F1107" s="37" t="n">
        <v>1</v>
      </c>
      <c r="G1107" s="37" t="n">
        <v>0</v>
      </c>
      <c r="H1107" s="37" t="n">
        <v>1</v>
      </c>
      <c r="I1107" s="37" t="n">
        <v>0</v>
      </c>
      <c r="J1107" s="37" t="n">
        <v>6</v>
      </c>
      <c r="K1107" s="16" t="n">
        <v>72</v>
      </c>
    </row>
    <row r="1108">
      <c r="A1108" s="30" t="n">
        <v>46321.77361111111</v>
      </c>
      <c r="B1108" s="30" t="n">
        <v>46321.81388888889</v>
      </c>
      <c r="C1108" s="9" t="n">
        <v>46327</v>
      </c>
      <c r="D1108" s="10" t="n">
        <v>0.9270833333333334</v>
      </c>
      <c r="E1108" s="36" t="n">
        <v>1</v>
      </c>
      <c r="F1108" s="36" t="n">
        <v>1</v>
      </c>
      <c r="G1108" s="36" t="n">
        <v>0</v>
      </c>
      <c r="H1108" s="36" t="n">
        <v>0</v>
      </c>
      <c r="I1108" s="36" t="n">
        <v>0</v>
      </c>
      <c r="J1108" s="36" t="n">
        <v>2</v>
      </c>
      <c r="K1108" s="12" t="n">
        <v>24</v>
      </c>
    </row>
    <row r="1109">
      <c r="A1109" s="33" t="n">
        <v>46321.81388888889</v>
      </c>
      <c r="B1109" s="33" t="n">
        <v>46321.82152777778</v>
      </c>
      <c r="C1109" s="13" t="n">
        <v>46324</v>
      </c>
      <c r="D1109" s="14" t="n">
        <v>0.9270833333333334</v>
      </c>
      <c r="E1109" s="37" t="n">
        <v>2</v>
      </c>
      <c r="F1109" s="37" t="n">
        <v>1</v>
      </c>
      <c r="G1109" s="37" t="n">
        <v>0</v>
      </c>
      <c r="H1109" s="37" t="n">
        <v>0</v>
      </c>
      <c r="I1109" s="37" t="n">
        <v>1</v>
      </c>
      <c r="J1109" s="37" t="n">
        <v>7</v>
      </c>
      <c r="K1109" s="16" t="n">
        <v>84</v>
      </c>
    </row>
    <row r="1110">
      <c r="A1110" s="30" t="n">
        <v>46321.81388888889</v>
      </c>
      <c r="B1110" s="30" t="n">
        <v>46321.82152777778</v>
      </c>
      <c r="C1110" s="9" t="n">
        <v>46326</v>
      </c>
      <c r="D1110" s="10" t="n">
        <v>0.9270833333333334</v>
      </c>
      <c r="E1110" s="36" t="n">
        <v>1</v>
      </c>
      <c r="F1110" s="36" t="n">
        <v>1</v>
      </c>
      <c r="G1110" s="36" t="n">
        <v>0</v>
      </c>
      <c r="H1110" s="36" t="n">
        <v>0</v>
      </c>
      <c r="I1110" s="36" t="n">
        <v>0</v>
      </c>
      <c r="J1110" s="36" t="n">
        <v>2</v>
      </c>
      <c r="K1110" s="12" t="n">
        <v>24</v>
      </c>
    </row>
    <row r="1111">
      <c r="A1111" s="33" t="n">
        <v>46321.82152777778</v>
      </c>
      <c r="B1111" s="33" t="n">
        <v>46321.83958333333</v>
      </c>
      <c r="C1111" s="13" t="n">
        <v>46324</v>
      </c>
      <c r="D1111" s="14" t="n">
        <v>0.8854166666666666</v>
      </c>
      <c r="E1111" s="37" t="n">
        <v>1</v>
      </c>
      <c r="F1111" s="37" t="n">
        <v>0</v>
      </c>
      <c r="G1111" s="37" t="n">
        <v>1</v>
      </c>
      <c r="H1111" s="37" t="n">
        <v>0</v>
      </c>
      <c r="I1111" s="37" t="n">
        <v>0</v>
      </c>
      <c r="J1111" s="37" t="n">
        <v>3</v>
      </c>
      <c r="K1111" s="16" t="n">
        <v>36</v>
      </c>
    </row>
    <row r="1112">
      <c r="A1112" s="30" t="n">
        <v>46321.82152777778</v>
      </c>
      <c r="B1112" s="30" t="n">
        <v>46321.83958333333</v>
      </c>
      <c r="C1112" s="9" t="n">
        <v>46324</v>
      </c>
      <c r="D1112" s="10" t="n">
        <v>0.96875</v>
      </c>
      <c r="E1112" s="36" t="n">
        <v>2</v>
      </c>
      <c r="F1112" s="36" t="n">
        <v>1</v>
      </c>
      <c r="G1112" s="36" t="n">
        <v>0</v>
      </c>
      <c r="H1112" s="36" t="n">
        <v>1</v>
      </c>
      <c r="I1112" s="36" t="n">
        <v>0</v>
      </c>
      <c r="J1112" s="36" t="n">
        <v>6</v>
      </c>
      <c r="K1112" s="12" t="n">
        <v>72</v>
      </c>
    </row>
    <row r="1113">
      <c r="A1113" s="33" t="n">
        <v>46321.82152777778</v>
      </c>
      <c r="B1113" s="33" t="n">
        <v>46321.83958333333</v>
      </c>
      <c r="C1113" s="13" t="n">
        <v>46324</v>
      </c>
      <c r="D1113" s="14" t="n">
        <v>0.9993055555555556</v>
      </c>
      <c r="E1113" s="37" t="n">
        <v>1</v>
      </c>
      <c r="F1113" s="37" t="n">
        <v>1</v>
      </c>
      <c r="G1113" s="37" t="n">
        <v>0</v>
      </c>
      <c r="H1113" s="37" t="n">
        <v>0</v>
      </c>
      <c r="I1113" s="37" t="n">
        <v>0</v>
      </c>
      <c r="J1113" s="37" t="n">
        <v>2</v>
      </c>
      <c r="K1113" s="16" t="n">
        <v>24</v>
      </c>
    </row>
    <row r="1114">
      <c r="A1114" s="30" t="n">
        <v>46321.82152777778</v>
      </c>
      <c r="B1114" s="30" t="n">
        <v>46321.83958333333</v>
      </c>
      <c r="C1114" s="9" t="n">
        <v>46325</v>
      </c>
      <c r="D1114" s="10" t="n">
        <v>0.8854166666666666</v>
      </c>
      <c r="E1114" s="36" t="n">
        <v>1</v>
      </c>
      <c r="F1114" s="36" t="n">
        <v>1</v>
      </c>
      <c r="G1114" s="36" t="n">
        <v>0</v>
      </c>
      <c r="H1114" s="36" t="n">
        <v>0</v>
      </c>
      <c r="I1114" s="36" t="n">
        <v>0</v>
      </c>
      <c r="J1114" s="36" t="n">
        <v>2</v>
      </c>
      <c r="K1114" s="12" t="n">
        <v>24</v>
      </c>
    </row>
    <row r="1115">
      <c r="A1115" s="33" t="n">
        <v>46321.82152777778</v>
      </c>
      <c r="B1115" s="33" t="n">
        <v>46321.83958333333</v>
      </c>
      <c r="C1115" s="13" t="n">
        <v>46325</v>
      </c>
      <c r="D1115" s="14" t="n">
        <v>0.9993055555555556</v>
      </c>
      <c r="E1115" s="37" t="n">
        <v>1</v>
      </c>
      <c r="F1115" s="37" t="n">
        <v>1</v>
      </c>
      <c r="G1115" s="37" t="n">
        <v>0</v>
      </c>
      <c r="H1115" s="37" t="n">
        <v>0</v>
      </c>
      <c r="I1115" s="37" t="n">
        <v>0</v>
      </c>
      <c r="J1115" s="37" t="n">
        <v>2</v>
      </c>
      <c r="K1115" s="16" t="n">
        <v>24</v>
      </c>
    </row>
    <row r="1116">
      <c r="A1116" s="30" t="n">
        <v>46321.82152777778</v>
      </c>
      <c r="B1116" s="30" t="n">
        <v>46321.83958333333</v>
      </c>
      <c r="C1116" s="9" t="n">
        <v>46326</v>
      </c>
      <c r="D1116" s="10" t="n">
        <v>0.8854166666666666</v>
      </c>
      <c r="E1116" s="36" t="n">
        <v>1</v>
      </c>
      <c r="F1116" s="36" t="n">
        <v>1</v>
      </c>
      <c r="G1116" s="36" t="n">
        <v>0</v>
      </c>
      <c r="H1116" s="36" t="n">
        <v>0</v>
      </c>
      <c r="I1116" s="36" t="n">
        <v>0</v>
      </c>
      <c r="J1116" s="36" t="n">
        <v>2</v>
      </c>
      <c r="K1116" s="12" t="n">
        <v>24</v>
      </c>
    </row>
    <row r="1117">
      <c r="A1117" s="33" t="n">
        <v>46321.82152777778</v>
      </c>
      <c r="B1117" s="33" t="n">
        <v>46321.83958333333</v>
      </c>
      <c r="C1117" s="13" t="n">
        <v>46326</v>
      </c>
      <c r="D1117" s="14" t="n">
        <v>0.9270833333333334</v>
      </c>
      <c r="E1117" s="37" t="n">
        <v>4</v>
      </c>
      <c r="F1117" s="37" t="n">
        <v>2</v>
      </c>
      <c r="G1117" s="37" t="n">
        <v>0</v>
      </c>
      <c r="H1117" s="37" t="n">
        <v>2</v>
      </c>
      <c r="I1117" s="37" t="n">
        <v>0</v>
      </c>
      <c r="J1117" s="37" t="n">
        <v>12</v>
      </c>
      <c r="K1117" s="16" t="n">
        <v>144</v>
      </c>
    </row>
    <row r="1118">
      <c r="A1118" s="30" t="n">
        <v>46321.82152777778</v>
      </c>
      <c r="B1118" s="30" t="n">
        <v>46321.83958333333</v>
      </c>
      <c r="C1118" s="9" t="n">
        <v>46326</v>
      </c>
      <c r="D1118" s="10" t="n">
        <v>0.96875</v>
      </c>
      <c r="E1118" s="36" t="n">
        <v>4</v>
      </c>
      <c r="F1118" s="36" t="n">
        <v>3</v>
      </c>
      <c r="G1118" s="36" t="n">
        <v>0</v>
      </c>
      <c r="H1118" s="36" t="n">
        <v>1</v>
      </c>
      <c r="I1118" s="36" t="n">
        <v>0</v>
      </c>
      <c r="J1118" s="36" t="n">
        <v>10</v>
      </c>
      <c r="K1118" s="12" t="n">
        <v>120</v>
      </c>
    </row>
    <row r="1119">
      <c r="A1119" s="33" t="n">
        <v>46321.82152777778</v>
      </c>
      <c r="B1119" s="33" t="n">
        <v>46321.83958333333</v>
      </c>
      <c r="C1119" s="13" t="n">
        <v>46327</v>
      </c>
      <c r="D1119" s="14" t="n">
        <v>0.84375</v>
      </c>
      <c r="E1119" s="37" t="n">
        <v>1</v>
      </c>
      <c r="F1119" s="37" t="n">
        <v>1</v>
      </c>
      <c r="G1119" s="37" t="n">
        <v>0</v>
      </c>
      <c r="H1119" s="37" t="n">
        <v>0</v>
      </c>
      <c r="I1119" s="37" t="n">
        <v>0</v>
      </c>
      <c r="J1119" s="37" t="n">
        <v>2</v>
      </c>
      <c r="K1119" s="16" t="n">
        <v>24</v>
      </c>
    </row>
    <row r="1120">
      <c r="A1120" s="30" t="n">
        <v>46321.83958333333</v>
      </c>
      <c r="B1120" s="30" t="n">
        <v>46321.86180555556</v>
      </c>
      <c r="C1120" s="9" t="n">
        <v>46324</v>
      </c>
      <c r="D1120" s="10" t="n">
        <v>0.96875</v>
      </c>
      <c r="E1120" s="36" t="n">
        <v>2</v>
      </c>
      <c r="F1120" s="36" t="n">
        <v>1</v>
      </c>
      <c r="G1120" s="36" t="n">
        <v>0</v>
      </c>
      <c r="H1120" s="36" t="n">
        <v>0</v>
      </c>
      <c r="I1120" s="36" t="n">
        <v>1</v>
      </c>
      <c r="J1120" s="36" t="n">
        <v>7</v>
      </c>
      <c r="K1120" s="12" t="n">
        <v>84</v>
      </c>
    </row>
    <row r="1121">
      <c r="A1121" s="33" t="n">
        <v>46321.83958333333</v>
      </c>
      <c r="B1121" s="33" t="n">
        <v>46321.86180555556</v>
      </c>
      <c r="C1121" s="13" t="n">
        <v>46326</v>
      </c>
      <c r="D1121" s="14" t="n">
        <v>0.84375</v>
      </c>
      <c r="E1121" s="37" t="n">
        <v>2</v>
      </c>
      <c r="F1121" s="37" t="n">
        <v>0</v>
      </c>
      <c r="G1121" s="37" t="n">
        <v>0</v>
      </c>
      <c r="H1121" s="37" t="n">
        <v>1</v>
      </c>
      <c r="I1121" s="37" t="n">
        <v>1</v>
      </c>
      <c r="J1121" s="37" t="n">
        <v>9</v>
      </c>
      <c r="K1121" s="16" t="n">
        <v>108</v>
      </c>
    </row>
    <row r="1122">
      <c r="A1122" s="30" t="n">
        <v>46321.83958333333</v>
      </c>
      <c r="B1122" s="30" t="n">
        <v>46321.86180555556</v>
      </c>
      <c r="C1122" s="9" t="n">
        <v>46326</v>
      </c>
      <c r="D1122" s="10" t="n">
        <v>0.9270833333333334</v>
      </c>
      <c r="E1122" s="36" t="n">
        <v>1</v>
      </c>
      <c r="F1122" s="36" t="n">
        <v>0</v>
      </c>
      <c r="G1122" s="36" t="n">
        <v>1</v>
      </c>
      <c r="H1122" s="36" t="n">
        <v>0</v>
      </c>
      <c r="I1122" s="36" t="n">
        <v>0</v>
      </c>
      <c r="J1122" s="36" t="n">
        <v>3</v>
      </c>
      <c r="K1122" s="12" t="n">
        <v>36</v>
      </c>
    </row>
    <row r="1123">
      <c r="A1123" s="33" t="n">
        <v>46321.83958333333</v>
      </c>
      <c r="B1123" s="33" t="n">
        <v>46321.86180555556</v>
      </c>
      <c r="C1123" s="13" t="n">
        <v>46326</v>
      </c>
      <c r="D1123" s="14" t="n">
        <v>0.96875</v>
      </c>
      <c r="E1123" s="37" t="n">
        <v>3</v>
      </c>
      <c r="F1123" s="37" t="n">
        <v>2</v>
      </c>
      <c r="G1123" s="37" t="n">
        <v>0</v>
      </c>
      <c r="H1123" s="37" t="n">
        <v>1</v>
      </c>
      <c r="I1123" s="37" t="n">
        <v>0</v>
      </c>
      <c r="J1123" s="37" t="n">
        <v>8</v>
      </c>
      <c r="K1123" s="16" t="n">
        <v>96</v>
      </c>
    </row>
    <row r="1124">
      <c r="A1124" s="30" t="n">
        <v>46321.83958333333</v>
      </c>
      <c r="B1124" s="30" t="n">
        <v>46321.86180555556</v>
      </c>
      <c r="C1124" s="9" t="n">
        <v>46327</v>
      </c>
      <c r="D1124" s="10" t="n">
        <v>0.8854166666666666</v>
      </c>
      <c r="E1124" s="36" t="n">
        <v>1</v>
      </c>
      <c r="F1124" s="36" t="n">
        <v>1</v>
      </c>
      <c r="G1124" s="36" t="n">
        <v>0</v>
      </c>
      <c r="H1124" s="36" t="n">
        <v>0</v>
      </c>
      <c r="I1124" s="36" t="n">
        <v>0</v>
      </c>
      <c r="J1124" s="36" t="n">
        <v>2</v>
      </c>
      <c r="K1124" s="12" t="n">
        <v>24</v>
      </c>
    </row>
    <row r="1125">
      <c r="A1125" s="33" t="n">
        <v>46321.86180555556</v>
      </c>
      <c r="B1125" s="33" t="n">
        <v>46321.89444444444</v>
      </c>
      <c r="C1125" s="13" t="n">
        <v>46324</v>
      </c>
      <c r="D1125" s="14" t="n">
        <v>0.8854166666666666</v>
      </c>
      <c r="E1125" s="37" t="n">
        <v>5</v>
      </c>
      <c r="F1125" s="37" t="n">
        <v>0</v>
      </c>
      <c r="G1125" s="37" t="n">
        <v>4</v>
      </c>
      <c r="H1125" s="37" t="n">
        <v>0</v>
      </c>
      <c r="I1125" s="37" t="n">
        <v>1</v>
      </c>
      <c r="J1125" s="37" t="n">
        <v>17</v>
      </c>
      <c r="K1125" s="16" t="n">
        <v>204</v>
      </c>
    </row>
    <row r="1126">
      <c r="A1126" s="30" t="n">
        <v>46321.86180555556</v>
      </c>
      <c r="B1126" s="30" t="n">
        <v>46321.89444444444</v>
      </c>
      <c r="C1126" s="9" t="n">
        <v>46324</v>
      </c>
      <c r="D1126" s="10" t="n">
        <v>0.9270833333333334</v>
      </c>
      <c r="E1126" s="36" t="n">
        <v>2</v>
      </c>
      <c r="F1126" s="36" t="n">
        <v>1</v>
      </c>
      <c r="G1126" s="36" t="n">
        <v>0</v>
      </c>
      <c r="H1126" s="36" t="n">
        <v>0</v>
      </c>
      <c r="I1126" s="36" t="n">
        <v>1</v>
      </c>
      <c r="J1126" s="36" t="n">
        <v>7</v>
      </c>
      <c r="K1126" s="12" t="n">
        <v>84</v>
      </c>
    </row>
    <row r="1127">
      <c r="A1127" s="33" t="n">
        <v>46321.86180555556</v>
      </c>
      <c r="B1127" s="33" t="n">
        <v>46321.89444444444</v>
      </c>
      <c r="C1127" s="13" t="n">
        <v>46324</v>
      </c>
      <c r="D1127" s="14" t="n">
        <v>0.96875</v>
      </c>
      <c r="E1127" s="37" t="n">
        <v>2</v>
      </c>
      <c r="F1127" s="37" t="n">
        <v>0</v>
      </c>
      <c r="G1127" s="37" t="n">
        <v>0</v>
      </c>
      <c r="H1127" s="37" t="n">
        <v>0</v>
      </c>
      <c r="I1127" s="37" t="n">
        <v>2</v>
      </c>
      <c r="J1127" s="37" t="n">
        <v>10</v>
      </c>
      <c r="K1127" s="16" t="n">
        <v>120</v>
      </c>
    </row>
    <row r="1128">
      <c r="A1128" s="30" t="n">
        <v>46321.86180555556</v>
      </c>
      <c r="B1128" s="30" t="n">
        <v>46321.89444444444</v>
      </c>
      <c r="C1128" s="9" t="n">
        <v>46324</v>
      </c>
      <c r="D1128" s="10" t="n">
        <v>0.9993055555555556</v>
      </c>
      <c r="E1128" s="36" t="n">
        <v>1</v>
      </c>
      <c r="F1128" s="36" t="n">
        <v>0</v>
      </c>
      <c r="G1128" s="36" t="n">
        <v>0</v>
      </c>
      <c r="H1128" s="36" t="n">
        <v>0</v>
      </c>
      <c r="I1128" s="36" t="n">
        <v>1</v>
      </c>
      <c r="J1128" s="36" t="n">
        <v>5</v>
      </c>
      <c r="K1128" s="12" t="n">
        <v>60</v>
      </c>
    </row>
    <row r="1129">
      <c r="A1129" s="33" t="n">
        <v>46321.86180555556</v>
      </c>
      <c r="B1129" s="33" t="n">
        <v>46321.89444444444</v>
      </c>
      <c r="C1129" s="13" t="n">
        <v>46325</v>
      </c>
      <c r="D1129" s="14" t="n">
        <v>0.84375</v>
      </c>
      <c r="E1129" s="37" t="n">
        <v>1</v>
      </c>
      <c r="F1129" s="37" t="n">
        <v>1</v>
      </c>
      <c r="G1129" s="37" t="n">
        <v>0</v>
      </c>
      <c r="H1129" s="37" t="n">
        <v>0</v>
      </c>
      <c r="I1129" s="37" t="n">
        <v>0</v>
      </c>
      <c r="J1129" s="37" t="n">
        <v>2</v>
      </c>
      <c r="K1129" s="16" t="n">
        <v>24</v>
      </c>
    </row>
    <row r="1130">
      <c r="A1130" s="30" t="n">
        <v>46321.86180555556</v>
      </c>
      <c r="B1130" s="30" t="n">
        <v>46321.89444444444</v>
      </c>
      <c r="C1130" s="9" t="n">
        <v>46325</v>
      </c>
      <c r="D1130" s="10" t="n">
        <v>0.9270833333333334</v>
      </c>
      <c r="E1130" s="36" t="n">
        <v>1</v>
      </c>
      <c r="F1130" s="36" t="n">
        <v>1</v>
      </c>
      <c r="G1130" s="36" t="n">
        <v>0</v>
      </c>
      <c r="H1130" s="36" t="n">
        <v>0</v>
      </c>
      <c r="I1130" s="36" t="n">
        <v>0</v>
      </c>
      <c r="J1130" s="36" t="n">
        <v>2</v>
      </c>
      <c r="K1130" s="12" t="n">
        <v>24</v>
      </c>
    </row>
    <row r="1131">
      <c r="A1131" s="33" t="n">
        <v>46321.86180555556</v>
      </c>
      <c r="B1131" s="33" t="n">
        <v>46321.89444444444</v>
      </c>
      <c r="C1131" s="13" t="n">
        <v>46326</v>
      </c>
      <c r="D1131" s="14" t="n">
        <v>0.84375</v>
      </c>
      <c r="E1131" s="37" t="n">
        <v>1</v>
      </c>
      <c r="F1131" s="37" t="n">
        <v>1</v>
      </c>
      <c r="G1131" s="37" t="n">
        <v>0</v>
      </c>
      <c r="H1131" s="37" t="n">
        <v>0</v>
      </c>
      <c r="I1131" s="37" t="n">
        <v>0</v>
      </c>
      <c r="J1131" s="37" t="n">
        <v>2</v>
      </c>
      <c r="K1131" s="16" t="n">
        <v>24</v>
      </c>
    </row>
    <row r="1132">
      <c r="A1132" s="30" t="n">
        <v>46321.86180555556</v>
      </c>
      <c r="B1132" s="30" t="n">
        <v>46321.89444444444</v>
      </c>
      <c r="C1132" s="9" t="n">
        <v>46326</v>
      </c>
      <c r="D1132" s="10" t="n">
        <v>0.8854166666666666</v>
      </c>
      <c r="E1132" s="36" t="n">
        <v>2</v>
      </c>
      <c r="F1132" s="36" t="n">
        <v>2</v>
      </c>
      <c r="G1132" s="36" t="n">
        <v>0</v>
      </c>
      <c r="H1132" s="36" t="n">
        <v>0</v>
      </c>
      <c r="I1132" s="36" t="n">
        <v>0</v>
      </c>
      <c r="J1132" s="36" t="n">
        <v>4</v>
      </c>
      <c r="K1132" s="12" t="n">
        <v>48</v>
      </c>
    </row>
    <row r="1133">
      <c r="A1133" s="33" t="n">
        <v>46321.86180555556</v>
      </c>
      <c r="B1133" s="33" t="n">
        <v>46321.89444444444</v>
      </c>
      <c r="C1133" s="13" t="n">
        <v>46326</v>
      </c>
      <c r="D1133" s="14" t="n">
        <v>0.9993055555555556</v>
      </c>
      <c r="E1133" s="37" t="n">
        <v>5</v>
      </c>
      <c r="F1133" s="37" t="n">
        <v>1</v>
      </c>
      <c r="G1133" s="37" t="n">
        <v>0</v>
      </c>
      <c r="H1133" s="37" t="n">
        <v>4</v>
      </c>
      <c r="I1133" s="37" t="n">
        <v>0</v>
      </c>
      <c r="J1133" s="37" t="n">
        <v>18</v>
      </c>
      <c r="K1133" s="16" t="n">
        <v>216</v>
      </c>
    </row>
    <row r="1134">
      <c r="A1134" s="30" t="n">
        <v>46321.86180555556</v>
      </c>
      <c r="B1134" s="30" t="n">
        <v>46321.89444444444</v>
      </c>
      <c r="C1134" s="9" t="n">
        <v>46327</v>
      </c>
      <c r="D1134" s="10" t="n">
        <v>0.9270833333333334</v>
      </c>
      <c r="E1134" s="36" t="n">
        <v>2</v>
      </c>
      <c r="F1134" s="36" t="n">
        <v>1</v>
      </c>
      <c r="G1134" s="36" t="n">
        <v>0</v>
      </c>
      <c r="H1134" s="36" t="n">
        <v>1</v>
      </c>
      <c r="I1134" s="36" t="n">
        <v>0</v>
      </c>
      <c r="J1134" s="36" t="n">
        <v>6</v>
      </c>
      <c r="K1134" s="12" t="n">
        <v>72</v>
      </c>
    </row>
    <row r="1135">
      <c r="A1135" s="33" t="n">
        <v>46321.89444444444</v>
      </c>
      <c r="B1135" s="33" t="n">
        <v>46321.92777777778</v>
      </c>
      <c r="C1135" s="13" t="n">
        <v>46324</v>
      </c>
      <c r="D1135" s="14" t="n">
        <v>0.8854166666666666</v>
      </c>
      <c r="E1135" s="37" t="n">
        <v>4</v>
      </c>
      <c r="F1135" s="37" t="n">
        <v>3</v>
      </c>
      <c r="G1135" s="37" t="n">
        <v>0</v>
      </c>
      <c r="H1135" s="37" t="n">
        <v>1</v>
      </c>
      <c r="I1135" s="37" t="n">
        <v>0</v>
      </c>
      <c r="J1135" s="37" t="n">
        <v>10</v>
      </c>
      <c r="K1135" s="16" t="n">
        <v>120</v>
      </c>
    </row>
    <row r="1136">
      <c r="A1136" s="30" t="n">
        <v>46321.89444444444</v>
      </c>
      <c r="B1136" s="30" t="n">
        <v>46321.92777777778</v>
      </c>
      <c r="C1136" s="9" t="n">
        <v>46324</v>
      </c>
      <c r="D1136" s="10" t="n">
        <v>0.9270833333333334</v>
      </c>
      <c r="E1136" s="36" t="n">
        <v>1</v>
      </c>
      <c r="F1136" s="36" t="n">
        <v>0</v>
      </c>
      <c r="G1136" s="36" t="n">
        <v>0</v>
      </c>
      <c r="H1136" s="36" t="n">
        <v>1</v>
      </c>
      <c r="I1136" s="36" t="n">
        <v>0</v>
      </c>
      <c r="J1136" s="36" t="n">
        <v>4</v>
      </c>
      <c r="K1136" s="12" t="n">
        <v>48</v>
      </c>
    </row>
    <row r="1137">
      <c r="A1137" s="33" t="n">
        <v>46321.89444444444</v>
      </c>
      <c r="B1137" s="33" t="n">
        <v>46321.92777777778</v>
      </c>
      <c r="C1137" s="13" t="n">
        <v>46324</v>
      </c>
      <c r="D1137" s="14" t="n">
        <v>0.9993055555555556</v>
      </c>
      <c r="E1137" s="37" t="n">
        <v>2</v>
      </c>
      <c r="F1137" s="37" t="n">
        <v>0</v>
      </c>
      <c r="G1137" s="37" t="n">
        <v>0</v>
      </c>
      <c r="H1137" s="37" t="n">
        <v>2</v>
      </c>
      <c r="I1137" s="37" t="n">
        <v>0</v>
      </c>
      <c r="J1137" s="37" t="n">
        <v>8</v>
      </c>
      <c r="K1137" s="16" t="n">
        <v>96</v>
      </c>
    </row>
    <row r="1138">
      <c r="A1138" s="30" t="n">
        <v>46321.89444444444</v>
      </c>
      <c r="B1138" s="30" t="n">
        <v>46321.92777777778</v>
      </c>
      <c r="C1138" s="9" t="n">
        <v>46325</v>
      </c>
      <c r="D1138" s="10" t="n">
        <v>0.9270833333333334</v>
      </c>
      <c r="E1138" s="36" t="n">
        <v>3</v>
      </c>
      <c r="F1138" s="36" t="n">
        <v>3</v>
      </c>
      <c r="G1138" s="36" t="n">
        <v>0</v>
      </c>
      <c r="H1138" s="36" t="n">
        <v>0</v>
      </c>
      <c r="I1138" s="36" t="n">
        <v>0</v>
      </c>
      <c r="J1138" s="36" t="n">
        <v>6</v>
      </c>
      <c r="K1138" s="12" t="n">
        <v>72</v>
      </c>
    </row>
    <row r="1139">
      <c r="A1139" s="33" t="n">
        <v>46321.89444444444</v>
      </c>
      <c r="B1139" s="33" t="n">
        <v>46321.92777777778</v>
      </c>
      <c r="C1139" s="13" t="n">
        <v>46325</v>
      </c>
      <c r="D1139" s="14" t="n">
        <v>0.96875</v>
      </c>
      <c r="E1139" s="37" t="n">
        <v>1</v>
      </c>
      <c r="F1139" s="37" t="n">
        <v>0</v>
      </c>
      <c r="G1139" s="37" t="n">
        <v>0</v>
      </c>
      <c r="H1139" s="37" t="n">
        <v>1</v>
      </c>
      <c r="I1139" s="37" t="n">
        <v>0</v>
      </c>
      <c r="J1139" s="37" t="n">
        <v>4</v>
      </c>
      <c r="K1139" s="16" t="n">
        <v>48</v>
      </c>
    </row>
    <row r="1140">
      <c r="A1140" s="30" t="n">
        <v>46321.89444444444</v>
      </c>
      <c r="B1140" s="30" t="n">
        <v>46321.92777777778</v>
      </c>
      <c r="C1140" s="9" t="n">
        <v>46326</v>
      </c>
      <c r="D1140" s="10" t="n">
        <v>0.8854166666666666</v>
      </c>
      <c r="E1140" s="36" t="n">
        <v>2</v>
      </c>
      <c r="F1140" s="36" t="n">
        <v>0</v>
      </c>
      <c r="G1140" s="36" t="n">
        <v>1</v>
      </c>
      <c r="H1140" s="36" t="n">
        <v>1</v>
      </c>
      <c r="I1140" s="36" t="n">
        <v>0</v>
      </c>
      <c r="J1140" s="36" t="n">
        <v>7</v>
      </c>
      <c r="K1140" s="12" t="n">
        <v>84</v>
      </c>
    </row>
    <row r="1141">
      <c r="A1141" s="33" t="n">
        <v>46321.89444444444</v>
      </c>
      <c r="B1141" s="33" t="n">
        <v>46321.92777777778</v>
      </c>
      <c r="C1141" s="13" t="n">
        <v>46326</v>
      </c>
      <c r="D1141" s="14" t="n">
        <v>0.9993055555555556</v>
      </c>
      <c r="E1141" s="37" t="n">
        <v>3</v>
      </c>
      <c r="F1141" s="37" t="n">
        <v>2</v>
      </c>
      <c r="G1141" s="37" t="n">
        <v>0</v>
      </c>
      <c r="H1141" s="37" t="n">
        <v>1</v>
      </c>
      <c r="I1141" s="37" t="n">
        <v>0</v>
      </c>
      <c r="J1141" s="37" t="n">
        <v>8</v>
      </c>
      <c r="K1141" s="16" t="n">
        <v>96</v>
      </c>
    </row>
    <row r="1142">
      <c r="A1142" s="30" t="n">
        <v>46321.89444444444</v>
      </c>
      <c r="B1142" s="30" t="n">
        <v>46321.92777777778</v>
      </c>
      <c r="C1142" s="9" t="n">
        <v>46327</v>
      </c>
      <c r="D1142" s="10" t="n">
        <v>0.8854166666666666</v>
      </c>
      <c r="E1142" s="36" t="n">
        <v>1</v>
      </c>
      <c r="F1142" s="36" t="n">
        <v>1</v>
      </c>
      <c r="G1142" s="36" t="n">
        <v>0</v>
      </c>
      <c r="H1142" s="36" t="n">
        <v>0</v>
      </c>
      <c r="I1142" s="36" t="n">
        <v>0</v>
      </c>
      <c r="J1142" s="36" t="n">
        <v>2</v>
      </c>
      <c r="K1142" s="12" t="n">
        <v>24</v>
      </c>
    </row>
    <row r="1143">
      <c r="A1143" s="33" t="n">
        <v>46321.92777777778</v>
      </c>
      <c r="B1143" s="33" t="n">
        <v>46321.9375</v>
      </c>
      <c r="C1143" s="13" t="n">
        <v>46324</v>
      </c>
      <c r="D1143" s="14" t="n">
        <v>0.9270833333333334</v>
      </c>
      <c r="E1143" s="37" t="n">
        <v>1</v>
      </c>
      <c r="F1143" s="37" t="n">
        <v>0</v>
      </c>
      <c r="G1143" s="37" t="n">
        <v>0</v>
      </c>
      <c r="H1143" s="37" t="n">
        <v>1</v>
      </c>
      <c r="I1143" s="37" t="n">
        <v>0</v>
      </c>
      <c r="J1143" s="37" t="n">
        <v>4</v>
      </c>
      <c r="K1143" s="16" t="n">
        <v>48</v>
      </c>
    </row>
    <row r="1144">
      <c r="A1144" s="30" t="n">
        <v>46321.92777777778</v>
      </c>
      <c r="B1144" s="30" t="n">
        <v>46321.9375</v>
      </c>
      <c r="C1144" s="9" t="n">
        <v>46326</v>
      </c>
      <c r="D1144" s="10" t="n">
        <v>0.9993055555555556</v>
      </c>
      <c r="E1144" s="36" t="n">
        <v>1</v>
      </c>
      <c r="F1144" s="36" t="n">
        <v>0</v>
      </c>
      <c r="G1144" s="36" t="n">
        <v>0</v>
      </c>
      <c r="H1144" s="36" t="n">
        <v>1</v>
      </c>
      <c r="I1144" s="36" t="n">
        <v>0</v>
      </c>
      <c r="J1144" s="36" t="n">
        <v>4</v>
      </c>
      <c r="K1144" s="12" t="n">
        <v>48</v>
      </c>
    </row>
    <row r="1145">
      <c r="A1145" s="33" t="n">
        <v>46321.9375</v>
      </c>
      <c r="B1145" s="33" t="n">
        <v>46321.94861111111</v>
      </c>
      <c r="C1145" s="13" t="n">
        <v>46324</v>
      </c>
      <c r="D1145" s="14" t="n">
        <v>0.9270833333333334</v>
      </c>
      <c r="E1145" s="37" t="n">
        <v>1</v>
      </c>
      <c r="F1145" s="37" t="n">
        <v>0</v>
      </c>
      <c r="G1145" s="37" t="n">
        <v>0</v>
      </c>
      <c r="H1145" s="37" t="n">
        <v>0</v>
      </c>
      <c r="I1145" s="37" t="n">
        <v>1</v>
      </c>
      <c r="J1145" s="37" t="n">
        <v>5</v>
      </c>
      <c r="K1145" s="16" t="n">
        <v>60</v>
      </c>
    </row>
    <row r="1146">
      <c r="A1146" s="30" t="n">
        <v>46321.9375</v>
      </c>
      <c r="B1146" s="30" t="n">
        <v>46321.94861111111</v>
      </c>
      <c r="C1146" s="9" t="n">
        <v>46324</v>
      </c>
      <c r="D1146" s="10" t="n">
        <v>0.96875</v>
      </c>
      <c r="E1146" s="36" t="n">
        <v>1</v>
      </c>
      <c r="F1146" s="36" t="n">
        <v>0</v>
      </c>
      <c r="G1146" s="36" t="n">
        <v>0</v>
      </c>
      <c r="H1146" s="36" t="n">
        <v>1</v>
      </c>
      <c r="I1146" s="36" t="n">
        <v>0</v>
      </c>
      <c r="J1146" s="36" t="n">
        <v>4</v>
      </c>
      <c r="K1146" s="12" t="n">
        <v>48</v>
      </c>
    </row>
    <row r="1147">
      <c r="A1147" s="33" t="n">
        <v>46321.9375</v>
      </c>
      <c r="B1147" s="33" t="n">
        <v>46321.94861111111</v>
      </c>
      <c r="C1147" s="13" t="n">
        <v>46324</v>
      </c>
      <c r="D1147" s="14" t="n">
        <v>0.9993055555555556</v>
      </c>
      <c r="E1147" s="37" t="n">
        <v>2</v>
      </c>
      <c r="F1147" s="37" t="n">
        <v>1</v>
      </c>
      <c r="G1147" s="37" t="n">
        <v>0</v>
      </c>
      <c r="H1147" s="37" t="n">
        <v>1</v>
      </c>
      <c r="I1147" s="37" t="n">
        <v>0</v>
      </c>
      <c r="J1147" s="37" t="n">
        <v>6</v>
      </c>
      <c r="K1147" s="16" t="n">
        <v>72</v>
      </c>
    </row>
    <row r="1148">
      <c r="A1148" s="30" t="n">
        <v>46321.9375</v>
      </c>
      <c r="B1148" s="30" t="n">
        <v>46321.94861111111</v>
      </c>
      <c r="C1148" s="9" t="n">
        <v>46325</v>
      </c>
      <c r="D1148" s="10" t="n">
        <v>0.96875</v>
      </c>
      <c r="E1148" s="36" t="n">
        <v>1</v>
      </c>
      <c r="F1148" s="36" t="n">
        <v>0</v>
      </c>
      <c r="G1148" s="36" t="n">
        <v>0</v>
      </c>
      <c r="H1148" s="36" t="n">
        <v>1</v>
      </c>
      <c r="I1148" s="36" t="n">
        <v>0</v>
      </c>
      <c r="J1148" s="36" t="n">
        <v>4</v>
      </c>
      <c r="K1148" s="12" t="n">
        <v>48</v>
      </c>
    </row>
    <row r="1149">
      <c r="A1149" s="33" t="n">
        <v>46321.9375</v>
      </c>
      <c r="B1149" s="33" t="n">
        <v>46321.94861111111</v>
      </c>
      <c r="C1149" s="13" t="n">
        <v>46326</v>
      </c>
      <c r="D1149" s="14" t="n">
        <v>0.8854166666666666</v>
      </c>
      <c r="E1149" s="37" t="n">
        <v>2</v>
      </c>
      <c r="F1149" s="37" t="n">
        <v>1</v>
      </c>
      <c r="G1149" s="37" t="n">
        <v>0</v>
      </c>
      <c r="H1149" s="37" t="n">
        <v>1</v>
      </c>
      <c r="I1149" s="37" t="n">
        <v>0</v>
      </c>
      <c r="J1149" s="37" t="n">
        <v>6</v>
      </c>
      <c r="K1149" s="16" t="n">
        <v>72</v>
      </c>
    </row>
    <row r="1150">
      <c r="A1150" s="30" t="n">
        <v>46321.9375</v>
      </c>
      <c r="B1150" s="30" t="n">
        <v>46321.94861111111</v>
      </c>
      <c r="C1150" s="9" t="n">
        <v>46326</v>
      </c>
      <c r="D1150" s="10" t="n">
        <v>0.9993055555555556</v>
      </c>
      <c r="E1150" s="36" t="n">
        <v>1</v>
      </c>
      <c r="F1150" s="36" t="n">
        <v>1</v>
      </c>
      <c r="G1150" s="36" t="n">
        <v>0</v>
      </c>
      <c r="H1150" s="36" t="n">
        <v>0</v>
      </c>
      <c r="I1150" s="36" t="n">
        <v>0</v>
      </c>
      <c r="J1150" s="36" t="n">
        <v>2</v>
      </c>
      <c r="K1150" s="12" t="n">
        <v>24</v>
      </c>
    </row>
    <row r="1151">
      <c r="A1151" s="33" t="n">
        <v>46321.94861111111</v>
      </c>
      <c r="B1151" s="33" t="n">
        <v>46321.96736111111</v>
      </c>
      <c r="C1151" s="13" t="n">
        <v>46324</v>
      </c>
      <c r="D1151" s="14" t="n">
        <v>0.9270833333333334</v>
      </c>
      <c r="E1151" s="37" t="n">
        <v>4</v>
      </c>
      <c r="F1151" s="37" t="n">
        <v>0</v>
      </c>
      <c r="G1151" s="37" t="n">
        <v>0</v>
      </c>
      <c r="H1151" s="37" t="n">
        <v>3</v>
      </c>
      <c r="I1151" s="37" t="n">
        <v>1</v>
      </c>
      <c r="J1151" s="37" t="n">
        <v>17</v>
      </c>
      <c r="K1151" s="16" t="n">
        <v>204</v>
      </c>
    </row>
    <row r="1152">
      <c r="A1152" s="30" t="n">
        <v>46321.94861111111</v>
      </c>
      <c r="B1152" s="30" t="n">
        <v>46321.96736111111</v>
      </c>
      <c r="C1152" s="9" t="n">
        <v>46325</v>
      </c>
      <c r="D1152" s="10" t="n">
        <v>0.96875</v>
      </c>
      <c r="E1152" s="36" t="n">
        <v>1</v>
      </c>
      <c r="F1152" s="36" t="n">
        <v>0</v>
      </c>
      <c r="G1152" s="36" t="n">
        <v>0</v>
      </c>
      <c r="H1152" s="36" t="n">
        <v>1</v>
      </c>
      <c r="I1152" s="36" t="n">
        <v>0</v>
      </c>
      <c r="J1152" s="36" t="n">
        <v>4</v>
      </c>
      <c r="K1152" s="12" t="n">
        <v>48</v>
      </c>
    </row>
    <row r="1153">
      <c r="A1153" s="33" t="n">
        <v>46321.94861111111</v>
      </c>
      <c r="B1153" s="33" t="n">
        <v>46321.96736111111</v>
      </c>
      <c r="C1153" s="13" t="n">
        <v>46326</v>
      </c>
      <c r="D1153" s="14" t="n">
        <v>0.8854166666666666</v>
      </c>
      <c r="E1153" s="37" t="n">
        <v>1</v>
      </c>
      <c r="F1153" s="37" t="n">
        <v>0</v>
      </c>
      <c r="G1153" s="37" t="n">
        <v>0</v>
      </c>
      <c r="H1153" s="37" t="n">
        <v>1</v>
      </c>
      <c r="I1153" s="37" t="n">
        <v>0</v>
      </c>
      <c r="J1153" s="37" t="n">
        <v>4</v>
      </c>
      <c r="K1153" s="16" t="n">
        <v>48</v>
      </c>
    </row>
    <row r="1154">
      <c r="A1154" s="30" t="n">
        <v>46321.94861111111</v>
      </c>
      <c r="B1154" s="30" t="n">
        <v>46321.96736111111</v>
      </c>
      <c r="C1154" s="9" t="n">
        <v>46326</v>
      </c>
      <c r="D1154" s="10" t="n">
        <v>0.9993055555555556</v>
      </c>
      <c r="E1154" s="36" t="n">
        <v>2</v>
      </c>
      <c r="F1154" s="36" t="n">
        <v>2</v>
      </c>
      <c r="G1154" s="36" t="n">
        <v>0</v>
      </c>
      <c r="H1154" s="36" t="n">
        <v>0</v>
      </c>
      <c r="I1154" s="36" t="n">
        <v>0</v>
      </c>
      <c r="J1154" s="36" t="n">
        <v>4</v>
      </c>
      <c r="K1154" s="12" t="n">
        <v>48</v>
      </c>
    </row>
    <row r="1155">
      <c r="A1155" s="33" t="n">
        <v>46321.94861111111</v>
      </c>
      <c r="B1155" s="33" t="n">
        <v>46321.96736111111</v>
      </c>
      <c r="C1155" s="13" t="n">
        <v>46327</v>
      </c>
      <c r="D1155" s="14" t="n">
        <v>0.9270833333333334</v>
      </c>
      <c r="E1155" s="37" t="n">
        <v>1</v>
      </c>
      <c r="F1155" s="37" t="n">
        <v>1</v>
      </c>
      <c r="G1155" s="37" t="n">
        <v>0</v>
      </c>
      <c r="H1155" s="37" t="n">
        <v>0</v>
      </c>
      <c r="I1155" s="37" t="n">
        <v>0</v>
      </c>
      <c r="J1155" s="37" t="n">
        <v>2</v>
      </c>
      <c r="K1155" s="16" t="n">
        <v>24</v>
      </c>
    </row>
    <row r="1156">
      <c r="A1156" s="30" t="n">
        <v>46321.96736111111</v>
      </c>
      <c r="B1156" s="30" t="n">
        <v>46321.98333333333</v>
      </c>
      <c r="C1156" s="9" t="n">
        <v>46324</v>
      </c>
      <c r="D1156" s="10" t="n">
        <v>0.84375</v>
      </c>
      <c r="E1156" s="36" t="n">
        <v>1</v>
      </c>
      <c r="F1156" s="36" t="n">
        <v>1</v>
      </c>
      <c r="G1156" s="36" t="n">
        <v>0</v>
      </c>
      <c r="H1156" s="36" t="n">
        <v>0</v>
      </c>
      <c r="I1156" s="36" t="n">
        <v>0</v>
      </c>
      <c r="J1156" s="36" t="n">
        <v>2</v>
      </c>
      <c r="K1156" s="12" t="n">
        <v>24</v>
      </c>
    </row>
    <row r="1157">
      <c r="A1157" s="33" t="n">
        <v>46321.96736111111</v>
      </c>
      <c r="B1157" s="33" t="n">
        <v>46321.98333333333</v>
      </c>
      <c r="C1157" s="13" t="n">
        <v>46324</v>
      </c>
      <c r="D1157" s="14" t="n">
        <v>0.8854166666666666</v>
      </c>
      <c r="E1157" s="37" t="n">
        <v>2</v>
      </c>
      <c r="F1157" s="37" t="n">
        <v>1</v>
      </c>
      <c r="G1157" s="37" t="n">
        <v>1</v>
      </c>
      <c r="H1157" s="37" t="n">
        <v>0</v>
      </c>
      <c r="I1157" s="37" t="n">
        <v>0</v>
      </c>
      <c r="J1157" s="37" t="n">
        <v>5</v>
      </c>
      <c r="K1157" s="16" t="n">
        <v>60</v>
      </c>
    </row>
    <row r="1158">
      <c r="A1158" s="30" t="n">
        <v>46321.96736111111</v>
      </c>
      <c r="B1158" s="30" t="n">
        <v>46321.98333333333</v>
      </c>
      <c r="C1158" s="9" t="n">
        <v>46324</v>
      </c>
      <c r="D1158" s="10" t="n">
        <v>0.9270833333333334</v>
      </c>
      <c r="E1158" s="36" t="n">
        <v>1</v>
      </c>
      <c r="F1158" s="36" t="n">
        <v>0</v>
      </c>
      <c r="G1158" s="36" t="n">
        <v>1</v>
      </c>
      <c r="H1158" s="36" t="n">
        <v>0</v>
      </c>
      <c r="I1158" s="36" t="n">
        <v>0</v>
      </c>
      <c r="J1158" s="36" t="n">
        <v>3</v>
      </c>
      <c r="K1158" s="12" t="n">
        <v>36</v>
      </c>
    </row>
    <row r="1159">
      <c r="A1159" s="33" t="n">
        <v>46321.96736111111</v>
      </c>
      <c r="B1159" s="33" t="n">
        <v>46321.98333333333</v>
      </c>
      <c r="C1159" s="13" t="n">
        <v>46326</v>
      </c>
      <c r="D1159" s="14" t="n">
        <v>0.84375</v>
      </c>
      <c r="E1159" s="37" t="n">
        <v>1</v>
      </c>
      <c r="F1159" s="37" t="n">
        <v>0</v>
      </c>
      <c r="G1159" s="37" t="n">
        <v>0</v>
      </c>
      <c r="H1159" s="37" t="n">
        <v>1</v>
      </c>
      <c r="I1159" s="37" t="n">
        <v>0</v>
      </c>
      <c r="J1159" s="37" t="n">
        <v>4</v>
      </c>
      <c r="K1159" s="16" t="n">
        <v>48</v>
      </c>
    </row>
    <row r="1160">
      <c r="A1160" s="30" t="n">
        <v>46321.96736111111</v>
      </c>
      <c r="B1160" s="30" t="n">
        <v>46321.98333333333</v>
      </c>
      <c r="C1160" s="9" t="n">
        <v>46326</v>
      </c>
      <c r="D1160" s="10" t="n">
        <v>0.8854166666666666</v>
      </c>
      <c r="E1160" s="36" t="n">
        <v>2</v>
      </c>
      <c r="F1160" s="36" t="n">
        <v>1</v>
      </c>
      <c r="G1160" s="36" t="n">
        <v>0</v>
      </c>
      <c r="H1160" s="36" t="n">
        <v>1</v>
      </c>
      <c r="I1160" s="36" t="n">
        <v>0</v>
      </c>
      <c r="J1160" s="36" t="n">
        <v>6</v>
      </c>
      <c r="K1160" s="12" t="n">
        <v>72</v>
      </c>
    </row>
    <row r="1161">
      <c r="A1161" s="33" t="n">
        <v>46321.96736111111</v>
      </c>
      <c r="B1161" s="33" t="n">
        <v>46321.98333333333</v>
      </c>
      <c r="C1161" s="13" t="n">
        <v>46326</v>
      </c>
      <c r="D1161" s="14" t="n">
        <v>0.9993055555555556</v>
      </c>
      <c r="E1161" s="37" t="n">
        <v>5</v>
      </c>
      <c r="F1161" s="37" t="n">
        <v>0</v>
      </c>
      <c r="G1161" s="37" t="n">
        <v>0</v>
      </c>
      <c r="H1161" s="37" t="n">
        <v>4</v>
      </c>
      <c r="I1161" s="37" t="n">
        <v>1</v>
      </c>
      <c r="J1161" s="37" t="n">
        <v>21</v>
      </c>
      <c r="K1161" s="16" t="n">
        <v>252</v>
      </c>
    </row>
    <row r="1162">
      <c r="A1162" s="30" t="n">
        <v>46321.98333333333</v>
      </c>
      <c r="B1162" s="30" t="n">
        <v>46322.00902777778</v>
      </c>
      <c r="C1162" s="9" t="n">
        <v>46324</v>
      </c>
      <c r="D1162" s="10" t="n">
        <v>0.84375</v>
      </c>
      <c r="E1162" s="36" t="n">
        <v>1</v>
      </c>
      <c r="F1162" s="36" t="n">
        <v>1</v>
      </c>
      <c r="G1162" s="36" t="n">
        <v>0</v>
      </c>
      <c r="H1162" s="36" t="n">
        <v>0</v>
      </c>
      <c r="I1162" s="36" t="n">
        <v>0</v>
      </c>
      <c r="J1162" s="36" t="n">
        <v>2</v>
      </c>
      <c r="K1162" s="12" t="n">
        <v>24</v>
      </c>
    </row>
    <row r="1163">
      <c r="A1163" s="33" t="n">
        <v>46321.98333333333</v>
      </c>
      <c r="B1163" s="33" t="n">
        <v>46322.00902777778</v>
      </c>
      <c r="C1163" s="13" t="n">
        <v>46325</v>
      </c>
      <c r="D1163" s="14" t="n">
        <v>0.96875</v>
      </c>
      <c r="E1163" s="37" t="n">
        <v>1</v>
      </c>
      <c r="F1163" s="37" t="n">
        <v>0</v>
      </c>
      <c r="G1163" s="37" t="n">
        <v>0</v>
      </c>
      <c r="H1163" s="37" t="n">
        <v>1</v>
      </c>
      <c r="I1163" s="37" t="n">
        <v>0</v>
      </c>
      <c r="J1163" s="37" t="n">
        <v>4</v>
      </c>
      <c r="K1163" s="16" t="n">
        <v>48</v>
      </c>
    </row>
    <row r="1164">
      <c r="A1164" s="30" t="n">
        <v>46321.98333333333</v>
      </c>
      <c r="B1164" s="30" t="n">
        <v>46322.00902777778</v>
      </c>
      <c r="C1164" s="9" t="n">
        <v>46326</v>
      </c>
      <c r="D1164" s="10" t="n">
        <v>0.8854166666666666</v>
      </c>
      <c r="E1164" s="36" t="n">
        <v>1</v>
      </c>
      <c r="F1164" s="36" t="n">
        <v>0</v>
      </c>
      <c r="G1164" s="36" t="n">
        <v>0</v>
      </c>
      <c r="H1164" s="36" t="n">
        <v>1</v>
      </c>
      <c r="I1164" s="36" t="n">
        <v>0</v>
      </c>
      <c r="J1164" s="36" t="n">
        <v>4</v>
      </c>
      <c r="K1164" s="12" t="n">
        <v>48</v>
      </c>
    </row>
    <row r="1165">
      <c r="A1165" s="33" t="n">
        <v>46322.00902777778</v>
      </c>
      <c r="B1165" s="33" t="n">
        <v>46322.01736111111</v>
      </c>
      <c r="C1165" s="13" t="n">
        <v>46324</v>
      </c>
      <c r="D1165" s="14" t="n">
        <v>0.9270833333333334</v>
      </c>
      <c r="E1165" s="37" t="n">
        <v>2</v>
      </c>
      <c r="F1165" s="37" t="n">
        <v>1</v>
      </c>
      <c r="G1165" s="37" t="n">
        <v>0</v>
      </c>
      <c r="H1165" s="37" t="n">
        <v>0</v>
      </c>
      <c r="I1165" s="37" t="n">
        <v>1</v>
      </c>
      <c r="J1165" s="37" t="n">
        <v>7</v>
      </c>
      <c r="K1165" s="16" t="n">
        <v>84</v>
      </c>
    </row>
    <row r="1166">
      <c r="A1166" s="30" t="n">
        <v>46322.00902777778</v>
      </c>
      <c r="B1166" s="30" t="n">
        <v>46322.01736111111</v>
      </c>
      <c r="C1166" s="9" t="n">
        <v>46325</v>
      </c>
      <c r="D1166" s="10" t="n">
        <v>0.9270833333333334</v>
      </c>
      <c r="E1166" s="36" t="n">
        <v>1</v>
      </c>
      <c r="F1166" s="36" t="n">
        <v>1</v>
      </c>
      <c r="G1166" s="36" t="n">
        <v>0</v>
      </c>
      <c r="H1166" s="36" t="n">
        <v>0</v>
      </c>
      <c r="I1166" s="36" t="n">
        <v>0</v>
      </c>
      <c r="J1166" s="36" t="n">
        <v>2</v>
      </c>
      <c r="K1166" s="12" t="n">
        <v>24</v>
      </c>
    </row>
    <row r="1167">
      <c r="A1167" s="33" t="n">
        <v>46322.01736111111</v>
      </c>
      <c r="B1167" s="33" t="n">
        <v>46322.04027777778</v>
      </c>
      <c r="C1167" s="13" t="n">
        <v>46324</v>
      </c>
      <c r="D1167" s="14" t="n">
        <v>0.9993055555555556</v>
      </c>
      <c r="E1167" s="37" t="n">
        <v>1</v>
      </c>
      <c r="F1167" s="37" t="n">
        <v>1</v>
      </c>
      <c r="G1167" s="37" t="n">
        <v>0</v>
      </c>
      <c r="H1167" s="37" t="n">
        <v>0</v>
      </c>
      <c r="I1167" s="37" t="n">
        <v>0</v>
      </c>
      <c r="J1167" s="37" t="n">
        <v>2</v>
      </c>
      <c r="K1167" s="16" t="n">
        <v>24</v>
      </c>
    </row>
    <row r="1168">
      <c r="A1168" s="30" t="n">
        <v>46322.01736111111</v>
      </c>
      <c r="B1168" s="30" t="n">
        <v>46322.04027777778</v>
      </c>
      <c r="C1168" s="9" t="n">
        <v>46325</v>
      </c>
      <c r="D1168" s="10" t="n">
        <v>0.9270833333333334</v>
      </c>
      <c r="E1168" s="36" t="n">
        <v>1</v>
      </c>
      <c r="F1168" s="36" t="n">
        <v>0</v>
      </c>
      <c r="G1168" s="36" t="n">
        <v>0</v>
      </c>
      <c r="H1168" s="36" t="n">
        <v>1</v>
      </c>
      <c r="I1168" s="36" t="n">
        <v>0</v>
      </c>
      <c r="J1168" s="36" t="n">
        <v>4</v>
      </c>
      <c r="K1168" s="12" t="n">
        <v>48</v>
      </c>
    </row>
    <row r="1169">
      <c r="A1169" s="33" t="n">
        <v>46322.01736111111</v>
      </c>
      <c r="B1169" s="33" t="n">
        <v>46322.04027777778</v>
      </c>
      <c r="C1169" s="13" t="n">
        <v>46325</v>
      </c>
      <c r="D1169" s="14" t="n">
        <v>0.96875</v>
      </c>
      <c r="E1169" s="37" t="n">
        <v>1</v>
      </c>
      <c r="F1169" s="37" t="n">
        <v>1</v>
      </c>
      <c r="G1169" s="37" t="n">
        <v>0</v>
      </c>
      <c r="H1169" s="37" t="n">
        <v>0</v>
      </c>
      <c r="I1169" s="37" t="n">
        <v>0</v>
      </c>
      <c r="J1169" s="37" t="n">
        <v>2</v>
      </c>
      <c r="K1169" s="16" t="n">
        <v>24</v>
      </c>
    </row>
    <row r="1170">
      <c r="A1170" s="30" t="n">
        <v>46322.01736111111</v>
      </c>
      <c r="B1170" s="30" t="n">
        <v>46322.04027777778</v>
      </c>
      <c r="C1170" s="9" t="n">
        <v>46326</v>
      </c>
      <c r="D1170" s="10" t="n">
        <v>0.8854166666666666</v>
      </c>
      <c r="E1170" s="36" t="n">
        <v>2</v>
      </c>
      <c r="F1170" s="36" t="n">
        <v>0</v>
      </c>
      <c r="G1170" s="36" t="n">
        <v>0</v>
      </c>
      <c r="H1170" s="36" t="n">
        <v>2</v>
      </c>
      <c r="I1170" s="36" t="n">
        <v>0</v>
      </c>
      <c r="J1170" s="36" t="n">
        <v>8</v>
      </c>
      <c r="K1170" s="12" t="n">
        <v>96</v>
      </c>
    </row>
    <row r="1171">
      <c r="A1171" s="33" t="n">
        <v>46322.04027777778</v>
      </c>
      <c r="B1171" s="33" t="n">
        <v>46322.06388888889</v>
      </c>
      <c r="C1171" s="13" t="n">
        <v>46324</v>
      </c>
      <c r="D1171" s="14" t="n">
        <v>0.96875</v>
      </c>
      <c r="E1171" s="37" t="n">
        <v>1</v>
      </c>
      <c r="F1171" s="37" t="n">
        <v>0</v>
      </c>
      <c r="G1171" s="37" t="n">
        <v>0</v>
      </c>
      <c r="H1171" s="37" t="n">
        <v>1</v>
      </c>
      <c r="I1171" s="37" t="n">
        <v>0</v>
      </c>
      <c r="J1171" s="37" t="n">
        <v>4</v>
      </c>
      <c r="K1171" s="16" t="n">
        <v>48</v>
      </c>
    </row>
    <row r="1172">
      <c r="A1172" s="30" t="n">
        <v>46322.11458333334</v>
      </c>
      <c r="B1172" s="30" t="n">
        <v>46322.14444444444</v>
      </c>
      <c r="C1172" s="9" t="n">
        <v>46326</v>
      </c>
      <c r="D1172" s="10" t="n">
        <v>0.9993055555555556</v>
      </c>
      <c r="E1172" s="36" t="n">
        <v>1</v>
      </c>
      <c r="F1172" s="36" t="n">
        <v>1</v>
      </c>
      <c r="G1172" s="36" t="n">
        <v>0</v>
      </c>
      <c r="H1172" s="36" t="n">
        <v>0</v>
      </c>
      <c r="I1172" s="36" t="n">
        <v>0</v>
      </c>
      <c r="J1172" s="36" t="n">
        <v>2</v>
      </c>
      <c r="K1172" s="12" t="n">
        <v>24</v>
      </c>
    </row>
    <row r="1173">
      <c r="A1173" s="33" t="n">
        <v>46322.1875</v>
      </c>
      <c r="B1173" s="33" t="n">
        <v>46322.22916666666</v>
      </c>
      <c r="C1173" s="13" t="n">
        <v>46324</v>
      </c>
      <c r="D1173" s="14" t="n">
        <v>0.9270833333333334</v>
      </c>
      <c r="E1173" s="37" t="n">
        <v>1</v>
      </c>
      <c r="F1173" s="37" t="n">
        <v>0</v>
      </c>
      <c r="G1173" s="37" t="n">
        <v>0</v>
      </c>
      <c r="H1173" s="37" t="n">
        <v>0</v>
      </c>
      <c r="I1173" s="37" t="n">
        <v>1</v>
      </c>
      <c r="J1173" s="37" t="n">
        <v>5</v>
      </c>
      <c r="K1173" s="16" t="n">
        <v>60</v>
      </c>
    </row>
    <row r="1174">
      <c r="A1174" s="30" t="n">
        <v>46322.31666666667</v>
      </c>
      <c r="B1174" s="30" t="n">
        <v>46322.34166666667</v>
      </c>
      <c r="C1174" s="9" t="n">
        <v>46327</v>
      </c>
      <c r="D1174" s="10" t="n">
        <v>0.9270833333333334</v>
      </c>
      <c r="E1174" s="36" t="n">
        <v>1</v>
      </c>
      <c r="F1174" s="36" t="n">
        <v>0</v>
      </c>
      <c r="G1174" s="36" t="n">
        <v>0</v>
      </c>
      <c r="H1174" s="36" t="n">
        <v>1</v>
      </c>
      <c r="I1174" s="36" t="n">
        <v>0</v>
      </c>
      <c r="J1174" s="36" t="n">
        <v>4</v>
      </c>
      <c r="K1174" s="12" t="n">
        <v>48</v>
      </c>
    </row>
    <row r="1175">
      <c r="A1175" s="33" t="n">
        <v>46322.35347222222</v>
      </c>
      <c r="B1175" s="33" t="n">
        <v>46322.35763888889</v>
      </c>
      <c r="C1175" s="13" t="n">
        <v>46324</v>
      </c>
      <c r="D1175" s="14" t="n">
        <v>0.9270833333333334</v>
      </c>
      <c r="E1175" s="37" t="n">
        <v>1</v>
      </c>
      <c r="F1175" s="37" t="n">
        <v>1</v>
      </c>
      <c r="G1175" s="37" t="n">
        <v>0</v>
      </c>
      <c r="H1175" s="37" t="n">
        <v>0</v>
      </c>
      <c r="I1175" s="37" t="n">
        <v>0</v>
      </c>
      <c r="J1175" s="37" t="n">
        <v>2</v>
      </c>
      <c r="K1175" s="16" t="n">
        <v>24</v>
      </c>
    </row>
    <row r="1176">
      <c r="A1176" s="30" t="n">
        <v>46322.3625</v>
      </c>
      <c r="B1176" s="30" t="n">
        <v>46322.4</v>
      </c>
      <c r="C1176" s="9" t="n">
        <v>46324</v>
      </c>
      <c r="D1176" s="10" t="n">
        <v>0.96875</v>
      </c>
      <c r="E1176" s="36" t="n">
        <v>1</v>
      </c>
      <c r="F1176" s="36" t="n">
        <v>1</v>
      </c>
      <c r="G1176" s="36" t="n">
        <v>0</v>
      </c>
      <c r="H1176" s="36" t="n">
        <v>0</v>
      </c>
      <c r="I1176" s="36" t="n">
        <v>0</v>
      </c>
      <c r="J1176" s="36" t="n">
        <v>2</v>
      </c>
      <c r="K1176" s="12" t="n">
        <v>24</v>
      </c>
    </row>
    <row r="1177">
      <c r="A1177" s="33" t="n">
        <v>46322.3625</v>
      </c>
      <c r="B1177" s="33" t="n">
        <v>46322.4</v>
      </c>
      <c r="C1177" s="13" t="n">
        <v>46325</v>
      </c>
      <c r="D1177" s="14" t="n">
        <v>0.9270833333333334</v>
      </c>
      <c r="E1177" s="37" t="n">
        <v>1</v>
      </c>
      <c r="F1177" s="37" t="n">
        <v>1</v>
      </c>
      <c r="G1177" s="37" t="n">
        <v>0</v>
      </c>
      <c r="H1177" s="37" t="n">
        <v>0</v>
      </c>
      <c r="I1177" s="37" t="n">
        <v>0</v>
      </c>
      <c r="J1177" s="37" t="n">
        <v>2</v>
      </c>
      <c r="K1177" s="16" t="n">
        <v>24</v>
      </c>
    </row>
    <row r="1178">
      <c r="A1178" s="30" t="n">
        <v>46322.3625</v>
      </c>
      <c r="B1178" s="30" t="n">
        <v>46322.4</v>
      </c>
      <c r="C1178" s="9" t="n">
        <v>46325</v>
      </c>
      <c r="D1178" s="10" t="n">
        <v>0.96875</v>
      </c>
      <c r="E1178" s="36" t="n">
        <v>1</v>
      </c>
      <c r="F1178" s="36" t="n">
        <v>0</v>
      </c>
      <c r="G1178" s="36" t="n">
        <v>0</v>
      </c>
      <c r="H1178" s="36" t="n">
        <v>0</v>
      </c>
      <c r="I1178" s="36" t="n">
        <v>1</v>
      </c>
      <c r="J1178" s="36" t="n">
        <v>5</v>
      </c>
      <c r="K1178" s="12" t="n">
        <v>60</v>
      </c>
    </row>
    <row r="1179">
      <c r="A1179" s="33" t="n">
        <v>46322.3625</v>
      </c>
      <c r="B1179" s="33" t="n">
        <v>46322.4</v>
      </c>
      <c r="C1179" s="13" t="n">
        <v>46326</v>
      </c>
      <c r="D1179" s="14" t="n">
        <v>0.84375</v>
      </c>
      <c r="E1179" s="37" t="n">
        <v>1</v>
      </c>
      <c r="F1179" s="37" t="n">
        <v>1</v>
      </c>
      <c r="G1179" s="37" t="n">
        <v>0</v>
      </c>
      <c r="H1179" s="37" t="n">
        <v>0</v>
      </c>
      <c r="I1179" s="37" t="n">
        <v>0</v>
      </c>
      <c r="J1179" s="37" t="n">
        <v>2</v>
      </c>
      <c r="K1179" s="16" t="n">
        <v>24</v>
      </c>
    </row>
    <row r="1180">
      <c r="A1180" s="30" t="n">
        <v>46322.3625</v>
      </c>
      <c r="B1180" s="30" t="n">
        <v>46322.4</v>
      </c>
      <c r="C1180" s="9" t="n">
        <v>46326</v>
      </c>
      <c r="D1180" s="10" t="n">
        <v>0.9993055555555556</v>
      </c>
      <c r="E1180" s="36" t="n">
        <v>1</v>
      </c>
      <c r="F1180" s="36" t="n">
        <v>0</v>
      </c>
      <c r="G1180" s="36" t="n">
        <v>0</v>
      </c>
      <c r="H1180" s="36" t="n">
        <v>1</v>
      </c>
      <c r="I1180" s="36" t="n">
        <v>0</v>
      </c>
      <c r="J1180" s="36" t="n">
        <v>4</v>
      </c>
      <c r="K1180" s="12" t="n">
        <v>48</v>
      </c>
    </row>
    <row r="1181">
      <c r="A1181" s="33" t="n">
        <v>46322.4</v>
      </c>
      <c r="B1181" s="33" t="n">
        <v>46322.44027777778</v>
      </c>
      <c r="C1181" s="13" t="n">
        <v>46325</v>
      </c>
      <c r="D1181" s="14" t="n">
        <v>0.84375</v>
      </c>
      <c r="E1181" s="37" t="n">
        <v>1</v>
      </c>
      <c r="F1181" s="37" t="n">
        <v>1</v>
      </c>
      <c r="G1181" s="37" t="n">
        <v>0</v>
      </c>
      <c r="H1181" s="37" t="n">
        <v>0</v>
      </c>
      <c r="I1181" s="37" t="n">
        <v>0</v>
      </c>
      <c r="J1181" s="37" t="n">
        <v>2</v>
      </c>
      <c r="K1181" s="16" t="n">
        <v>24</v>
      </c>
    </row>
    <row r="1182">
      <c r="A1182" s="30" t="n">
        <v>46322.4</v>
      </c>
      <c r="B1182" s="30" t="n">
        <v>46322.44027777778</v>
      </c>
      <c r="C1182" s="9" t="n">
        <v>46325</v>
      </c>
      <c r="D1182" s="10" t="n">
        <v>0.9270833333333334</v>
      </c>
      <c r="E1182" s="36" t="n">
        <v>1</v>
      </c>
      <c r="F1182" s="36" t="n">
        <v>0</v>
      </c>
      <c r="G1182" s="36" t="n">
        <v>0</v>
      </c>
      <c r="H1182" s="36" t="n">
        <v>1</v>
      </c>
      <c r="I1182" s="36" t="n">
        <v>0</v>
      </c>
      <c r="J1182" s="36" t="n">
        <v>4</v>
      </c>
      <c r="K1182" s="12" t="n">
        <v>48</v>
      </c>
    </row>
    <row r="1183">
      <c r="A1183" s="33" t="n">
        <v>46322.4</v>
      </c>
      <c r="B1183" s="33" t="n">
        <v>46322.44027777778</v>
      </c>
      <c r="C1183" s="13" t="n">
        <v>46325</v>
      </c>
      <c r="D1183" s="14" t="n">
        <v>0.9993055555555556</v>
      </c>
      <c r="E1183" s="37" t="n">
        <v>1</v>
      </c>
      <c r="F1183" s="37" t="n">
        <v>0</v>
      </c>
      <c r="G1183" s="37" t="n">
        <v>0</v>
      </c>
      <c r="H1183" s="37" t="n">
        <v>0</v>
      </c>
      <c r="I1183" s="37" t="n">
        <v>1</v>
      </c>
      <c r="J1183" s="37" t="n">
        <v>5</v>
      </c>
      <c r="K1183" s="16" t="n">
        <v>60</v>
      </c>
    </row>
    <row r="1184">
      <c r="A1184" s="30" t="n">
        <v>46322.4</v>
      </c>
      <c r="B1184" s="30" t="n">
        <v>46322.44027777778</v>
      </c>
      <c r="C1184" s="9" t="n">
        <v>46326</v>
      </c>
      <c r="D1184" s="10" t="n">
        <v>0.84375</v>
      </c>
      <c r="E1184" s="36" t="n">
        <v>1</v>
      </c>
      <c r="F1184" s="36" t="n">
        <v>0</v>
      </c>
      <c r="G1184" s="36" t="n">
        <v>0</v>
      </c>
      <c r="H1184" s="36" t="n">
        <v>1</v>
      </c>
      <c r="I1184" s="36" t="n">
        <v>0</v>
      </c>
      <c r="J1184" s="36" t="n">
        <v>4</v>
      </c>
      <c r="K1184" s="12" t="n">
        <v>48</v>
      </c>
    </row>
    <row r="1185">
      <c r="A1185" s="33" t="n">
        <v>46322.4</v>
      </c>
      <c r="B1185" s="33" t="n">
        <v>46322.44027777778</v>
      </c>
      <c r="C1185" s="13" t="n">
        <v>46326</v>
      </c>
      <c r="D1185" s="14" t="n">
        <v>0.8854166666666666</v>
      </c>
      <c r="E1185" s="37" t="n">
        <v>1</v>
      </c>
      <c r="F1185" s="37" t="n">
        <v>1</v>
      </c>
      <c r="G1185" s="37" t="n">
        <v>0</v>
      </c>
      <c r="H1185" s="37" t="n">
        <v>0</v>
      </c>
      <c r="I1185" s="37" t="n">
        <v>0</v>
      </c>
      <c r="J1185" s="37" t="n">
        <v>2</v>
      </c>
      <c r="K1185" s="16" t="n">
        <v>24</v>
      </c>
    </row>
    <row r="1186">
      <c r="A1186" s="30" t="n">
        <v>46322.4</v>
      </c>
      <c r="B1186" s="30" t="n">
        <v>46322.44027777778</v>
      </c>
      <c r="C1186" s="9" t="n">
        <v>46326</v>
      </c>
      <c r="D1186" s="10" t="n">
        <v>0.9993055555555556</v>
      </c>
      <c r="E1186" s="36" t="n">
        <v>2</v>
      </c>
      <c r="F1186" s="36" t="n">
        <v>1</v>
      </c>
      <c r="G1186" s="36" t="n">
        <v>0</v>
      </c>
      <c r="H1186" s="36" t="n">
        <v>1</v>
      </c>
      <c r="I1186" s="36" t="n">
        <v>0</v>
      </c>
      <c r="J1186" s="36" t="n">
        <v>6</v>
      </c>
      <c r="K1186" s="12" t="n">
        <v>72</v>
      </c>
    </row>
    <row r="1187">
      <c r="A1187" s="33" t="n">
        <v>46322.44027777778</v>
      </c>
      <c r="B1187" s="33" t="n">
        <v>46322.47847222222</v>
      </c>
      <c r="C1187" s="13" t="n">
        <v>46324</v>
      </c>
      <c r="D1187" s="14" t="n">
        <v>0.8854166666666666</v>
      </c>
      <c r="E1187" s="37" t="n">
        <v>2</v>
      </c>
      <c r="F1187" s="37" t="n">
        <v>1</v>
      </c>
      <c r="G1187" s="37" t="n">
        <v>0</v>
      </c>
      <c r="H1187" s="37" t="n">
        <v>1</v>
      </c>
      <c r="I1187" s="37" t="n">
        <v>0</v>
      </c>
      <c r="J1187" s="37" t="n">
        <v>6</v>
      </c>
      <c r="K1187" s="16" t="n">
        <v>72</v>
      </c>
    </row>
    <row r="1188">
      <c r="A1188" s="30" t="n">
        <v>46322.44027777778</v>
      </c>
      <c r="B1188" s="30" t="n">
        <v>46322.47847222222</v>
      </c>
      <c r="C1188" s="9" t="n">
        <v>46324</v>
      </c>
      <c r="D1188" s="10" t="n">
        <v>0.9993055555555556</v>
      </c>
      <c r="E1188" s="36" t="n">
        <v>-1</v>
      </c>
      <c r="F1188" s="36" t="n">
        <v>0</v>
      </c>
      <c r="G1188" s="36" t="n">
        <v>0</v>
      </c>
      <c r="H1188" s="36" t="n">
        <v>-1</v>
      </c>
      <c r="I1188" s="36" t="n">
        <v>0</v>
      </c>
      <c r="J1188" s="36" t="n">
        <v>-4</v>
      </c>
      <c r="K1188" s="12" t="n">
        <v>-48</v>
      </c>
    </row>
    <row r="1189">
      <c r="A1189" s="33" t="n">
        <v>46322.44027777778</v>
      </c>
      <c r="B1189" s="33" t="n">
        <v>46322.47847222222</v>
      </c>
      <c r="C1189" s="13" t="n">
        <v>46325</v>
      </c>
      <c r="D1189" s="14" t="n">
        <v>0.8854166666666666</v>
      </c>
      <c r="E1189" s="37" t="n">
        <v>1</v>
      </c>
      <c r="F1189" s="37" t="n">
        <v>0</v>
      </c>
      <c r="G1189" s="37" t="n">
        <v>1</v>
      </c>
      <c r="H1189" s="37" t="n">
        <v>0</v>
      </c>
      <c r="I1189" s="37" t="n">
        <v>0</v>
      </c>
      <c r="J1189" s="37" t="n">
        <v>3</v>
      </c>
      <c r="K1189" s="16" t="n">
        <v>36</v>
      </c>
    </row>
    <row r="1190">
      <c r="A1190" s="30" t="n">
        <v>46322.44027777778</v>
      </c>
      <c r="B1190" s="30" t="n">
        <v>46322.47847222222</v>
      </c>
      <c r="C1190" s="9" t="n">
        <v>46325</v>
      </c>
      <c r="D1190" s="10" t="n">
        <v>0.9270833333333334</v>
      </c>
      <c r="E1190" s="36" t="n">
        <v>1</v>
      </c>
      <c r="F1190" s="36" t="n">
        <v>0</v>
      </c>
      <c r="G1190" s="36" t="n">
        <v>0</v>
      </c>
      <c r="H1190" s="36" t="n">
        <v>1</v>
      </c>
      <c r="I1190" s="36" t="n">
        <v>0</v>
      </c>
      <c r="J1190" s="36" t="n">
        <v>4</v>
      </c>
      <c r="K1190" s="12" t="n">
        <v>48</v>
      </c>
    </row>
    <row r="1191">
      <c r="A1191" s="33" t="n">
        <v>46322.44027777778</v>
      </c>
      <c r="B1191" s="33" t="n">
        <v>46322.47847222222</v>
      </c>
      <c r="C1191" s="13" t="n">
        <v>46326</v>
      </c>
      <c r="D1191" s="14" t="n">
        <v>0.9993055555555556</v>
      </c>
      <c r="E1191" s="37" t="n">
        <v>3</v>
      </c>
      <c r="F1191" s="37" t="n">
        <v>0</v>
      </c>
      <c r="G1191" s="37" t="n">
        <v>0</v>
      </c>
      <c r="H1191" s="37" t="n">
        <v>3</v>
      </c>
      <c r="I1191" s="37" t="n">
        <v>0</v>
      </c>
      <c r="J1191" s="37" t="n">
        <v>12</v>
      </c>
      <c r="K1191" s="16" t="n">
        <v>144</v>
      </c>
    </row>
    <row r="1192">
      <c r="A1192" s="30" t="n">
        <v>46322.44027777778</v>
      </c>
      <c r="B1192" s="30" t="n">
        <v>46322.47847222222</v>
      </c>
      <c r="C1192" s="9" t="n">
        <v>46327</v>
      </c>
      <c r="D1192" s="10" t="n">
        <v>0.9270833333333334</v>
      </c>
      <c r="E1192" s="36" t="n">
        <v>1</v>
      </c>
      <c r="F1192" s="36" t="n">
        <v>0</v>
      </c>
      <c r="G1192" s="36" t="n">
        <v>0</v>
      </c>
      <c r="H1192" s="36" t="n">
        <v>1</v>
      </c>
      <c r="I1192" s="36" t="n">
        <v>0</v>
      </c>
      <c r="J1192" s="36" t="n">
        <v>4</v>
      </c>
      <c r="K1192" s="12" t="n">
        <v>48</v>
      </c>
    </row>
    <row r="1193">
      <c r="A1193" s="33" t="n">
        <v>46322.47847222222</v>
      </c>
      <c r="B1193" s="33" t="n">
        <v>46322.48125</v>
      </c>
      <c r="C1193" s="13" t="n">
        <v>46325</v>
      </c>
      <c r="D1193" s="14" t="n">
        <v>0.8854166666666666</v>
      </c>
      <c r="E1193" s="37" t="n">
        <v>1</v>
      </c>
      <c r="F1193" s="37" t="n">
        <v>0</v>
      </c>
      <c r="G1193" s="37" t="n">
        <v>0</v>
      </c>
      <c r="H1193" s="37" t="n">
        <v>1</v>
      </c>
      <c r="I1193" s="37" t="n">
        <v>0</v>
      </c>
      <c r="J1193" s="37" t="n">
        <v>4</v>
      </c>
      <c r="K1193" s="16" t="n">
        <v>48</v>
      </c>
    </row>
    <row r="1194">
      <c r="A1194" s="30" t="n">
        <v>46322.48125</v>
      </c>
      <c r="B1194" s="30" t="n">
        <v>46322.50277777778</v>
      </c>
      <c r="C1194" s="9" t="n">
        <v>46324</v>
      </c>
      <c r="D1194" s="10" t="n">
        <v>0.9270833333333334</v>
      </c>
      <c r="E1194" s="36" t="n">
        <v>1</v>
      </c>
      <c r="F1194" s="36" t="n">
        <v>1</v>
      </c>
      <c r="G1194" s="36" t="n">
        <v>0</v>
      </c>
      <c r="H1194" s="36" t="n">
        <v>0</v>
      </c>
      <c r="I1194" s="36" t="n">
        <v>0</v>
      </c>
      <c r="J1194" s="36" t="n">
        <v>2</v>
      </c>
      <c r="K1194" s="12" t="n">
        <v>24</v>
      </c>
    </row>
    <row r="1195">
      <c r="A1195" s="33" t="n">
        <v>46322.48125</v>
      </c>
      <c r="B1195" s="33" t="n">
        <v>46322.50277777778</v>
      </c>
      <c r="C1195" s="13" t="n">
        <v>46325</v>
      </c>
      <c r="D1195" s="14" t="n">
        <v>0.9270833333333334</v>
      </c>
      <c r="E1195" s="37" t="n">
        <v>2</v>
      </c>
      <c r="F1195" s="37" t="n">
        <v>1</v>
      </c>
      <c r="G1195" s="37" t="n">
        <v>0</v>
      </c>
      <c r="H1195" s="37" t="n">
        <v>1</v>
      </c>
      <c r="I1195" s="37" t="n">
        <v>0</v>
      </c>
      <c r="J1195" s="37" t="n">
        <v>6</v>
      </c>
      <c r="K1195" s="16" t="n">
        <v>72</v>
      </c>
    </row>
    <row r="1196">
      <c r="A1196" s="30" t="n">
        <v>46322.48125</v>
      </c>
      <c r="B1196" s="30" t="n">
        <v>46322.50277777778</v>
      </c>
      <c r="C1196" s="9" t="n">
        <v>46325</v>
      </c>
      <c r="D1196" s="10" t="n">
        <v>0.96875</v>
      </c>
      <c r="E1196" s="36" t="n">
        <v>2</v>
      </c>
      <c r="F1196" s="36" t="n">
        <v>1</v>
      </c>
      <c r="G1196" s="36" t="n">
        <v>0</v>
      </c>
      <c r="H1196" s="36" t="n">
        <v>0</v>
      </c>
      <c r="I1196" s="36" t="n">
        <v>1</v>
      </c>
      <c r="J1196" s="36" t="n">
        <v>7</v>
      </c>
      <c r="K1196" s="12" t="n">
        <v>84</v>
      </c>
    </row>
    <row r="1197">
      <c r="A1197" s="33" t="n">
        <v>46322.48125</v>
      </c>
      <c r="B1197" s="33" t="n">
        <v>46322.50277777778</v>
      </c>
      <c r="C1197" s="13" t="n">
        <v>46325</v>
      </c>
      <c r="D1197" s="14" t="n">
        <v>0.9993055555555556</v>
      </c>
      <c r="E1197" s="37" t="n">
        <v>1</v>
      </c>
      <c r="F1197" s="37" t="n">
        <v>0</v>
      </c>
      <c r="G1197" s="37" t="n">
        <v>0</v>
      </c>
      <c r="H1197" s="37" t="n">
        <v>1</v>
      </c>
      <c r="I1197" s="37" t="n">
        <v>0</v>
      </c>
      <c r="J1197" s="37" t="n">
        <v>4</v>
      </c>
      <c r="K1197" s="16" t="n">
        <v>48</v>
      </c>
    </row>
    <row r="1198">
      <c r="A1198" s="30" t="n">
        <v>46322.48125</v>
      </c>
      <c r="B1198" s="30" t="n">
        <v>46322.50277777778</v>
      </c>
      <c r="C1198" s="9" t="n">
        <v>46326</v>
      </c>
      <c r="D1198" s="10" t="n">
        <v>0.84375</v>
      </c>
      <c r="E1198" s="36" t="n">
        <v>1</v>
      </c>
      <c r="F1198" s="36" t="n">
        <v>0</v>
      </c>
      <c r="G1198" s="36" t="n">
        <v>0</v>
      </c>
      <c r="H1198" s="36" t="n">
        <v>1</v>
      </c>
      <c r="I1198" s="36" t="n">
        <v>0</v>
      </c>
      <c r="J1198" s="36" t="n">
        <v>4</v>
      </c>
      <c r="K1198" s="12" t="n">
        <v>48</v>
      </c>
    </row>
    <row r="1199">
      <c r="A1199" s="33" t="n">
        <v>46322.48125</v>
      </c>
      <c r="B1199" s="33" t="n">
        <v>46322.50277777778</v>
      </c>
      <c r="C1199" s="13" t="n">
        <v>46327</v>
      </c>
      <c r="D1199" s="14" t="n">
        <v>0.96875</v>
      </c>
      <c r="E1199" s="37" t="n">
        <v>1</v>
      </c>
      <c r="F1199" s="37" t="n">
        <v>0</v>
      </c>
      <c r="G1199" s="37" t="n">
        <v>0</v>
      </c>
      <c r="H1199" s="37" t="n">
        <v>1</v>
      </c>
      <c r="I1199" s="37" t="n">
        <v>0</v>
      </c>
      <c r="J1199" s="37" t="n">
        <v>4</v>
      </c>
      <c r="K1199" s="16" t="n">
        <v>48</v>
      </c>
    </row>
    <row r="1200">
      <c r="A1200" s="30" t="n">
        <v>46322.50277777778</v>
      </c>
      <c r="B1200" s="30" t="n">
        <v>46322.52083333334</v>
      </c>
      <c r="C1200" s="9" t="n">
        <v>46326</v>
      </c>
      <c r="D1200" s="10" t="n">
        <v>0.9993055555555556</v>
      </c>
      <c r="E1200" s="36" t="n">
        <v>2</v>
      </c>
      <c r="F1200" s="36" t="n">
        <v>1</v>
      </c>
      <c r="G1200" s="36" t="n">
        <v>0</v>
      </c>
      <c r="H1200" s="36" t="n">
        <v>1</v>
      </c>
      <c r="I1200" s="36" t="n">
        <v>0</v>
      </c>
      <c r="J1200" s="36" t="n">
        <v>6</v>
      </c>
      <c r="K1200" s="12" t="n">
        <v>72</v>
      </c>
    </row>
    <row r="1201">
      <c r="A1201" s="33" t="n">
        <v>46322.50277777778</v>
      </c>
      <c r="B1201" s="33" t="n">
        <v>46322.52083333334</v>
      </c>
      <c r="C1201" s="13" t="n">
        <v>46327</v>
      </c>
      <c r="D1201" s="14" t="n">
        <v>0.9993055555555556</v>
      </c>
      <c r="E1201" s="37" t="n">
        <v>1</v>
      </c>
      <c r="F1201" s="37" t="n">
        <v>0</v>
      </c>
      <c r="G1201" s="37" t="n">
        <v>0</v>
      </c>
      <c r="H1201" s="37" t="n">
        <v>1</v>
      </c>
      <c r="I1201" s="37" t="n">
        <v>0</v>
      </c>
      <c r="J1201" s="37" t="n">
        <v>4</v>
      </c>
      <c r="K1201" s="16" t="n">
        <v>48</v>
      </c>
    </row>
    <row r="1202">
      <c r="A1202" s="30" t="n">
        <v>46322.52152777778</v>
      </c>
      <c r="B1202" s="30" t="n">
        <v>46322.54027777778</v>
      </c>
      <c r="C1202" s="9" t="n">
        <v>46324</v>
      </c>
      <c r="D1202" s="10" t="n">
        <v>0.9270833333333334</v>
      </c>
      <c r="E1202" s="36" t="n">
        <v>3</v>
      </c>
      <c r="F1202" s="36" t="n">
        <v>1</v>
      </c>
      <c r="G1202" s="36" t="n">
        <v>1</v>
      </c>
      <c r="H1202" s="36" t="n">
        <v>1</v>
      </c>
      <c r="I1202" s="36" t="n">
        <v>0</v>
      </c>
      <c r="J1202" s="36" t="n">
        <v>9</v>
      </c>
      <c r="K1202" s="12" t="n">
        <v>108</v>
      </c>
    </row>
    <row r="1203">
      <c r="A1203" s="33" t="n">
        <v>46322.52152777778</v>
      </c>
      <c r="B1203" s="33" t="n">
        <v>46322.54027777778</v>
      </c>
      <c r="C1203" s="13" t="n">
        <v>46324</v>
      </c>
      <c r="D1203" s="14" t="n">
        <v>0.96875</v>
      </c>
      <c r="E1203" s="37" t="n">
        <v>1</v>
      </c>
      <c r="F1203" s="37" t="n">
        <v>0</v>
      </c>
      <c r="G1203" s="37" t="n">
        <v>1</v>
      </c>
      <c r="H1203" s="37" t="n">
        <v>0</v>
      </c>
      <c r="I1203" s="37" t="n">
        <v>0</v>
      </c>
      <c r="J1203" s="37" t="n">
        <v>3</v>
      </c>
      <c r="K1203" s="16" t="n">
        <v>36</v>
      </c>
    </row>
    <row r="1204">
      <c r="A1204" s="30" t="n">
        <v>46322.52152777778</v>
      </c>
      <c r="B1204" s="30" t="n">
        <v>46322.54027777778</v>
      </c>
      <c r="C1204" s="9" t="n">
        <v>46325</v>
      </c>
      <c r="D1204" s="10" t="n">
        <v>0.8854166666666666</v>
      </c>
      <c r="E1204" s="36" t="n">
        <v>1</v>
      </c>
      <c r="F1204" s="36" t="n">
        <v>1</v>
      </c>
      <c r="G1204" s="36" t="n">
        <v>0</v>
      </c>
      <c r="H1204" s="36" t="n">
        <v>0</v>
      </c>
      <c r="I1204" s="36" t="n">
        <v>0</v>
      </c>
      <c r="J1204" s="36" t="n">
        <v>2</v>
      </c>
      <c r="K1204" s="12" t="n">
        <v>24</v>
      </c>
    </row>
    <row r="1205">
      <c r="A1205" s="33" t="n">
        <v>46322.52152777778</v>
      </c>
      <c r="B1205" s="33" t="n">
        <v>46322.54027777778</v>
      </c>
      <c r="C1205" s="13" t="n">
        <v>46325</v>
      </c>
      <c r="D1205" s="14" t="n">
        <v>0.9270833333333334</v>
      </c>
      <c r="E1205" s="37" t="n">
        <v>1</v>
      </c>
      <c r="F1205" s="37" t="n">
        <v>0</v>
      </c>
      <c r="G1205" s="37" t="n">
        <v>0</v>
      </c>
      <c r="H1205" s="37" t="n">
        <v>1</v>
      </c>
      <c r="I1205" s="37" t="n">
        <v>0</v>
      </c>
      <c r="J1205" s="37" t="n">
        <v>4</v>
      </c>
      <c r="K1205" s="16" t="n">
        <v>48</v>
      </c>
    </row>
    <row r="1206">
      <c r="A1206" s="30" t="n">
        <v>46322.52152777778</v>
      </c>
      <c r="B1206" s="30" t="n">
        <v>46322.54027777778</v>
      </c>
      <c r="C1206" s="9" t="n">
        <v>46326</v>
      </c>
      <c r="D1206" s="10" t="n">
        <v>0.9993055555555556</v>
      </c>
      <c r="E1206" s="36" t="n">
        <v>3</v>
      </c>
      <c r="F1206" s="36" t="n">
        <v>0</v>
      </c>
      <c r="G1206" s="36" t="n">
        <v>0</v>
      </c>
      <c r="H1206" s="36" t="n">
        <v>3</v>
      </c>
      <c r="I1206" s="36" t="n">
        <v>0</v>
      </c>
      <c r="J1206" s="36" t="n">
        <v>12</v>
      </c>
      <c r="K1206" s="12" t="n">
        <v>144</v>
      </c>
    </row>
    <row r="1207">
      <c r="A1207" s="33" t="n">
        <v>46322.52152777778</v>
      </c>
      <c r="B1207" s="33" t="n">
        <v>46322.54027777778</v>
      </c>
      <c r="C1207" s="13" t="n">
        <v>46327</v>
      </c>
      <c r="D1207" s="14" t="n">
        <v>0.84375</v>
      </c>
      <c r="E1207" s="37" t="n">
        <v>1</v>
      </c>
      <c r="F1207" s="37" t="n">
        <v>0</v>
      </c>
      <c r="G1207" s="37" t="n">
        <v>0</v>
      </c>
      <c r="H1207" s="37" t="n">
        <v>0</v>
      </c>
      <c r="I1207" s="37" t="n">
        <v>1</v>
      </c>
      <c r="J1207" s="37" t="n">
        <v>5</v>
      </c>
      <c r="K1207" s="16" t="n">
        <v>60</v>
      </c>
    </row>
    <row r="1208">
      <c r="A1208" s="30" t="n">
        <v>46322.54027777778</v>
      </c>
      <c r="B1208" s="30" t="n">
        <v>46322.56319444445</v>
      </c>
      <c r="C1208" s="9" t="n">
        <v>46324</v>
      </c>
      <c r="D1208" s="10" t="n">
        <v>0.84375</v>
      </c>
      <c r="E1208" s="36" t="n">
        <v>1</v>
      </c>
      <c r="F1208" s="36" t="n">
        <v>0</v>
      </c>
      <c r="G1208" s="36" t="n">
        <v>0</v>
      </c>
      <c r="H1208" s="36" t="n">
        <v>1</v>
      </c>
      <c r="I1208" s="36" t="n">
        <v>0</v>
      </c>
      <c r="J1208" s="36" t="n">
        <v>4</v>
      </c>
      <c r="K1208" s="12" t="n">
        <v>48</v>
      </c>
    </row>
    <row r="1209">
      <c r="A1209" s="33" t="n">
        <v>46322.54027777778</v>
      </c>
      <c r="B1209" s="33" t="n">
        <v>46322.56319444445</v>
      </c>
      <c r="C1209" s="13" t="n">
        <v>46324</v>
      </c>
      <c r="D1209" s="14" t="n">
        <v>0.9270833333333334</v>
      </c>
      <c r="E1209" s="37" t="n">
        <v>1</v>
      </c>
      <c r="F1209" s="37" t="n">
        <v>0</v>
      </c>
      <c r="G1209" s="37" t="n">
        <v>0</v>
      </c>
      <c r="H1209" s="37" t="n">
        <v>0</v>
      </c>
      <c r="I1209" s="37" t="n">
        <v>1</v>
      </c>
      <c r="J1209" s="37" t="n">
        <v>5</v>
      </c>
      <c r="K1209" s="16" t="n">
        <v>60</v>
      </c>
    </row>
    <row r="1210">
      <c r="A1210" s="30" t="n">
        <v>46322.54027777778</v>
      </c>
      <c r="B1210" s="30" t="n">
        <v>46322.56319444445</v>
      </c>
      <c r="C1210" s="9" t="n">
        <v>46325</v>
      </c>
      <c r="D1210" s="10" t="n">
        <v>0.96875</v>
      </c>
      <c r="E1210" s="36" t="n">
        <v>1</v>
      </c>
      <c r="F1210" s="36" t="n">
        <v>0</v>
      </c>
      <c r="G1210" s="36" t="n">
        <v>0</v>
      </c>
      <c r="H1210" s="36" t="n">
        <v>0</v>
      </c>
      <c r="I1210" s="36" t="n">
        <v>1</v>
      </c>
      <c r="J1210" s="36" t="n">
        <v>5</v>
      </c>
      <c r="K1210" s="12" t="n">
        <v>60</v>
      </c>
    </row>
    <row r="1211">
      <c r="A1211" s="33" t="n">
        <v>46322.54027777778</v>
      </c>
      <c r="B1211" s="33" t="n">
        <v>46322.56319444445</v>
      </c>
      <c r="C1211" s="13" t="n">
        <v>46325</v>
      </c>
      <c r="D1211" s="14" t="n">
        <v>0.9993055555555556</v>
      </c>
      <c r="E1211" s="37" t="n">
        <v>1</v>
      </c>
      <c r="F1211" s="37" t="n">
        <v>1</v>
      </c>
      <c r="G1211" s="37" t="n">
        <v>0</v>
      </c>
      <c r="H1211" s="37" t="n">
        <v>0</v>
      </c>
      <c r="I1211" s="37" t="n">
        <v>0</v>
      </c>
      <c r="J1211" s="37" t="n">
        <v>2</v>
      </c>
      <c r="K1211" s="16" t="n">
        <v>24</v>
      </c>
    </row>
    <row r="1212">
      <c r="A1212" s="30" t="n">
        <v>46322.54027777778</v>
      </c>
      <c r="B1212" s="30" t="n">
        <v>46322.56319444445</v>
      </c>
      <c r="C1212" s="9" t="n">
        <v>46326</v>
      </c>
      <c r="D1212" s="10" t="n">
        <v>0.8854166666666666</v>
      </c>
      <c r="E1212" s="36" t="n">
        <v>2</v>
      </c>
      <c r="F1212" s="36" t="n">
        <v>1</v>
      </c>
      <c r="G1212" s="36" t="n">
        <v>0</v>
      </c>
      <c r="H1212" s="36" t="n">
        <v>0</v>
      </c>
      <c r="I1212" s="36" t="n">
        <v>1</v>
      </c>
      <c r="J1212" s="36" t="n">
        <v>7</v>
      </c>
      <c r="K1212" s="12" t="n">
        <v>84</v>
      </c>
    </row>
    <row r="1213">
      <c r="A1213" s="33" t="n">
        <v>46322.54027777778</v>
      </c>
      <c r="B1213" s="33" t="n">
        <v>46322.56319444445</v>
      </c>
      <c r="C1213" s="13" t="n">
        <v>46326</v>
      </c>
      <c r="D1213" s="14" t="n">
        <v>0.9993055555555556</v>
      </c>
      <c r="E1213" s="37" t="n">
        <v>2</v>
      </c>
      <c r="F1213" s="37" t="n">
        <v>0</v>
      </c>
      <c r="G1213" s="37" t="n">
        <v>0</v>
      </c>
      <c r="H1213" s="37" t="n">
        <v>2</v>
      </c>
      <c r="I1213" s="37" t="n">
        <v>0</v>
      </c>
      <c r="J1213" s="37" t="n">
        <v>8</v>
      </c>
      <c r="K1213" s="16" t="n">
        <v>96</v>
      </c>
    </row>
    <row r="1214">
      <c r="A1214" s="30" t="n">
        <v>46322.54027777778</v>
      </c>
      <c r="B1214" s="30" t="n">
        <v>46322.56319444445</v>
      </c>
      <c r="C1214" s="9" t="n">
        <v>46327</v>
      </c>
      <c r="D1214" s="10" t="n">
        <v>0.96875</v>
      </c>
      <c r="E1214" s="36" t="n">
        <v>1</v>
      </c>
      <c r="F1214" s="36" t="n">
        <v>0</v>
      </c>
      <c r="G1214" s="36" t="n">
        <v>0</v>
      </c>
      <c r="H1214" s="36" t="n">
        <v>0</v>
      </c>
      <c r="I1214" s="36" t="n">
        <v>1</v>
      </c>
      <c r="J1214" s="36" t="n">
        <v>5</v>
      </c>
      <c r="K1214" s="12" t="n">
        <v>60</v>
      </c>
    </row>
    <row r="1215">
      <c r="A1215" s="33" t="n">
        <v>46322.56319444445</v>
      </c>
      <c r="B1215" s="33" t="n">
        <v>46322.56736111111</v>
      </c>
      <c r="C1215" s="13" t="n">
        <v>46324</v>
      </c>
      <c r="D1215" s="14" t="n">
        <v>0.9270833333333334</v>
      </c>
      <c r="E1215" s="37" t="n">
        <v>1</v>
      </c>
      <c r="F1215" s="37" t="n">
        <v>1</v>
      </c>
      <c r="G1215" s="37" t="n">
        <v>0</v>
      </c>
      <c r="H1215" s="37" t="n">
        <v>0</v>
      </c>
      <c r="I1215" s="37" t="n">
        <v>0</v>
      </c>
      <c r="J1215" s="37" t="n">
        <v>2</v>
      </c>
      <c r="K1215" s="16" t="n">
        <v>24</v>
      </c>
    </row>
    <row r="1216">
      <c r="A1216" s="30" t="n">
        <v>46322.56736111111</v>
      </c>
      <c r="B1216" s="30" t="n">
        <v>46322.60138888889</v>
      </c>
      <c r="C1216" s="9" t="n">
        <v>46324</v>
      </c>
      <c r="D1216" s="10" t="n">
        <v>0.84375</v>
      </c>
      <c r="E1216" s="36" t="n">
        <v>1</v>
      </c>
      <c r="F1216" s="36" t="n">
        <v>1</v>
      </c>
      <c r="G1216" s="36" t="n">
        <v>0</v>
      </c>
      <c r="H1216" s="36" t="n">
        <v>0</v>
      </c>
      <c r="I1216" s="36" t="n">
        <v>0</v>
      </c>
      <c r="J1216" s="36" t="n">
        <v>2</v>
      </c>
      <c r="K1216" s="12" t="n">
        <v>24</v>
      </c>
    </row>
    <row r="1217">
      <c r="A1217" s="33" t="n">
        <v>46322.56736111111</v>
      </c>
      <c r="B1217" s="33" t="n">
        <v>46322.60138888889</v>
      </c>
      <c r="C1217" s="13" t="n">
        <v>46324</v>
      </c>
      <c r="D1217" s="14" t="n">
        <v>0.9270833333333334</v>
      </c>
      <c r="E1217" s="37" t="n">
        <v>2</v>
      </c>
      <c r="F1217" s="37" t="n">
        <v>1</v>
      </c>
      <c r="G1217" s="37" t="n">
        <v>0</v>
      </c>
      <c r="H1217" s="37" t="n">
        <v>0</v>
      </c>
      <c r="I1217" s="37" t="n">
        <v>1</v>
      </c>
      <c r="J1217" s="37" t="n">
        <v>7</v>
      </c>
      <c r="K1217" s="16" t="n">
        <v>84</v>
      </c>
    </row>
    <row r="1218">
      <c r="A1218" s="30" t="n">
        <v>46322.56736111111</v>
      </c>
      <c r="B1218" s="30" t="n">
        <v>46322.60138888889</v>
      </c>
      <c r="C1218" s="9" t="n">
        <v>46324</v>
      </c>
      <c r="D1218" s="10" t="n">
        <v>0.96875</v>
      </c>
      <c r="E1218" s="36" t="n">
        <v>1</v>
      </c>
      <c r="F1218" s="36" t="n">
        <v>0</v>
      </c>
      <c r="G1218" s="36" t="n">
        <v>0</v>
      </c>
      <c r="H1218" s="36" t="n">
        <v>1</v>
      </c>
      <c r="I1218" s="36" t="n">
        <v>0</v>
      </c>
      <c r="J1218" s="36" t="n">
        <v>4</v>
      </c>
      <c r="K1218" s="12" t="n">
        <v>48</v>
      </c>
    </row>
    <row r="1219">
      <c r="A1219" s="33" t="n">
        <v>46322.56736111111</v>
      </c>
      <c r="B1219" s="33" t="n">
        <v>46322.60138888889</v>
      </c>
      <c r="C1219" s="13" t="n">
        <v>46325</v>
      </c>
      <c r="D1219" s="14" t="n">
        <v>0.8854166666666666</v>
      </c>
      <c r="E1219" s="37" t="n">
        <v>1</v>
      </c>
      <c r="F1219" s="37" t="n">
        <v>0</v>
      </c>
      <c r="G1219" s="37" t="n">
        <v>0</v>
      </c>
      <c r="H1219" s="37" t="n">
        <v>1</v>
      </c>
      <c r="I1219" s="37" t="n">
        <v>0</v>
      </c>
      <c r="J1219" s="37" t="n">
        <v>4</v>
      </c>
      <c r="K1219" s="16" t="n">
        <v>48</v>
      </c>
    </row>
    <row r="1220">
      <c r="A1220" s="30" t="n">
        <v>46322.56736111111</v>
      </c>
      <c r="B1220" s="30" t="n">
        <v>46322.60138888889</v>
      </c>
      <c r="C1220" s="9" t="n">
        <v>46325</v>
      </c>
      <c r="D1220" s="10" t="n">
        <v>0.9270833333333334</v>
      </c>
      <c r="E1220" s="36" t="n">
        <v>1</v>
      </c>
      <c r="F1220" s="36" t="n">
        <v>1</v>
      </c>
      <c r="G1220" s="36" t="n">
        <v>0</v>
      </c>
      <c r="H1220" s="36" t="n">
        <v>0</v>
      </c>
      <c r="I1220" s="36" t="n">
        <v>0</v>
      </c>
      <c r="J1220" s="36" t="n">
        <v>2</v>
      </c>
      <c r="K1220" s="12" t="n">
        <v>24</v>
      </c>
    </row>
    <row r="1221">
      <c r="A1221" s="33" t="n">
        <v>46322.56736111111</v>
      </c>
      <c r="B1221" s="33" t="n">
        <v>46322.60138888889</v>
      </c>
      <c r="C1221" s="13" t="n">
        <v>46325</v>
      </c>
      <c r="D1221" s="14" t="n">
        <v>0.96875</v>
      </c>
      <c r="E1221" s="37" t="n">
        <v>1</v>
      </c>
      <c r="F1221" s="37" t="n">
        <v>1</v>
      </c>
      <c r="G1221" s="37" t="n">
        <v>0</v>
      </c>
      <c r="H1221" s="37" t="n">
        <v>0</v>
      </c>
      <c r="I1221" s="37" t="n">
        <v>0</v>
      </c>
      <c r="J1221" s="37" t="n">
        <v>2</v>
      </c>
      <c r="K1221" s="16" t="n">
        <v>24</v>
      </c>
    </row>
    <row r="1222">
      <c r="A1222" s="30" t="n">
        <v>46322.56736111111</v>
      </c>
      <c r="B1222" s="30" t="n">
        <v>46322.60138888889</v>
      </c>
      <c r="C1222" s="9" t="n">
        <v>46326</v>
      </c>
      <c r="D1222" s="10" t="n">
        <v>0.8854166666666666</v>
      </c>
      <c r="E1222" s="36" t="n">
        <v>6</v>
      </c>
      <c r="F1222" s="36" t="n">
        <v>3</v>
      </c>
      <c r="G1222" s="36" t="n">
        <v>0</v>
      </c>
      <c r="H1222" s="36" t="n">
        <v>3</v>
      </c>
      <c r="I1222" s="36" t="n">
        <v>0</v>
      </c>
      <c r="J1222" s="36" t="n">
        <v>18</v>
      </c>
      <c r="K1222" s="12" t="n">
        <v>216</v>
      </c>
    </row>
    <row r="1223">
      <c r="A1223" s="33" t="n">
        <v>46322.56736111111</v>
      </c>
      <c r="B1223" s="33" t="n">
        <v>46322.60138888889</v>
      </c>
      <c r="C1223" s="13" t="n">
        <v>46327</v>
      </c>
      <c r="D1223" s="14" t="n">
        <v>0.8854166666666666</v>
      </c>
      <c r="E1223" s="37" t="n">
        <v>1</v>
      </c>
      <c r="F1223" s="37" t="n">
        <v>0</v>
      </c>
      <c r="G1223" s="37" t="n">
        <v>0</v>
      </c>
      <c r="H1223" s="37" t="n">
        <v>1</v>
      </c>
      <c r="I1223" s="37" t="n">
        <v>0</v>
      </c>
      <c r="J1223" s="37" t="n">
        <v>4</v>
      </c>
      <c r="K1223" s="16" t="n">
        <v>48</v>
      </c>
    </row>
    <row r="1224">
      <c r="A1224" s="30" t="n">
        <v>46322.60138888889</v>
      </c>
      <c r="B1224" s="30" t="n">
        <v>46322.61597222222</v>
      </c>
      <c r="C1224" s="9" t="n">
        <v>46324</v>
      </c>
      <c r="D1224" s="10" t="n">
        <v>0.84375</v>
      </c>
      <c r="E1224" s="36" t="n">
        <v>1</v>
      </c>
      <c r="F1224" s="36" t="n">
        <v>0</v>
      </c>
      <c r="G1224" s="36" t="n">
        <v>0</v>
      </c>
      <c r="H1224" s="36" t="n">
        <v>0</v>
      </c>
      <c r="I1224" s="36" t="n">
        <v>1</v>
      </c>
      <c r="J1224" s="36" t="n">
        <v>5</v>
      </c>
      <c r="K1224" s="12" t="n">
        <v>60</v>
      </c>
    </row>
    <row r="1225">
      <c r="A1225" s="33" t="n">
        <v>46322.60138888889</v>
      </c>
      <c r="B1225" s="33" t="n">
        <v>46322.61597222222</v>
      </c>
      <c r="C1225" s="13" t="n">
        <v>46324</v>
      </c>
      <c r="D1225" s="14" t="n">
        <v>0.96875</v>
      </c>
      <c r="E1225" s="37" t="n">
        <v>1</v>
      </c>
      <c r="F1225" s="37" t="n">
        <v>1</v>
      </c>
      <c r="G1225" s="37" t="n">
        <v>0</v>
      </c>
      <c r="H1225" s="37" t="n">
        <v>0</v>
      </c>
      <c r="I1225" s="37" t="n">
        <v>0</v>
      </c>
      <c r="J1225" s="37" t="n">
        <v>2</v>
      </c>
      <c r="K1225" s="16" t="n">
        <v>24</v>
      </c>
    </row>
    <row r="1226">
      <c r="A1226" s="30" t="n">
        <v>46322.60138888889</v>
      </c>
      <c r="B1226" s="30" t="n">
        <v>46322.61597222222</v>
      </c>
      <c r="C1226" s="9" t="n">
        <v>46325</v>
      </c>
      <c r="D1226" s="10" t="n">
        <v>0.9270833333333334</v>
      </c>
      <c r="E1226" s="36" t="n">
        <v>1</v>
      </c>
      <c r="F1226" s="36" t="n">
        <v>0</v>
      </c>
      <c r="G1226" s="36" t="n">
        <v>1</v>
      </c>
      <c r="H1226" s="36" t="n">
        <v>0</v>
      </c>
      <c r="I1226" s="36" t="n">
        <v>0</v>
      </c>
      <c r="J1226" s="36" t="n">
        <v>3</v>
      </c>
      <c r="K1226" s="12" t="n">
        <v>36</v>
      </c>
    </row>
    <row r="1227">
      <c r="A1227" s="33" t="n">
        <v>46322.60138888889</v>
      </c>
      <c r="B1227" s="33" t="n">
        <v>46322.61597222222</v>
      </c>
      <c r="C1227" s="13" t="n">
        <v>46326</v>
      </c>
      <c r="D1227" s="14" t="n">
        <v>0.84375</v>
      </c>
      <c r="E1227" s="37" t="n">
        <v>2</v>
      </c>
      <c r="F1227" s="37" t="n">
        <v>1</v>
      </c>
      <c r="G1227" s="37" t="n">
        <v>0</v>
      </c>
      <c r="H1227" s="37" t="n">
        <v>1</v>
      </c>
      <c r="I1227" s="37" t="n">
        <v>0</v>
      </c>
      <c r="J1227" s="37" t="n">
        <v>6</v>
      </c>
      <c r="K1227" s="16" t="n">
        <v>72</v>
      </c>
    </row>
    <row r="1228">
      <c r="A1228" s="30" t="n">
        <v>46322.60138888889</v>
      </c>
      <c r="B1228" s="30" t="n">
        <v>46322.61597222222</v>
      </c>
      <c r="C1228" s="9" t="n">
        <v>46326</v>
      </c>
      <c r="D1228" s="10" t="n">
        <v>0.8854166666666666</v>
      </c>
      <c r="E1228" s="36" t="n">
        <v>2</v>
      </c>
      <c r="F1228" s="36" t="n">
        <v>2</v>
      </c>
      <c r="G1228" s="36" t="n">
        <v>0</v>
      </c>
      <c r="H1228" s="36" t="n">
        <v>0</v>
      </c>
      <c r="I1228" s="36" t="n">
        <v>0</v>
      </c>
      <c r="J1228" s="36" t="n">
        <v>4</v>
      </c>
      <c r="K1228" s="12" t="n">
        <v>48</v>
      </c>
    </row>
    <row r="1229">
      <c r="A1229" s="33" t="n">
        <v>46322.61597222222</v>
      </c>
      <c r="B1229" s="33" t="n">
        <v>46322.65555555555</v>
      </c>
      <c r="C1229" s="13" t="n">
        <v>46324</v>
      </c>
      <c r="D1229" s="14" t="n">
        <v>0.84375</v>
      </c>
      <c r="E1229" s="37" t="n">
        <v>1</v>
      </c>
      <c r="F1229" s="37" t="n">
        <v>0</v>
      </c>
      <c r="G1229" s="37" t="n">
        <v>1</v>
      </c>
      <c r="H1229" s="37" t="n">
        <v>0</v>
      </c>
      <c r="I1229" s="37" t="n">
        <v>0</v>
      </c>
      <c r="J1229" s="37" t="n">
        <v>3</v>
      </c>
      <c r="K1229" s="16" t="n">
        <v>36</v>
      </c>
    </row>
    <row r="1230">
      <c r="A1230" s="30" t="n">
        <v>46322.61597222222</v>
      </c>
      <c r="B1230" s="30" t="n">
        <v>46322.65555555555</v>
      </c>
      <c r="C1230" s="9" t="n">
        <v>46324</v>
      </c>
      <c r="D1230" s="10" t="n">
        <v>0.9270833333333334</v>
      </c>
      <c r="E1230" s="36" t="n">
        <v>5</v>
      </c>
      <c r="F1230" s="36" t="n">
        <v>0</v>
      </c>
      <c r="G1230" s="36" t="n">
        <v>1</v>
      </c>
      <c r="H1230" s="36" t="n">
        <v>2</v>
      </c>
      <c r="I1230" s="36" t="n">
        <v>2</v>
      </c>
      <c r="J1230" s="36" t="n">
        <v>21</v>
      </c>
      <c r="K1230" s="12" t="n">
        <v>252</v>
      </c>
    </row>
    <row r="1231">
      <c r="A1231" s="33" t="n">
        <v>46322.61597222222</v>
      </c>
      <c r="B1231" s="33" t="n">
        <v>46322.65555555555</v>
      </c>
      <c r="C1231" s="13" t="n">
        <v>46324</v>
      </c>
      <c r="D1231" s="14" t="n">
        <v>0.96875</v>
      </c>
      <c r="E1231" s="37" t="n">
        <v>2</v>
      </c>
      <c r="F1231" s="37" t="n">
        <v>1</v>
      </c>
      <c r="G1231" s="37" t="n">
        <v>0</v>
      </c>
      <c r="H1231" s="37" t="n">
        <v>1</v>
      </c>
      <c r="I1231" s="37" t="n">
        <v>0</v>
      </c>
      <c r="J1231" s="37" t="n">
        <v>6</v>
      </c>
      <c r="K1231" s="16" t="n">
        <v>72</v>
      </c>
    </row>
    <row r="1232">
      <c r="A1232" s="30" t="n">
        <v>46322.61597222222</v>
      </c>
      <c r="B1232" s="30" t="n">
        <v>46322.65555555555</v>
      </c>
      <c r="C1232" s="9" t="n">
        <v>46325</v>
      </c>
      <c r="D1232" s="10" t="n">
        <v>0.8854166666666666</v>
      </c>
      <c r="E1232" s="36" t="n">
        <v>2</v>
      </c>
      <c r="F1232" s="36" t="n">
        <v>1</v>
      </c>
      <c r="G1232" s="36" t="n">
        <v>1</v>
      </c>
      <c r="H1232" s="36" t="n">
        <v>0</v>
      </c>
      <c r="I1232" s="36" t="n">
        <v>0</v>
      </c>
      <c r="J1232" s="36" t="n">
        <v>5</v>
      </c>
      <c r="K1232" s="12" t="n">
        <v>60</v>
      </c>
    </row>
    <row r="1233">
      <c r="A1233" s="33" t="n">
        <v>46322.61597222222</v>
      </c>
      <c r="B1233" s="33" t="n">
        <v>46322.65555555555</v>
      </c>
      <c r="C1233" s="13" t="n">
        <v>46325</v>
      </c>
      <c r="D1233" s="14" t="n">
        <v>0.9270833333333334</v>
      </c>
      <c r="E1233" s="37" t="n">
        <v>2</v>
      </c>
      <c r="F1233" s="37" t="n">
        <v>1</v>
      </c>
      <c r="G1233" s="37" t="n">
        <v>0</v>
      </c>
      <c r="H1233" s="37" t="n">
        <v>1</v>
      </c>
      <c r="I1233" s="37" t="n">
        <v>0</v>
      </c>
      <c r="J1233" s="37" t="n">
        <v>6</v>
      </c>
      <c r="K1233" s="16" t="n">
        <v>72</v>
      </c>
    </row>
    <row r="1234">
      <c r="A1234" s="30" t="n">
        <v>46322.61597222222</v>
      </c>
      <c r="B1234" s="30" t="n">
        <v>46322.65555555555</v>
      </c>
      <c r="C1234" s="9" t="n">
        <v>46325</v>
      </c>
      <c r="D1234" s="10" t="n">
        <v>0.96875</v>
      </c>
      <c r="E1234" s="36" t="n">
        <v>2</v>
      </c>
      <c r="F1234" s="36" t="n">
        <v>0</v>
      </c>
      <c r="G1234" s="36" t="n">
        <v>0</v>
      </c>
      <c r="H1234" s="36" t="n">
        <v>1</v>
      </c>
      <c r="I1234" s="36" t="n">
        <v>1</v>
      </c>
      <c r="J1234" s="36" t="n">
        <v>9</v>
      </c>
      <c r="K1234" s="12" t="n">
        <v>108</v>
      </c>
    </row>
    <row r="1235">
      <c r="A1235" s="33" t="n">
        <v>46322.61597222222</v>
      </c>
      <c r="B1235" s="33" t="n">
        <v>46322.65555555555</v>
      </c>
      <c r="C1235" s="13" t="n">
        <v>46326</v>
      </c>
      <c r="D1235" s="14" t="n">
        <v>0.8854166666666666</v>
      </c>
      <c r="E1235" s="37" t="n">
        <v>2</v>
      </c>
      <c r="F1235" s="37" t="n">
        <v>1</v>
      </c>
      <c r="G1235" s="37" t="n">
        <v>0</v>
      </c>
      <c r="H1235" s="37" t="n">
        <v>0</v>
      </c>
      <c r="I1235" s="37" t="n">
        <v>1</v>
      </c>
      <c r="J1235" s="37" t="n">
        <v>7</v>
      </c>
      <c r="K1235" s="16" t="n">
        <v>84</v>
      </c>
    </row>
    <row r="1236">
      <c r="A1236" s="30" t="n">
        <v>46322.61597222222</v>
      </c>
      <c r="B1236" s="30" t="n">
        <v>46322.65555555555</v>
      </c>
      <c r="C1236" s="9" t="n">
        <v>46327</v>
      </c>
      <c r="D1236" s="10" t="n">
        <v>0.84375</v>
      </c>
      <c r="E1236" s="36" t="n">
        <v>2</v>
      </c>
      <c r="F1236" s="36" t="n">
        <v>0</v>
      </c>
      <c r="G1236" s="36" t="n">
        <v>1</v>
      </c>
      <c r="H1236" s="36" t="n">
        <v>1</v>
      </c>
      <c r="I1236" s="36" t="n">
        <v>0</v>
      </c>
      <c r="J1236" s="36" t="n">
        <v>7</v>
      </c>
      <c r="K1236" s="12" t="n">
        <v>84</v>
      </c>
    </row>
    <row r="1237">
      <c r="A1237" s="33" t="n">
        <v>46322.65555555555</v>
      </c>
      <c r="B1237" s="33" t="n">
        <v>46322.69652777778</v>
      </c>
      <c r="C1237" s="13" t="n">
        <v>46324</v>
      </c>
      <c r="D1237" s="14" t="n">
        <v>0.8854166666666666</v>
      </c>
      <c r="E1237" s="37" t="n">
        <v>2</v>
      </c>
      <c r="F1237" s="37" t="n">
        <v>1</v>
      </c>
      <c r="G1237" s="37" t="n">
        <v>1</v>
      </c>
      <c r="H1237" s="37" t="n">
        <v>0</v>
      </c>
      <c r="I1237" s="37" t="n">
        <v>0</v>
      </c>
      <c r="J1237" s="37" t="n">
        <v>5</v>
      </c>
      <c r="K1237" s="16" t="n">
        <v>60</v>
      </c>
    </row>
    <row r="1238">
      <c r="A1238" s="30" t="n">
        <v>46322.65555555555</v>
      </c>
      <c r="B1238" s="30" t="n">
        <v>46322.69652777778</v>
      </c>
      <c r="C1238" s="9" t="n">
        <v>46324</v>
      </c>
      <c r="D1238" s="10" t="n">
        <v>0.9270833333333334</v>
      </c>
      <c r="E1238" s="36" t="n">
        <v>2</v>
      </c>
      <c r="F1238" s="36" t="n">
        <v>0</v>
      </c>
      <c r="G1238" s="36" t="n">
        <v>1</v>
      </c>
      <c r="H1238" s="36" t="n">
        <v>1</v>
      </c>
      <c r="I1238" s="36" t="n">
        <v>0</v>
      </c>
      <c r="J1238" s="36" t="n">
        <v>7</v>
      </c>
      <c r="K1238" s="12" t="n">
        <v>84</v>
      </c>
    </row>
    <row r="1239">
      <c r="A1239" s="33" t="n">
        <v>46322.65555555555</v>
      </c>
      <c r="B1239" s="33" t="n">
        <v>46322.69652777778</v>
      </c>
      <c r="C1239" s="13" t="n">
        <v>46325</v>
      </c>
      <c r="D1239" s="14" t="n">
        <v>0.8854166666666666</v>
      </c>
      <c r="E1239" s="37" t="n">
        <v>1</v>
      </c>
      <c r="F1239" s="37" t="n">
        <v>0</v>
      </c>
      <c r="G1239" s="37" t="n">
        <v>0</v>
      </c>
      <c r="H1239" s="37" t="n">
        <v>1</v>
      </c>
      <c r="I1239" s="37" t="n">
        <v>0</v>
      </c>
      <c r="J1239" s="37" t="n">
        <v>4</v>
      </c>
      <c r="K1239" s="16" t="n">
        <v>48</v>
      </c>
    </row>
    <row r="1240">
      <c r="A1240" s="30" t="n">
        <v>46322.65555555555</v>
      </c>
      <c r="B1240" s="30" t="n">
        <v>46322.69652777778</v>
      </c>
      <c r="C1240" s="9" t="n">
        <v>46325</v>
      </c>
      <c r="D1240" s="10" t="n">
        <v>0.9270833333333334</v>
      </c>
      <c r="E1240" s="36" t="n">
        <v>3</v>
      </c>
      <c r="F1240" s="36" t="n">
        <v>2</v>
      </c>
      <c r="G1240" s="36" t="n">
        <v>0</v>
      </c>
      <c r="H1240" s="36" t="n">
        <v>1</v>
      </c>
      <c r="I1240" s="36" t="n">
        <v>0</v>
      </c>
      <c r="J1240" s="36" t="n">
        <v>8</v>
      </c>
      <c r="K1240" s="12" t="n">
        <v>96</v>
      </c>
    </row>
    <row r="1241">
      <c r="A1241" s="33" t="n">
        <v>46322.65555555555</v>
      </c>
      <c r="B1241" s="33" t="n">
        <v>46322.69652777778</v>
      </c>
      <c r="C1241" s="13" t="n">
        <v>46326</v>
      </c>
      <c r="D1241" s="14" t="n">
        <v>0.8854166666666666</v>
      </c>
      <c r="E1241" s="37" t="n">
        <v>1</v>
      </c>
      <c r="F1241" s="37" t="n">
        <v>0</v>
      </c>
      <c r="G1241" s="37" t="n">
        <v>0</v>
      </c>
      <c r="H1241" s="37" t="n">
        <v>1</v>
      </c>
      <c r="I1241" s="37" t="n">
        <v>0</v>
      </c>
      <c r="J1241" s="37" t="n">
        <v>4</v>
      </c>
      <c r="K1241" s="16" t="n">
        <v>48</v>
      </c>
    </row>
    <row r="1242">
      <c r="A1242" s="30" t="n">
        <v>46322.69652777778</v>
      </c>
      <c r="B1242" s="30" t="n">
        <v>46322.71527777778</v>
      </c>
      <c r="C1242" s="9" t="n">
        <v>46324</v>
      </c>
      <c r="D1242" s="10" t="n">
        <v>0.96875</v>
      </c>
      <c r="E1242" s="36" t="n">
        <v>1</v>
      </c>
      <c r="F1242" s="36" t="n">
        <v>1</v>
      </c>
      <c r="G1242" s="36" t="n">
        <v>0</v>
      </c>
      <c r="H1242" s="36" t="n">
        <v>0</v>
      </c>
      <c r="I1242" s="36" t="n">
        <v>0</v>
      </c>
      <c r="J1242" s="36" t="n">
        <v>2</v>
      </c>
      <c r="K1242" s="12" t="n">
        <v>24</v>
      </c>
    </row>
    <row r="1243">
      <c r="A1243" s="33" t="n">
        <v>46322.69652777778</v>
      </c>
      <c r="B1243" s="33" t="n">
        <v>46322.71527777778</v>
      </c>
      <c r="C1243" s="13" t="n">
        <v>46325</v>
      </c>
      <c r="D1243" s="14" t="n">
        <v>0.9270833333333334</v>
      </c>
      <c r="E1243" s="37" t="n">
        <v>2</v>
      </c>
      <c r="F1243" s="37" t="n">
        <v>1</v>
      </c>
      <c r="G1243" s="37" t="n">
        <v>0</v>
      </c>
      <c r="H1243" s="37" t="n">
        <v>0</v>
      </c>
      <c r="I1243" s="37" t="n">
        <v>1</v>
      </c>
      <c r="J1243" s="37" t="n">
        <v>7</v>
      </c>
      <c r="K1243" s="16" t="n">
        <v>84</v>
      </c>
    </row>
    <row r="1244">
      <c r="A1244" s="30" t="n">
        <v>46322.69652777778</v>
      </c>
      <c r="B1244" s="30" t="n">
        <v>46322.71527777778</v>
      </c>
      <c r="C1244" s="9" t="n">
        <v>46325</v>
      </c>
      <c r="D1244" s="10" t="n">
        <v>0.96875</v>
      </c>
      <c r="E1244" s="36" t="n">
        <v>1</v>
      </c>
      <c r="F1244" s="36" t="n">
        <v>0</v>
      </c>
      <c r="G1244" s="36" t="n">
        <v>0</v>
      </c>
      <c r="H1244" s="36" t="n">
        <v>1</v>
      </c>
      <c r="I1244" s="36" t="n">
        <v>0</v>
      </c>
      <c r="J1244" s="36" t="n">
        <v>4</v>
      </c>
      <c r="K1244" s="12" t="n">
        <v>48</v>
      </c>
    </row>
    <row r="1245">
      <c r="A1245" s="33" t="n">
        <v>46322.69652777778</v>
      </c>
      <c r="B1245" s="33" t="n">
        <v>46322.71527777778</v>
      </c>
      <c r="C1245" s="13" t="n">
        <v>46326</v>
      </c>
      <c r="D1245" s="14" t="n">
        <v>0.8854166666666666</v>
      </c>
      <c r="E1245" s="37" t="n">
        <v>5</v>
      </c>
      <c r="F1245" s="37" t="n">
        <v>4</v>
      </c>
      <c r="G1245" s="37" t="n">
        <v>0</v>
      </c>
      <c r="H1245" s="37" t="n">
        <v>0</v>
      </c>
      <c r="I1245" s="37" t="n">
        <v>1</v>
      </c>
      <c r="J1245" s="37" t="n">
        <v>13</v>
      </c>
      <c r="K1245" s="16" t="n">
        <v>156</v>
      </c>
    </row>
    <row r="1246">
      <c r="A1246" s="30" t="n">
        <v>46322.71527777778</v>
      </c>
      <c r="B1246" s="30" t="n">
        <v>46322.74652777778</v>
      </c>
      <c r="C1246" s="9" t="n">
        <v>46324</v>
      </c>
      <c r="D1246" s="10" t="n">
        <v>0.84375</v>
      </c>
      <c r="E1246" s="36" t="n">
        <v>1</v>
      </c>
      <c r="F1246" s="36" t="n">
        <v>1</v>
      </c>
      <c r="G1246" s="36" t="n">
        <v>0</v>
      </c>
      <c r="H1246" s="36" t="n">
        <v>0</v>
      </c>
      <c r="I1246" s="36" t="n">
        <v>0</v>
      </c>
      <c r="J1246" s="36" t="n">
        <v>2</v>
      </c>
      <c r="K1246" s="12" t="n">
        <v>24</v>
      </c>
    </row>
    <row r="1247">
      <c r="A1247" s="33" t="n">
        <v>46322.71527777778</v>
      </c>
      <c r="B1247" s="33" t="n">
        <v>46322.74652777778</v>
      </c>
      <c r="C1247" s="13" t="n">
        <v>46324</v>
      </c>
      <c r="D1247" s="14" t="n">
        <v>0.9270833333333334</v>
      </c>
      <c r="E1247" s="37" t="n">
        <v>1</v>
      </c>
      <c r="F1247" s="37" t="n">
        <v>0</v>
      </c>
      <c r="G1247" s="37" t="n">
        <v>0</v>
      </c>
      <c r="H1247" s="37" t="n">
        <v>1</v>
      </c>
      <c r="I1247" s="37" t="n">
        <v>0</v>
      </c>
      <c r="J1247" s="37" t="n">
        <v>4</v>
      </c>
      <c r="K1247" s="16" t="n">
        <v>48</v>
      </c>
    </row>
    <row r="1248">
      <c r="A1248" s="30" t="n">
        <v>46322.71527777778</v>
      </c>
      <c r="B1248" s="30" t="n">
        <v>46322.74652777778</v>
      </c>
      <c r="C1248" s="9" t="n">
        <v>46324</v>
      </c>
      <c r="D1248" s="10" t="n">
        <v>0.96875</v>
      </c>
      <c r="E1248" s="36" t="n">
        <v>2</v>
      </c>
      <c r="F1248" s="36" t="n">
        <v>0</v>
      </c>
      <c r="G1248" s="36" t="n">
        <v>0</v>
      </c>
      <c r="H1248" s="36" t="n">
        <v>1</v>
      </c>
      <c r="I1248" s="36" t="n">
        <v>1</v>
      </c>
      <c r="J1248" s="36" t="n">
        <v>9</v>
      </c>
      <c r="K1248" s="12" t="n">
        <v>108</v>
      </c>
    </row>
    <row r="1249">
      <c r="A1249" s="33" t="n">
        <v>46322.71527777778</v>
      </c>
      <c r="B1249" s="33" t="n">
        <v>46322.74652777778</v>
      </c>
      <c r="C1249" s="13" t="n">
        <v>46324</v>
      </c>
      <c r="D1249" s="14" t="n">
        <v>0.9993055555555556</v>
      </c>
      <c r="E1249" s="37" t="n">
        <v>1</v>
      </c>
      <c r="F1249" s="37" t="n">
        <v>1</v>
      </c>
      <c r="G1249" s="37" t="n">
        <v>0</v>
      </c>
      <c r="H1249" s="37" t="n">
        <v>0</v>
      </c>
      <c r="I1249" s="37" t="n">
        <v>0</v>
      </c>
      <c r="J1249" s="37" t="n">
        <v>2</v>
      </c>
      <c r="K1249" s="16" t="n">
        <v>24</v>
      </c>
    </row>
    <row r="1250">
      <c r="A1250" s="30" t="n">
        <v>46322.71527777778</v>
      </c>
      <c r="B1250" s="30" t="n">
        <v>46322.74652777778</v>
      </c>
      <c r="C1250" s="9" t="n">
        <v>46325</v>
      </c>
      <c r="D1250" s="10" t="n">
        <v>0.96875</v>
      </c>
      <c r="E1250" s="36" t="n">
        <v>1</v>
      </c>
      <c r="F1250" s="36" t="n">
        <v>0</v>
      </c>
      <c r="G1250" s="36" t="n">
        <v>1</v>
      </c>
      <c r="H1250" s="36" t="n">
        <v>0</v>
      </c>
      <c r="I1250" s="36" t="n">
        <v>0</v>
      </c>
      <c r="J1250" s="36" t="n">
        <v>3</v>
      </c>
      <c r="K1250" s="12" t="n">
        <v>36</v>
      </c>
    </row>
    <row r="1251">
      <c r="A1251" s="33" t="n">
        <v>46322.71527777778</v>
      </c>
      <c r="B1251" s="33" t="n">
        <v>46322.74652777778</v>
      </c>
      <c r="C1251" s="13" t="n">
        <v>46325</v>
      </c>
      <c r="D1251" s="14" t="n">
        <v>0.9993055555555556</v>
      </c>
      <c r="E1251" s="37" t="n">
        <v>2</v>
      </c>
      <c r="F1251" s="37" t="n">
        <v>1</v>
      </c>
      <c r="G1251" s="37" t="n">
        <v>0</v>
      </c>
      <c r="H1251" s="37" t="n">
        <v>1</v>
      </c>
      <c r="I1251" s="37" t="n">
        <v>0</v>
      </c>
      <c r="J1251" s="37" t="n">
        <v>6</v>
      </c>
      <c r="K1251" s="16" t="n">
        <v>72</v>
      </c>
    </row>
    <row r="1252">
      <c r="A1252" s="30" t="n">
        <v>46322.71527777778</v>
      </c>
      <c r="B1252" s="30" t="n">
        <v>46322.74652777778</v>
      </c>
      <c r="C1252" s="9" t="n">
        <v>46326</v>
      </c>
      <c r="D1252" s="10" t="n">
        <v>0.8020833333333334</v>
      </c>
      <c r="E1252" s="36" t="n">
        <v>1</v>
      </c>
      <c r="F1252" s="36" t="n">
        <v>0</v>
      </c>
      <c r="G1252" s="36" t="n">
        <v>0</v>
      </c>
      <c r="H1252" s="36" t="n">
        <v>1</v>
      </c>
      <c r="I1252" s="36" t="n">
        <v>0</v>
      </c>
      <c r="J1252" s="36" t="n">
        <v>4</v>
      </c>
      <c r="K1252" s="12" t="n">
        <v>48</v>
      </c>
    </row>
    <row r="1253">
      <c r="A1253" s="33" t="n">
        <v>46322.71527777778</v>
      </c>
      <c r="B1253" s="33" t="n">
        <v>46322.74652777778</v>
      </c>
      <c r="C1253" s="13" t="n">
        <v>46326</v>
      </c>
      <c r="D1253" s="14" t="n">
        <v>0.8854166666666666</v>
      </c>
      <c r="E1253" s="37" t="n">
        <v>3</v>
      </c>
      <c r="F1253" s="37" t="n">
        <v>2</v>
      </c>
      <c r="G1253" s="37" t="n">
        <v>0</v>
      </c>
      <c r="H1253" s="37" t="n">
        <v>1</v>
      </c>
      <c r="I1253" s="37" t="n">
        <v>0</v>
      </c>
      <c r="J1253" s="37" t="n">
        <v>8</v>
      </c>
      <c r="K1253" s="16" t="n">
        <v>96</v>
      </c>
    </row>
    <row r="1254">
      <c r="A1254" s="30" t="n">
        <v>46322.71527777778</v>
      </c>
      <c r="B1254" s="30" t="n">
        <v>46322.74652777778</v>
      </c>
      <c r="C1254" s="9" t="n">
        <v>46327</v>
      </c>
      <c r="D1254" s="10" t="n">
        <v>0.9270833333333334</v>
      </c>
      <c r="E1254" s="36" t="n">
        <v>2</v>
      </c>
      <c r="F1254" s="36" t="n">
        <v>0</v>
      </c>
      <c r="G1254" s="36" t="n">
        <v>0</v>
      </c>
      <c r="H1254" s="36" t="n">
        <v>2</v>
      </c>
      <c r="I1254" s="36" t="n">
        <v>0</v>
      </c>
      <c r="J1254" s="36" t="n">
        <v>8</v>
      </c>
      <c r="K1254" s="12" t="n">
        <v>96</v>
      </c>
    </row>
    <row r="1255">
      <c r="A1255" s="33" t="n">
        <v>46322.74652777778</v>
      </c>
      <c r="B1255" s="33" t="n">
        <v>46322.77847222222</v>
      </c>
      <c r="C1255" s="13" t="n">
        <v>46324</v>
      </c>
      <c r="D1255" s="14" t="n">
        <v>0.84375</v>
      </c>
      <c r="E1255" s="37" t="n">
        <v>1</v>
      </c>
      <c r="F1255" s="37" t="n">
        <v>1</v>
      </c>
      <c r="G1255" s="37" t="n">
        <v>0</v>
      </c>
      <c r="H1255" s="37" t="n">
        <v>0</v>
      </c>
      <c r="I1255" s="37" t="n">
        <v>0</v>
      </c>
      <c r="J1255" s="37" t="n">
        <v>2</v>
      </c>
      <c r="K1255" s="16" t="n">
        <v>24</v>
      </c>
    </row>
    <row r="1256">
      <c r="A1256" s="30" t="n">
        <v>46322.74652777778</v>
      </c>
      <c r="B1256" s="30" t="n">
        <v>46322.77847222222</v>
      </c>
      <c r="C1256" s="9" t="n">
        <v>46324</v>
      </c>
      <c r="D1256" s="10" t="n">
        <v>0.9270833333333334</v>
      </c>
      <c r="E1256" s="36" t="n">
        <v>-1</v>
      </c>
      <c r="F1256" s="36" t="n">
        <v>0</v>
      </c>
      <c r="G1256" s="36" t="n">
        <v>0</v>
      </c>
      <c r="H1256" s="36" t="n">
        <v>0</v>
      </c>
      <c r="I1256" s="36" t="n">
        <v>-1</v>
      </c>
      <c r="J1256" s="36" t="n">
        <v>-5</v>
      </c>
      <c r="K1256" s="12" t="n">
        <v>-60</v>
      </c>
    </row>
    <row r="1257">
      <c r="A1257" s="33" t="n">
        <v>46322.74652777778</v>
      </c>
      <c r="B1257" s="33" t="n">
        <v>46322.77847222222</v>
      </c>
      <c r="C1257" s="13" t="n">
        <v>46324</v>
      </c>
      <c r="D1257" s="14" t="n">
        <v>0.96875</v>
      </c>
      <c r="E1257" s="37" t="n">
        <v>2</v>
      </c>
      <c r="F1257" s="37" t="n">
        <v>0</v>
      </c>
      <c r="G1257" s="37" t="n">
        <v>0</v>
      </c>
      <c r="H1257" s="37" t="n">
        <v>1</v>
      </c>
      <c r="I1257" s="37" t="n">
        <v>1</v>
      </c>
      <c r="J1257" s="37" t="n">
        <v>9</v>
      </c>
      <c r="K1257" s="16" t="n">
        <v>108</v>
      </c>
    </row>
    <row r="1258">
      <c r="A1258" s="30" t="n">
        <v>46322.74652777778</v>
      </c>
      <c r="B1258" s="30" t="n">
        <v>46322.77847222222</v>
      </c>
      <c r="C1258" s="9" t="n">
        <v>46325</v>
      </c>
      <c r="D1258" s="10" t="n">
        <v>0.84375</v>
      </c>
      <c r="E1258" s="36" t="n">
        <v>2</v>
      </c>
      <c r="F1258" s="36" t="n">
        <v>2</v>
      </c>
      <c r="G1258" s="36" t="n">
        <v>0</v>
      </c>
      <c r="H1258" s="36" t="n">
        <v>0</v>
      </c>
      <c r="I1258" s="36" t="n">
        <v>0</v>
      </c>
      <c r="J1258" s="36" t="n">
        <v>4</v>
      </c>
      <c r="K1258" s="12" t="n">
        <v>48</v>
      </c>
    </row>
    <row r="1259">
      <c r="A1259" s="33" t="n">
        <v>46322.74652777778</v>
      </c>
      <c r="B1259" s="33" t="n">
        <v>46322.77847222222</v>
      </c>
      <c r="C1259" s="13" t="n">
        <v>46325</v>
      </c>
      <c r="D1259" s="14" t="n">
        <v>0.8854166666666666</v>
      </c>
      <c r="E1259" s="37" t="n">
        <v>4</v>
      </c>
      <c r="F1259" s="37" t="n">
        <v>1</v>
      </c>
      <c r="G1259" s="37" t="n">
        <v>3</v>
      </c>
      <c r="H1259" s="37" t="n">
        <v>0</v>
      </c>
      <c r="I1259" s="37" t="n">
        <v>0</v>
      </c>
      <c r="J1259" s="37" t="n">
        <v>11</v>
      </c>
      <c r="K1259" s="16" t="n">
        <v>132</v>
      </c>
    </row>
    <row r="1260">
      <c r="A1260" s="30" t="n">
        <v>46322.74652777778</v>
      </c>
      <c r="B1260" s="30" t="n">
        <v>46322.77847222222</v>
      </c>
      <c r="C1260" s="9" t="n">
        <v>46325</v>
      </c>
      <c r="D1260" s="10" t="n">
        <v>0.9270833333333334</v>
      </c>
      <c r="E1260" s="36" t="n">
        <v>4</v>
      </c>
      <c r="F1260" s="36" t="n">
        <v>1</v>
      </c>
      <c r="G1260" s="36" t="n">
        <v>0</v>
      </c>
      <c r="H1260" s="36" t="n">
        <v>2</v>
      </c>
      <c r="I1260" s="36" t="n">
        <v>1</v>
      </c>
      <c r="J1260" s="36" t="n">
        <v>15</v>
      </c>
      <c r="K1260" s="12" t="n">
        <v>180</v>
      </c>
    </row>
    <row r="1261">
      <c r="A1261" s="33" t="n">
        <v>46322.74652777778</v>
      </c>
      <c r="B1261" s="33" t="n">
        <v>46322.77847222222</v>
      </c>
      <c r="C1261" s="13" t="n">
        <v>46325</v>
      </c>
      <c r="D1261" s="14" t="n">
        <v>0.96875</v>
      </c>
      <c r="E1261" s="37" t="n">
        <v>1</v>
      </c>
      <c r="F1261" s="37" t="n">
        <v>0</v>
      </c>
      <c r="G1261" s="37" t="n">
        <v>0</v>
      </c>
      <c r="H1261" s="37" t="n">
        <v>0</v>
      </c>
      <c r="I1261" s="37" t="n">
        <v>1</v>
      </c>
      <c r="J1261" s="37" t="n">
        <v>5</v>
      </c>
      <c r="K1261" s="16" t="n">
        <v>60</v>
      </c>
    </row>
    <row r="1262">
      <c r="A1262" s="30" t="n">
        <v>46322.74652777778</v>
      </c>
      <c r="B1262" s="30" t="n">
        <v>46322.77847222222</v>
      </c>
      <c r="C1262" s="9" t="n">
        <v>46325</v>
      </c>
      <c r="D1262" s="10" t="n">
        <v>0.9993055555555556</v>
      </c>
      <c r="E1262" s="36" t="n">
        <v>1</v>
      </c>
      <c r="F1262" s="36" t="n">
        <v>0</v>
      </c>
      <c r="G1262" s="36" t="n">
        <v>0</v>
      </c>
      <c r="H1262" s="36" t="n">
        <v>0</v>
      </c>
      <c r="I1262" s="36" t="n">
        <v>1</v>
      </c>
      <c r="J1262" s="36" t="n">
        <v>5</v>
      </c>
      <c r="K1262" s="12" t="n">
        <v>60</v>
      </c>
    </row>
    <row r="1263">
      <c r="A1263" s="33" t="n">
        <v>46322.74652777778</v>
      </c>
      <c r="B1263" s="33" t="n">
        <v>46322.77847222222</v>
      </c>
      <c r="C1263" s="13" t="n">
        <v>46326</v>
      </c>
      <c r="D1263" s="14" t="n">
        <v>0.8854166666666666</v>
      </c>
      <c r="E1263" s="37" t="n">
        <v>4</v>
      </c>
      <c r="F1263" s="37" t="n">
        <v>2</v>
      </c>
      <c r="G1263" s="37" t="n">
        <v>0</v>
      </c>
      <c r="H1263" s="37" t="n">
        <v>2</v>
      </c>
      <c r="I1263" s="37" t="n">
        <v>0</v>
      </c>
      <c r="J1263" s="37" t="n">
        <v>12</v>
      </c>
      <c r="K1263" s="16" t="n">
        <v>144</v>
      </c>
    </row>
    <row r="1264">
      <c r="A1264" s="30" t="n">
        <v>46322.74652777778</v>
      </c>
      <c r="B1264" s="30" t="n">
        <v>46322.77847222222</v>
      </c>
      <c r="C1264" s="9" t="n">
        <v>46327</v>
      </c>
      <c r="D1264" s="10" t="n">
        <v>0.9270833333333334</v>
      </c>
      <c r="E1264" s="36" t="n">
        <v>1</v>
      </c>
      <c r="F1264" s="36" t="n">
        <v>1</v>
      </c>
      <c r="G1264" s="36" t="n">
        <v>0</v>
      </c>
      <c r="H1264" s="36" t="n">
        <v>0</v>
      </c>
      <c r="I1264" s="36" t="n">
        <v>0</v>
      </c>
      <c r="J1264" s="36" t="n">
        <v>2</v>
      </c>
      <c r="K1264" s="12" t="n">
        <v>24</v>
      </c>
    </row>
    <row r="1265">
      <c r="A1265" s="33" t="n">
        <v>46322.77847222222</v>
      </c>
      <c r="B1265" s="33" t="n">
        <v>46322.78541666667</v>
      </c>
      <c r="C1265" s="13" t="n">
        <v>46325</v>
      </c>
      <c r="D1265" s="14" t="n">
        <v>0.84375</v>
      </c>
      <c r="E1265" s="37" t="n">
        <v>1</v>
      </c>
      <c r="F1265" s="37" t="n">
        <v>1</v>
      </c>
      <c r="G1265" s="37" t="n">
        <v>0</v>
      </c>
      <c r="H1265" s="37" t="n">
        <v>0</v>
      </c>
      <c r="I1265" s="37" t="n">
        <v>0</v>
      </c>
      <c r="J1265" s="37" t="n">
        <v>2</v>
      </c>
      <c r="K1265" s="16" t="n">
        <v>24</v>
      </c>
    </row>
    <row r="1266">
      <c r="A1266" s="30" t="n">
        <v>46322.77847222222</v>
      </c>
      <c r="B1266" s="30" t="n">
        <v>46322.78541666667</v>
      </c>
      <c r="C1266" s="9" t="n">
        <v>46326</v>
      </c>
      <c r="D1266" s="10" t="n">
        <v>0.84375</v>
      </c>
      <c r="E1266" s="36" t="n">
        <v>1</v>
      </c>
      <c r="F1266" s="36" t="n">
        <v>1</v>
      </c>
      <c r="G1266" s="36" t="n">
        <v>0</v>
      </c>
      <c r="H1266" s="36" t="n">
        <v>0</v>
      </c>
      <c r="I1266" s="36" t="n">
        <v>0</v>
      </c>
      <c r="J1266" s="36" t="n">
        <v>2</v>
      </c>
      <c r="K1266" s="12" t="n">
        <v>24</v>
      </c>
    </row>
    <row r="1267">
      <c r="A1267" s="33" t="n">
        <v>46322.77847222222</v>
      </c>
      <c r="B1267" s="33" t="n">
        <v>46322.78541666667</v>
      </c>
      <c r="C1267" s="13" t="n">
        <v>46327</v>
      </c>
      <c r="D1267" s="14" t="n">
        <v>0.9270833333333334</v>
      </c>
      <c r="E1267" s="37" t="n">
        <v>1</v>
      </c>
      <c r="F1267" s="37" t="n">
        <v>1</v>
      </c>
      <c r="G1267" s="37" t="n">
        <v>0</v>
      </c>
      <c r="H1267" s="37" t="n">
        <v>0</v>
      </c>
      <c r="I1267" s="37" t="n">
        <v>0</v>
      </c>
      <c r="J1267" s="37" t="n">
        <v>2</v>
      </c>
      <c r="K1267" s="16" t="n">
        <v>24</v>
      </c>
    </row>
    <row r="1268">
      <c r="A1268" s="30" t="n">
        <v>46322.77847222222</v>
      </c>
      <c r="B1268" s="30" t="n">
        <v>46322.78541666667</v>
      </c>
      <c r="C1268" s="9" t="n">
        <v>46327</v>
      </c>
      <c r="D1268" s="10" t="n">
        <v>0.96875</v>
      </c>
      <c r="E1268" s="36" t="n">
        <v>2</v>
      </c>
      <c r="F1268" s="36" t="n">
        <v>0</v>
      </c>
      <c r="G1268" s="36" t="n">
        <v>0</v>
      </c>
      <c r="H1268" s="36" t="n">
        <v>2</v>
      </c>
      <c r="I1268" s="36" t="n">
        <v>0</v>
      </c>
      <c r="J1268" s="36" t="n">
        <v>8</v>
      </c>
      <c r="K1268" s="12" t="n">
        <v>96</v>
      </c>
    </row>
    <row r="1269">
      <c r="A1269" s="33" t="n">
        <v>46322.78541666667</v>
      </c>
      <c r="B1269" s="33" t="n">
        <v>46322.7875</v>
      </c>
      <c r="C1269" s="13" t="n">
        <v>46324</v>
      </c>
      <c r="D1269" s="14" t="n">
        <v>0.96875</v>
      </c>
      <c r="E1269" s="37" t="n">
        <v>1</v>
      </c>
      <c r="F1269" s="37" t="n">
        <v>1</v>
      </c>
      <c r="G1269" s="37" t="n">
        <v>0</v>
      </c>
      <c r="H1269" s="37" t="n">
        <v>0</v>
      </c>
      <c r="I1269" s="37" t="n">
        <v>0</v>
      </c>
      <c r="J1269" s="37" t="n">
        <v>2</v>
      </c>
      <c r="K1269" s="16" t="n">
        <v>24</v>
      </c>
    </row>
    <row r="1270">
      <c r="A1270" s="30" t="n">
        <v>46322.7875</v>
      </c>
      <c r="B1270" s="30" t="n">
        <v>46322.81388888889</v>
      </c>
      <c r="C1270" s="9" t="n">
        <v>46324</v>
      </c>
      <c r="D1270" s="10" t="n">
        <v>0.8854166666666666</v>
      </c>
      <c r="E1270" s="36" t="n">
        <v>1</v>
      </c>
      <c r="F1270" s="36" t="n">
        <v>1</v>
      </c>
      <c r="G1270" s="36" t="n">
        <v>0</v>
      </c>
      <c r="H1270" s="36" t="n">
        <v>0</v>
      </c>
      <c r="I1270" s="36" t="n">
        <v>0</v>
      </c>
      <c r="J1270" s="36" t="n">
        <v>2</v>
      </c>
      <c r="K1270" s="12" t="n">
        <v>24</v>
      </c>
    </row>
    <row r="1271">
      <c r="A1271" s="33" t="n">
        <v>46322.7875</v>
      </c>
      <c r="B1271" s="33" t="n">
        <v>46322.81388888889</v>
      </c>
      <c r="C1271" s="13" t="n">
        <v>46324</v>
      </c>
      <c r="D1271" s="14" t="n">
        <v>0.9270833333333334</v>
      </c>
      <c r="E1271" s="37" t="n">
        <v>1</v>
      </c>
      <c r="F1271" s="37" t="n">
        <v>1</v>
      </c>
      <c r="G1271" s="37" t="n">
        <v>0</v>
      </c>
      <c r="H1271" s="37" t="n">
        <v>0</v>
      </c>
      <c r="I1271" s="37" t="n">
        <v>0</v>
      </c>
      <c r="J1271" s="37" t="n">
        <v>2</v>
      </c>
      <c r="K1271" s="16" t="n">
        <v>24</v>
      </c>
    </row>
    <row r="1272">
      <c r="A1272" s="30" t="n">
        <v>46322.7875</v>
      </c>
      <c r="B1272" s="30" t="n">
        <v>46322.81388888889</v>
      </c>
      <c r="C1272" s="9" t="n">
        <v>46324</v>
      </c>
      <c r="D1272" s="10" t="n">
        <v>0.96875</v>
      </c>
      <c r="E1272" s="36" t="n">
        <v>2</v>
      </c>
      <c r="F1272" s="36" t="n">
        <v>0</v>
      </c>
      <c r="G1272" s="36" t="n">
        <v>1</v>
      </c>
      <c r="H1272" s="36" t="n">
        <v>1</v>
      </c>
      <c r="I1272" s="36" t="n">
        <v>0</v>
      </c>
      <c r="J1272" s="36" t="n">
        <v>7</v>
      </c>
      <c r="K1272" s="12" t="n">
        <v>84</v>
      </c>
    </row>
    <row r="1273">
      <c r="A1273" s="33" t="n">
        <v>46322.7875</v>
      </c>
      <c r="B1273" s="33" t="n">
        <v>46322.81388888889</v>
      </c>
      <c r="C1273" s="13" t="n">
        <v>46325</v>
      </c>
      <c r="D1273" s="14" t="n">
        <v>0.8854166666666666</v>
      </c>
      <c r="E1273" s="37" t="n">
        <v>1</v>
      </c>
      <c r="F1273" s="37" t="n">
        <v>0</v>
      </c>
      <c r="G1273" s="37" t="n">
        <v>0</v>
      </c>
      <c r="H1273" s="37" t="n">
        <v>1</v>
      </c>
      <c r="I1273" s="37" t="n">
        <v>0</v>
      </c>
      <c r="J1273" s="37" t="n">
        <v>4</v>
      </c>
      <c r="K1273" s="16" t="n">
        <v>48</v>
      </c>
    </row>
    <row r="1274">
      <c r="A1274" s="30" t="n">
        <v>46322.7875</v>
      </c>
      <c r="B1274" s="30" t="n">
        <v>46322.81388888889</v>
      </c>
      <c r="C1274" s="9" t="n">
        <v>46325</v>
      </c>
      <c r="D1274" s="10" t="n">
        <v>0.9270833333333334</v>
      </c>
      <c r="E1274" s="36" t="n">
        <v>2</v>
      </c>
      <c r="F1274" s="36" t="n">
        <v>1</v>
      </c>
      <c r="G1274" s="36" t="n">
        <v>0</v>
      </c>
      <c r="H1274" s="36" t="n">
        <v>1</v>
      </c>
      <c r="I1274" s="36" t="n">
        <v>0</v>
      </c>
      <c r="J1274" s="36" t="n">
        <v>6</v>
      </c>
      <c r="K1274" s="12" t="n">
        <v>72</v>
      </c>
    </row>
    <row r="1275">
      <c r="A1275" s="33" t="n">
        <v>46322.7875</v>
      </c>
      <c r="B1275" s="33" t="n">
        <v>46322.81388888889</v>
      </c>
      <c r="C1275" s="13" t="n">
        <v>46326</v>
      </c>
      <c r="D1275" s="14" t="n">
        <v>0.84375</v>
      </c>
      <c r="E1275" s="37" t="n">
        <v>2</v>
      </c>
      <c r="F1275" s="37" t="n">
        <v>1</v>
      </c>
      <c r="G1275" s="37" t="n">
        <v>0</v>
      </c>
      <c r="H1275" s="37" t="n">
        <v>0</v>
      </c>
      <c r="I1275" s="37" t="n">
        <v>1</v>
      </c>
      <c r="J1275" s="37" t="n">
        <v>7</v>
      </c>
      <c r="K1275" s="16" t="n">
        <v>84</v>
      </c>
    </row>
    <row r="1276">
      <c r="A1276" s="30" t="n">
        <v>46322.7875</v>
      </c>
      <c r="B1276" s="30" t="n">
        <v>46322.81388888889</v>
      </c>
      <c r="C1276" s="9" t="n">
        <v>46326</v>
      </c>
      <c r="D1276" s="10" t="n">
        <v>0.8854166666666666</v>
      </c>
      <c r="E1276" s="36" t="n">
        <v>1</v>
      </c>
      <c r="F1276" s="36" t="n">
        <v>1</v>
      </c>
      <c r="G1276" s="36" t="n">
        <v>0</v>
      </c>
      <c r="H1276" s="36" t="n">
        <v>0</v>
      </c>
      <c r="I1276" s="36" t="n">
        <v>0</v>
      </c>
      <c r="J1276" s="36" t="n">
        <v>2</v>
      </c>
      <c r="K1276" s="12" t="n">
        <v>24</v>
      </c>
    </row>
    <row r="1277">
      <c r="A1277" s="33" t="n">
        <v>46322.7875</v>
      </c>
      <c r="B1277" s="33" t="n">
        <v>46322.81388888889</v>
      </c>
      <c r="C1277" s="13" t="n">
        <v>46327</v>
      </c>
      <c r="D1277" s="14" t="n">
        <v>0.9270833333333334</v>
      </c>
      <c r="E1277" s="37" t="n">
        <v>2</v>
      </c>
      <c r="F1277" s="37" t="n">
        <v>2</v>
      </c>
      <c r="G1277" s="37" t="n">
        <v>0</v>
      </c>
      <c r="H1277" s="37" t="n">
        <v>0</v>
      </c>
      <c r="I1277" s="37" t="n">
        <v>0</v>
      </c>
      <c r="J1277" s="37" t="n">
        <v>4</v>
      </c>
      <c r="K1277" s="16" t="n">
        <v>48</v>
      </c>
    </row>
    <row r="1278">
      <c r="A1278" s="30" t="n">
        <v>46322.7875</v>
      </c>
      <c r="B1278" s="30" t="n">
        <v>46322.81388888889</v>
      </c>
      <c r="C1278" s="9" t="n">
        <v>46327</v>
      </c>
      <c r="D1278" s="10" t="n">
        <v>0.9993055555555556</v>
      </c>
      <c r="E1278" s="36" t="n">
        <v>1</v>
      </c>
      <c r="F1278" s="36" t="n">
        <v>0</v>
      </c>
      <c r="G1278" s="36" t="n">
        <v>0</v>
      </c>
      <c r="H1278" s="36" t="n">
        <v>1</v>
      </c>
      <c r="I1278" s="36" t="n">
        <v>0</v>
      </c>
      <c r="J1278" s="36" t="n">
        <v>4</v>
      </c>
      <c r="K1278" s="12" t="n">
        <v>48</v>
      </c>
    </row>
    <row r="1279">
      <c r="A1279" s="33" t="n">
        <v>46322.81388888889</v>
      </c>
      <c r="B1279" s="33" t="n">
        <v>46322.81805555556</v>
      </c>
      <c r="C1279" s="13" t="n">
        <v>46326</v>
      </c>
      <c r="D1279" s="14" t="n">
        <v>0.8020833333333334</v>
      </c>
      <c r="E1279" s="37" t="n">
        <v>1</v>
      </c>
      <c r="F1279" s="37" t="n">
        <v>0</v>
      </c>
      <c r="G1279" s="37" t="n">
        <v>1</v>
      </c>
      <c r="H1279" s="37" t="n">
        <v>0</v>
      </c>
      <c r="I1279" s="37" t="n">
        <v>0</v>
      </c>
      <c r="J1279" s="37" t="n">
        <v>3</v>
      </c>
      <c r="K1279" s="16" t="n">
        <v>36</v>
      </c>
    </row>
    <row r="1280">
      <c r="A1280" s="30" t="n">
        <v>46322.81805555556</v>
      </c>
      <c r="B1280" s="30" t="n">
        <v>46322.82361111111</v>
      </c>
      <c r="C1280" s="9" t="n">
        <v>46324</v>
      </c>
      <c r="D1280" s="10" t="n">
        <v>0.96875</v>
      </c>
      <c r="E1280" s="36" t="n">
        <v>1</v>
      </c>
      <c r="F1280" s="36" t="n">
        <v>0</v>
      </c>
      <c r="G1280" s="36" t="n">
        <v>0</v>
      </c>
      <c r="H1280" s="36" t="n">
        <v>1</v>
      </c>
      <c r="I1280" s="36" t="n">
        <v>0</v>
      </c>
      <c r="J1280" s="36" t="n">
        <v>4</v>
      </c>
      <c r="K1280" s="12" t="n">
        <v>48</v>
      </c>
    </row>
    <row r="1281">
      <c r="A1281" s="33" t="n">
        <v>46322.81805555556</v>
      </c>
      <c r="B1281" s="33" t="n">
        <v>46322.82361111111</v>
      </c>
      <c r="C1281" s="13" t="n">
        <v>46325</v>
      </c>
      <c r="D1281" s="14" t="n">
        <v>0.8854166666666666</v>
      </c>
      <c r="E1281" s="37" t="n">
        <v>1</v>
      </c>
      <c r="F1281" s="37" t="n">
        <v>0</v>
      </c>
      <c r="G1281" s="37" t="n">
        <v>0</v>
      </c>
      <c r="H1281" s="37" t="n">
        <v>1</v>
      </c>
      <c r="I1281" s="37" t="n">
        <v>0</v>
      </c>
      <c r="J1281" s="37" t="n">
        <v>4</v>
      </c>
      <c r="K1281" s="16" t="n">
        <v>48</v>
      </c>
    </row>
    <row r="1282">
      <c r="A1282" s="30" t="n">
        <v>46322.81805555556</v>
      </c>
      <c r="B1282" s="30" t="n">
        <v>46322.82361111111</v>
      </c>
      <c r="C1282" s="9" t="n">
        <v>46326</v>
      </c>
      <c r="D1282" s="10" t="n">
        <v>0.8020833333333334</v>
      </c>
      <c r="E1282" s="36" t="n">
        <v>1</v>
      </c>
      <c r="F1282" s="36" t="n">
        <v>1</v>
      </c>
      <c r="G1282" s="36" t="n">
        <v>0</v>
      </c>
      <c r="H1282" s="36" t="n">
        <v>0</v>
      </c>
      <c r="I1282" s="36" t="n">
        <v>0</v>
      </c>
      <c r="J1282" s="36" t="n">
        <v>2</v>
      </c>
      <c r="K1282" s="12" t="n">
        <v>24</v>
      </c>
    </row>
    <row r="1283">
      <c r="A1283" s="33" t="n">
        <v>46322.82361111111</v>
      </c>
      <c r="B1283" s="33" t="n">
        <v>46322.85972222222</v>
      </c>
      <c r="C1283" s="13" t="n">
        <v>46324</v>
      </c>
      <c r="D1283" s="14" t="n">
        <v>0.8854166666666666</v>
      </c>
      <c r="E1283" s="37" t="n">
        <v>2</v>
      </c>
      <c r="F1283" s="37" t="n">
        <v>0</v>
      </c>
      <c r="G1283" s="37" t="n">
        <v>0</v>
      </c>
      <c r="H1283" s="37" t="n">
        <v>1</v>
      </c>
      <c r="I1283" s="37" t="n">
        <v>1</v>
      </c>
      <c r="J1283" s="37" t="n">
        <v>9</v>
      </c>
      <c r="K1283" s="16" t="n">
        <v>108</v>
      </c>
    </row>
    <row r="1284">
      <c r="A1284" s="30" t="n">
        <v>46322.82361111111</v>
      </c>
      <c r="B1284" s="30" t="n">
        <v>46322.85972222222</v>
      </c>
      <c r="C1284" s="9" t="n">
        <v>46324</v>
      </c>
      <c r="D1284" s="10" t="n">
        <v>0.96875</v>
      </c>
      <c r="E1284" s="36" t="n">
        <v>2</v>
      </c>
      <c r="F1284" s="36" t="n">
        <v>0</v>
      </c>
      <c r="G1284" s="36" t="n">
        <v>0</v>
      </c>
      <c r="H1284" s="36" t="n">
        <v>2</v>
      </c>
      <c r="I1284" s="36" t="n">
        <v>0</v>
      </c>
      <c r="J1284" s="36" t="n">
        <v>8</v>
      </c>
      <c r="K1284" s="12" t="n">
        <v>96</v>
      </c>
    </row>
    <row r="1285">
      <c r="A1285" s="33" t="n">
        <v>46322.82361111111</v>
      </c>
      <c r="B1285" s="33" t="n">
        <v>46322.85972222222</v>
      </c>
      <c r="C1285" s="13" t="n">
        <v>46324</v>
      </c>
      <c r="D1285" s="14" t="n">
        <v>0.9993055555555556</v>
      </c>
      <c r="E1285" s="37" t="n">
        <v>1</v>
      </c>
      <c r="F1285" s="37" t="n">
        <v>1</v>
      </c>
      <c r="G1285" s="37" t="n">
        <v>0</v>
      </c>
      <c r="H1285" s="37" t="n">
        <v>0</v>
      </c>
      <c r="I1285" s="37" t="n">
        <v>0</v>
      </c>
      <c r="J1285" s="37" t="n">
        <v>2</v>
      </c>
      <c r="K1285" s="16" t="n">
        <v>24</v>
      </c>
    </row>
    <row r="1286">
      <c r="A1286" s="30" t="n">
        <v>46322.82361111111</v>
      </c>
      <c r="B1286" s="30" t="n">
        <v>46322.85972222222</v>
      </c>
      <c r="C1286" s="9" t="n">
        <v>46325</v>
      </c>
      <c r="D1286" s="10" t="n">
        <v>0.8854166666666666</v>
      </c>
      <c r="E1286" s="36" t="n">
        <v>2</v>
      </c>
      <c r="F1286" s="36" t="n">
        <v>1</v>
      </c>
      <c r="G1286" s="36" t="n">
        <v>0</v>
      </c>
      <c r="H1286" s="36" t="n">
        <v>1</v>
      </c>
      <c r="I1286" s="36" t="n">
        <v>0</v>
      </c>
      <c r="J1286" s="36" t="n">
        <v>6</v>
      </c>
      <c r="K1286" s="12" t="n">
        <v>72</v>
      </c>
    </row>
    <row r="1287">
      <c r="A1287" s="33" t="n">
        <v>46322.82361111111</v>
      </c>
      <c r="B1287" s="33" t="n">
        <v>46322.85972222222</v>
      </c>
      <c r="C1287" s="13" t="n">
        <v>46325</v>
      </c>
      <c r="D1287" s="14" t="n">
        <v>0.9270833333333334</v>
      </c>
      <c r="E1287" s="37" t="n">
        <v>2</v>
      </c>
      <c r="F1287" s="37" t="n">
        <v>0</v>
      </c>
      <c r="G1287" s="37" t="n">
        <v>0</v>
      </c>
      <c r="H1287" s="37" t="n">
        <v>1</v>
      </c>
      <c r="I1287" s="37" t="n">
        <v>1</v>
      </c>
      <c r="J1287" s="37" t="n">
        <v>9</v>
      </c>
      <c r="K1287" s="16" t="n">
        <v>108</v>
      </c>
    </row>
    <row r="1288">
      <c r="A1288" s="30" t="n">
        <v>46322.82361111111</v>
      </c>
      <c r="B1288" s="30" t="n">
        <v>46322.85972222222</v>
      </c>
      <c r="C1288" s="9" t="n">
        <v>46325</v>
      </c>
      <c r="D1288" s="10" t="n">
        <v>0.96875</v>
      </c>
      <c r="E1288" s="36" t="n">
        <v>3</v>
      </c>
      <c r="F1288" s="36" t="n">
        <v>0</v>
      </c>
      <c r="G1288" s="36" t="n">
        <v>2</v>
      </c>
      <c r="H1288" s="36" t="n">
        <v>1</v>
      </c>
      <c r="I1288" s="36" t="n">
        <v>0</v>
      </c>
      <c r="J1288" s="36" t="n">
        <v>10</v>
      </c>
      <c r="K1288" s="12" t="n">
        <v>120</v>
      </c>
    </row>
    <row r="1289">
      <c r="A1289" s="33" t="n">
        <v>46322.82361111111</v>
      </c>
      <c r="B1289" s="33" t="n">
        <v>46322.85972222222</v>
      </c>
      <c r="C1289" s="13" t="n">
        <v>46326</v>
      </c>
      <c r="D1289" s="14" t="n">
        <v>0.84375</v>
      </c>
      <c r="E1289" s="37" t="n">
        <v>3</v>
      </c>
      <c r="F1289" s="37" t="n">
        <v>1</v>
      </c>
      <c r="G1289" s="37" t="n">
        <v>1</v>
      </c>
      <c r="H1289" s="37" t="n">
        <v>1</v>
      </c>
      <c r="I1289" s="37" t="n">
        <v>0</v>
      </c>
      <c r="J1289" s="37" t="n">
        <v>9</v>
      </c>
      <c r="K1289" s="16" t="n">
        <v>108</v>
      </c>
    </row>
    <row r="1290">
      <c r="A1290" s="30" t="n">
        <v>46322.82361111111</v>
      </c>
      <c r="B1290" s="30" t="n">
        <v>46322.85972222222</v>
      </c>
      <c r="C1290" s="9" t="n">
        <v>46327</v>
      </c>
      <c r="D1290" s="10" t="n">
        <v>0.8854166666666666</v>
      </c>
      <c r="E1290" s="36" t="n">
        <v>1</v>
      </c>
      <c r="F1290" s="36" t="n">
        <v>0</v>
      </c>
      <c r="G1290" s="36" t="n">
        <v>0</v>
      </c>
      <c r="H1290" s="36" t="n">
        <v>1</v>
      </c>
      <c r="I1290" s="36" t="n">
        <v>0</v>
      </c>
      <c r="J1290" s="36" t="n">
        <v>4</v>
      </c>
      <c r="K1290" s="12" t="n">
        <v>48</v>
      </c>
    </row>
    <row r="1291">
      <c r="A1291" s="33" t="n">
        <v>46322.82361111111</v>
      </c>
      <c r="B1291" s="33" t="n">
        <v>46322.85972222222</v>
      </c>
      <c r="C1291" s="13" t="n">
        <v>46327</v>
      </c>
      <c r="D1291" s="14" t="n">
        <v>0.9270833333333334</v>
      </c>
      <c r="E1291" s="37" t="n">
        <v>2</v>
      </c>
      <c r="F1291" s="37" t="n">
        <v>0</v>
      </c>
      <c r="G1291" s="37" t="n">
        <v>0</v>
      </c>
      <c r="H1291" s="37" t="n">
        <v>2</v>
      </c>
      <c r="I1291" s="37" t="n">
        <v>0</v>
      </c>
      <c r="J1291" s="37" t="n">
        <v>8</v>
      </c>
      <c r="K1291" s="16" t="n">
        <v>96</v>
      </c>
    </row>
    <row r="1292">
      <c r="A1292" s="30" t="n">
        <v>46322.85972222222</v>
      </c>
      <c r="B1292" s="30" t="n">
        <v>46322.86527777778</v>
      </c>
      <c r="C1292" s="9" t="n">
        <v>46324</v>
      </c>
      <c r="D1292" s="10" t="n">
        <v>0.96875</v>
      </c>
      <c r="E1292" s="36" t="n">
        <v>1</v>
      </c>
      <c r="F1292" s="36" t="n">
        <v>0</v>
      </c>
      <c r="G1292" s="36" t="n">
        <v>0</v>
      </c>
      <c r="H1292" s="36" t="n">
        <v>0</v>
      </c>
      <c r="I1292" s="36" t="n">
        <v>1</v>
      </c>
      <c r="J1292" s="36" t="n">
        <v>5</v>
      </c>
      <c r="K1292" s="12" t="n">
        <v>60</v>
      </c>
    </row>
    <row r="1293">
      <c r="A1293" s="33" t="n">
        <v>46322.85972222222</v>
      </c>
      <c r="B1293" s="33" t="n">
        <v>46322.86527777778</v>
      </c>
      <c r="C1293" s="13" t="n">
        <v>46325</v>
      </c>
      <c r="D1293" s="14" t="n">
        <v>0.96875</v>
      </c>
      <c r="E1293" s="37" t="n">
        <v>2</v>
      </c>
      <c r="F1293" s="37" t="n">
        <v>1</v>
      </c>
      <c r="G1293" s="37" t="n">
        <v>0</v>
      </c>
      <c r="H1293" s="37" t="n">
        <v>1</v>
      </c>
      <c r="I1293" s="37" t="n">
        <v>0</v>
      </c>
      <c r="J1293" s="37" t="n">
        <v>6</v>
      </c>
      <c r="K1293" s="16" t="n">
        <v>72</v>
      </c>
    </row>
    <row r="1294">
      <c r="A1294" s="30" t="n">
        <v>46322.85972222222</v>
      </c>
      <c r="B1294" s="30" t="n">
        <v>46322.86527777778</v>
      </c>
      <c r="C1294" s="9" t="n">
        <v>46327</v>
      </c>
      <c r="D1294" s="10" t="n">
        <v>0.8854166666666666</v>
      </c>
      <c r="E1294" s="36" t="n">
        <v>1</v>
      </c>
      <c r="F1294" s="36" t="n">
        <v>0</v>
      </c>
      <c r="G1294" s="36" t="n">
        <v>0</v>
      </c>
      <c r="H1294" s="36" t="n">
        <v>1</v>
      </c>
      <c r="I1294" s="36" t="n">
        <v>0</v>
      </c>
      <c r="J1294" s="36" t="n">
        <v>4</v>
      </c>
      <c r="K1294" s="12" t="n">
        <v>48</v>
      </c>
    </row>
    <row r="1295">
      <c r="A1295" s="33" t="n">
        <v>46322.86527777778</v>
      </c>
      <c r="B1295" s="33" t="n">
        <v>46322.89722222222</v>
      </c>
      <c r="C1295" s="13" t="n">
        <v>46324</v>
      </c>
      <c r="D1295" s="14" t="n">
        <v>0.8854166666666666</v>
      </c>
      <c r="E1295" s="37" t="n">
        <v>1</v>
      </c>
      <c r="F1295" s="37" t="n">
        <v>0</v>
      </c>
      <c r="G1295" s="37" t="n">
        <v>0</v>
      </c>
      <c r="H1295" s="37" t="n">
        <v>0</v>
      </c>
      <c r="I1295" s="37" t="n">
        <v>1</v>
      </c>
      <c r="J1295" s="37" t="n">
        <v>5</v>
      </c>
      <c r="K1295" s="16" t="n">
        <v>60</v>
      </c>
    </row>
    <row r="1296">
      <c r="A1296" s="30" t="n">
        <v>46322.86527777778</v>
      </c>
      <c r="B1296" s="30" t="n">
        <v>46322.89722222222</v>
      </c>
      <c r="C1296" s="9" t="n">
        <v>46324</v>
      </c>
      <c r="D1296" s="10" t="n">
        <v>0.96875</v>
      </c>
      <c r="E1296" s="36" t="n">
        <v>4</v>
      </c>
      <c r="F1296" s="36" t="n">
        <v>1</v>
      </c>
      <c r="G1296" s="36" t="n">
        <v>0</v>
      </c>
      <c r="H1296" s="36" t="n">
        <v>2</v>
      </c>
      <c r="I1296" s="36" t="n">
        <v>1</v>
      </c>
      <c r="J1296" s="36" t="n">
        <v>15</v>
      </c>
      <c r="K1296" s="12" t="n">
        <v>180</v>
      </c>
    </row>
    <row r="1297">
      <c r="A1297" s="33" t="n">
        <v>46322.86527777778</v>
      </c>
      <c r="B1297" s="33" t="n">
        <v>46322.89722222222</v>
      </c>
      <c r="C1297" s="13" t="n">
        <v>46325</v>
      </c>
      <c r="D1297" s="14" t="n">
        <v>0.84375</v>
      </c>
      <c r="E1297" s="37" t="n">
        <v>2</v>
      </c>
      <c r="F1297" s="37" t="n">
        <v>2</v>
      </c>
      <c r="G1297" s="37" t="n">
        <v>0</v>
      </c>
      <c r="H1297" s="37" t="n">
        <v>0</v>
      </c>
      <c r="I1297" s="37" t="n">
        <v>0</v>
      </c>
      <c r="J1297" s="37" t="n">
        <v>4</v>
      </c>
      <c r="K1297" s="16" t="n">
        <v>48</v>
      </c>
    </row>
    <row r="1298">
      <c r="A1298" s="30" t="n">
        <v>46322.86527777778</v>
      </c>
      <c r="B1298" s="30" t="n">
        <v>46322.89722222222</v>
      </c>
      <c r="C1298" s="9" t="n">
        <v>46325</v>
      </c>
      <c r="D1298" s="10" t="n">
        <v>0.8854166666666666</v>
      </c>
      <c r="E1298" s="36" t="n">
        <v>1</v>
      </c>
      <c r="F1298" s="36" t="n">
        <v>0</v>
      </c>
      <c r="G1298" s="36" t="n">
        <v>0</v>
      </c>
      <c r="H1298" s="36" t="n">
        <v>1</v>
      </c>
      <c r="I1298" s="36" t="n">
        <v>0</v>
      </c>
      <c r="J1298" s="36" t="n">
        <v>4</v>
      </c>
      <c r="K1298" s="12" t="n">
        <v>48</v>
      </c>
    </row>
    <row r="1299">
      <c r="A1299" s="33" t="n">
        <v>46322.86527777778</v>
      </c>
      <c r="B1299" s="33" t="n">
        <v>46322.89722222222</v>
      </c>
      <c r="C1299" s="13" t="n">
        <v>46325</v>
      </c>
      <c r="D1299" s="14" t="n">
        <v>0.96875</v>
      </c>
      <c r="E1299" s="37" t="n">
        <v>2</v>
      </c>
      <c r="F1299" s="37" t="n">
        <v>2</v>
      </c>
      <c r="G1299" s="37" t="n">
        <v>0</v>
      </c>
      <c r="H1299" s="37" t="n">
        <v>0</v>
      </c>
      <c r="I1299" s="37" t="n">
        <v>0</v>
      </c>
      <c r="J1299" s="37" t="n">
        <v>4</v>
      </c>
      <c r="K1299" s="16" t="n">
        <v>48</v>
      </c>
    </row>
    <row r="1300">
      <c r="A1300" s="30" t="n">
        <v>46322.86527777778</v>
      </c>
      <c r="B1300" s="30" t="n">
        <v>46322.89722222222</v>
      </c>
      <c r="C1300" s="9" t="n">
        <v>46325</v>
      </c>
      <c r="D1300" s="10" t="n">
        <v>0.9993055555555556</v>
      </c>
      <c r="E1300" s="36" t="n">
        <v>2</v>
      </c>
      <c r="F1300" s="36" t="n">
        <v>2</v>
      </c>
      <c r="G1300" s="36" t="n">
        <v>0</v>
      </c>
      <c r="H1300" s="36" t="n">
        <v>0</v>
      </c>
      <c r="I1300" s="36" t="n">
        <v>0</v>
      </c>
      <c r="J1300" s="36" t="n">
        <v>4</v>
      </c>
      <c r="K1300" s="12" t="n">
        <v>48</v>
      </c>
    </row>
    <row r="1301">
      <c r="A1301" s="33" t="n">
        <v>46322.86527777778</v>
      </c>
      <c r="B1301" s="33" t="n">
        <v>46322.89722222222</v>
      </c>
      <c r="C1301" s="13" t="n">
        <v>46326</v>
      </c>
      <c r="D1301" s="14" t="n">
        <v>0.84375</v>
      </c>
      <c r="E1301" s="37" t="n">
        <v>6</v>
      </c>
      <c r="F1301" s="37" t="n">
        <v>2</v>
      </c>
      <c r="G1301" s="37" t="n">
        <v>0</v>
      </c>
      <c r="H1301" s="37" t="n">
        <v>4</v>
      </c>
      <c r="I1301" s="37" t="n">
        <v>0</v>
      </c>
      <c r="J1301" s="37" t="n">
        <v>20</v>
      </c>
      <c r="K1301" s="16" t="n">
        <v>240</v>
      </c>
    </row>
    <row r="1302">
      <c r="A1302" s="30" t="n">
        <v>46322.86527777778</v>
      </c>
      <c r="B1302" s="30" t="n">
        <v>46322.89722222222</v>
      </c>
      <c r="C1302" s="9" t="n">
        <v>46327</v>
      </c>
      <c r="D1302" s="10" t="n">
        <v>0.8020833333333334</v>
      </c>
      <c r="E1302" s="36" t="n">
        <v>1</v>
      </c>
      <c r="F1302" s="36" t="n">
        <v>0</v>
      </c>
      <c r="G1302" s="36" t="n">
        <v>1</v>
      </c>
      <c r="H1302" s="36" t="n">
        <v>0</v>
      </c>
      <c r="I1302" s="36" t="n">
        <v>0</v>
      </c>
      <c r="J1302" s="36" t="n">
        <v>3</v>
      </c>
      <c r="K1302" s="12" t="n">
        <v>36</v>
      </c>
    </row>
    <row r="1303">
      <c r="A1303" s="33" t="n">
        <v>46322.86527777778</v>
      </c>
      <c r="B1303" s="33" t="n">
        <v>46322.89722222222</v>
      </c>
      <c r="C1303" s="13" t="n">
        <v>46327</v>
      </c>
      <c r="D1303" s="14" t="n">
        <v>0.84375</v>
      </c>
      <c r="E1303" s="37" t="n">
        <v>1</v>
      </c>
      <c r="F1303" s="37" t="n">
        <v>0</v>
      </c>
      <c r="G1303" s="37" t="n">
        <v>0</v>
      </c>
      <c r="H1303" s="37" t="n">
        <v>1</v>
      </c>
      <c r="I1303" s="37" t="n">
        <v>0</v>
      </c>
      <c r="J1303" s="37" t="n">
        <v>4</v>
      </c>
      <c r="K1303" s="16" t="n">
        <v>48</v>
      </c>
    </row>
    <row r="1304">
      <c r="A1304" s="30" t="n">
        <v>46322.86527777778</v>
      </c>
      <c r="B1304" s="30" t="n">
        <v>46322.89722222222</v>
      </c>
      <c r="C1304" s="9" t="n">
        <v>46327</v>
      </c>
      <c r="D1304" s="10" t="n">
        <v>0.9270833333333334</v>
      </c>
      <c r="E1304" s="36" t="n">
        <v>1</v>
      </c>
      <c r="F1304" s="36" t="n">
        <v>0</v>
      </c>
      <c r="G1304" s="36" t="n">
        <v>0</v>
      </c>
      <c r="H1304" s="36" t="n">
        <v>1</v>
      </c>
      <c r="I1304" s="36" t="n">
        <v>0</v>
      </c>
      <c r="J1304" s="36" t="n">
        <v>4</v>
      </c>
      <c r="K1304" s="12" t="n">
        <v>48</v>
      </c>
    </row>
    <row r="1305">
      <c r="A1305" s="33" t="n">
        <v>46322.89722222222</v>
      </c>
      <c r="B1305" s="33" t="n">
        <v>46322.91805555556</v>
      </c>
      <c r="C1305" s="13" t="n">
        <v>46324</v>
      </c>
      <c r="D1305" s="14" t="n">
        <v>0.84375</v>
      </c>
      <c r="E1305" s="37" t="n">
        <v>1</v>
      </c>
      <c r="F1305" s="37" t="n">
        <v>0</v>
      </c>
      <c r="G1305" s="37" t="n">
        <v>0</v>
      </c>
      <c r="H1305" s="37" t="n">
        <v>1</v>
      </c>
      <c r="I1305" s="37" t="n">
        <v>0</v>
      </c>
      <c r="J1305" s="37" t="n">
        <v>4</v>
      </c>
      <c r="K1305" s="16" t="n">
        <v>48</v>
      </c>
    </row>
    <row r="1306">
      <c r="A1306" s="30" t="n">
        <v>46322.89722222222</v>
      </c>
      <c r="B1306" s="30" t="n">
        <v>46322.91805555556</v>
      </c>
      <c r="C1306" s="9" t="n">
        <v>46325</v>
      </c>
      <c r="D1306" s="10" t="n">
        <v>0.8854166666666666</v>
      </c>
      <c r="E1306" s="36" t="n">
        <v>2</v>
      </c>
      <c r="F1306" s="36" t="n">
        <v>0</v>
      </c>
      <c r="G1306" s="36" t="n">
        <v>0</v>
      </c>
      <c r="H1306" s="36" t="n">
        <v>1</v>
      </c>
      <c r="I1306" s="36" t="n">
        <v>1</v>
      </c>
      <c r="J1306" s="36" t="n">
        <v>9</v>
      </c>
      <c r="K1306" s="12" t="n">
        <v>108</v>
      </c>
    </row>
    <row r="1307">
      <c r="A1307" s="33" t="n">
        <v>46322.89722222222</v>
      </c>
      <c r="B1307" s="33" t="n">
        <v>46322.91805555556</v>
      </c>
      <c r="C1307" s="13" t="n">
        <v>46325</v>
      </c>
      <c r="D1307" s="14" t="n">
        <v>0.96875</v>
      </c>
      <c r="E1307" s="37" t="n">
        <v>2</v>
      </c>
      <c r="F1307" s="37" t="n">
        <v>1</v>
      </c>
      <c r="G1307" s="37" t="n">
        <v>0</v>
      </c>
      <c r="H1307" s="37" t="n">
        <v>1</v>
      </c>
      <c r="I1307" s="37" t="n">
        <v>0</v>
      </c>
      <c r="J1307" s="37" t="n">
        <v>6</v>
      </c>
      <c r="K1307" s="16" t="n">
        <v>72</v>
      </c>
    </row>
    <row r="1308">
      <c r="A1308" s="30" t="n">
        <v>46322.89722222222</v>
      </c>
      <c r="B1308" s="30" t="n">
        <v>46322.91805555556</v>
      </c>
      <c r="C1308" s="9" t="n">
        <v>46326</v>
      </c>
      <c r="D1308" s="10" t="n">
        <v>0.84375</v>
      </c>
      <c r="E1308" s="36" t="n">
        <v>3</v>
      </c>
      <c r="F1308" s="36" t="n">
        <v>3</v>
      </c>
      <c r="G1308" s="36" t="n">
        <v>0</v>
      </c>
      <c r="H1308" s="36" t="n">
        <v>0</v>
      </c>
      <c r="I1308" s="36" t="n">
        <v>0</v>
      </c>
      <c r="J1308" s="36" t="n">
        <v>6</v>
      </c>
      <c r="K1308" s="12" t="n">
        <v>72</v>
      </c>
    </row>
    <row r="1309">
      <c r="A1309" s="33" t="n">
        <v>46322.89722222222</v>
      </c>
      <c r="B1309" s="33" t="n">
        <v>46322.91805555556</v>
      </c>
      <c r="C1309" s="13" t="n">
        <v>46327</v>
      </c>
      <c r="D1309" s="14" t="n">
        <v>0.8020833333333334</v>
      </c>
      <c r="E1309" s="37" t="n">
        <v>1</v>
      </c>
      <c r="F1309" s="37" t="n">
        <v>0</v>
      </c>
      <c r="G1309" s="37" t="n">
        <v>0</v>
      </c>
      <c r="H1309" s="37" t="n">
        <v>0</v>
      </c>
      <c r="I1309" s="37" t="n">
        <v>1</v>
      </c>
      <c r="J1309" s="37" t="n">
        <v>5</v>
      </c>
      <c r="K1309" s="16" t="n">
        <v>60</v>
      </c>
    </row>
    <row r="1310">
      <c r="A1310" s="30" t="n">
        <v>46322.91805555556</v>
      </c>
      <c r="B1310" s="30" t="n">
        <v>46322.93680555555</v>
      </c>
      <c r="C1310" s="9" t="n">
        <v>46324</v>
      </c>
      <c r="D1310" s="10" t="n">
        <v>0.8854166666666666</v>
      </c>
      <c r="E1310" s="36" t="n">
        <v>2</v>
      </c>
      <c r="F1310" s="36" t="n">
        <v>0</v>
      </c>
      <c r="G1310" s="36" t="n">
        <v>0</v>
      </c>
      <c r="H1310" s="36" t="n">
        <v>2</v>
      </c>
      <c r="I1310" s="36" t="n">
        <v>0</v>
      </c>
      <c r="J1310" s="36" t="n">
        <v>8</v>
      </c>
      <c r="K1310" s="12" t="n">
        <v>96</v>
      </c>
    </row>
    <row r="1311">
      <c r="A1311" s="33" t="n">
        <v>46322.91805555556</v>
      </c>
      <c r="B1311" s="33" t="n">
        <v>46322.93680555555</v>
      </c>
      <c r="C1311" s="13" t="n">
        <v>46324</v>
      </c>
      <c r="D1311" s="14" t="n">
        <v>0.96875</v>
      </c>
      <c r="E1311" s="37" t="n">
        <v>4</v>
      </c>
      <c r="F1311" s="37" t="n">
        <v>1</v>
      </c>
      <c r="G1311" s="37" t="n">
        <v>0</v>
      </c>
      <c r="H1311" s="37" t="n">
        <v>2</v>
      </c>
      <c r="I1311" s="37" t="n">
        <v>1</v>
      </c>
      <c r="J1311" s="37" t="n">
        <v>15</v>
      </c>
      <c r="K1311" s="16" t="n">
        <v>180</v>
      </c>
    </row>
    <row r="1312">
      <c r="A1312" s="30" t="n">
        <v>46322.91805555556</v>
      </c>
      <c r="B1312" s="30" t="n">
        <v>46322.93680555555</v>
      </c>
      <c r="C1312" s="9" t="n">
        <v>46325</v>
      </c>
      <c r="D1312" s="10" t="n">
        <v>0.96875</v>
      </c>
      <c r="E1312" s="36" t="n">
        <v>2</v>
      </c>
      <c r="F1312" s="36" t="n">
        <v>2</v>
      </c>
      <c r="G1312" s="36" t="n">
        <v>0</v>
      </c>
      <c r="H1312" s="36" t="n">
        <v>0</v>
      </c>
      <c r="I1312" s="36" t="n">
        <v>0</v>
      </c>
      <c r="J1312" s="36" t="n">
        <v>4</v>
      </c>
      <c r="K1312" s="12" t="n">
        <v>48</v>
      </c>
    </row>
    <row r="1313">
      <c r="A1313" s="33" t="n">
        <v>46322.91805555556</v>
      </c>
      <c r="B1313" s="33" t="n">
        <v>46322.93680555555</v>
      </c>
      <c r="C1313" s="13" t="n">
        <v>46326</v>
      </c>
      <c r="D1313" s="14" t="n">
        <v>0.84375</v>
      </c>
      <c r="E1313" s="37" t="n">
        <v>13</v>
      </c>
      <c r="F1313" s="37" t="n">
        <v>4</v>
      </c>
      <c r="G1313" s="37" t="n">
        <v>0</v>
      </c>
      <c r="H1313" s="37" t="n">
        <v>4</v>
      </c>
      <c r="I1313" s="37" t="n">
        <v>5</v>
      </c>
      <c r="J1313" s="37" t="n">
        <v>49</v>
      </c>
      <c r="K1313" s="16" t="n">
        <v>588</v>
      </c>
    </row>
    <row r="1314">
      <c r="A1314" s="30" t="n">
        <v>46322.91805555556</v>
      </c>
      <c r="B1314" s="30" t="n">
        <v>46322.93680555555</v>
      </c>
      <c r="C1314" s="9" t="n">
        <v>46327</v>
      </c>
      <c r="D1314" s="10" t="n">
        <v>0.8854166666666666</v>
      </c>
      <c r="E1314" s="36" t="n">
        <v>1</v>
      </c>
      <c r="F1314" s="36" t="n">
        <v>0</v>
      </c>
      <c r="G1314" s="36" t="n">
        <v>0</v>
      </c>
      <c r="H1314" s="36" t="n">
        <v>1</v>
      </c>
      <c r="I1314" s="36" t="n">
        <v>0</v>
      </c>
      <c r="J1314" s="36" t="n">
        <v>4</v>
      </c>
      <c r="K1314" s="12" t="n">
        <v>48</v>
      </c>
    </row>
    <row r="1315">
      <c r="A1315" s="33" t="n">
        <v>46322.91805555556</v>
      </c>
      <c r="B1315" s="33" t="n">
        <v>46322.93680555555</v>
      </c>
      <c r="C1315" s="13" t="n">
        <v>46327</v>
      </c>
      <c r="D1315" s="14" t="n">
        <v>0.9270833333333334</v>
      </c>
      <c r="E1315" s="37" t="n">
        <v>2</v>
      </c>
      <c r="F1315" s="37" t="n">
        <v>0</v>
      </c>
      <c r="G1315" s="37" t="n">
        <v>0</v>
      </c>
      <c r="H1315" s="37" t="n">
        <v>2</v>
      </c>
      <c r="I1315" s="37" t="n">
        <v>0</v>
      </c>
      <c r="J1315" s="37" t="n">
        <v>8</v>
      </c>
      <c r="K1315" s="16" t="n">
        <v>96</v>
      </c>
    </row>
    <row r="1316">
      <c r="A1316" s="30" t="n">
        <v>46322.91805555556</v>
      </c>
      <c r="B1316" s="30" t="n">
        <v>46322.93680555555</v>
      </c>
      <c r="C1316" s="9" t="n">
        <v>46327</v>
      </c>
      <c r="D1316" s="10" t="n">
        <v>0.96875</v>
      </c>
      <c r="E1316" s="36" t="n">
        <v>1</v>
      </c>
      <c r="F1316" s="36" t="n">
        <v>1</v>
      </c>
      <c r="G1316" s="36" t="n">
        <v>0</v>
      </c>
      <c r="H1316" s="36" t="n">
        <v>0</v>
      </c>
      <c r="I1316" s="36" t="n">
        <v>0</v>
      </c>
      <c r="J1316" s="36" t="n">
        <v>2</v>
      </c>
      <c r="K1316" s="12" t="n">
        <v>24</v>
      </c>
    </row>
    <row r="1317">
      <c r="A1317" s="33" t="n">
        <v>46322.93680555555</v>
      </c>
      <c r="B1317" s="33" t="n">
        <v>46322.97986111111</v>
      </c>
      <c r="C1317" s="13" t="n">
        <v>46324</v>
      </c>
      <c r="D1317" s="14" t="n">
        <v>0.8854166666666666</v>
      </c>
      <c r="E1317" s="37" t="n">
        <v>2</v>
      </c>
      <c r="F1317" s="37" t="n">
        <v>0</v>
      </c>
      <c r="G1317" s="37" t="n">
        <v>0</v>
      </c>
      <c r="H1317" s="37" t="n">
        <v>2</v>
      </c>
      <c r="I1317" s="37" t="n">
        <v>0</v>
      </c>
      <c r="J1317" s="37" t="n">
        <v>8</v>
      </c>
      <c r="K1317" s="16" t="n">
        <v>96</v>
      </c>
    </row>
    <row r="1318">
      <c r="A1318" s="30" t="n">
        <v>46322.93680555555</v>
      </c>
      <c r="B1318" s="30" t="n">
        <v>46322.97986111111</v>
      </c>
      <c r="C1318" s="9" t="n">
        <v>46324</v>
      </c>
      <c r="D1318" s="10" t="n">
        <v>0.9270833333333334</v>
      </c>
      <c r="E1318" s="36" t="n">
        <v>-1</v>
      </c>
      <c r="F1318" s="36" t="n">
        <v>0</v>
      </c>
      <c r="G1318" s="36" t="n">
        <v>0</v>
      </c>
      <c r="H1318" s="36" t="n">
        <v>-1</v>
      </c>
      <c r="I1318" s="36" t="n">
        <v>0</v>
      </c>
      <c r="J1318" s="36" t="n">
        <v>-4</v>
      </c>
      <c r="K1318" s="12" t="n">
        <v>-48</v>
      </c>
    </row>
    <row r="1319">
      <c r="A1319" s="33" t="n">
        <v>46322.93680555555</v>
      </c>
      <c r="B1319" s="33" t="n">
        <v>46322.97986111111</v>
      </c>
      <c r="C1319" s="13" t="n">
        <v>46324</v>
      </c>
      <c r="D1319" s="14" t="n">
        <v>0.96875</v>
      </c>
      <c r="E1319" s="37" t="n">
        <v>8</v>
      </c>
      <c r="F1319" s="37" t="n">
        <v>3</v>
      </c>
      <c r="G1319" s="37" t="n">
        <v>2</v>
      </c>
      <c r="H1319" s="37" t="n">
        <v>1</v>
      </c>
      <c r="I1319" s="37" t="n">
        <v>2</v>
      </c>
      <c r="J1319" s="37" t="n">
        <v>26</v>
      </c>
      <c r="K1319" s="16" t="n">
        <v>312</v>
      </c>
    </row>
    <row r="1320">
      <c r="A1320" s="30" t="n">
        <v>46322.93680555555</v>
      </c>
      <c r="B1320" s="30" t="n">
        <v>46322.97986111111</v>
      </c>
      <c r="C1320" s="9" t="n">
        <v>46325</v>
      </c>
      <c r="D1320" s="10" t="n">
        <v>0.8854166666666666</v>
      </c>
      <c r="E1320" s="36" t="n">
        <v>1</v>
      </c>
      <c r="F1320" s="36" t="n">
        <v>0</v>
      </c>
      <c r="G1320" s="36" t="n">
        <v>0</v>
      </c>
      <c r="H1320" s="36" t="n">
        <v>0</v>
      </c>
      <c r="I1320" s="36" t="n">
        <v>1</v>
      </c>
      <c r="J1320" s="36" t="n">
        <v>5</v>
      </c>
      <c r="K1320" s="12" t="n">
        <v>60</v>
      </c>
    </row>
    <row r="1321">
      <c r="A1321" s="33" t="n">
        <v>46322.93680555555</v>
      </c>
      <c r="B1321" s="33" t="n">
        <v>46322.97986111111</v>
      </c>
      <c r="C1321" s="13" t="n">
        <v>46325</v>
      </c>
      <c r="D1321" s="14" t="n">
        <v>0.96875</v>
      </c>
      <c r="E1321" s="37" t="n">
        <v>4</v>
      </c>
      <c r="F1321" s="37" t="n">
        <v>1</v>
      </c>
      <c r="G1321" s="37" t="n">
        <v>0</v>
      </c>
      <c r="H1321" s="37" t="n">
        <v>1</v>
      </c>
      <c r="I1321" s="37" t="n">
        <v>2</v>
      </c>
      <c r="J1321" s="37" t="n">
        <v>16</v>
      </c>
      <c r="K1321" s="16" t="n">
        <v>192</v>
      </c>
    </row>
    <row r="1322">
      <c r="A1322" s="30" t="n">
        <v>46322.93680555555</v>
      </c>
      <c r="B1322" s="30" t="n">
        <v>46322.97986111111</v>
      </c>
      <c r="C1322" s="9" t="n">
        <v>46326</v>
      </c>
      <c r="D1322" s="10" t="n">
        <v>0.8020833333333334</v>
      </c>
      <c r="E1322" s="36" t="n">
        <v>1</v>
      </c>
      <c r="F1322" s="36" t="n">
        <v>1</v>
      </c>
      <c r="G1322" s="36" t="n">
        <v>0</v>
      </c>
      <c r="H1322" s="36" t="n">
        <v>0</v>
      </c>
      <c r="I1322" s="36" t="n">
        <v>0</v>
      </c>
      <c r="J1322" s="36" t="n">
        <v>2</v>
      </c>
      <c r="K1322" s="12" t="n">
        <v>24</v>
      </c>
    </row>
    <row r="1323">
      <c r="A1323" s="33" t="n">
        <v>46322.93680555555</v>
      </c>
      <c r="B1323" s="33" t="n">
        <v>46322.97986111111</v>
      </c>
      <c r="C1323" s="13" t="n">
        <v>46326</v>
      </c>
      <c r="D1323" s="14" t="n">
        <v>0.84375</v>
      </c>
      <c r="E1323" s="37" t="n">
        <v>9</v>
      </c>
      <c r="F1323" s="37" t="n">
        <v>2</v>
      </c>
      <c r="G1323" s="37" t="n">
        <v>2</v>
      </c>
      <c r="H1323" s="37" t="n">
        <v>5</v>
      </c>
      <c r="I1323" s="37" t="n">
        <v>0</v>
      </c>
      <c r="J1323" s="37" t="n">
        <v>30</v>
      </c>
      <c r="K1323" s="16" t="n">
        <v>360</v>
      </c>
    </row>
    <row r="1324">
      <c r="A1324" s="30" t="n">
        <v>46322.93680555555</v>
      </c>
      <c r="B1324" s="30" t="n">
        <v>46322.97986111111</v>
      </c>
      <c r="C1324" s="9" t="n">
        <v>46327</v>
      </c>
      <c r="D1324" s="10" t="n">
        <v>0.9270833333333334</v>
      </c>
      <c r="E1324" s="36" t="n">
        <v>2</v>
      </c>
      <c r="F1324" s="36" t="n">
        <v>2</v>
      </c>
      <c r="G1324" s="36" t="n">
        <v>0</v>
      </c>
      <c r="H1324" s="36" t="n">
        <v>0</v>
      </c>
      <c r="I1324" s="36" t="n">
        <v>0</v>
      </c>
      <c r="J1324" s="36" t="n">
        <v>4</v>
      </c>
      <c r="K1324" s="12" t="n">
        <v>48</v>
      </c>
    </row>
    <row r="1325">
      <c r="A1325" s="33" t="n">
        <v>46322.93680555555</v>
      </c>
      <c r="B1325" s="33" t="n">
        <v>46322.97986111111</v>
      </c>
      <c r="C1325" s="13" t="n">
        <v>46327</v>
      </c>
      <c r="D1325" s="14" t="n">
        <v>0.96875</v>
      </c>
      <c r="E1325" s="37" t="n">
        <v>1</v>
      </c>
      <c r="F1325" s="37" t="n">
        <v>1</v>
      </c>
      <c r="G1325" s="37" t="n">
        <v>0</v>
      </c>
      <c r="H1325" s="37" t="n">
        <v>0</v>
      </c>
      <c r="I1325" s="37" t="n">
        <v>0</v>
      </c>
      <c r="J1325" s="37" t="n">
        <v>2</v>
      </c>
      <c r="K1325" s="16" t="n">
        <v>24</v>
      </c>
    </row>
    <row r="1326">
      <c r="A1326" s="30" t="n">
        <v>46322.97986111111</v>
      </c>
      <c r="B1326" s="30" t="n">
        <v>46323.00347222222</v>
      </c>
      <c r="C1326" s="9" t="n">
        <v>46325</v>
      </c>
      <c r="D1326" s="10" t="n">
        <v>0.8854166666666666</v>
      </c>
      <c r="E1326" s="36" t="n">
        <v>1</v>
      </c>
      <c r="F1326" s="36" t="n">
        <v>0</v>
      </c>
      <c r="G1326" s="36" t="n">
        <v>1</v>
      </c>
      <c r="H1326" s="36" t="n">
        <v>0</v>
      </c>
      <c r="I1326" s="36" t="n">
        <v>0</v>
      </c>
      <c r="J1326" s="36" t="n">
        <v>3</v>
      </c>
      <c r="K1326" s="12" t="n">
        <v>36</v>
      </c>
    </row>
    <row r="1327">
      <c r="A1327" s="33" t="n">
        <v>46322.97986111111</v>
      </c>
      <c r="B1327" s="33" t="n">
        <v>46323.00347222222</v>
      </c>
      <c r="C1327" s="13" t="n">
        <v>46325</v>
      </c>
      <c r="D1327" s="14" t="n">
        <v>0.96875</v>
      </c>
      <c r="E1327" s="37" t="n">
        <v>2</v>
      </c>
      <c r="F1327" s="37" t="n">
        <v>1</v>
      </c>
      <c r="G1327" s="37" t="n">
        <v>0</v>
      </c>
      <c r="H1327" s="37" t="n">
        <v>0</v>
      </c>
      <c r="I1327" s="37" t="n">
        <v>1</v>
      </c>
      <c r="J1327" s="37" t="n">
        <v>7</v>
      </c>
      <c r="K1327" s="16" t="n">
        <v>84</v>
      </c>
    </row>
    <row r="1328">
      <c r="A1328" s="30" t="n">
        <v>46322.97986111111</v>
      </c>
      <c r="B1328" s="30" t="n">
        <v>46323.00347222222</v>
      </c>
      <c r="C1328" s="9" t="n">
        <v>46326</v>
      </c>
      <c r="D1328" s="10" t="n">
        <v>0.84375</v>
      </c>
      <c r="E1328" s="36" t="n">
        <v>1</v>
      </c>
      <c r="F1328" s="36" t="n">
        <v>0</v>
      </c>
      <c r="G1328" s="36" t="n">
        <v>0</v>
      </c>
      <c r="H1328" s="36" t="n">
        <v>1</v>
      </c>
      <c r="I1328" s="36" t="n">
        <v>0</v>
      </c>
      <c r="J1328" s="36" t="n">
        <v>4</v>
      </c>
      <c r="K1328" s="12" t="n">
        <v>48</v>
      </c>
    </row>
    <row r="1329">
      <c r="A1329" s="33" t="n">
        <v>46322.97986111111</v>
      </c>
      <c r="B1329" s="33" t="n">
        <v>46323.00347222222</v>
      </c>
      <c r="C1329" s="13" t="n">
        <v>46327</v>
      </c>
      <c r="D1329" s="14" t="n">
        <v>0.9270833333333334</v>
      </c>
      <c r="E1329" s="37" t="n">
        <v>1</v>
      </c>
      <c r="F1329" s="37" t="n">
        <v>0</v>
      </c>
      <c r="G1329" s="37" t="n">
        <v>0</v>
      </c>
      <c r="H1329" s="37" t="n">
        <v>1</v>
      </c>
      <c r="I1329" s="37" t="n">
        <v>0</v>
      </c>
      <c r="J1329" s="37" t="n">
        <v>4</v>
      </c>
      <c r="K1329" s="16" t="n">
        <v>48</v>
      </c>
    </row>
    <row r="1330">
      <c r="A1330" s="30" t="n">
        <v>46323.00347222222</v>
      </c>
      <c r="B1330" s="30" t="n">
        <v>46323.01944444444</v>
      </c>
      <c r="C1330" s="9" t="n">
        <v>46324</v>
      </c>
      <c r="D1330" s="10" t="n">
        <v>0.9270833333333334</v>
      </c>
      <c r="E1330" s="36" t="n">
        <v>1</v>
      </c>
      <c r="F1330" s="36" t="n">
        <v>0</v>
      </c>
      <c r="G1330" s="36" t="n">
        <v>0</v>
      </c>
      <c r="H1330" s="36" t="n">
        <v>1</v>
      </c>
      <c r="I1330" s="36" t="n">
        <v>0</v>
      </c>
      <c r="J1330" s="36" t="n">
        <v>4</v>
      </c>
      <c r="K1330" s="12" t="n">
        <v>48</v>
      </c>
    </row>
    <row r="1331">
      <c r="A1331" s="33" t="n">
        <v>46323.00347222222</v>
      </c>
      <c r="B1331" s="33" t="n">
        <v>46323.01944444444</v>
      </c>
      <c r="C1331" s="13" t="n">
        <v>46324</v>
      </c>
      <c r="D1331" s="14" t="n">
        <v>0.96875</v>
      </c>
      <c r="E1331" s="37" t="n">
        <v>2</v>
      </c>
      <c r="F1331" s="37" t="n">
        <v>0</v>
      </c>
      <c r="G1331" s="37" t="n">
        <v>1</v>
      </c>
      <c r="H1331" s="37" t="n">
        <v>1</v>
      </c>
      <c r="I1331" s="37" t="n">
        <v>0</v>
      </c>
      <c r="J1331" s="37" t="n">
        <v>7</v>
      </c>
      <c r="K1331" s="16" t="n">
        <v>84</v>
      </c>
    </row>
    <row r="1332">
      <c r="A1332" s="30" t="n">
        <v>46323.00347222222</v>
      </c>
      <c r="B1332" s="30" t="n">
        <v>46323.01944444444</v>
      </c>
      <c r="C1332" s="9" t="n">
        <v>46326</v>
      </c>
      <c r="D1332" s="10" t="n">
        <v>0.84375</v>
      </c>
      <c r="E1332" s="36" t="n">
        <v>1</v>
      </c>
      <c r="F1332" s="36" t="n">
        <v>0</v>
      </c>
      <c r="G1332" s="36" t="n">
        <v>0</v>
      </c>
      <c r="H1332" s="36" t="n">
        <v>0</v>
      </c>
      <c r="I1332" s="36" t="n">
        <v>1</v>
      </c>
      <c r="J1332" s="36" t="n">
        <v>5</v>
      </c>
      <c r="K1332" s="12" t="n">
        <v>60</v>
      </c>
    </row>
    <row r="1333">
      <c r="A1333" s="33" t="n">
        <v>46323.01944444444</v>
      </c>
      <c r="B1333" s="33" t="n">
        <v>46323.07083333333</v>
      </c>
      <c r="C1333" s="13" t="n">
        <v>46324</v>
      </c>
      <c r="D1333" s="14" t="n">
        <v>0.96875</v>
      </c>
      <c r="E1333" s="37" t="n">
        <v>1</v>
      </c>
      <c r="F1333" s="37" t="n">
        <v>0</v>
      </c>
      <c r="G1333" s="37" t="n">
        <v>0</v>
      </c>
      <c r="H1333" s="37" t="n">
        <v>0</v>
      </c>
      <c r="I1333" s="37" t="n">
        <v>1</v>
      </c>
      <c r="J1333" s="37" t="n">
        <v>5</v>
      </c>
      <c r="K1333" s="16" t="n">
        <v>60</v>
      </c>
    </row>
    <row r="1334">
      <c r="A1334" s="30" t="n">
        <v>46323.01944444444</v>
      </c>
      <c r="B1334" s="30" t="n">
        <v>46323.07083333333</v>
      </c>
      <c r="C1334" s="9" t="n">
        <v>46324</v>
      </c>
      <c r="D1334" s="10" t="n">
        <v>0.9993055555555556</v>
      </c>
      <c r="E1334" s="36" t="n">
        <v>1</v>
      </c>
      <c r="F1334" s="36" t="n">
        <v>0</v>
      </c>
      <c r="G1334" s="36" t="n">
        <v>0</v>
      </c>
      <c r="H1334" s="36" t="n">
        <v>0</v>
      </c>
      <c r="I1334" s="36" t="n">
        <v>1</v>
      </c>
      <c r="J1334" s="36" t="n">
        <v>5</v>
      </c>
      <c r="K1334" s="12" t="n">
        <v>60</v>
      </c>
    </row>
    <row r="1335">
      <c r="A1335" s="33" t="n">
        <v>46323.01944444444</v>
      </c>
      <c r="B1335" s="33" t="n">
        <v>46323.07083333333</v>
      </c>
      <c r="C1335" s="13" t="n">
        <v>46325</v>
      </c>
      <c r="D1335" s="14" t="n">
        <v>0.84375</v>
      </c>
      <c r="E1335" s="37" t="n">
        <v>1</v>
      </c>
      <c r="F1335" s="37" t="n">
        <v>1</v>
      </c>
      <c r="G1335" s="37" t="n">
        <v>0</v>
      </c>
      <c r="H1335" s="37" t="n">
        <v>0</v>
      </c>
      <c r="I1335" s="37" t="n">
        <v>0</v>
      </c>
      <c r="J1335" s="37" t="n">
        <v>2</v>
      </c>
      <c r="K1335" s="16" t="n">
        <v>24</v>
      </c>
    </row>
    <row r="1336">
      <c r="A1336" s="30" t="n">
        <v>46323.01944444444</v>
      </c>
      <c r="B1336" s="30" t="n">
        <v>46323.07083333333</v>
      </c>
      <c r="C1336" s="9" t="n">
        <v>46325</v>
      </c>
      <c r="D1336" s="10" t="n">
        <v>0.96875</v>
      </c>
      <c r="E1336" s="36" t="n">
        <v>1</v>
      </c>
      <c r="F1336" s="36" t="n">
        <v>1</v>
      </c>
      <c r="G1336" s="36" t="n">
        <v>0</v>
      </c>
      <c r="H1336" s="36" t="n">
        <v>0</v>
      </c>
      <c r="I1336" s="36" t="n">
        <v>0</v>
      </c>
      <c r="J1336" s="36" t="n">
        <v>2</v>
      </c>
      <c r="K1336" s="12" t="n">
        <v>24</v>
      </c>
    </row>
    <row r="1337">
      <c r="A1337" s="33" t="n">
        <v>46323.01944444444</v>
      </c>
      <c r="B1337" s="33" t="n">
        <v>46323.07083333333</v>
      </c>
      <c r="C1337" s="13" t="n">
        <v>46325</v>
      </c>
      <c r="D1337" s="14" t="n">
        <v>0.9993055555555556</v>
      </c>
      <c r="E1337" s="37" t="n">
        <v>1</v>
      </c>
      <c r="F1337" s="37" t="n">
        <v>0</v>
      </c>
      <c r="G1337" s="37" t="n">
        <v>0</v>
      </c>
      <c r="H1337" s="37" t="n">
        <v>1</v>
      </c>
      <c r="I1337" s="37" t="n">
        <v>0</v>
      </c>
      <c r="J1337" s="37" t="n">
        <v>4</v>
      </c>
      <c r="K1337" s="16" t="n">
        <v>48</v>
      </c>
    </row>
    <row r="1338">
      <c r="A1338" s="30" t="n">
        <v>46323.01944444444</v>
      </c>
      <c r="B1338" s="30" t="n">
        <v>46323.07083333333</v>
      </c>
      <c r="C1338" s="9" t="n">
        <v>46326</v>
      </c>
      <c r="D1338" s="10" t="n">
        <v>0.84375</v>
      </c>
      <c r="E1338" s="36" t="n">
        <v>1</v>
      </c>
      <c r="F1338" s="36" t="n">
        <v>0</v>
      </c>
      <c r="G1338" s="36" t="n">
        <v>0</v>
      </c>
      <c r="H1338" s="36" t="n">
        <v>1</v>
      </c>
      <c r="I1338" s="36" t="n">
        <v>0</v>
      </c>
      <c r="J1338" s="36" t="n">
        <v>4</v>
      </c>
      <c r="K1338" s="12" t="n">
        <v>48</v>
      </c>
    </row>
    <row r="1339">
      <c r="A1339" s="33" t="n">
        <v>46323.01944444444</v>
      </c>
      <c r="B1339" s="33" t="n">
        <v>46323.07083333333</v>
      </c>
      <c r="C1339" s="13" t="n">
        <v>46327</v>
      </c>
      <c r="D1339" s="14" t="n">
        <v>0.96875</v>
      </c>
      <c r="E1339" s="37" t="n">
        <v>1</v>
      </c>
      <c r="F1339" s="37" t="n">
        <v>0</v>
      </c>
      <c r="G1339" s="37" t="n">
        <v>0</v>
      </c>
      <c r="H1339" s="37" t="n">
        <v>0</v>
      </c>
      <c r="I1339" s="37" t="n">
        <v>1</v>
      </c>
      <c r="J1339" s="37" t="n">
        <v>5</v>
      </c>
      <c r="K1339" s="16" t="n">
        <v>60</v>
      </c>
    </row>
    <row r="1340">
      <c r="A1340" s="30" t="n">
        <v>46323.01944444444</v>
      </c>
      <c r="B1340" s="30" t="n">
        <v>46323.07083333333</v>
      </c>
      <c r="C1340" s="9" t="n">
        <v>46327</v>
      </c>
      <c r="D1340" s="10" t="n">
        <v>0.9993055555555556</v>
      </c>
      <c r="E1340" s="36" t="n">
        <v>1</v>
      </c>
      <c r="F1340" s="36" t="n">
        <v>0</v>
      </c>
      <c r="G1340" s="36" t="n">
        <v>0</v>
      </c>
      <c r="H1340" s="36" t="n">
        <v>1</v>
      </c>
      <c r="I1340" s="36" t="n">
        <v>0</v>
      </c>
      <c r="J1340" s="36" t="n">
        <v>4</v>
      </c>
      <c r="K1340" s="12" t="n">
        <v>48</v>
      </c>
    </row>
    <row r="1341">
      <c r="A1341" s="33" t="n">
        <v>46323.07083333333</v>
      </c>
      <c r="B1341" s="33" t="n">
        <v>46323.11805555555</v>
      </c>
      <c r="C1341" s="13" t="n">
        <v>46327</v>
      </c>
      <c r="D1341" s="14" t="n">
        <v>0.96875</v>
      </c>
      <c r="E1341" s="37" t="n">
        <v>1</v>
      </c>
      <c r="F1341" s="37" t="n">
        <v>0</v>
      </c>
      <c r="G1341" s="37" t="n">
        <v>0</v>
      </c>
      <c r="H1341" s="37" t="n">
        <v>0</v>
      </c>
      <c r="I1341" s="37" t="n">
        <v>1</v>
      </c>
      <c r="J1341" s="37" t="n">
        <v>5</v>
      </c>
      <c r="K1341" s="16" t="n">
        <v>60</v>
      </c>
    </row>
    <row r="1342">
      <c r="A1342" s="30" t="n">
        <v>46323.32083333333</v>
      </c>
      <c r="B1342" s="30" t="n">
        <v>46323.37013888889</v>
      </c>
      <c r="C1342" s="9" t="n">
        <v>46324</v>
      </c>
      <c r="D1342" s="10" t="n">
        <v>0.84375</v>
      </c>
      <c r="E1342" s="36" t="n">
        <v>1</v>
      </c>
      <c r="F1342" s="36" t="n">
        <v>0</v>
      </c>
      <c r="G1342" s="36" t="n">
        <v>0</v>
      </c>
      <c r="H1342" s="36" t="n">
        <v>1</v>
      </c>
      <c r="I1342" s="36" t="n">
        <v>0</v>
      </c>
      <c r="J1342" s="36" t="n">
        <v>4</v>
      </c>
      <c r="K1342" s="12" t="n">
        <v>48</v>
      </c>
    </row>
    <row r="1343">
      <c r="A1343" s="33" t="n">
        <v>46323.32083333333</v>
      </c>
      <c r="B1343" s="33" t="n">
        <v>46323.37013888889</v>
      </c>
      <c r="C1343" s="13" t="n">
        <v>46324</v>
      </c>
      <c r="D1343" s="14" t="n">
        <v>0.8854166666666666</v>
      </c>
      <c r="E1343" s="37" t="n">
        <v>2</v>
      </c>
      <c r="F1343" s="37" t="n">
        <v>2</v>
      </c>
      <c r="G1343" s="37" t="n">
        <v>0</v>
      </c>
      <c r="H1343" s="37" t="n">
        <v>0</v>
      </c>
      <c r="I1343" s="37" t="n">
        <v>0</v>
      </c>
      <c r="J1343" s="37" t="n">
        <v>4</v>
      </c>
      <c r="K1343" s="16" t="n">
        <v>48</v>
      </c>
    </row>
    <row r="1344">
      <c r="A1344" s="30" t="n">
        <v>46323.32083333333</v>
      </c>
      <c r="B1344" s="30" t="n">
        <v>46323.37013888889</v>
      </c>
      <c r="C1344" s="9" t="n">
        <v>46325</v>
      </c>
      <c r="D1344" s="10" t="n">
        <v>0.84375</v>
      </c>
      <c r="E1344" s="36" t="n">
        <v>1</v>
      </c>
      <c r="F1344" s="36" t="n">
        <v>0</v>
      </c>
      <c r="G1344" s="36" t="n">
        <v>0</v>
      </c>
      <c r="H1344" s="36" t="n">
        <v>1</v>
      </c>
      <c r="I1344" s="36" t="n">
        <v>0</v>
      </c>
      <c r="J1344" s="36" t="n">
        <v>4</v>
      </c>
      <c r="K1344" s="12" t="n">
        <v>48</v>
      </c>
    </row>
    <row r="1345">
      <c r="A1345" s="33" t="n">
        <v>46323.32083333333</v>
      </c>
      <c r="B1345" s="33" t="n">
        <v>46323.37013888889</v>
      </c>
      <c r="C1345" s="13" t="n">
        <v>46325</v>
      </c>
      <c r="D1345" s="14" t="n">
        <v>0.8854166666666666</v>
      </c>
      <c r="E1345" s="37" t="n">
        <v>2</v>
      </c>
      <c r="F1345" s="37" t="n">
        <v>2</v>
      </c>
      <c r="G1345" s="37" t="n">
        <v>0</v>
      </c>
      <c r="H1345" s="37" t="n">
        <v>0</v>
      </c>
      <c r="I1345" s="37" t="n">
        <v>0</v>
      </c>
      <c r="J1345" s="37" t="n">
        <v>4</v>
      </c>
      <c r="K1345" s="16" t="n">
        <v>48</v>
      </c>
    </row>
    <row r="1346">
      <c r="A1346" s="30" t="n">
        <v>46323.32083333333</v>
      </c>
      <c r="B1346" s="30" t="n">
        <v>46323.37013888889</v>
      </c>
      <c r="C1346" s="9" t="n">
        <v>46325</v>
      </c>
      <c r="D1346" s="10" t="n">
        <v>0.96875</v>
      </c>
      <c r="E1346" s="36" t="n">
        <v>1</v>
      </c>
      <c r="F1346" s="36" t="n">
        <v>0</v>
      </c>
      <c r="G1346" s="36" t="n">
        <v>0</v>
      </c>
      <c r="H1346" s="36" t="n">
        <v>0</v>
      </c>
      <c r="I1346" s="36" t="n">
        <v>1</v>
      </c>
      <c r="J1346" s="36" t="n">
        <v>5</v>
      </c>
      <c r="K1346" s="12" t="n">
        <v>60</v>
      </c>
    </row>
    <row r="1347">
      <c r="A1347" s="33" t="n">
        <v>46323.37013888889</v>
      </c>
      <c r="B1347" s="33" t="n">
        <v>46323.40625</v>
      </c>
      <c r="C1347" s="13" t="n">
        <v>46324</v>
      </c>
      <c r="D1347" s="14" t="n">
        <v>0.96875</v>
      </c>
      <c r="E1347" s="37" t="n">
        <v>2</v>
      </c>
      <c r="F1347" s="37" t="n">
        <v>0</v>
      </c>
      <c r="G1347" s="37" t="n">
        <v>1</v>
      </c>
      <c r="H1347" s="37" t="n">
        <v>1</v>
      </c>
      <c r="I1347" s="37" t="n">
        <v>0</v>
      </c>
      <c r="J1347" s="37" t="n">
        <v>7</v>
      </c>
      <c r="K1347" s="16" t="n">
        <v>84</v>
      </c>
    </row>
    <row r="1348">
      <c r="A1348" s="30" t="n">
        <v>46323.37013888889</v>
      </c>
      <c r="B1348" s="30" t="n">
        <v>46323.40625</v>
      </c>
      <c r="C1348" s="9" t="n">
        <v>46325</v>
      </c>
      <c r="D1348" s="10" t="n">
        <v>0.84375</v>
      </c>
      <c r="E1348" s="36" t="n">
        <v>1</v>
      </c>
      <c r="F1348" s="36" t="n">
        <v>1</v>
      </c>
      <c r="G1348" s="36" t="n">
        <v>0</v>
      </c>
      <c r="H1348" s="36" t="n">
        <v>0</v>
      </c>
      <c r="I1348" s="36" t="n">
        <v>0</v>
      </c>
      <c r="J1348" s="36" t="n">
        <v>2</v>
      </c>
      <c r="K1348" s="12" t="n">
        <v>24</v>
      </c>
    </row>
    <row r="1349">
      <c r="A1349" s="33" t="n">
        <v>46323.37013888889</v>
      </c>
      <c r="B1349" s="33" t="n">
        <v>46323.40625</v>
      </c>
      <c r="C1349" s="13" t="n">
        <v>46325</v>
      </c>
      <c r="D1349" s="14" t="n">
        <v>0.96875</v>
      </c>
      <c r="E1349" s="37" t="n">
        <v>2</v>
      </c>
      <c r="F1349" s="37" t="n">
        <v>2</v>
      </c>
      <c r="G1349" s="37" t="n">
        <v>0</v>
      </c>
      <c r="H1349" s="37" t="n">
        <v>0</v>
      </c>
      <c r="I1349" s="37" t="n">
        <v>0</v>
      </c>
      <c r="J1349" s="37" t="n">
        <v>4</v>
      </c>
      <c r="K1349" s="16" t="n">
        <v>48</v>
      </c>
    </row>
    <row r="1350">
      <c r="A1350" s="30" t="n">
        <v>46323.40625</v>
      </c>
      <c r="B1350" s="30" t="n">
        <v>46323.44097222222</v>
      </c>
      <c r="C1350" s="9" t="n">
        <v>46324</v>
      </c>
      <c r="D1350" s="10" t="n">
        <v>0.8854166666666666</v>
      </c>
      <c r="E1350" s="36" t="n">
        <v>4</v>
      </c>
      <c r="F1350" s="36" t="n">
        <v>1</v>
      </c>
      <c r="G1350" s="36" t="n">
        <v>0</v>
      </c>
      <c r="H1350" s="36" t="n">
        <v>2</v>
      </c>
      <c r="I1350" s="36" t="n">
        <v>1</v>
      </c>
      <c r="J1350" s="36" t="n">
        <v>15</v>
      </c>
      <c r="K1350" s="12" t="n">
        <v>180</v>
      </c>
    </row>
    <row r="1351">
      <c r="A1351" s="33" t="n">
        <v>46323.40625</v>
      </c>
      <c r="B1351" s="33" t="n">
        <v>46323.44097222222</v>
      </c>
      <c r="C1351" s="13" t="n">
        <v>46324</v>
      </c>
      <c r="D1351" s="14" t="n">
        <v>0.9993055555555556</v>
      </c>
      <c r="E1351" s="37" t="n">
        <v>1</v>
      </c>
      <c r="F1351" s="37" t="n">
        <v>0</v>
      </c>
      <c r="G1351" s="37" t="n">
        <v>0</v>
      </c>
      <c r="H1351" s="37" t="n">
        <v>1</v>
      </c>
      <c r="I1351" s="37" t="n">
        <v>0</v>
      </c>
      <c r="J1351" s="37" t="n">
        <v>4</v>
      </c>
      <c r="K1351" s="16" t="n">
        <v>48</v>
      </c>
    </row>
    <row r="1352">
      <c r="A1352" s="30" t="n">
        <v>46323.40625</v>
      </c>
      <c r="B1352" s="30" t="n">
        <v>46323.44097222222</v>
      </c>
      <c r="C1352" s="9" t="n">
        <v>46325</v>
      </c>
      <c r="D1352" s="10" t="n">
        <v>0.84375</v>
      </c>
      <c r="E1352" s="36" t="n">
        <v>1</v>
      </c>
      <c r="F1352" s="36" t="n">
        <v>1</v>
      </c>
      <c r="G1352" s="36" t="n">
        <v>0</v>
      </c>
      <c r="H1352" s="36" t="n">
        <v>0</v>
      </c>
      <c r="I1352" s="36" t="n">
        <v>0</v>
      </c>
      <c r="J1352" s="36" t="n">
        <v>2</v>
      </c>
      <c r="K1352" s="12" t="n">
        <v>24</v>
      </c>
    </row>
    <row r="1353">
      <c r="A1353" s="33" t="n">
        <v>46323.40625</v>
      </c>
      <c r="B1353" s="33" t="n">
        <v>46323.44097222222</v>
      </c>
      <c r="C1353" s="13" t="n">
        <v>46325</v>
      </c>
      <c r="D1353" s="14" t="n">
        <v>0.8854166666666666</v>
      </c>
      <c r="E1353" s="37" t="n">
        <v>2</v>
      </c>
      <c r="F1353" s="37" t="n">
        <v>1</v>
      </c>
      <c r="G1353" s="37" t="n">
        <v>0</v>
      </c>
      <c r="H1353" s="37" t="n">
        <v>0</v>
      </c>
      <c r="I1353" s="37" t="n">
        <v>1</v>
      </c>
      <c r="J1353" s="37" t="n">
        <v>7</v>
      </c>
      <c r="K1353" s="16" t="n">
        <v>84</v>
      </c>
    </row>
    <row r="1354">
      <c r="A1354" s="30" t="n">
        <v>46323.40625</v>
      </c>
      <c r="B1354" s="30" t="n">
        <v>46323.44097222222</v>
      </c>
      <c r="C1354" s="9" t="n">
        <v>46325</v>
      </c>
      <c r="D1354" s="10" t="n">
        <v>0.96875</v>
      </c>
      <c r="E1354" s="36" t="n">
        <v>2</v>
      </c>
      <c r="F1354" s="36" t="n">
        <v>0</v>
      </c>
      <c r="G1354" s="36" t="n">
        <v>1</v>
      </c>
      <c r="H1354" s="36" t="n">
        <v>1</v>
      </c>
      <c r="I1354" s="36" t="n">
        <v>0</v>
      </c>
      <c r="J1354" s="36" t="n">
        <v>7</v>
      </c>
      <c r="K1354" s="12" t="n">
        <v>84</v>
      </c>
    </row>
    <row r="1355">
      <c r="A1355" s="33" t="n">
        <v>46323.40625</v>
      </c>
      <c r="B1355" s="33" t="n">
        <v>46323.44097222222</v>
      </c>
      <c r="C1355" s="13" t="n">
        <v>46325</v>
      </c>
      <c r="D1355" s="14" t="n">
        <v>0.9993055555555556</v>
      </c>
      <c r="E1355" s="37" t="n">
        <v>1</v>
      </c>
      <c r="F1355" s="37" t="n">
        <v>1</v>
      </c>
      <c r="G1355" s="37" t="n">
        <v>0</v>
      </c>
      <c r="H1355" s="37" t="n">
        <v>0</v>
      </c>
      <c r="I1355" s="37" t="n">
        <v>0</v>
      </c>
      <c r="J1355" s="37" t="n">
        <v>2</v>
      </c>
      <c r="K1355" s="16" t="n">
        <v>24</v>
      </c>
    </row>
    <row r="1356">
      <c r="A1356" s="30" t="n">
        <v>46323.40625</v>
      </c>
      <c r="B1356" s="30" t="n">
        <v>46323.44097222222</v>
      </c>
      <c r="C1356" s="9" t="n">
        <v>46326</v>
      </c>
      <c r="D1356" s="10" t="n">
        <v>0.84375</v>
      </c>
      <c r="E1356" s="36" t="n">
        <v>1</v>
      </c>
      <c r="F1356" s="36" t="n">
        <v>1</v>
      </c>
      <c r="G1356" s="36" t="n">
        <v>0</v>
      </c>
      <c r="H1356" s="36" t="n">
        <v>0</v>
      </c>
      <c r="I1356" s="36" t="n">
        <v>0</v>
      </c>
      <c r="J1356" s="36" t="n">
        <v>2</v>
      </c>
      <c r="K1356" s="12" t="n">
        <v>24</v>
      </c>
    </row>
    <row r="1357">
      <c r="A1357" s="33" t="n">
        <v>46323.40625</v>
      </c>
      <c r="B1357" s="33" t="n">
        <v>46323.44097222222</v>
      </c>
      <c r="C1357" s="13" t="n">
        <v>46327</v>
      </c>
      <c r="D1357" s="14" t="n">
        <v>0.8020833333333334</v>
      </c>
      <c r="E1357" s="37" t="n">
        <v>1</v>
      </c>
      <c r="F1357" s="37" t="n">
        <v>0</v>
      </c>
      <c r="G1357" s="37" t="n">
        <v>0</v>
      </c>
      <c r="H1357" s="37" t="n">
        <v>1</v>
      </c>
      <c r="I1357" s="37" t="n">
        <v>0</v>
      </c>
      <c r="J1357" s="37" t="n">
        <v>4</v>
      </c>
      <c r="K1357" s="16" t="n">
        <v>48</v>
      </c>
    </row>
    <row r="1358">
      <c r="A1358" s="30" t="n">
        <v>46323.44583333333</v>
      </c>
      <c r="B1358" s="30" t="n">
        <v>46323.47777777778</v>
      </c>
      <c r="C1358" s="9" t="n">
        <v>46324</v>
      </c>
      <c r="D1358" s="10" t="n">
        <v>0.8854166666666666</v>
      </c>
      <c r="E1358" s="36" t="n">
        <v>1</v>
      </c>
      <c r="F1358" s="36" t="n">
        <v>1</v>
      </c>
      <c r="G1358" s="36" t="n">
        <v>0</v>
      </c>
      <c r="H1358" s="36" t="n">
        <v>0</v>
      </c>
      <c r="I1358" s="36" t="n">
        <v>0</v>
      </c>
      <c r="J1358" s="36" t="n">
        <v>2</v>
      </c>
      <c r="K1358" s="12" t="n">
        <v>24</v>
      </c>
    </row>
    <row r="1359">
      <c r="A1359" s="33" t="n">
        <v>46323.44583333333</v>
      </c>
      <c r="B1359" s="33" t="n">
        <v>46323.47777777778</v>
      </c>
      <c r="C1359" s="13" t="n">
        <v>46325</v>
      </c>
      <c r="D1359" s="14" t="n">
        <v>0.8854166666666666</v>
      </c>
      <c r="E1359" s="37" t="n">
        <v>1</v>
      </c>
      <c r="F1359" s="37" t="n">
        <v>0</v>
      </c>
      <c r="G1359" s="37" t="n">
        <v>0</v>
      </c>
      <c r="H1359" s="37" t="n">
        <v>0</v>
      </c>
      <c r="I1359" s="37" t="n">
        <v>1</v>
      </c>
      <c r="J1359" s="37" t="n">
        <v>5</v>
      </c>
      <c r="K1359" s="16" t="n">
        <v>60</v>
      </c>
    </row>
    <row r="1360">
      <c r="A1360" s="30" t="n">
        <v>46323.44583333333</v>
      </c>
      <c r="B1360" s="30" t="n">
        <v>46323.47777777778</v>
      </c>
      <c r="C1360" s="9" t="n">
        <v>46325</v>
      </c>
      <c r="D1360" s="10" t="n">
        <v>0.96875</v>
      </c>
      <c r="E1360" s="36" t="n">
        <v>2</v>
      </c>
      <c r="F1360" s="36" t="n">
        <v>0</v>
      </c>
      <c r="G1360" s="36" t="n">
        <v>1</v>
      </c>
      <c r="H1360" s="36" t="n">
        <v>1</v>
      </c>
      <c r="I1360" s="36" t="n">
        <v>0</v>
      </c>
      <c r="J1360" s="36" t="n">
        <v>7</v>
      </c>
      <c r="K1360" s="12" t="n">
        <v>84</v>
      </c>
    </row>
    <row r="1361">
      <c r="A1361" s="33" t="n">
        <v>46323.44583333333</v>
      </c>
      <c r="B1361" s="33" t="n">
        <v>46323.47777777778</v>
      </c>
      <c r="C1361" s="13" t="n">
        <v>46326</v>
      </c>
      <c r="D1361" s="14" t="n">
        <v>0.84375</v>
      </c>
      <c r="E1361" s="37" t="n">
        <v>3</v>
      </c>
      <c r="F1361" s="37" t="n">
        <v>2</v>
      </c>
      <c r="G1361" s="37" t="n">
        <v>0</v>
      </c>
      <c r="H1361" s="37" t="n">
        <v>1</v>
      </c>
      <c r="I1361" s="37" t="n">
        <v>0</v>
      </c>
      <c r="J1361" s="37" t="n">
        <v>8</v>
      </c>
      <c r="K1361" s="16" t="n">
        <v>96</v>
      </c>
    </row>
    <row r="1362">
      <c r="A1362" s="30" t="n">
        <v>46323.44583333333</v>
      </c>
      <c r="B1362" s="30" t="n">
        <v>46323.47777777778</v>
      </c>
      <c r="C1362" s="9" t="n">
        <v>46327</v>
      </c>
      <c r="D1362" s="10" t="n">
        <v>0.9270833333333334</v>
      </c>
      <c r="E1362" s="36" t="n">
        <v>2</v>
      </c>
      <c r="F1362" s="36" t="n">
        <v>0</v>
      </c>
      <c r="G1362" s="36" t="n">
        <v>0</v>
      </c>
      <c r="H1362" s="36" t="n">
        <v>2</v>
      </c>
      <c r="I1362" s="36" t="n">
        <v>0</v>
      </c>
      <c r="J1362" s="36" t="n">
        <v>8</v>
      </c>
      <c r="K1362" s="12" t="n">
        <v>96</v>
      </c>
    </row>
    <row r="1363">
      <c r="A1363" s="33" t="n">
        <v>46323.47777777778</v>
      </c>
      <c r="B1363" s="33" t="n">
        <v>46323.48819444444</v>
      </c>
      <c r="C1363" s="13" t="n">
        <v>46324</v>
      </c>
      <c r="D1363" s="14" t="n">
        <v>0.8854166666666666</v>
      </c>
      <c r="E1363" s="37" t="n">
        <v>1</v>
      </c>
      <c r="F1363" s="37" t="n">
        <v>0</v>
      </c>
      <c r="G1363" s="37" t="n">
        <v>0</v>
      </c>
      <c r="H1363" s="37" t="n">
        <v>1</v>
      </c>
      <c r="I1363" s="37" t="n">
        <v>0</v>
      </c>
      <c r="J1363" s="37" t="n">
        <v>4</v>
      </c>
      <c r="K1363" s="16" t="n">
        <v>48</v>
      </c>
    </row>
    <row r="1364">
      <c r="A1364" s="30" t="n">
        <v>46323.47777777778</v>
      </c>
      <c r="B1364" s="30" t="n">
        <v>46323.48819444444</v>
      </c>
      <c r="C1364" s="9" t="n">
        <v>46326</v>
      </c>
      <c r="D1364" s="10" t="n">
        <v>0.8020833333333334</v>
      </c>
      <c r="E1364" s="36" t="n">
        <v>1</v>
      </c>
      <c r="F1364" s="36" t="n">
        <v>1</v>
      </c>
      <c r="G1364" s="36" t="n">
        <v>0</v>
      </c>
      <c r="H1364" s="36" t="n">
        <v>0</v>
      </c>
      <c r="I1364" s="36" t="n">
        <v>0</v>
      </c>
      <c r="J1364" s="36" t="n">
        <v>2</v>
      </c>
      <c r="K1364" s="12" t="n">
        <v>24</v>
      </c>
    </row>
    <row r="1365">
      <c r="A1365" s="33" t="n">
        <v>46323.47777777778</v>
      </c>
      <c r="B1365" s="33" t="n">
        <v>46323.48819444444</v>
      </c>
      <c r="C1365" s="13" t="n">
        <v>46326</v>
      </c>
      <c r="D1365" s="14" t="n">
        <v>0.84375</v>
      </c>
      <c r="E1365" s="37" t="n">
        <v>1</v>
      </c>
      <c r="F1365" s="37" t="n">
        <v>0</v>
      </c>
      <c r="G1365" s="37" t="n">
        <v>0</v>
      </c>
      <c r="H1365" s="37" t="n">
        <v>1</v>
      </c>
      <c r="I1365" s="37" t="n">
        <v>0</v>
      </c>
      <c r="J1365" s="37" t="n">
        <v>4</v>
      </c>
      <c r="K1365" s="16" t="n">
        <v>48</v>
      </c>
    </row>
    <row r="1366">
      <c r="A1366" s="30" t="n">
        <v>46323.47777777778</v>
      </c>
      <c r="B1366" s="30" t="n">
        <v>46323.48819444444</v>
      </c>
      <c r="C1366" s="9" t="n">
        <v>46327</v>
      </c>
      <c r="D1366" s="10" t="n">
        <v>0.9993055555555556</v>
      </c>
      <c r="E1366" s="36" t="n">
        <v>1</v>
      </c>
      <c r="F1366" s="36" t="n">
        <v>0</v>
      </c>
      <c r="G1366" s="36" t="n">
        <v>0</v>
      </c>
      <c r="H1366" s="36" t="n">
        <v>1</v>
      </c>
      <c r="I1366" s="36" t="n">
        <v>0</v>
      </c>
      <c r="J1366" s="36" t="n">
        <v>4</v>
      </c>
      <c r="K1366" s="12" t="n">
        <v>48</v>
      </c>
    </row>
    <row r="1367">
      <c r="A1367" s="33" t="n">
        <v>46323.48819444444</v>
      </c>
      <c r="B1367" s="33" t="n">
        <v>46323.525</v>
      </c>
      <c r="C1367" s="13" t="n">
        <v>46324</v>
      </c>
      <c r="D1367" s="14" t="n">
        <v>0.8854166666666666</v>
      </c>
      <c r="E1367" s="37" t="n">
        <v>3</v>
      </c>
      <c r="F1367" s="37" t="n">
        <v>2</v>
      </c>
      <c r="G1367" s="37" t="n">
        <v>0</v>
      </c>
      <c r="H1367" s="37" t="n">
        <v>0</v>
      </c>
      <c r="I1367" s="37" t="n">
        <v>1</v>
      </c>
      <c r="J1367" s="37" t="n">
        <v>9</v>
      </c>
      <c r="K1367" s="16" t="n">
        <v>108</v>
      </c>
    </row>
    <row r="1368">
      <c r="A1368" s="30" t="n">
        <v>46323.48819444444</v>
      </c>
      <c r="B1368" s="30" t="n">
        <v>46323.525</v>
      </c>
      <c r="C1368" s="9" t="n">
        <v>46324</v>
      </c>
      <c r="D1368" s="10" t="n">
        <v>0.9993055555555556</v>
      </c>
      <c r="E1368" s="36" t="n">
        <v>1</v>
      </c>
      <c r="F1368" s="36" t="n">
        <v>0</v>
      </c>
      <c r="G1368" s="36" t="n">
        <v>0</v>
      </c>
      <c r="H1368" s="36" t="n">
        <v>1</v>
      </c>
      <c r="I1368" s="36" t="n">
        <v>0</v>
      </c>
      <c r="J1368" s="36" t="n">
        <v>4</v>
      </c>
      <c r="K1368" s="12" t="n">
        <v>48</v>
      </c>
    </row>
    <row r="1369">
      <c r="A1369" s="33" t="n">
        <v>46323.48819444444</v>
      </c>
      <c r="B1369" s="33" t="n">
        <v>46323.525</v>
      </c>
      <c r="C1369" s="13" t="n">
        <v>46325</v>
      </c>
      <c r="D1369" s="14" t="n">
        <v>0.96875</v>
      </c>
      <c r="E1369" s="37" t="n">
        <v>2</v>
      </c>
      <c r="F1369" s="37" t="n">
        <v>2</v>
      </c>
      <c r="G1369" s="37" t="n">
        <v>0</v>
      </c>
      <c r="H1369" s="37" t="n">
        <v>0</v>
      </c>
      <c r="I1369" s="37" t="n">
        <v>0</v>
      </c>
      <c r="J1369" s="37" t="n">
        <v>4</v>
      </c>
      <c r="K1369" s="16" t="n">
        <v>48</v>
      </c>
    </row>
    <row r="1370">
      <c r="A1370" s="30" t="n">
        <v>46323.48819444444</v>
      </c>
      <c r="B1370" s="30" t="n">
        <v>46323.525</v>
      </c>
      <c r="C1370" s="9" t="n">
        <v>46326</v>
      </c>
      <c r="D1370" s="10" t="n">
        <v>0.8020833333333334</v>
      </c>
      <c r="E1370" s="36" t="n">
        <v>2</v>
      </c>
      <c r="F1370" s="36" t="n">
        <v>2</v>
      </c>
      <c r="G1370" s="36" t="n">
        <v>0</v>
      </c>
      <c r="H1370" s="36" t="n">
        <v>0</v>
      </c>
      <c r="I1370" s="36" t="n">
        <v>0</v>
      </c>
      <c r="J1370" s="36" t="n">
        <v>4</v>
      </c>
      <c r="K1370" s="12" t="n">
        <v>48</v>
      </c>
    </row>
    <row r="1371">
      <c r="A1371" s="33" t="n">
        <v>46323.48819444444</v>
      </c>
      <c r="B1371" s="33" t="n">
        <v>46323.525</v>
      </c>
      <c r="C1371" s="13" t="n">
        <v>46326</v>
      </c>
      <c r="D1371" s="14" t="n">
        <v>0.84375</v>
      </c>
      <c r="E1371" s="37" t="n">
        <v>2</v>
      </c>
      <c r="F1371" s="37" t="n">
        <v>0</v>
      </c>
      <c r="G1371" s="37" t="n">
        <v>1</v>
      </c>
      <c r="H1371" s="37" t="n">
        <v>1</v>
      </c>
      <c r="I1371" s="37" t="n">
        <v>0</v>
      </c>
      <c r="J1371" s="37" t="n">
        <v>7</v>
      </c>
      <c r="K1371" s="16" t="n">
        <v>84</v>
      </c>
    </row>
    <row r="1372">
      <c r="A1372" s="30" t="n">
        <v>46323.48819444444</v>
      </c>
      <c r="B1372" s="30" t="n">
        <v>46323.525</v>
      </c>
      <c r="C1372" s="9" t="n">
        <v>46327</v>
      </c>
      <c r="D1372" s="10" t="n">
        <v>0.84375</v>
      </c>
      <c r="E1372" s="36" t="n">
        <v>1</v>
      </c>
      <c r="F1372" s="36" t="n">
        <v>0</v>
      </c>
      <c r="G1372" s="36" t="n">
        <v>0</v>
      </c>
      <c r="H1372" s="36" t="n">
        <v>1</v>
      </c>
      <c r="I1372" s="36" t="n">
        <v>0</v>
      </c>
      <c r="J1372" s="36" t="n">
        <v>4</v>
      </c>
      <c r="K1372" s="12" t="n">
        <v>48</v>
      </c>
    </row>
    <row r="1373">
      <c r="A1373" s="33" t="n">
        <v>46323.48819444444</v>
      </c>
      <c r="B1373" s="33" t="n">
        <v>46323.525</v>
      </c>
      <c r="C1373" s="13" t="n">
        <v>46327</v>
      </c>
      <c r="D1373" s="14" t="n">
        <v>0.8854166666666666</v>
      </c>
      <c r="E1373" s="37" t="n">
        <v>1</v>
      </c>
      <c r="F1373" s="37" t="n">
        <v>1</v>
      </c>
      <c r="G1373" s="37" t="n">
        <v>0</v>
      </c>
      <c r="H1373" s="37" t="n">
        <v>0</v>
      </c>
      <c r="I1373" s="37" t="n">
        <v>0</v>
      </c>
      <c r="J1373" s="37" t="n">
        <v>2</v>
      </c>
      <c r="K1373" s="16" t="n">
        <v>24</v>
      </c>
    </row>
    <row r="1374">
      <c r="A1374" s="30" t="n">
        <v>46323.525</v>
      </c>
      <c r="B1374" s="30" t="n">
        <v>46323.56875</v>
      </c>
      <c r="C1374" s="9" t="n">
        <v>46324</v>
      </c>
      <c r="D1374" s="10" t="n">
        <v>0.8854166666666666</v>
      </c>
      <c r="E1374" s="36" t="n">
        <v>5</v>
      </c>
      <c r="F1374" s="36" t="n">
        <v>3</v>
      </c>
      <c r="G1374" s="36" t="n">
        <v>0</v>
      </c>
      <c r="H1374" s="36" t="n">
        <v>2</v>
      </c>
      <c r="I1374" s="36" t="n">
        <v>0</v>
      </c>
      <c r="J1374" s="36" t="n">
        <v>14</v>
      </c>
      <c r="K1374" s="12" t="n">
        <v>168</v>
      </c>
    </row>
    <row r="1375">
      <c r="A1375" s="33" t="n">
        <v>46323.525</v>
      </c>
      <c r="B1375" s="33" t="n">
        <v>46323.56875</v>
      </c>
      <c r="C1375" s="13" t="n">
        <v>46324</v>
      </c>
      <c r="D1375" s="14" t="n">
        <v>0.9993055555555556</v>
      </c>
      <c r="E1375" s="37" t="n">
        <v>2</v>
      </c>
      <c r="F1375" s="37" t="n">
        <v>1</v>
      </c>
      <c r="G1375" s="37" t="n">
        <v>0</v>
      </c>
      <c r="H1375" s="37" t="n">
        <v>1</v>
      </c>
      <c r="I1375" s="37" t="n">
        <v>0</v>
      </c>
      <c r="J1375" s="37" t="n">
        <v>6</v>
      </c>
      <c r="K1375" s="16" t="n">
        <v>72</v>
      </c>
    </row>
    <row r="1376">
      <c r="A1376" s="30" t="n">
        <v>46323.525</v>
      </c>
      <c r="B1376" s="30" t="n">
        <v>46323.56875</v>
      </c>
      <c r="C1376" s="9" t="n">
        <v>46325</v>
      </c>
      <c r="D1376" s="10" t="n">
        <v>0.9270833333333334</v>
      </c>
      <c r="E1376" s="36" t="n">
        <v>-1</v>
      </c>
      <c r="F1376" s="36" t="n">
        <v>-1</v>
      </c>
      <c r="G1376" s="36" t="n">
        <v>0</v>
      </c>
      <c r="H1376" s="36" t="n">
        <v>0</v>
      </c>
      <c r="I1376" s="36" t="n">
        <v>0</v>
      </c>
      <c r="J1376" s="36" t="n">
        <v>-2</v>
      </c>
      <c r="K1376" s="12" t="n">
        <v>-24</v>
      </c>
    </row>
    <row r="1377">
      <c r="A1377" s="33" t="n">
        <v>46323.525</v>
      </c>
      <c r="B1377" s="33" t="n">
        <v>46323.56875</v>
      </c>
      <c r="C1377" s="13" t="n">
        <v>46325</v>
      </c>
      <c r="D1377" s="14" t="n">
        <v>0.96875</v>
      </c>
      <c r="E1377" s="37" t="n">
        <v>2</v>
      </c>
      <c r="F1377" s="37" t="n">
        <v>0</v>
      </c>
      <c r="G1377" s="37" t="n">
        <v>2</v>
      </c>
      <c r="H1377" s="37" t="n">
        <v>0</v>
      </c>
      <c r="I1377" s="37" t="n">
        <v>0</v>
      </c>
      <c r="J1377" s="37" t="n">
        <v>6</v>
      </c>
      <c r="K1377" s="16" t="n">
        <v>72</v>
      </c>
    </row>
    <row r="1378">
      <c r="A1378" s="30" t="n">
        <v>46323.525</v>
      </c>
      <c r="B1378" s="30" t="n">
        <v>46323.56875</v>
      </c>
      <c r="C1378" s="9" t="n">
        <v>46325</v>
      </c>
      <c r="D1378" s="10" t="n">
        <v>0.9993055555555556</v>
      </c>
      <c r="E1378" s="36" t="n">
        <v>1</v>
      </c>
      <c r="F1378" s="36" t="n">
        <v>0</v>
      </c>
      <c r="G1378" s="36" t="n">
        <v>0</v>
      </c>
      <c r="H1378" s="36" t="n">
        <v>1</v>
      </c>
      <c r="I1378" s="36" t="n">
        <v>0</v>
      </c>
      <c r="J1378" s="36" t="n">
        <v>4</v>
      </c>
      <c r="K1378" s="12" t="n">
        <v>48</v>
      </c>
    </row>
    <row r="1379">
      <c r="A1379" s="33" t="n">
        <v>46323.525</v>
      </c>
      <c r="B1379" s="33" t="n">
        <v>46323.56875</v>
      </c>
      <c r="C1379" s="13" t="n">
        <v>46326</v>
      </c>
      <c r="D1379" s="14" t="n">
        <v>0.84375</v>
      </c>
      <c r="E1379" s="37" t="n">
        <v>3</v>
      </c>
      <c r="F1379" s="37" t="n">
        <v>1</v>
      </c>
      <c r="G1379" s="37" t="n">
        <v>1</v>
      </c>
      <c r="H1379" s="37" t="n">
        <v>1</v>
      </c>
      <c r="I1379" s="37" t="n">
        <v>0</v>
      </c>
      <c r="J1379" s="37" t="n">
        <v>9</v>
      </c>
      <c r="K1379" s="16" t="n">
        <v>108</v>
      </c>
    </row>
    <row r="1380">
      <c r="A1380" s="30" t="n">
        <v>46323.525</v>
      </c>
      <c r="B1380" s="30" t="n">
        <v>46323.56875</v>
      </c>
      <c r="C1380" s="9" t="n">
        <v>46327</v>
      </c>
      <c r="D1380" s="10" t="n">
        <v>0.9270833333333334</v>
      </c>
      <c r="E1380" s="36" t="n">
        <v>3</v>
      </c>
      <c r="F1380" s="36" t="n">
        <v>1</v>
      </c>
      <c r="G1380" s="36" t="n">
        <v>0</v>
      </c>
      <c r="H1380" s="36" t="n">
        <v>1</v>
      </c>
      <c r="I1380" s="36" t="n">
        <v>1</v>
      </c>
      <c r="J1380" s="36" t="n">
        <v>11</v>
      </c>
      <c r="K1380" s="12" t="n">
        <v>132</v>
      </c>
    </row>
    <row r="1381">
      <c r="A1381" s="33" t="n">
        <v>46323.525</v>
      </c>
      <c r="B1381" s="33" t="n">
        <v>46323.56875</v>
      </c>
      <c r="C1381" s="13" t="n">
        <v>46327</v>
      </c>
      <c r="D1381" s="14" t="n">
        <v>0.96875</v>
      </c>
      <c r="E1381" s="37" t="n">
        <v>1</v>
      </c>
      <c r="F1381" s="37" t="n">
        <v>0</v>
      </c>
      <c r="G1381" s="37" t="n">
        <v>0</v>
      </c>
      <c r="H1381" s="37" t="n">
        <v>0</v>
      </c>
      <c r="I1381" s="37" t="n">
        <v>1</v>
      </c>
      <c r="J1381" s="37" t="n">
        <v>5</v>
      </c>
      <c r="K1381" s="16" t="n">
        <v>60</v>
      </c>
    </row>
    <row r="1382">
      <c r="A1382" s="30" t="n">
        <v>46323.525</v>
      </c>
      <c r="B1382" s="30" t="n">
        <v>46323.56875</v>
      </c>
      <c r="C1382" s="9" t="n">
        <v>46327</v>
      </c>
      <c r="D1382" s="10" t="n">
        <v>0.9993055555555556</v>
      </c>
      <c r="E1382" s="36" t="n">
        <v>1</v>
      </c>
      <c r="F1382" s="36" t="n">
        <v>1</v>
      </c>
      <c r="G1382" s="36" t="n">
        <v>0</v>
      </c>
      <c r="H1382" s="36" t="n">
        <v>0</v>
      </c>
      <c r="I1382" s="36" t="n">
        <v>0</v>
      </c>
      <c r="J1382" s="36" t="n">
        <v>2</v>
      </c>
      <c r="K1382" s="12" t="n">
        <v>24</v>
      </c>
    </row>
    <row r="1383">
      <c r="A1383" s="33" t="n">
        <v>46323.56875</v>
      </c>
      <c r="B1383" s="33" t="n">
        <v>46323.57152777778</v>
      </c>
      <c r="C1383" s="13" t="n">
        <v>46325</v>
      </c>
      <c r="D1383" s="14" t="n">
        <v>0.9993055555555556</v>
      </c>
      <c r="E1383" s="37" t="n">
        <v>1</v>
      </c>
      <c r="F1383" s="37" t="n">
        <v>0</v>
      </c>
      <c r="G1383" s="37" t="n">
        <v>1</v>
      </c>
      <c r="H1383" s="37" t="n">
        <v>0</v>
      </c>
      <c r="I1383" s="37" t="n">
        <v>0</v>
      </c>
      <c r="J1383" s="37" t="n">
        <v>3</v>
      </c>
      <c r="K1383" s="16" t="n">
        <v>36</v>
      </c>
    </row>
    <row r="1384">
      <c r="A1384" s="30" t="n">
        <v>46323.56875</v>
      </c>
      <c r="B1384" s="30" t="n">
        <v>46323.57152777778</v>
      </c>
      <c r="C1384" s="9" t="n">
        <v>46327</v>
      </c>
      <c r="D1384" s="10" t="n">
        <v>0.8854166666666666</v>
      </c>
      <c r="E1384" s="36" t="n">
        <v>2</v>
      </c>
      <c r="F1384" s="36" t="n">
        <v>1</v>
      </c>
      <c r="G1384" s="36" t="n">
        <v>0</v>
      </c>
      <c r="H1384" s="36" t="n">
        <v>0</v>
      </c>
      <c r="I1384" s="36" t="n">
        <v>1</v>
      </c>
      <c r="J1384" s="36" t="n">
        <v>7</v>
      </c>
      <c r="K1384" s="12" t="n">
        <v>84</v>
      </c>
    </row>
    <row r="1385">
      <c r="A1385" s="33" t="n">
        <v>46323.57152777778</v>
      </c>
      <c r="B1385" s="33" t="n">
        <v>46323.60763888889</v>
      </c>
      <c r="C1385" s="13" t="n">
        <v>46324</v>
      </c>
      <c r="D1385" s="14" t="n">
        <v>0.84375</v>
      </c>
      <c r="E1385" s="37" t="n">
        <v>1</v>
      </c>
      <c r="F1385" s="37" t="n">
        <v>0</v>
      </c>
      <c r="G1385" s="37" t="n">
        <v>0</v>
      </c>
      <c r="H1385" s="37" t="n">
        <v>1</v>
      </c>
      <c r="I1385" s="37" t="n">
        <v>0</v>
      </c>
      <c r="J1385" s="37" t="n">
        <v>4</v>
      </c>
      <c r="K1385" s="16" t="n">
        <v>48</v>
      </c>
    </row>
    <row r="1386">
      <c r="A1386" s="30" t="n">
        <v>46323.57152777778</v>
      </c>
      <c r="B1386" s="30" t="n">
        <v>46323.60763888889</v>
      </c>
      <c r="C1386" s="9" t="n">
        <v>46324</v>
      </c>
      <c r="D1386" s="10" t="n">
        <v>0.8854166666666666</v>
      </c>
      <c r="E1386" s="36" t="n">
        <v>3</v>
      </c>
      <c r="F1386" s="36" t="n">
        <v>2</v>
      </c>
      <c r="G1386" s="36" t="n">
        <v>0</v>
      </c>
      <c r="H1386" s="36" t="n">
        <v>0</v>
      </c>
      <c r="I1386" s="36" t="n">
        <v>1</v>
      </c>
      <c r="J1386" s="36" t="n">
        <v>9</v>
      </c>
      <c r="K1386" s="12" t="n">
        <v>108</v>
      </c>
    </row>
    <row r="1387">
      <c r="A1387" s="33" t="n">
        <v>46323.57152777778</v>
      </c>
      <c r="B1387" s="33" t="n">
        <v>46323.60763888889</v>
      </c>
      <c r="C1387" s="13" t="n">
        <v>46324</v>
      </c>
      <c r="D1387" s="14" t="n">
        <v>0.9993055555555556</v>
      </c>
      <c r="E1387" s="37" t="n">
        <v>4</v>
      </c>
      <c r="F1387" s="37" t="n">
        <v>2</v>
      </c>
      <c r="G1387" s="37" t="n">
        <v>0</v>
      </c>
      <c r="H1387" s="37" t="n">
        <v>1</v>
      </c>
      <c r="I1387" s="37" t="n">
        <v>1</v>
      </c>
      <c r="J1387" s="37" t="n">
        <v>13</v>
      </c>
      <c r="K1387" s="16" t="n">
        <v>156</v>
      </c>
    </row>
    <row r="1388">
      <c r="A1388" s="30" t="n">
        <v>46323.57152777778</v>
      </c>
      <c r="B1388" s="30" t="n">
        <v>46323.60763888889</v>
      </c>
      <c r="C1388" s="9" t="n">
        <v>46325</v>
      </c>
      <c r="D1388" s="10" t="n">
        <v>0.9270833333333334</v>
      </c>
      <c r="E1388" s="36" t="n">
        <v>1</v>
      </c>
      <c r="F1388" s="36" t="n">
        <v>0</v>
      </c>
      <c r="G1388" s="36" t="n">
        <v>0</v>
      </c>
      <c r="H1388" s="36" t="n">
        <v>1</v>
      </c>
      <c r="I1388" s="36" t="n">
        <v>0</v>
      </c>
      <c r="J1388" s="36" t="n">
        <v>4</v>
      </c>
      <c r="K1388" s="12" t="n">
        <v>48</v>
      </c>
    </row>
    <row r="1389">
      <c r="A1389" s="33" t="n">
        <v>46323.57152777778</v>
      </c>
      <c r="B1389" s="33" t="n">
        <v>46323.60763888889</v>
      </c>
      <c r="C1389" s="13" t="n">
        <v>46325</v>
      </c>
      <c r="D1389" s="14" t="n">
        <v>0.96875</v>
      </c>
      <c r="E1389" s="37" t="n">
        <v>3</v>
      </c>
      <c r="F1389" s="37" t="n">
        <v>1</v>
      </c>
      <c r="G1389" s="37" t="n">
        <v>1</v>
      </c>
      <c r="H1389" s="37" t="n">
        <v>1</v>
      </c>
      <c r="I1389" s="37" t="n">
        <v>0</v>
      </c>
      <c r="J1389" s="37" t="n">
        <v>9</v>
      </c>
      <c r="K1389" s="16" t="n">
        <v>108</v>
      </c>
    </row>
    <row r="1390">
      <c r="A1390" s="30" t="n">
        <v>46323.57152777778</v>
      </c>
      <c r="B1390" s="30" t="n">
        <v>46323.60763888889</v>
      </c>
      <c r="C1390" s="9" t="n">
        <v>46325</v>
      </c>
      <c r="D1390" s="10" t="n">
        <v>0.9993055555555556</v>
      </c>
      <c r="E1390" s="36" t="n">
        <v>1</v>
      </c>
      <c r="F1390" s="36" t="n">
        <v>0</v>
      </c>
      <c r="G1390" s="36" t="n">
        <v>1</v>
      </c>
      <c r="H1390" s="36" t="n">
        <v>0</v>
      </c>
      <c r="I1390" s="36" t="n">
        <v>0</v>
      </c>
      <c r="J1390" s="36" t="n">
        <v>3</v>
      </c>
      <c r="K1390" s="12" t="n">
        <v>36</v>
      </c>
    </row>
    <row r="1391">
      <c r="A1391" s="33" t="n">
        <v>46323.57152777778</v>
      </c>
      <c r="B1391" s="33" t="n">
        <v>46323.60763888889</v>
      </c>
      <c r="C1391" s="13" t="n">
        <v>46326</v>
      </c>
      <c r="D1391" s="14" t="n">
        <v>0.8020833333333334</v>
      </c>
      <c r="E1391" s="37" t="n">
        <v>2</v>
      </c>
      <c r="F1391" s="37" t="n">
        <v>2</v>
      </c>
      <c r="G1391" s="37" t="n">
        <v>0</v>
      </c>
      <c r="H1391" s="37" t="n">
        <v>0</v>
      </c>
      <c r="I1391" s="37" t="n">
        <v>0</v>
      </c>
      <c r="J1391" s="37" t="n">
        <v>4</v>
      </c>
      <c r="K1391" s="16" t="n">
        <v>48</v>
      </c>
    </row>
    <row r="1392">
      <c r="A1392" s="30" t="n">
        <v>46323.57152777778</v>
      </c>
      <c r="B1392" s="30" t="n">
        <v>46323.60763888889</v>
      </c>
      <c r="C1392" s="9" t="n">
        <v>46326</v>
      </c>
      <c r="D1392" s="10" t="n">
        <v>0.84375</v>
      </c>
      <c r="E1392" s="36" t="n">
        <v>1</v>
      </c>
      <c r="F1392" s="36" t="n">
        <v>0</v>
      </c>
      <c r="G1392" s="36" t="n">
        <v>0</v>
      </c>
      <c r="H1392" s="36" t="n">
        <v>1</v>
      </c>
      <c r="I1392" s="36" t="n">
        <v>0</v>
      </c>
      <c r="J1392" s="36" t="n">
        <v>4</v>
      </c>
      <c r="K1392" s="12" t="n">
        <v>48</v>
      </c>
    </row>
    <row r="1393">
      <c r="A1393" s="33" t="n">
        <v>46323.57152777778</v>
      </c>
      <c r="B1393" s="33" t="n">
        <v>46323.60763888889</v>
      </c>
      <c r="C1393" s="13" t="n">
        <v>46327</v>
      </c>
      <c r="D1393" s="14" t="n">
        <v>0.8854166666666666</v>
      </c>
      <c r="E1393" s="37" t="n">
        <v>3</v>
      </c>
      <c r="F1393" s="37" t="n">
        <v>0</v>
      </c>
      <c r="G1393" s="37" t="n">
        <v>0</v>
      </c>
      <c r="H1393" s="37" t="n">
        <v>1</v>
      </c>
      <c r="I1393" s="37" t="n">
        <v>2</v>
      </c>
      <c r="J1393" s="37" t="n">
        <v>14</v>
      </c>
      <c r="K1393" s="16" t="n">
        <v>168</v>
      </c>
    </row>
    <row r="1394">
      <c r="A1394" s="30" t="n">
        <v>46323.60763888889</v>
      </c>
      <c r="B1394" s="30" t="n">
        <v>46323.62013888889</v>
      </c>
      <c r="C1394" s="9" t="n">
        <v>46324</v>
      </c>
      <c r="D1394" s="10" t="n">
        <v>0.8854166666666666</v>
      </c>
      <c r="E1394" s="36" t="n">
        <v>2</v>
      </c>
      <c r="F1394" s="36" t="n">
        <v>1</v>
      </c>
      <c r="G1394" s="36" t="n">
        <v>0</v>
      </c>
      <c r="H1394" s="36" t="n">
        <v>0</v>
      </c>
      <c r="I1394" s="36" t="n">
        <v>1</v>
      </c>
      <c r="J1394" s="36" t="n">
        <v>7</v>
      </c>
      <c r="K1394" s="12" t="n">
        <v>84</v>
      </c>
    </row>
    <row r="1395">
      <c r="A1395" s="33" t="n">
        <v>46323.60763888889</v>
      </c>
      <c r="B1395" s="33" t="n">
        <v>46323.62013888889</v>
      </c>
      <c r="C1395" s="13" t="n">
        <v>46324</v>
      </c>
      <c r="D1395" s="14" t="n">
        <v>0.9993055555555556</v>
      </c>
      <c r="E1395" s="37" t="n">
        <v>1</v>
      </c>
      <c r="F1395" s="37" t="n">
        <v>0</v>
      </c>
      <c r="G1395" s="37" t="n">
        <v>0</v>
      </c>
      <c r="H1395" s="37" t="n">
        <v>1</v>
      </c>
      <c r="I1395" s="37" t="n">
        <v>0</v>
      </c>
      <c r="J1395" s="37" t="n">
        <v>4</v>
      </c>
      <c r="K1395" s="16" t="n">
        <v>48</v>
      </c>
    </row>
    <row r="1396">
      <c r="A1396" s="30" t="n">
        <v>46323.60763888889</v>
      </c>
      <c r="B1396" s="30" t="n">
        <v>46323.62013888889</v>
      </c>
      <c r="C1396" s="9" t="n">
        <v>46325</v>
      </c>
      <c r="D1396" s="10" t="n">
        <v>0.96875</v>
      </c>
      <c r="E1396" s="36" t="n">
        <v>3</v>
      </c>
      <c r="F1396" s="36" t="n">
        <v>1</v>
      </c>
      <c r="G1396" s="36" t="n">
        <v>2</v>
      </c>
      <c r="H1396" s="36" t="n">
        <v>0</v>
      </c>
      <c r="I1396" s="36" t="n">
        <v>0</v>
      </c>
      <c r="J1396" s="36" t="n">
        <v>8</v>
      </c>
      <c r="K1396" s="12" t="n">
        <v>96</v>
      </c>
    </row>
    <row r="1397">
      <c r="A1397" s="33" t="n">
        <v>46323.62013888889</v>
      </c>
      <c r="B1397" s="33" t="n">
        <v>46323.63333333333</v>
      </c>
      <c r="C1397" s="13" t="n">
        <v>46324</v>
      </c>
      <c r="D1397" s="14" t="n">
        <v>0.84375</v>
      </c>
      <c r="E1397" s="37" t="n">
        <v>1</v>
      </c>
      <c r="F1397" s="37" t="n">
        <v>0</v>
      </c>
      <c r="G1397" s="37" t="n">
        <v>0</v>
      </c>
      <c r="H1397" s="37" t="n">
        <v>1</v>
      </c>
      <c r="I1397" s="37" t="n">
        <v>0</v>
      </c>
      <c r="J1397" s="37" t="n">
        <v>4</v>
      </c>
      <c r="K1397" s="16" t="n">
        <v>48</v>
      </c>
    </row>
    <row r="1398">
      <c r="A1398" s="30" t="n">
        <v>46323.62013888889</v>
      </c>
      <c r="B1398" s="30" t="n">
        <v>46323.63333333333</v>
      </c>
      <c r="C1398" s="9" t="n">
        <v>46324</v>
      </c>
      <c r="D1398" s="10" t="n">
        <v>0.8854166666666666</v>
      </c>
      <c r="E1398" s="36" t="n">
        <v>2</v>
      </c>
      <c r="F1398" s="36" t="n">
        <v>0</v>
      </c>
      <c r="G1398" s="36" t="n">
        <v>0</v>
      </c>
      <c r="H1398" s="36" t="n">
        <v>1</v>
      </c>
      <c r="I1398" s="36" t="n">
        <v>1</v>
      </c>
      <c r="J1398" s="36" t="n">
        <v>9</v>
      </c>
      <c r="K1398" s="12" t="n">
        <v>108</v>
      </c>
    </row>
    <row r="1399">
      <c r="A1399" s="33" t="n">
        <v>46323.62013888889</v>
      </c>
      <c r="B1399" s="33" t="n">
        <v>46323.63333333333</v>
      </c>
      <c r="C1399" s="13" t="n">
        <v>46327</v>
      </c>
      <c r="D1399" s="14" t="n">
        <v>0.9270833333333334</v>
      </c>
      <c r="E1399" s="37" t="n">
        <v>1</v>
      </c>
      <c r="F1399" s="37" t="n">
        <v>1</v>
      </c>
      <c r="G1399" s="37" t="n">
        <v>0</v>
      </c>
      <c r="H1399" s="37" t="n">
        <v>0</v>
      </c>
      <c r="I1399" s="37" t="n">
        <v>0</v>
      </c>
      <c r="J1399" s="37" t="n">
        <v>2</v>
      </c>
      <c r="K1399" s="16" t="n">
        <v>24</v>
      </c>
    </row>
    <row r="1400">
      <c r="A1400" s="30" t="n">
        <v>46323.63333333333</v>
      </c>
      <c r="B1400" s="30" t="n">
        <v>46323.65833333333</v>
      </c>
      <c r="C1400" s="9" t="n">
        <v>46324</v>
      </c>
      <c r="D1400" s="10" t="n">
        <v>0.9993055555555556</v>
      </c>
      <c r="E1400" s="36" t="n">
        <v>1</v>
      </c>
      <c r="F1400" s="36" t="n">
        <v>1</v>
      </c>
      <c r="G1400" s="36" t="n">
        <v>0</v>
      </c>
      <c r="H1400" s="36" t="n">
        <v>0</v>
      </c>
      <c r="I1400" s="36" t="n">
        <v>0</v>
      </c>
      <c r="J1400" s="36" t="n">
        <v>2</v>
      </c>
      <c r="K1400" s="12" t="n">
        <v>24</v>
      </c>
    </row>
    <row r="1401">
      <c r="A1401" s="33" t="n">
        <v>46323.63333333333</v>
      </c>
      <c r="B1401" s="33" t="n">
        <v>46323.65833333333</v>
      </c>
      <c r="C1401" s="13" t="n">
        <v>46325</v>
      </c>
      <c r="D1401" s="14" t="n">
        <v>0.8854166666666666</v>
      </c>
      <c r="E1401" s="37" t="n">
        <v>1</v>
      </c>
      <c r="F1401" s="37" t="n">
        <v>1</v>
      </c>
      <c r="G1401" s="37" t="n">
        <v>0</v>
      </c>
      <c r="H1401" s="37" t="n">
        <v>0</v>
      </c>
      <c r="I1401" s="37" t="n">
        <v>0</v>
      </c>
      <c r="J1401" s="37" t="n">
        <v>2</v>
      </c>
      <c r="K1401" s="16" t="n">
        <v>24</v>
      </c>
    </row>
    <row r="1402">
      <c r="A1402" s="30" t="n">
        <v>46323.63333333333</v>
      </c>
      <c r="B1402" s="30" t="n">
        <v>46323.65833333333</v>
      </c>
      <c r="C1402" s="9" t="n">
        <v>46326</v>
      </c>
      <c r="D1402" s="10" t="n">
        <v>0.8020833333333334</v>
      </c>
      <c r="E1402" s="36" t="n">
        <v>1</v>
      </c>
      <c r="F1402" s="36" t="n">
        <v>0</v>
      </c>
      <c r="G1402" s="36" t="n">
        <v>0</v>
      </c>
      <c r="H1402" s="36" t="n">
        <v>0</v>
      </c>
      <c r="I1402" s="36" t="n">
        <v>1</v>
      </c>
      <c r="J1402" s="36" t="n">
        <v>5</v>
      </c>
      <c r="K1402" s="12" t="n">
        <v>60</v>
      </c>
    </row>
    <row r="1403">
      <c r="A1403" s="33" t="n">
        <v>46323.63333333333</v>
      </c>
      <c r="B1403" s="33" t="n">
        <v>46323.65833333333</v>
      </c>
      <c r="C1403" s="13" t="n">
        <v>46327</v>
      </c>
      <c r="D1403" s="14" t="n">
        <v>0.9270833333333334</v>
      </c>
      <c r="E1403" s="37" t="n">
        <v>1</v>
      </c>
      <c r="F1403" s="37" t="n">
        <v>0</v>
      </c>
      <c r="G1403" s="37" t="n">
        <v>0</v>
      </c>
      <c r="H1403" s="37" t="n">
        <v>0</v>
      </c>
      <c r="I1403" s="37" t="n">
        <v>1</v>
      </c>
      <c r="J1403" s="37" t="n">
        <v>5</v>
      </c>
      <c r="K1403" s="16" t="n">
        <v>60</v>
      </c>
    </row>
    <row r="1404">
      <c r="A1404" s="30" t="n">
        <v>46323.65833333333</v>
      </c>
      <c r="B1404" s="30" t="n">
        <v>46323.67430555556</v>
      </c>
      <c r="C1404" s="9" t="n">
        <v>46324</v>
      </c>
      <c r="D1404" s="10" t="n">
        <v>0.84375</v>
      </c>
      <c r="E1404" s="36" t="n">
        <v>1</v>
      </c>
      <c r="F1404" s="36" t="n">
        <v>1</v>
      </c>
      <c r="G1404" s="36" t="n">
        <v>0</v>
      </c>
      <c r="H1404" s="36" t="n">
        <v>0</v>
      </c>
      <c r="I1404" s="36" t="n">
        <v>0</v>
      </c>
      <c r="J1404" s="36" t="n">
        <v>2</v>
      </c>
      <c r="K1404" s="12" t="n">
        <v>24</v>
      </c>
    </row>
    <row r="1405">
      <c r="A1405" s="33" t="n">
        <v>46323.65833333333</v>
      </c>
      <c r="B1405" s="33" t="n">
        <v>46323.67430555556</v>
      </c>
      <c r="C1405" s="13" t="n">
        <v>46324</v>
      </c>
      <c r="D1405" s="14" t="n">
        <v>0.8854166666666666</v>
      </c>
      <c r="E1405" s="37" t="n">
        <v>1</v>
      </c>
      <c r="F1405" s="37" t="n">
        <v>0</v>
      </c>
      <c r="G1405" s="37" t="n">
        <v>1</v>
      </c>
      <c r="H1405" s="37" t="n">
        <v>0</v>
      </c>
      <c r="I1405" s="37" t="n">
        <v>0</v>
      </c>
      <c r="J1405" s="37" t="n">
        <v>3</v>
      </c>
      <c r="K1405" s="16" t="n">
        <v>36</v>
      </c>
    </row>
    <row r="1406">
      <c r="A1406" s="30" t="n">
        <v>46323.65833333333</v>
      </c>
      <c r="B1406" s="30" t="n">
        <v>46323.67430555556</v>
      </c>
      <c r="C1406" s="9" t="n">
        <v>46325</v>
      </c>
      <c r="D1406" s="10" t="n">
        <v>0.96875</v>
      </c>
      <c r="E1406" s="36" t="n">
        <v>1</v>
      </c>
      <c r="F1406" s="36" t="n">
        <v>0</v>
      </c>
      <c r="G1406" s="36" t="n">
        <v>0</v>
      </c>
      <c r="H1406" s="36" t="n">
        <v>1</v>
      </c>
      <c r="I1406" s="36" t="n">
        <v>0</v>
      </c>
      <c r="J1406" s="36" t="n">
        <v>4</v>
      </c>
      <c r="K1406" s="12" t="n">
        <v>48</v>
      </c>
    </row>
    <row r="1407">
      <c r="A1407" s="33" t="n">
        <v>46323.65833333333</v>
      </c>
      <c r="B1407" s="33" t="n">
        <v>46323.67430555556</v>
      </c>
      <c r="C1407" s="13" t="n">
        <v>46325</v>
      </c>
      <c r="D1407" s="14" t="n">
        <v>0.9993055555555556</v>
      </c>
      <c r="E1407" s="37" t="n">
        <v>1</v>
      </c>
      <c r="F1407" s="37" t="n">
        <v>0</v>
      </c>
      <c r="G1407" s="37" t="n">
        <v>1</v>
      </c>
      <c r="H1407" s="37" t="n">
        <v>0</v>
      </c>
      <c r="I1407" s="37" t="n">
        <v>0</v>
      </c>
      <c r="J1407" s="37" t="n">
        <v>3</v>
      </c>
      <c r="K1407" s="16" t="n">
        <v>36</v>
      </c>
    </row>
    <row r="1408">
      <c r="A1408" s="30" t="n">
        <v>46323.67430555556</v>
      </c>
      <c r="B1408" s="30" t="n">
        <v>46323.69791666666</v>
      </c>
      <c r="C1408" s="9" t="n">
        <v>46324</v>
      </c>
      <c r="D1408" s="10" t="n">
        <v>0.84375</v>
      </c>
      <c r="E1408" s="36" t="n">
        <v>1</v>
      </c>
      <c r="F1408" s="36" t="n">
        <v>1</v>
      </c>
      <c r="G1408" s="36" t="n">
        <v>0</v>
      </c>
      <c r="H1408" s="36" t="n">
        <v>0</v>
      </c>
      <c r="I1408" s="36" t="n">
        <v>0</v>
      </c>
      <c r="J1408" s="36" t="n">
        <v>2</v>
      </c>
      <c r="K1408" s="12" t="n">
        <v>24</v>
      </c>
    </row>
    <row r="1409">
      <c r="A1409" s="33" t="n">
        <v>46323.67430555556</v>
      </c>
      <c r="B1409" s="33" t="n">
        <v>46323.69791666666</v>
      </c>
      <c r="C1409" s="13" t="n">
        <v>46325</v>
      </c>
      <c r="D1409" s="14" t="n">
        <v>0.96875</v>
      </c>
      <c r="E1409" s="37" t="n">
        <v>1</v>
      </c>
      <c r="F1409" s="37" t="n">
        <v>0</v>
      </c>
      <c r="G1409" s="37" t="n">
        <v>0</v>
      </c>
      <c r="H1409" s="37" t="n">
        <v>0</v>
      </c>
      <c r="I1409" s="37" t="n">
        <v>1</v>
      </c>
      <c r="J1409" s="37" t="n">
        <v>5</v>
      </c>
      <c r="K1409" s="16" t="n">
        <v>60</v>
      </c>
    </row>
    <row r="1410">
      <c r="A1410" s="30" t="n">
        <v>46323.67430555556</v>
      </c>
      <c r="B1410" s="30" t="n">
        <v>46323.69791666666</v>
      </c>
      <c r="C1410" s="9" t="n">
        <v>46325</v>
      </c>
      <c r="D1410" s="10" t="n">
        <v>0.9993055555555556</v>
      </c>
      <c r="E1410" s="36" t="n">
        <v>3</v>
      </c>
      <c r="F1410" s="36" t="n">
        <v>0</v>
      </c>
      <c r="G1410" s="36" t="n">
        <v>0</v>
      </c>
      <c r="H1410" s="36" t="n">
        <v>2</v>
      </c>
      <c r="I1410" s="36" t="n">
        <v>1</v>
      </c>
      <c r="J1410" s="36" t="n">
        <v>13</v>
      </c>
      <c r="K1410" s="12" t="n">
        <v>156</v>
      </c>
    </row>
    <row r="1411">
      <c r="A1411" s="33" t="n">
        <v>46323.69791666666</v>
      </c>
      <c r="B1411" s="33" t="n">
        <v>46323.73888888889</v>
      </c>
      <c r="C1411" s="13" t="n">
        <v>46324</v>
      </c>
      <c r="D1411" s="14" t="n">
        <v>0.84375</v>
      </c>
      <c r="E1411" s="37" t="n">
        <v>1</v>
      </c>
      <c r="F1411" s="37" t="n">
        <v>1</v>
      </c>
      <c r="G1411" s="37" t="n">
        <v>0</v>
      </c>
      <c r="H1411" s="37" t="n">
        <v>0</v>
      </c>
      <c r="I1411" s="37" t="n">
        <v>0</v>
      </c>
      <c r="J1411" s="37" t="n">
        <v>2</v>
      </c>
      <c r="K1411" s="16" t="n">
        <v>24</v>
      </c>
    </row>
    <row r="1412">
      <c r="A1412" s="30" t="n">
        <v>46323.69791666666</v>
      </c>
      <c r="B1412" s="30" t="n">
        <v>46323.73888888889</v>
      </c>
      <c r="C1412" s="9" t="n">
        <v>46324</v>
      </c>
      <c r="D1412" s="10" t="n">
        <v>0.8854166666666666</v>
      </c>
      <c r="E1412" s="36" t="n">
        <v>8</v>
      </c>
      <c r="F1412" s="36" t="n">
        <v>3</v>
      </c>
      <c r="G1412" s="36" t="n">
        <v>0</v>
      </c>
      <c r="H1412" s="36" t="n">
        <v>2</v>
      </c>
      <c r="I1412" s="36" t="n">
        <v>3</v>
      </c>
      <c r="J1412" s="36" t="n">
        <v>29</v>
      </c>
      <c r="K1412" s="12" t="n">
        <v>348</v>
      </c>
    </row>
    <row r="1413">
      <c r="A1413" s="33" t="n">
        <v>46323.69791666666</v>
      </c>
      <c r="B1413" s="33" t="n">
        <v>46323.73888888889</v>
      </c>
      <c r="C1413" s="13" t="n">
        <v>46324</v>
      </c>
      <c r="D1413" s="14" t="n">
        <v>0.9993055555555556</v>
      </c>
      <c r="E1413" s="37" t="n">
        <v>2</v>
      </c>
      <c r="F1413" s="37" t="n">
        <v>0</v>
      </c>
      <c r="G1413" s="37" t="n">
        <v>0</v>
      </c>
      <c r="H1413" s="37" t="n">
        <v>0</v>
      </c>
      <c r="I1413" s="37" t="n">
        <v>2</v>
      </c>
      <c r="J1413" s="37" t="n">
        <v>10</v>
      </c>
      <c r="K1413" s="16" t="n">
        <v>120</v>
      </c>
    </row>
    <row r="1414">
      <c r="A1414" s="30" t="n">
        <v>46323.69791666666</v>
      </c>
      <c r="B1414" s="30" t="n">
        <v>46323.73888888889</v>
      </c>
      <c r="C1414" s="9" t="n">
        <v>46325</v>
      </c>
      <c r="D1414" s="10" t="n">
        <v>0.96875</v>
      </c>
      <c r="E1414" s="36" t="n">
        <v>1</v>
      </c>
      <c r="F1414" s="36" t="n">
        <v>1</v>
      </c>
      <c r="G1414" s="36" t="n">
        <v>0</v>
      </c>
      <c r="H1414" s="36" t="n">
        <v>0</v>
      </c>
      <c r="I1414" s="36" t="n">
        <v>0</v>
      </c>
      <c r="J1414" s="36" t="n">
        <v>2</v>
      </c>
      <c r="K1414" s="12" t="n">
        <v>24</v>
      </c>
    </row>
    <row r="1415">
      <c r="A1415" s="33" t="n">
        <v>46323.69791666666</v>
      </c>
      <c r="B1415" s="33" t="n">
        <v>46323.73888888889</v>
      </c>
      <c r="C1415" s="13" t="n">
        <v>46325</v>
      </c>
      <c r="D1415" s="14" t="n">
        <v>0.9993055555555556</v>
      </c>
      <c r="E1415" s="37" t="n">
        <v>2</v>
      </c>
      <c r="F1415" s="37" t="n">
        <v>0</v>
      </c>
      <c r="G1415" s="37" t="n">
        <v>1</v>
      </c>
      <c r="H1415" s="37" t="n">
        <v>1</v>
      </c>
      <c r="I1415" s="37" t="n">
        <v>0</v>
      </c>
      <c r="J1415" s="37" t="n">
        <v>7</v>
      </c>
      <c r="K1415" s="16" t="n">
        <v>84</v>
      </c>
    </row>
    <row r="1416">
      <c r="A1416" s="30" t="n">
        <v>46323.69791666666</v>
      </c>
      <c r="B1416" s="30" t="n">
        <v>46323.73888888889</v>
      </c>
      <c r="C1416" s="9" t="n">
        <v>46326</v>
      </c>
      <c r="D1416" s="10" t="n">
        <v>0.8020833333333334</v>
      </c>
      <c r="E1416" s="36" t="n">
        <v>3</v>
      </c>
      <c r="F1416" s="36" t="n">
        <v>2</v>
      </c>
      <c r="G1416" s="36" t="n">
        <v>0</v>
      </c>
      <c r="H1416" s="36" t="n">
        <v>0</v>
      </c>
      <c r="I1416" s="36" t="n">
        <v>1</v>
      </c>
      <c r="J1416" s="36" t="n">
        <v>9</v>
      </c>
      <c r="K1416" s="12" t="n">
        <v>108</v>
      </c>
    </row>
    <row r="1417">
      <c r="A1417" s="33" t="n">
        <v>46323.73888888889</v>
      </c>
      <c r="B1417" s="33" t="n">
        <v>46323.74861111111</v>
      </c>
      <c r="C1417" s="13" t="n">
        <v>46324</v>
      </c>
      <c r="D1417" s="14" t="n">
        <v>0.9993055555555556</v>
      </c>
      <c r="E1417" s="37" t="n">
        <v>2</v>
      </c>
      <c r="F1417" s="37" t="n">
        <v>1</v>
      </c>
      <c r="G1417" s="37" t="n">
        <v>0</v>
      </c>
      <c r="H1417" s="37" t="n">
        <v>0</v>
      </c>
      <c r="I1417" s="37" t="n">
        <v>1</v>
      </c>
      <c r="J1417" s="37" t="n">
        <v>7</v>
      </c>
      <c r="K1417" s="16" t="n">
        <v>84</v>
      </c>
    </row>
    <row r="1418">
      <c r="A1418" s="30" t="n">
        <v>46323.73888888889</v>
      </c>
      <c r="B1418" s="30" t="n">
        <v>46323.74861111111</v>
      </c>
      <c r="C1418" s="9" t="n">
        <v>46325</v>
      </c>
      <c r="D1418" s="10" t="n">
        <v>0.9993055555555556</v>
      </c>
      <c r="E1418" s="36" t="n">
        <v>2</v>
      </c>
      <c r="F1418" s="36" t="n">
        <v>0</v>
      </c>
      <c r="G1418" s="36" t="n">
        <v>0</v>
      </c>
      <c r="H1418" s="36" t="n">
        <v>2</v>
      </c>
      <c r="I1418" s="36" t="n">
        <v>0</v>
      </c>
      <c r="J1418" s="36" t="n">
        <v>8</v>
      </c>
      <c r="K1418" s="12" t="n">
        <v>96</v>
      </c>
    </row>
    <row r="1419">
      <c r="A1419" s="33" t="n">
        <v>46323.74861111111</v>
      </c>
      <c r="B1419" s="33" t="n">
        <v>46323.77777777778</v>
      </c>
      <c r="C1419" s="13" t="n">
        <v>46324</v>
      </c>
      <c r="D1419" s="14" t="n">
        <v>0.84375</v>
      </c>
      <c r="E1419" s="37" t="n">
        <v>3</v>
      </c>
      <c r="F1419" s="37" t="n">
        <v>2</v>
      </c>
      <c r="G1419" s="37" t="n">
        <v>0</v>
      </c>
      <c r="H1419" s="37" t="n">
        <v>0</v>
      </c>
      <c r="I1419" s="37" t="n">
        <v>1</v>
      </c>
      <c r="J1419" s="37" t="n">
        <v>9</v>
      </c>
      <c r="K1419" s="16" t="n">
        <v>108</v>
      </c>
    </row>
    <row r="1420">
      <c r="A1420" s="30" t="n">
        <v>46323.74861111111</v>
      </c>
      <c r="B1420" s="30" t="n">
        <v>46323.77777777778</v>
      </c>
      <c r="C1420" s="9" t="n">
        <v>46324</v>
      </c>
      <c r="D1420" s="10" t="n">
        <v>0.9993055555555556</v>
      </c>
      <c r="E1420" s="36" t="n">
        <v>3</v>
      </c>
      <c r="F1420" s="36" t="n">
        <v>0</v>
      </c>
      <c r="G1420" s="36" t="n">
        <v>2</v>
      </c>
      <c r="H1420" s="36" t="n">
        <v>1</v>
      </c>
      <c r="I1420" s="36" t="n">
        <v>0</v>
      </c>
      <c r="J1420" s="36" t="n">
        <v>10</v>
      </c>
      <c r="K1420" s="12" t="n">
        <v>120</v>
      </c>
    </row>
    <row r="1421">
      <c r="A1421" s="33" t="n">
        <v>46323.74861111111</v>
      </c>
      <c r="B1421" s="33" t="n">
        <v>46323.77777777778</v>
      </c>
      <c r="C1421" s="13" t="n">
        <v>46325</v>
      </c>
      <c r="D1421" s="14" t="n">
        <v>0.8854166666666666</v>
      </c>
      <c r="E1421" s="37" t="n">
        <v>1</v>
      </c>
      <c r="F1421" s="37" t="n">
        <v>0</v>
      </c>
      <c r="G1421" s="37" t="n">
        <v>0</v>
      </c>
      <c r="H1421" s="37" t="n">
        <v>1</v>
      </c>
      <c r="I1421" s="37" t="n">
        <v>0</v>
      </c>
      <c r="J1421" s="37" t="n">
        <v>4</v>
      </c>
      <c r="K1421" s="16" t="n">
        <v>48</v>
      </c>
    </row>
    <row r="1422">
      <c r="A1422" s="30" t="n">
        <v>46323.74861111111</v>
      </c>
      <c r="B1422" s="30" t="n">
        <v>46323.77777777778</v>
      </c>
      <c r="C1422" s="9" t="n">
        <v>46325</v>
      </c>
      <c r="D1422" s="10" t="n">
        <v>0.9993055555555556</v>
      </c>
      <c r="E1422" s="36" t="n">
        <v>1</v>
      </c>
      <c r="F1422" s="36" t="n">
        <v>0</v>
      </c>
      <c r="G1422" s="36" t="n">
        <v>0</v>
      </c>
      <c r="H1422" s="36" t="n">
        <v>1</v>
      </c>
      <c r="I1422" s="36" t="n">
        <v>0</v>
      </c>
      <c r="J1422" s="36" t="n">
        <v>4</v>
      </c>
      <c r="K1422" s="12" t="n">
        <v>48</v>
      </c>
    </row>
    <row r="1423">
      <c r="A1423" s="33" t="n">
        <v>46323.74861111111</v>
      </c>
      <c r="B1423" s="33" t="n">
        <v>46323.77777777778</v>
      </c>
      <c r="C1423" s="13" t="n">
        <v>46326</v>
      </c>
      <c r="D1423" s="14" t="n">
        <v>0.8020833333333334</v>
      </c>
      <c r="E1423" s="37" t="n">
        <v>2</v>
      </c>
      <c r="F1423" s="37" t="n">
        <v>0</v>
      </c>
      <c r="G1423" s="37" t="n">
        <v>0</v>
      </c>
      <c r="H1423" s="37" t="n">
        <v>2</v>
      </c>
      <c r="I1423" s="37" t="n">
        <v>0</v>
      </c>
      <c r="J1423" s="37" t="n">
        <v>8</v>
      </c>
      <c r="K1423" s="16" t="n">
        <v>96</v>
      </c>
    </row>
    <row r="1424">
      <c r="A1424" s="30" t="n">
        <v>46323.74861111111</v>
      </c>
      <c r="B1424" s="30" t="n">
        <v>46323.77777777778</v>
      </c>
      <c r="C1424" s="9" t="n">
        <v>46327</v>
      </c>
      <c r="D1424" s="10" t="n">
        <v>0.84375</v>
      </c>
      <c r="E1424" s="36" t="n">
        <v>1</v>
      </c>
      <c r="F1424" s="36" t="n">
        <v>1</v>
      </c>
      <c r="G1424" s="36" t="n">
        <v>0</v>
      </c>
      <c r="H1424" s="36" t="n">
        <v>0</v>
      </c>
      <c r="I1424" s="36" t="n">
        <v>0</v>
      </c>
      <c r="J1424" s="36" t="n">
        <v>2</v>
      </c>
      <c r="K1424" s="12" t="n">
        <v>24</v>
      </c>
    </row>
    <row r="1425">
      <c r="A1425" s="33" t="n">
        <v>46323.74861111111</v>
      </c>
      <c r="B1425" s="33" t="n">
        <v>46323.77777777778</v>
      </c>
      <c r="C1425" s="13" t="n">
        <v>46327</v>
      </c>
      <c r="D1425" s="14" t="n">
        <v>0.8854166666666666</v>
      </c>
      <c r="E1425" s="37" t="n">
        <v>1</v>
      </c>
      <c r="F1425" s="37" t="n">
        <v>1</v>
      </c>
      <c r="G1425" s="37" t="n">
        <v>0</v>
      </c>
      <c r="H1425" s="37" t="n">
        <v>0</v>
      </c>
      <c r="I1425" s="37" t="n">
        <v>0</v>
      </c>
      <c r="J1425" s="37" t="n">
        <v>2</v>
      </c>
      <c r="K1425" s="16" t="n">
        <v>24</v>
      </c>
    </row>
    <row r="1426">
      <c r="A1426" s="30" t="n">
        <v>46323.74861111111</v>
      </c>
      <c r="B1426" s="30" t="n">
        <v>46323.77777777778</v>
      </c>
      <c r="C1426" s="9" t="n">
        <v>46327</v>
      </c>
      <c r="D1426" s="10" t="n">
        <v>0.9270833333333334</v>
      </c>
      <c r="E1426" s="36" t="n">
        <v>1</v>
      </c>
      <c r="F1426" s="36" t="n">
        <v>1</v>
      </c>
      <c r="G1426" s="36" t="n">
        <v>0</v>
      </c>
      <c r="H1426" s="36" t="n">
        <v>0</v>
      </c>
      <c r="I1426" s="36" t="n">
        <v>0</v>
      </c>
      <c r="J1426" s="36" t="n">
        <v>2</v>
      </c>
      <c r="K1426" s="12" t="n">
        <v>24</v>
      </c>
    </row>
    <row r="1427">
      <c r="A1427" s="33" t="n">
        <v>46323.77777777778</v>
      </c>
      <c r="B1427" s="33" t="n">
        <v>46323.80763888889</v>
      </c>
      <c r="C1427" s="13" t="n">
        <v>46324</v>
      </c>
      <c r="D1427" s="14" t="n">
        <v>0.9993055555555556</v>
      </c>
      <c r="E1427" s="37" t="n">
        <v>1</v>
      </c>
      <c r="F1427" s="37" t="n">
        <v>0</v>
      </c>
      <c r="G1427" s="37" t="n">
        <v>0</v>
      </c>
      <c r="H1427" s="37" t="n">
        <v>1</v>
      </c>
      <c r="I1427" s="37" t="n">
        <v>0</v>
      </c>
      <c r="J1427" s="37" t="n">
        <v>4</v>
      </c>
      <c r="K1427" s="16" t="n">
        <v>48</v>
      </c>
    </row>
    <row r="1428">
      <c r="A1428" s="30" t="n">
        <v>46323.77777777778</v>
      </c>
      <c r="B1428" s="30" t="n">
        <v>46323.80763888889</v>
      </c>
      <c r="C1428" s="9" t="n">
        <v>46325</v>
      </c>
      <c r="D1428" s="10" t="n">
        <v>0.84375</v>
      </c>
      <c r="E1428" s="36" t="n">
        <v>1</v>
      </c>
      <c r="F1428" s="36" t="n">
        <v>0</v>
      </c>
      <c r="G1428" s="36" t="n">
        <v>0</v>
      </c>
      <c r="H1428" s="36" t="n">
        <v>1</v>
      </c>
      <c r="I1428" s="36" t="n">
        <v>0</v>
      </c>
      <c r="J1428" s="36" t="n">
        <v>4</v>
      </c>
      <c r="K1428" s="12" t="n">
        <v>48</v>
      </c>
    </row>
    <row r="1429">
      <c r="A1429" s="33" t="n">
        <v>46323.77777777778</v>
      </c>
      <c r="B1429" s="33" t="n">
        <v>46323.80763888889</v>
      </c>
      <c r="C1429" s="13" t="n">
        <v>46325</v>
      </c>
      <c r="D1429" s="14" t="n">
        <v>0.9993055555555556</v>
      </c>
      <c r="E1429" s="37" t="n">
        <v>5</v>
      </c>
      <c r="F1429" s="37" t="n">
        <v>2</v>
      </c>
      <c r="G1429" s="37" t="n">
        <v>0</v>
      </c>
      <c r="H1429" s="37" t="n">
        <v>2</v>
      </c>
      <c r="I1429" s="37" t="n">
        <v>1</v>
      </c>
      <c r="J1429" s="37" t="n">
        <v>17</v>
      </c>
      <c r="K1429" s="16" t="n">
        <v>204</v>
      </c>
    </row>
    <row r="1430">
      <c r="A1430" s="30" t="n">
        <v>46323.77777777778</v>
      </c>
      <c r="B1430" s="30" t="n">
        <v>46323.80763888889</v>
      </c>
      <c r="C1430" s="9" t="n">
        <v>46326</v>
      </c>
      <c r="D1430" s="10" t="n">
        <v>0.8020833333333334</v>
      </c>
      <c r="E1430" s="36" t="n">
        <v>2</v>
      </c>
      <c r="F1430" s="36" t="n">
        <v>0</v>
      </c>
      <c r="G1430" s="36" t="n">
        <v>0</v>
      </c>
      <c r="H1430" s="36" t="n">
        <v>2</v>
      </c>
      <c r="I1430" s="36" t="n">
        <v>0</v>
      </c>
      <c r="J1430" s="36" t="n">
        <v>8</v>
      </c>
      <c r="K1430" s="12" t="n">
        <v>96</v>
      </c>
    </row>
    <row r="1431">
      <c r="A1431" s="33" t="n">
        <v>46323.77777777778</v>
      </c>
      <c r="B1431" s="33" t="n">
        <v>46323.80763888889</v>
      </c>
      <c r="C1431" s="13" t="n">
        <v>46327</v>
      </c>
      <c r="D1431" s="14" t="n">
        <v>0.96875</v>
      </c>
      <c r="E1431" s="37" t="n">
        <v>1</v>
      </c>
      <c r="F1431" s="37" t="n">
        <v>1</v>
      </c>
      <c r="G1431" s="37" t="n">
        <v>0</v>
      </c>
      <c r="H1431" s="37" t="n">
        <v>0</v>
      </c>
      <c r="I1431" s="37" t="n">
        <v>0</v>
      </c>
      <c r="J1431" s="37" t="n">
        <v>2</v>
      </c>
      <c r="K1431" s="16" t="n">
        <v>24</v>
      </c>
    </row>
    <row r="1432">
      <c r="A1432" s="30" t="n">
        <v>46323.80763888889</v>
      </c>
      <c r="B1432" s="30" t="n">
        <v>46323.81944444445</v>
      </c>
      <c r="C1432" s="9" t="n">
        <v>46324</v>
      </c>
      <c r="D1432" s="10" t="n">
        <v>0.84375</v>
      </c>
      <c r="E1432" s="36" t="n">
        <v>1</v>
      </c>
      <c r="F1432" s="36" t="n">
        <v>0</v>
      </c>
      <c r="G1432" s="36" t="n">
        <v>0</v>
      </c>
      <c r="H1432" s="36" t="n">
        <v>1</v>
      </c>
      <c r="I1432" s="36" t="n">
        <v>0</v>
      </c>
      <c r="J1432" s="36" t="n">
        <v>4</v>
      </c>
      <c r="K1432" s="12" t="n">
        <v>48</v>
      </c>
    </row>
    <row r="1433">
      <c r="A1433" s="33" t="n">
        <v>46323.80763888889</v>
      </c>
      <c r="B1433" s="33" t="n">
        <v>46323.81944444445</v>
      </c>
      <c r="C1433" s="13" t="n">
        <v>46325</v>
      </c>
      <c r="D1433" s="14" t="n">
        <v>0.9993055555555556</v>
      </c>
      <c r="E1433" s="37" t="n">
        <v>1</v>
      </c>
      <c r="F1433" s="37" t="n">
        <v>1</v>
      </c>
      <c r="G1433" s="37" t="n">
        <v>0</v>
      </c>
      <c r="H1433" s="37" t="n">
        <v>0</v>
      </c>
      <c r="I1433" s="37" t="n">
        <v>0</v>
      </c>
      <c r="J1433" s="37" t="n">
        <v>2</v>
      </c>
      <c r="K1433" s="16" t="n">
        <v>24</v>
      </c>
    </row>
    <row r="1434">
      <c r="A1434" s="30" t="n">
        <v>46323.80763888889</v>
      </c>
      <c r="B1434" s="30" t="n">
        <v>46323.81944444445</v>
      </c>
      <c r="C1434" s="9" t="n">
        <v>46327</v>
      </c>
      <c r="D1434" s="10" t="n">
        <v>0.8020833333333334</v>
      </c>
      <c r="E1434" s="36" t="n">
        <v>1</v>
      </c>
      <c r="F1434" s="36" t="n">
        <v>1</v>
      </c>
      <c r="G1434" s="36" t="n">
        <v>0</v>
      </c>
      <c r="H1434" s="36" t="n">
        <v>0</v>
      </c>
      <c r="I1434" s="36" t="n">
        <v>0</v>
      </c>
      <c r="J1434" s="36" t="n">
        <v>2</v>
      </c>
      <c r="K1434" s="12" t="n">
        <v>24</v>
      </c>
    </row>
    <row r="1435">
      <c r="A1435" s="33" t="n">
        <v>46323.80763888889</v>
      </c>
      <c r="B1435" s="33" t="n">
        <v>46323.81944444445</v>
      </c>
      <c r="C1435" s="13" t="n">
        <v>46327</v>
      </c>
      <c r="D1435" s="14" t="n">
        <v>0.8854166666666666</v>
      </c>
      <c r="E1435" s="37" t="n">
        <v>2</v>
      </c>
      <c r="F1435" s="37" t="n">
        <v>0</v>
      </c>
      <c r="G1435" s="37" t="n">
        <v>0</v>
      </c>
      <c r="H1435" s="37" t="n">
        <v>2</v>
      </c>
      <c r="I1435" s="37" t="n">
        <v>0</v>
      </c>
      <c r="J1435" s="37" t="n">
        <v>8</v>
      </c>
      <c r="K1435" s="16" t="n">
        <v>96</v>
      </c>
    </row>
    <row r="1436">
      <c r="A1436" s="30" t="n">
        <v>46323.81944444445</v>
      </c>
      <c r="B1436" s="30" t="n">
        <v>46323.84444444445</v>
      </c>
      <c r="C1436" s="9" t="n">
        <v>46324</v>
      </c>
      <c r="D1436" s="10" t="n">
        <v>0.84375</v>
      </c>
      <c r="E1436" s="36" t="n">
        <v>3</v>
      </c>
      <c r="F1436" s="36" t="n">
        <v>1</v>
      </c>
      <c r="G1436" s="36" t="n">
        <v>0</v>
      </c>
      <c r="H1436" s="36" t="n">
        <v>0</v>
      </c>
      <c r="I1436" s="36" t="n">
        <v>2</v>
      </c>
      <c r="J1436" s="36" t="n">
        <v>12</v>
      </c>
      <c r="K1436" s="12" t="n">
        <v>144</v>
      </c>
    </row>
    <row r="1437">
      <c r="A1437" s="33" t="n">
        <v>46323.81944444445</v>
      </c>
      <c r="B1437" s="33" t="n">
        <v>46323.84444444445</v>
      </c>
      <c r="C1437" s="13" t="n">
        <v>46324</v>
      </c>
      <c r="D1437" s="14" t="n">
        <v>0.9993055555555556</v>
      </c>
      <c r="E1437" s="37" t="n">
        <v>1</v>
      </c>
      <c r="F1437" s="37" t="n">
        <v>0</v>
      </c>
      <c r="G1437" s="37" t="n">
        <v>1</v>
      </c>
      <c r="H1437" s="37" t="n">
        <v>0</v>
      </c>
      <c r="I1437" s="37" t="n">
        <v>0</v>
      </c>
      <c r="J1437" s="37" t="n">
        <v>3</v>
      </c>
      <c r="K1437" s="16" t="n">
        <v>36</v>
      </c>
    </row>
    <row r="1438">
      <c r="A1438" s="30" t="n">
        <v>46323.81944444445</v>
      </c>
      <c r="B1438" s="30" t="n">
        <v>46323.84444444445</v>
      </c>
      <c r="C1438" s="9" t="n">
        <v>46325</v>
      </c>
      <c r="D1438" s="10" t="n">
        <v>0.9993055555555556</v>
      </c>
      <c r="E1438" s="36" t="n">
        <v>3</v>
      </c>
      <c r="F1438" s="36" t="n">
        <v>1</v>
      </c>
      <c r="G1438" s="36" t="n">
        <v>0</v>
      </c>
      <c r="H1438" s="36" t="n">
        <v>0</v>
      </c>
      <c r="I1438" s="36" t="n">
        <v>2</v>
      </c>
      <c r="J1438" s="36" t="n">
        <v>12</v>
      </c>
      <c r="K1438" s="12" t="n">
        <v>144</v>
      </c>
    </row>
    <row r="1439">
      <c r="A1439" s="33" t="n">
        <v>46323.81944444445</v>
      </c>
      <c r="B1439" s="33" t="n">
        <v>46323.84444444445</v>
      </c>
      <c r="C1439" s="13" t="n">
        <v>46326</v>
      </c>
      <c r="D1439" s="14" t="n">
        <v>0.8020833333333334</v>
      </c>
      <c r="E1439" s="37" t="n">
        <v>2</v>
      </c>
      <c r="F1439" s="37" t="n">
        <v>1</v>
      </c>
      <c r="G1439" s="37" t="n">
        <v>1</v>
      </c>
      <c r="H1439" s="37" t="n">
        <v>0</v>
      </c>
      <c r="I1439" s="37" t="n">
        <v>0</v>
      </c>
      <c r="J1439" s="37" t="n">
        <v>5</v>
      </c>
      <c r="K1439" s="16" t="n">
        <v>60</v>
      </c>
    </row>
    <row r="1440">
      <c r="A1440" s="30" t="n">
        <v>46323.81944444445</v>
      </c>
      <c r="B1440" s="30" t="n">
        <v>46323.84444444445</v>
      </c>
      <c r="C1440" s="9" t="n">
        <v>46327</v>
      </c>
      <c r="D1440" s="10" t="n">
        <v>0.8020833333333334</v>
      </c>
      <c r="E1440" s="36" t="n">
        <v>1</v>
      </c>
      <c r="F1440" s="36" t="n">
        <v>0</v>
      </c>
      <c r="G1440" s="36" t="n">
        <v>0</v>
      </c>
      <c r="H1440" s="36" t="n">
        <v>0</v>
      </c>
      <c r="I1440" s="36" t="n">
        <v>1</v>
      </c>
      <c r="J1440" s="36" t="n">
        <v>5</v>
      </c>
      <c r="K1440" s="12" t="n">
        <v>60</v>
      </c>
    </row>
    <row r="1441">
      <c r="A1441" s="33" t="n">
        <v>46323.81944444445</v>
      </c>
      <c r="B1441" s="33" t="n">
        <v>46323.84444444445</v>
      </c>
      <c r="C1441" s="13" t="n">
        <v>46327</v>
      </c>
      <c r="D1441" s="14" t="n">
        <v>0.84375</v>
      </c>
      <c r="E1441" s="37" t="n">
        <v>1</v>
      </c>
      <c r="F1441" s="37" t="n">
        <v>0</v>
      </c>
      <c r="G1441" s="37" t="n">
        <v>0</v>
      </c>
      <c r="H1441" s="37" t="n">
        <v>1</v>
      </c>
      <c r="I1441" s="37" t="n">
        <v>0</v>
      </c>
      <c r="J1441" s="37" t="n">
        <v>4</v>
      </c>
      <c r="K1441" s="16" t="n">
        <v>48</v>
      </c>
    </row>
    <row r="1442">
      <c r="A1442" s="30" t="n">
        <v>46323.81944444445</v>
      </c>
      <c r="B1442" s="30" t="n">
        <v>46323.84444444445</v>
      </c>
      <c r="C1442" s="9" t="n">
        <v>46327</v>
      </c>
      <c r="D1442" s="10" t="n">
        <v>0.8854166666666666</v>
      </c>
      <c r="E1442" s="36" t="n">
        <v>1</v>
      </c>
      <c r="F1442" s="36" t="n">
        <v>1</v>
      </c>
      <c r="G1442" s="36" t="n">
        <v>0</v>
      </c>
      <c r="H1442" s="36" t="n">
        <v>0</v>
      </c>
      <c r="I1442" s="36" t="n">
        <v>0</v>
      </c>
      <c r="J1442" s="36" t="n">
        <v>2</v>
      </c>
      <c r="K1442" s="12" t="n">
        <v>24</v>
      </c>
    </row>
    <row r="1443">
      <c r="A1443" s="33" t="n">
        <v>46323.81944444445</v>
      </c>
      <c r="B1443" s="33" t="n">
        <v>46323.84444444445</v>
      </c>
      <c r="C1443" s="13" t="n">
        <v>46327</v>
      </c>
      <c r="D1443" s="14" t="n">
        <v>0.9270833333333334</v>
      </c>
      <c r="E1443" s="37" t="n">
        <v>1</v>
      </c>
      <c r="F1443" s="37" t="n">
        <v>1</v>
      </c>
      <c r="G1443" s="37" t="n">
        <v>0</v>
      </c>
      <c r="H1443" s="37" t="n">
        <v>0</v>
      </c>
      <c r="I1443" s="37" t="n">
        <v>0</v>
      </c>
      <c r="J1443" s="37" t="n">
        <v>2</v>
      </c>
      <c r="K1443" s="16" t="n">
        <v>24</v>
      </c>
    </row>
    <row r="1444">
      <c r="A1444" s="30" t="n">
        <v>46323.84444444445</v>
      </c>
      <c r="B1444" s="30" t="n">
        <v>46323.8625</v>
      </c>
      <c r="C1444" s="9" t="n">
        <v>46324</v>
      </c>
      <c r="D1444" s="10" t="n">
        <v>0.84375</v>
      </c>
      <c r="E1444" s="36" t="n">
        <v>1</v>
      </c>
      <c r="F1444" s="36" t="n">
        <v>1</v>
      </c>
      <c r="G1444" s="36" t="n">
        <v>0</v>
      </c>
      <c r="H1444" s="36" t="n">
        <v>-1</v>
      </c>
      <c r="I1444" s="36" t="n">
        <v>1</v>
      </c>
      <c r="J1444" s="36" t="n">
        <v>3</v>
      </c>
      <c r="K1444" s="12" t="n">
        <v>36</v>
      </c>
    </row>
    <row r="1445">
      <c r="A1445" s="33" t="n">
        <v>46323.84444444445</v>
      </c>
      <c r="B1445" s="33" t="n">
        <v>46323.8625</v>
      </c>
      <c r="C1445" s="13" t="n">
        <v>46324</v>
      </c>
      <c r="D1445" s="14" t="n">
        <v>0.9993055555555556</v>
      </c>
      <c r="E1445" s="37" t="n">
        <v>4</v>
      </c>
      <c r="F1445" s="37" t="n">
        <v>1</v>
      </c>
      <c r="G1445" s="37" t="n">
        <v>1</v>
      </c>
      <c r="H1445" s="37" t="n">
        <v>0</v>
      </c>
      <c r="I1445" s="37" t="n">
        <v>2</v>
      </c>
      <c r="J1445" s="37" t="n">
        <v>15</v>
      </c>
      <c r="K1445" s="16" t="n">
        <v>180</v>
      </c>
    </row>
    <row r="1446">
      <c r="A1446" s="30" t="n">
        <v>46323.84444444445</v>
      </c>
      <c r="B1446" s="30" t="n">
        <v>46323.8625</v>
      </c>
      <c r="C1446" s="9" t="n">
        <v>46327</v>
      </c>
      <c r="D1446" s="10" t="n">
        <v>0.8020833333333334</v>
      </c>
      <c r="E1446" s="36" t="n">
        <v>1</v>
      </c>
      <c r="F1446" s="36" t="n">
        <v>0</v>
      </c>
      <c r="G1446" s="36" t="n">
        <v>1</v>
      </c>
      <c r="H1446" s="36" t="n">
        <v>0</v>
      </c>
      <c r="I1446" s="36" t="n">
        <v>0</v>
      </c>
      <c r="J1446" s="36" t="n">
        <v>3</v>
      </c>
      <c r="K1446" s="12" t="n">
        <v>36</v>
      </c>
    </row>
    <row r="1447">
      <c r="A1447" s="33" t="n">
        <v>46323.84444444445</v>
      </c>
      <c r="B1447" s="33" t="n">
        <v>46323.8625</v>
      </c>
      <c r="C1447" s="13" t="n">
        <v>46327</v>
      </c>
      <c r="D1447" s="14" t="n">
        <v>0.9270833333333334</v>
      </c>
      <c r="E1447" s="37" t="n">
        <v>1</v>
      </c>
      <c r="F1447" s="37" t="n">
        <v>0</v>
      </c>
      <c r="G1447" s="37" t="n">
        <v>0</v>
      </c>
      <c r="H1447" s="37" t="n">
        <v>1</v>
      </c>
      <c r="I1447" s="37" t="n">
        <v>0</v>
      </c>
      <c r="J1447" s="37" t="n">
        <v>4</v>
      </c>
      <c r="K1447" s="16" t="n">
        <v>48</v>
      </c>
    </row>
    <row r="1448">
      <c r="A1448" s="30" t="n">
        <v>46323.8625</v>
      </c>
      <c r="B1448" s="30" t="n">
        <v>46323.89652777778</v>
      </c>
      <c r="C1448" s="9" t="n">
        <v>46324</v>
      </c>
      <c r="D1448" s="10" t="n">
        <v>0.9993055555555556</v>
      </c>
      <c r="E1448" s="36" t="n">
        <v>2</v>
      </c>
      <c r="F1448" s="36" t="n">
        <v>0</v>
      </c>
      <c r="G1448" s="36" t="n">
        <v>0</v>
      </c>
      <c r="H1448" s="36" t="n">
        <v>1</v>
      </c>
      <c r="I1448" s="36" t="n">
        <v>1</v>
      </c>
      <c r="J1448" s="36" t="n">
        <v>9</v>
      </c>
      <c r="K1448" s="12" t="n">
        <v>108</v>
      </c>
    </row>
    <row r="1449">
      <c r="A1449" s="33" t="n">
        <v>46323.8625</v>
      </c>
      <c r="B1449" s="33" t="n">
        <v>46323.89652777778</v>
      </c>
      <c r="C1449" s="13" t="n">
        <v>46325</v>
      </c>
      <c r="D1449" s="14" t="n">
        <v>0.8854166666666666</v>
      </c>
      <c r="E1449" s="37" t="n">
        <v>2</v>
      </c>
      <c r="F1449" s="37" t="n">
        <v>1</v>
      </c>
      <c r="G1449" s="37" t="n">
        <v>0</v>
      </c>
      <c r="H1449" s="37" t="n">
        <v>1</v>
      </c>
      <c r="I1449" s="37" t="n">
        <v>0</v>
      </c>
      <c r="J1449" s="37" t="n">
        <v>6</v>
      </c>
      <c r="K1449" s="16" t="n">
        <v>72</v>
      </c>
    </row>
    <row r="1450">
      <c r="A1450" s="30" t="n">
        <v>46323.8625</v>
      </c>
      <c r="B1450" s="30" t="n">
        <v>46323.89652777778</v>
      </c>
      <c r="C1450" s="9" t="n">
        <v>46325</v>
      </c>
      <c r="D1450" s="10" t="n">
        <v>0.9993055555555556</v>
      </c>
      <c r="E1450" s="36" t="n">
        <v>4</v>
      </c>
      <c r="F1450" s="36" t="n">
        <v>0</v>
      </c>
      <c r="G1450" s="36" t="n">
        <v>1</v>
      </c>
      <c r="H1450" s="36" t="n">
        <v>2</v>
      </c>
      <c r="I1450" s="36" t="n">
        <v>1</v>
      </c>
      <c r="J1450" s="36" t="n">
        <v>16</v>
      </c>
      <c r="K1450" s="12" t="n">
        <v>192</v>
      </c>
    </row>
    <row r="1451">
      <c r="A1451" s="33" t="n">
        <v>46323.8625</v>
      </c>
      <c r="B1451" s="33" t="n">
        <v>46323.89652777778</v>
      </c>
      <c r="C1451" s="13" t="n">
        <v>46326</v>
      </c>
      <c r="D1451" s="14" t="n">
        <v>0.8020833333333334</v>
      </c>
      <c r="E1451" s="37" t="n">
        <v>5</v>
      </c>
      <c r="F1451" s="37" t="n">
        <v>1</v>
      </c>
      <c r="G1451" s="37" t="n">
        <v>1</v>
      </c>
      <c r="H1451" s="37" t="n">
        <v>2</v>
      </c>
      <c r="I1451" s="37" t="n">
        <v>1</v>
      </c>
      <c r="J1451" s="37" t="n">
        <v>18</v>
      </c>
      <c r="K1451" s="16" t="n">
        <v>216</v>
      </c>
    </row>
    <row r="1452">
      <c r="A1452" s="30" t="n">
        <v>46323.8625</v>
      </c>
      <c r="B1452" s="30" t="n">
        <v>46323.89652777778</v>
      </c>
      <c r="C1452" s="9" t="n">
        <v>46327</v>
      </c>
      <c r="D1452" s="10" t="n">
        <v>0.8854166666666666</v>
      </c>
      <c r="E1452" s="36" t="n">
        <v>1</v>
      </c>
      <c r="F1452" s="36" t="n">
        <v>0</v>
      </c>
      <c r="G1452" s="36" t="n">
        <v>0</v>
      </c>
      <c r="H1452" s="36" t="n">
        <v>0</v>
      </c>
      <c r="I1452" s="36" t="n">
        <v>1</v>
      </c>
      <c r="J1452" s="36" t="n">
        <v>5</v>
      </c>
      <c r="K1452" s="12" t="n">
        <v>60</v>
      </c>
    </row>
    <row r="1453">
      <c r="A1453" s="33" t="n">
        <v>46323.8625</v>
      </c>
      <c r="B1453" s="33" t="n">
        <v>46323.89652777778</v>
      </c>
      <c r="C1453" s="13" t="n">
        <v>46327</v>
      </c>
      <c r="D1453" s="14" t="n">
        <v>0.96875</v>
      </c>
      <c r="E1453" s="37" t="n">
        <v>1</v>
      </c>
      <c r="F1453" s="37" t="n">
        <v>0</v>
      </c>
      <c r="G1453" s="37" t="n">
        <v>0</v>
      </c>
      <c r="H1453" s="37" t="n">
        <v>1</v>
      </c>
      <c r="I1453" s="37" t="n">
        <v>0</v>
      </c>
      <c r="J1453" s="37" t="n">
        <v>4</v>
      </c>
      <c r="K1453" s="16" t="n">
        <v>48</v>
      </c>
    </row>
    <row r="1454">
      <c r="A1454" s="30" t="n">
        <v>46323.89930555555</v>
      </c>
      <c r="B1454" s="30" t="n">
        <v>46323.93333333333</v>
      </c>
      <c r="C1454" s="9" t="n">
        <v>46324</v>
      </c>
      <c r="D1454" s="10" t="n">
        <v>0.84375</v>
      </c>
      <c r="E1454" s="36" t="n">
        <v>3</v>
      </c>
      <c r="F1454" s="36" t="n">
        <v>1</v>
      </c>
      <c r="G1454" s="36" t="n">
        <v>1</v>
      </c>
      <c r="H1454" s="36" t="n">
        <v>1</v>
      </c>
      <c r="I1454" s="36" t="n">
        <v>0</v>
      </c>
      <c r="J1454" s="36" t="n">
        <v>9</v>
      </c>
      <c r="K1454" s="12" t="n">
        <v>108</v>
      </c>
    </row>
    <row r="1455">
      <c r="A1455" s="33" t="n">
        <v>46323.89930555555</v>
      </c>
      <c r="B1455" s="33" t="n">
        <v>46323.93333333333</v>
      </c>
      <c r="C1455" s="13" t="n">
        <v>46324</v>
      </c>
      <c r="D1455" s="14" t="n">
        <v>0.9993055555555556</v>
      </c>
      <c r="E1455" s="37" t="n">
        <v>3</v>
      </c>
      <c r="F1455" s="37" t="n">
        <v>0</v>
      </c>
      <c r="G1455" s="37" t="n">
        <v>2</v>
      </c>
      <c r="H1455" s="37" t="n">
        <v>0</v>
      </c>
      <c r="I1455" s="37" t="n">
        <v>1</v>
      </c>
      <c r="J1455" s="37" t="n">
        <v>11</v>
      </c>
      <c r="K1455" s="16" t="n">
        <v>132</v>
      </c>
    </row>
    <row r="1456">
      <c r="A1456" s="30" t="n">
        <v>46323.89930555555</v>
      </c>
      <c r="B1456" s="30" t="n">
        <v>46323.93333333333</v>
      </c>
      <c r="C1456" s="9" t="n">
        <v>46325</v>
      </c>
      <c r="D1456" s="10" t="n">
        <v>0.8854166666666666</v>
      </c>
      <c r="E1456" s="36" t="n">
        <v>4</v>
      </c>
      <c r="F1456" s="36" t="n">
        <v>0</v>
      </c>
      <c r="G1456" s="36" t="n">
        <v>1</v>
      </c>
      <c r="H1456" s="36" t="n">
        <v>3</v>
      </c>
      <c r="I1456" s="36" t="n">
        <v>0</v>
      </c>
      <c r="J1456" s="36" t="n">
        <v>15</v>
      </c>
      <c r="K1456" s="12" t="n">
        <v>180</v>
      </c>
    </row>
    <row r="1457">
      <c r="A1457" s="33" t="n">
        <v>46323.89930555555</v>
      </c>
      <c r="B1457" s="33" t="n">
        <v>46323.93333333333</v>
      </c>
      <c r="C1457" s="13" t="n">
        <v>46325</v>
      </c>
      <c r="D1457" s="14" t="n">
        <v>0.9993055555555556</v>
      </c>
      <c r="E1457" s="37" t="n">
        <v>2</v>
      </c>
      <c r="F1457" s="37" t="n">
        <v>1</v>
      </c>
      <c r="G1457" s="37" t="n">
        <v>0</v>
      </c>
      <c r="H1457" s="37" t="n">
        <v>0</v>
      </c>
      <c r="I1457" s="37" t="n">
        <v>1</v>
      </c>
      <c r="J1457" s="37" t="n">
        <v>7</v>
      </c>
      <c r="K1457" s="16" t="n">
        <v>84</v>
      </c>
    </row>
    <row r="1458">
      <c r="A1458" s="30" t="n">
        <v>46323.89930555555</v>
      </c>
      <c r="B1458" s="30" t="n">
        <v>46323.93333333333</v>
      </c>
      <c r="C1458" s="9" t="n">
        <v>46326</v>
      </c>
      <c r="D1458" s="10" t="n">
        <v>0.8020833333333334</v>
      </c>
      <c r="E1458" s="36" t="n">
        <v>2</v>
      </c>
      <c r="F1458" s="36" t="n">
        <v>0</v>
      </c>
      <c r="G1458" s="36" t="n">
        <v>0</v>
      </c>
      <c r="H1458" s="36" t="n">
        <v>2</v>
      </c>
      <c r="I1458" s="36" t="n">
        <v>0</v>
      </c>
      <c r="J1458" s="36" t="n">
        <v>8</v>
      </c>
      <c r="K1458" s="12" t="n">
        <v>96</v>
      </c>
    </row>
    <row r="1459">
      <c r="A1459" s="33" t="n">
        <v>46323.89930555555</v>
      </c>
      <c r="B1459" s="33" t="n">
        <v>46323.93333333333</v>
      </c>
      <c r="C1459" s="13" t="n">
        <v>46327</v>
      </c>
      <c r="D1459" s="14" t="n">
        <v>0.84375</v>
      </c>
      <c r="E1459" s="37" t="n">
        <v>2</v>
      </c>
      <c r="F1459" s="37" t="n">
        <v>0</v>
      </c>
      <c r="G1459" s="37" t="n">
        <v>0</v>
      </c>
      <c r="H1459" s="37" t="n">
        <v>2</v>
      </c>
      <c r="I1459" s="37" t="n">
        <v>0</v>
      </c>
      <c r="J1459" s="37" t="n">
        <v>8</v>
      </c>
      <c r="K1459" s="16" t="n">
        <v>96</v>
      </c>
    </row>
    <row r="1460">
      <c r="A1460" s="30" t="n">
        <v>46323.89930555555</v>
      </c>
      <c r="B1460" s="30" t="n">
        <v>46323.93333333333</v>
      </c>
      <c r="C1460" s="9" t="n">
        <v>46327</v>
      </c>
      <c r="D1460" s="10" t="n">
        <v>0.9270833333333334</v>
      </c>
      <c r="E1460" s="36" t="n">
        <v>3</v>
      </c>
      <c r="F1460" s="36" t="n">
        <v>0</v>
      </c>
      <c r="G1460" s="36" t="n">
        <v>0</v>
      </c>
      <c r="H1460" s="36" t="n">
        <v>3</v>
      </c>
      <c r="I1460" s="36" t="n">
        <v>0</v>
      </c>
      <c r="J1460" s="36" t="n">
        <v>12</v>
      </c>
      <c r="K1460" s="12" t="n">
        <v>144</v>
      </c>
    </row>
    <row r="1461">
      <c r="A1461" s="33" t="n">
        <v>46323.89930555555</v>
      </c>
      <c r="B1461" s="33" t="n">
        <v>46323.93333333333</v>
      </c>
      <c r="C1461" s="13" t="n">
        <v>46327</v>
      </c>
      <c r="D1461" s="14" t="n">
        <v>0.96875</v>
      </c>
      <c r="E1461" s="37" t="n">
        <v>1</v>
      </c>
      <c r="F1461" s="37" t="n">
        <v>0</v>
      </c>
      <c r="G1461" s="37" t="n">
        <v>0</v>
      </c>
      <c r="H1461" s="37" t="n">
        <v>1</v>
      </c>
      <c r="I1461" s="37" t="n">
        <v>0</v>
      </c>
      <c r="J1461" s="37" t="n">
        <v>4</v>
      </c>
      <c r="K1461" s="16" t="n">
        <v>48</v>
      </c>
    </row>
    <row r="1462">
      <c r="A1462" s="30" t="n">
        <v>46323.93333333333</v>
      </c>
      <c r="B1462" s="30" t="n">
        <v>46323.94027777778</v>
      </c>
      <c r="C1462" s="9" t="n">
        <v>46325</v>
      </c>
      <c r="D1462" s="10" t="n">
        <v>0.9993055555555556</v>
      </c>
      <c r="E1462" s="36" t="n">
        <v>1</v>
      </c>
      <c r="F1462" s="36" t="n">
        <v>0</v>
      </c>
      <c r="G1462" s="36" t="n">
        <v>0</v>
      </c>
      <c r="H1462" s="36" t="n">
        <v>1</v>
      </c>
      <c r="I1462" s="36" t="n">
        <v>0</v>
      </c>
      <c r="J1462" s="36" t="n">
        <v>4</v>
      </c>
      <c r="K1462" s="12" t="n">
        <v>48</v>
      </c>
    </row>
    <row r="1463">
      <c r="A1463" s="33" t="n">
        <v>46323.94027777778</v>
      </c>
      <c r="B1463" s="33" t="n">
        <v>46323.95902777778</v>
      </c>
      <c r="C1463" s="13" t="n">
        <v>46325</v>
      </c>
      <c r="D1463" s="14" t="n">
        <v>0.8854166666666666</v>
      </c>
      <c r="E1463" s="37" t="n">
        <v>3</v>
      </c>
      <c r="F1463" s="37" t="n">
        <v>0</v>
      </c>
      <c r="G1463" s="37" t="n">
        <v>1</v>
      </c>
      <c r="H1463" s="37" t="n">
        <v>1</v>
      </c>
      <c r="I1463" s="37" t="n">
        <v>1</v>
      </c>
      <c r="J1463" s="37" t="n">
        <v>12</v>
      </c>
      <c r="K1463" s="16" t="n">
        <v>144</v>
      </c>
    </row>
    <row r="1464">
      <c r="A1464" s="30" t="n">
        <v>46323.94027777778</v>
      </c>
      <c r="B1464" s="30" t="n">
        <v>46323.95902777778</v>
      </c>
      <c r="C1464" s="9" t="n">
        <v>46325</v>
      </c>
      <c r="D1464" s="10" t="n">
        <v>0.9993055555555556</v>
      </c>
      <c r="E1464" s="36" t="n">
        <v>2</v>
      </c>
      <c r="F1464" s="36" t="n">
        <v>1</v>
      </c>
      <c r="G1464" s="36" t="n">
        <v>0</v>
      </c>
      <c r="H1464" s="36" t="n">
        <v>1</v>
      </c>
      <c r="I1464" s="36" t="n">
        <v>0</v>
      </c>
      <c r="J1464" s="36" t="n">
        <v>6</v>
      </c>
      <c r="K1464" s="12" t="n">
        <v>72</v>
      </c>
    </row>
    <row r="1465">
      <c r="A1465" s="33" t="n">
        <v>46323.94027777778</v>
      </c>
      <c r="B1465" s="33" t="n">
        <v>46323.95902777778</v>
      </c>
      <c r="C1465" s="13" t="n">
        <v>46326</v>
      </c>
      <c r="D1465" s="14" t="n">
        <v>0.8020833333333334</v>
      </c>
      <c r="E1465" s="37" t="n">
        <v>1</v>
      </c>
      <c r="F1465" s="37" t="n">
        <v>1</v>
      </c>
      <c r="G1465" s="37" t="n">
        <v>0</v>
      </c>
      <c r="H1465" s="37" t="n">
        <v>0</v>
      </c>
      <c r="I1465" s="37" t="n">
        <v>0</v>
      </c>
      <c r="J1465" s="37" t="n">
        <v>2</v>
      </c>
      <c r="K1465" s="16" t="n">
        <v>24</v>
      </c>
    </row>
    <row r="1466">
      <c r="A1466" s="30" t="n">
        <v>46323.94027777778</v>
      </c>
      <c r="B1466" s="30" t="n">
        <v>46323.95902777778</v>
      </c>
      <c r="C1466" s="9" t="n">
        <v>46327</v>
      </c>
      <c r="D1466" s="10" t="n">
        <v>0.9270833333333334</v>
      </c>
      <c r="E1466" s="36" t="n">
        <v>1</v>
      </c>
      <c r="F1466" s="36" t="n">
        <v>0</v>
      </c>
      <c r="G1466" s="36" t="n">
        <v>1</v>
      </c>
      <c r="H1466" s="36" t="n">
        <v>0</v>
      </c>
      <c r="I1466" s="36" t="n">
        <v>0</v>
      </c>
      <c r="J1466" s="36" t="n">
        <v>3</v>
      </c>
      <c r="K1466" s="12" t="n">
        <v>36</v>
      </c>
    </row>
    <row r="1467">
      <c r="A1467" s="33" t="n">
        <v>46323.94027777778</v>
      </c>
      <c r="B1467" s="33" t="n">
        <v>46323.95902777778</v>
      </c>
      <c r="C1467" s="13" t="n">
        <v>46327</v>
      </c>
      <c r="D1467" s="14" t="n">
        <v>0.96875</v>
      </c>
      <c r="E1467" s="37" t="n">
        <v>3</v>
      </c>
      <c r="F1467" s="37" t="n">
        <v>0</v>
      </c>
      <c r="G1467" s="37" t="n">
        <v>2</v>
      </c>
      <c r="H1467" s="37" t="n">
        <v>0</v>
      </c>
      <c r="I1467" s="37" t="n">
        <v>1</v>
      </c>
      <c r="J1467" s="37" t="n">
        <v>11</v>
      </c>
      <c r="K1467" s="16" t="n">
        <v>132</v>
      </c>
    </row>
    <row r="1468">
      <c r="A1468" s="30" t="n">
        <v>46323.94027777778</v>
      </c>
      <c r="B1468" s="30" t="n">
        <v>46323.95902777778</v>
      </c>
      <c r="C1468" s="9" t="n">
        <v>46327</v>
      </c>
      <c r="D1468" s="10" t="n">
        <v>0.9993055555555556</v>
      </c>
      <c r="E1468" s="36" t="n">
        <v>1</v>
      </c>
      <c r="F1468" s="36" t="n">
        <v>1</v>
      </c>
      <c r="G1468" s="36" t="n">
        <v>0</v>
      </c>
      <c r="H1468" s="36" t="n">
        <v>0</v>
      </c>
      <c r="I1468" s="36" t="n">
        <v>0</v>
      </c>
      <c r="J1468" s="36" t="n">
        <v>2</v>
      </c>
      <c r="K1468" s="12" t="n">
        <v>24</v>
      </c>
    </row>
    <row r="1469">
      <c r="A1469" s="33" t="n">
        <v>46323.95902777778</v>
      </c>
      <c r="B1469" s="33" t="n">
        <v>46323.98194444444</v>
      </c>
      <c r="C1469" s="13" t="n">
        <v>46324</v>
      </c>
      <c r="D1469" s="14" t="n">
        <v>0.84375</v>
      </c>
      <c r="E1469" s="37" t="n">
        <v>1</v>
      </c>
      <c r="F1469" s="37" t="n">
        <v>0</v>
      </c>
      <c r="G1469" s="37" t="n">
        <v>0</v>
      </c>
      <c r="H1469" s="37" t="n">
        <v>1</v>
      </c>
      <c r="I1469" s="37" t="n">
        <v>0</v>
      </c>
      <c r="J1469" s="37" t="n">
        <v>4</v>
      </c>
      <c r="K1469" s="16" t="n">
        <v>48</v>
      </c>
    </row>
    <row r="1470">
      <c r="A1470" s="30" t="n">
        <v>46323.95902777778</v>
      </c>
      <c r="B1470" s="30" t="n">
        <v>46323.98194444444</v>
      </c>
      <c r="C1470" s="9" t="n">
        <v>46325</v>
      </c>
      <c r="D1470" s="10" t="n">
        <v>0.84375</v>
      </c>
      <c r="E1470" s="36" t="n">
        <v>1</v>
      </c>
      <c r="F1470" s="36" t="n">
        <v>0</v>
      </c>
      <c r="G1470" s="36" t="n">
        <v>0</v>
      </c>
      <c r="H1470" s="36" t="n">
        <v>0</v>
      </c>
      <c r="I1470" s="36" t="n">
        <v>1</v>
      </c>
      <c r="J1470" s="36" t="n">
        <v>5</v>
      </c>
      <c r="K1470" s="12" t="n">
        <v>60</v>
      </c>
    </row>
    <row r="1471">
      <c r="A1471" s="33" t="n">
        <v>46323.95902777778</v>
      </c>
      <c r="B1471" s="33" t="n">
        <v>46323.98194444444</v>
      </c>
      <c r="C1471" s="13" t="n">
        <v>46325</v>
      </c>
      <c r="D1471" s="14" t="n">
        <v>0.8854166666666666</v>
      </c>
      <c r="E1471" s="37" t="n">
        <v>3</v>
      </c>
      <c r="F1471" s="37" t="n">
        <v>2</v>
      </c>
      <c r="G1471" s="37" t="n">
        <v>0</v>
      </c>
      <c r="H1471" s="37" t="n">
        <v>0</v>
      </c>
      <c r="I1471" s="37" t="n">
        <v>1</v>
      </c>
      <c r="J1471" s="37" t="n">
        <v>9</v>
      </c>
      <c r="K1471" s="16" t="n">
        <v>108</v>
      </c>
    </row>
    <row r="1472">
      <c r="A1472" s="30" t="n">
        <v>46323.95902777778</v>
      </c>
      <c r="B1472" s="30" t="n">
        <v>46323.98194444444</v>
      </c>
      <c r="C1472" s="9" t="n">
        <v>46325</v>
      </c>
      <c r="D1472" s="10" t="n">
        <v>0.9993055555555556</v>
      </c>
      <c r="E1472" s="36" t="n">
        <v>2</v>
      </c>
      <c r="F1472" s="36" t="n">
        <v>1</v>
      </c>
      <c r="G1472" s="36" t="n">
        <v>0</v>
      </c>
      <c r="H1472" s="36" t="n">
        <v>1</v>
      </c>
      <c r="I1472" s="36" t="n">
        <v>0</v>
      </c>
      <c r="J1472" s="36" t="n">
        <v>6</v>
      </c>
      <c r="K1472" s="12" t="n">
        <v>72</v>
      </c>
    </row>
    <row r="1473">
      <c r="A1473" s="33" t="n">
        <v>46323.95902777778</v>
      </c>
      <c r="B1473" s="33" t="n">
        <v>46323.98194444444</v>
      </c>
      <c r="C1473" s="13" t="n">
        <v>46326</v>
      </c>
      <c r="D1473" s="14" t="n">
        <v>0.8020833333333334</v>
      </c>
      <c r="E1473" s="37" t="n">
        <v>1</v>
      </c>
      <c r="F1473" s="37" t="n">
        <v>0</v>
      </c>
      <c r="G1473" s="37" t="n">
        <v>0</v>
      </c>
      <c r="H1473" s="37" t="n">
        <v>0</v>
      </c>
      <c r="I1473" s="37" t="n">
        <v>1</v>
      </c>
      <c r="J1473" s="37" t="n">
        <v>5</v>
      </c>
      <c r="K1473" s="16" t="n">
        <v>60</v>
      </c>
    </row>
    <row r="1474">
      <c r="A1474" s="30" t="n">
        <v>46323.95902777778</v>
      </c>
      <c r="B1474" s="30" t="n">
        <v>46323.98194444444</v>
      </c>
      <c r="C1474" s="9" t="n">
        <v>46326</v>
      </c>
      <c r="D1474" s="10" t="n">
        <v>0.84375</v>
      </c>
      <c r="E1474" s="36" t="n">
        <v>-1</v>
      </c>
      <c r="F1474" s="36" t="n">
        <v>0</v>
      </c>
      <c r="G1474" s="36" t="n">
        <v>0</v>
      </c>
      <c r="H1474" s="36" t="n">
        <v>-1</v>
      </c>
      <c r="I1474" s="36" t="n">
        <v>0</v>
      </c>
      <c r="J1474" s="36" t="n">
        <v>-4</v>
      </c>
      <c r="K1474" s="12" t="n">
        <v>-48</v>
      </c>
    </row>
    <row r="1475">
      <c r="A1475" s="33" t="n">
        <v>46323.95902777778</v>
      </c>
      <c r="B1475" s="33" t="n">
        <v>46323.98194444444</v>
      </c>
      <c r="C1475" s="13" t="n">
        <v>46327</v>
      </c>
      <c r="D1475" s="14" t="n">
        <v>0.9270833333333334</v>
      </c>
      <c r="E1475" s="37" t="n">
        <v>2</v>
      </c>
      <c r="F1475" s="37" t="n">
        <v>1</v>
      </c>
      <c r="G1475" s="37" t="n">
        <v>0</v>
      </c>
      <c r="H1475" s="37" t="n">
        <v>1</v>
      </c>
      <c r="I1475" s="37" t="n">
        <v>0</v>
      </c>
      <c r="J1475" s="37" t="n">
        <v>6</v>
      </c>
      <c r="K1475" s="16" t="n">
        <v>72</v>
      </c>
    </row>
    <row r="1476">
      <c r="A1476" s="30" t="n">
        <v>46323.98194444444</v>
      </c>
      <c r="B1476" s="30" t="n">
        <v>46324.00833333333</v>
      </c>
      <c r="C1476" s="9" t="n">
        <v>46324</v>
      </c>
      <c r="D1476" s="10" t="n">
        <v>0.9993055555555556</v>
      </c>
      <c r="E1476" s="36" t="n">
        <v>1</v>
      </c>
      <c r="F1476" s="36" t="n">
        <v>0</v>
      </c>
      <c r="G1476" s="36" t="n">
        <v>1</v>
      </c>
      <c r="H1476" s="36" t="n">
        <v>0</v>
      </c>
      <c r="I1476" s="36" t="n">
        <v>0</v>
      </c>
      <c r="J1476" s="36" t="n">
        <v>3</v>
      </c>
      <c r="K1476" s="12" t="n">
        <v>36</v>
      </c>
    </row>
    <row r="1477">
      <c r="A1477" s="33" t="n">
        <v>46323.98194444444</v>
      </c>
      <c r="B1477" s="33" t="n">
        <v>46324.00833333333</v>
      </c>
      <c r="C1477" s="13" t="n">
        <v>46325</v>
      </c>
      <c r="D1477" s="14" t="n">
        <v>0.84375</v>
      </c>
      <c r="E1477" s="37" t="n">
        <v>2</v>
      </c>
      <c r="F1477" s="37" t="n">
        <v>2</v>
      </c>
      <c r="G1477" s="37" t="n">
        <v>0</v>
      </c>
      <c r="H1477" s="37" t="n">
        <v>0</v>
      </c>
      <c r="I1477" s="37" t="n">
        <v>0</v>
      </c>
      <c r="J1477" s="37" t="n">
        <v>4</v>
      </c>
      <c r="K1477" s="16" t="n">
        <v>48</v>
      </c>
    </row>
    <row r="1478">
      <c r="A1478" s="30" t="n">
        <v>46323.98194444444</v>
      </c>
      <c r="B1478" s="30" t="n">
        <v>46324.00833333333</v>
      </c>
      <c r="C1478" s="9" t="n">
        <v>46325</v>
      </c>
      <c r="D1478" s="10" t="n">
        <v>0.9993055555555556</v>
      </c>
      <c r="E1478" s="36" t="n">
        <v>2</v>
      </c>
      <c r="F1478" s="36" t="n">
        <v>0</v>
      </c>
      <c r="G1478" s="36" t="n">
        <v>1</v>
      </c>
      <c r="H1478" s="36" t="n">
        <v>1</v>
      </c>
      <c r="I1478" s="36" t="n">
        <v>0</v>
      </c>
      <c r="J1478" s="36" t="n">
        <v>7</v>
      </c>
      <c r="K1478" s="12" t="n">
        <v>84</v>
      </c>
    </row>
    <row r="1479">
      <c r="A1479" s="33" t="n">
        <v>46323.98194444444</v>
      </c>
      <c r="B1479" s="33" t="n">
        <v>46324.00833333333</v>
      </c>
      <c r="C1479" s="13" t="n">
        <v>46326</v>
      </c>
      <c r="D1479" s="14" t="n">
        <v>0.8020833333333334</v>
      </c>
      <c r="E1479" s="37" t="n">
        <v>3</v>
      </c>
      <c r="F1479" s="37" t="n">
        <v>2</v>
      </c>
      <c r="G1479" s="37" t="n">
        <v>0</v>
      </c>
      <c r="H1479" s="37" t="n">
        <v>1</v>
      </c>
      <c r="I1479" s="37" t="n">
        <v>0</v>
      </c>
      <c r="J1479" s="37" t="n">
        <v>8</v>
      </c>
      <c r="K1479" s="16" t="n">
        <v>96</v>
      </c>
    </row>
    <row r="1480">
      <c r="A1480" s="30" t="n">
        <v>46323.98194444444</v>
      </c>
      <c r="B1480" s="30" t="n">
        <v>46324.00833333333</v>
      </c>
      <c r="C1480" s="9" t="n">
        <v>46326</v>
      </c>
      <c r="D1480" s="10" t="n">
        <v>0.84375</v>
      </c>
      <c r="E1480" s="36" t="n">
        <v>1</v>
      </c>
      <c r="F1480" s="36" t="n">
        <v>1</v>
      </c>
      <c r="G1480" s="36" t="n">
        <v>0</v>
      </c>
      <c r="H1480" s="36" t="n">
        <v>0</v>
      </c>
      <c r="I1480" s="36" t="n">
        <v>0</v>
      </c>
      <c r="J1480" s="36" t="n">
        <v>2</v>
      </c>
      <c r="K1480" s="12" t="n">
        <v>24</v>
      </c>
    </row>
    <row r="1481">
      <c r="A1481" s="33" t="n">
        <v>46323.98194444444</v>
      </c>
      <c r="B1481" s="33" t="n">
        <v>46324.00833333333</v>
      </c>
      <c r="C1481" s="13" t="n">
        <v>46327</v>
      </c>
      <c r="D1481" s="14" t="n">
        <v>0.96875</v>
      </c>
      <c r="E1481" s="37" t="n">
        <v>1</v>
      </c>
      <c r="F1481" s="37" t="n">
        <v>0</v>
      </c>
      <c r="G1481" s="37" t="n">
        <v>1</v>
      </c>
      <c r="H1481" s="37" t="n">
        <v>0</v>
      </c>
      <c r="I1481" s="37" t="n">
        <v>0</v>
      </c>
      <c r="J1481" s="37" t="n">
        <v>3</v>
      </c>
      <c r="K1481" s="16" t="n">
        <v>36</v>
      </c>
    </row>
    <row r="1482">
      <c r="A1482" s="30" t="n">
        <v>46324.00833333333</v>
      </c>
      <c r="B1482" s="30" t="n">
        <v>46324.02083333334</v>
      </c>
      <c r="C1482" s="9" t="n">
        <v>46324</v>
      </c>
      <c r="D1482" s="10" t="n">
        <v>0.9993055555555556</v>
      </c>
      <c r="E1482" s="36" t="n">
        <v>1</v>
      </c>
      <c r="F1482" s="36" t="n">
        <v>0</v>
      </c>
      <c r="G1482" s="36" t="n">
        <v>0</v>
      </c>
      <c r="H1482" s="36" t="n">
        <v>0</v>
      </c>
      <c r="I1482" s="36" t="n">
        <v>1</v>
      </c>
      <c r="J1482" s="36" t="n">
        <v>5</v>
      </c>
      <c r="K1482" s="12" t="n">
        <v>60</v>
      </c>
    </row>
    <row r="1483">
      <c r="A1483" s="33" t="n">
        <v>46324.00833333333</v>
      </c>
      <c r="B1483" s="33" t="n">
        <v>46324.02083333334</v>
      </c>
      <c r="C1483" s="13" t="n">
        <v>46325</v>
      </c>
      <c r="D1483" s="14" t="n">
        <v>0.9993055555555556</v>
      </c>
      <c r="E1483" s="37" t="n">
        <v>1</v>
      </c>
      <c r="F1483" s="37" t="n">
        <v>1</v>
      </c>
      <c r="G1483" s="37" t="n">
        <v>0</v>
      </c>
      <c r="H1483" s="37" t="n">
        <v>0</v>
      </c>
      <c r="I1483" s="37" t="n">
        <v>0</v>
      </c>
      <c r="J1483" s="37" t="n">
        <v>2</v>
      </c>
      <c r="K1483" s="16" t="n">
        <v>24</v>
      </c>
    </row>
    <row r="1484">
      <c r="A1484" s="30" t="n">
        <v>46324.00833333333</v>
      </c>
      <c r="B1484" s="30" t="n">
        <v>46324.02083333334</v>
      </c>
      <c r="C1484" s="9" t="n">
        <v>46327</v>
      </c>
      <c r="D1484" s="10" t="n">
        <v>0.9270833333333334</v>
      </c>
      <c r="E1484" s="36" t="n">
        <v>2</v>
      </c>
      <c r="F1484" s="36" t="n">
        <v>0</v>
      </c>
      <c r="G1484" s="36" t="n">
        <v>0</v>
      </c>
      <c r="H1484" s="36" t="n">
        <v>2</v>
      </c>
      <c r="I1484" s="36" t="n">
        <v>0</v>
      </c>
      <c r="J1484" s="36" t="n">
        <v>8</v>
      </c>
      <c r="K1484" s="12" t="n">
        <v>96</v>
      </c>
    </row>
    <row r="1485">
      <c r="A1485" s="33" t="n">
        <v>46324.02083333334</v>
      </c>
      <c r="B1485" s="33" t="n">
        <v>46324.0625</v>
      </c>
      <c r="C1485" s="13" t="n">
        <v>46324</v>
      </c>
      <c r="D1485" s="14" t="n">
        <v>0.9993055555555556</v>
      </c>
      <c r="E1485" s="37" t="n">
        <v>2</v>
      </c>
      <c r="F1485" s="37" t="n">
        <v>0</v>
      </c>
      <c r="G1485" s="37" t="n">
        <v>0</v>
      </c>
      <c r="H1485" s="37" t="n">
        <v>2</v>
      </c>
      <c r="I1485" s="37" t="n">
        <v>0</v>
      </c>
      <c r="J1485" s="37" t="n">
        <v>8</v>
      </c>
      <c r="K1485" s="16" t="n">
        <v>96</v>
      </c>
    </row>
    <row r="1486">
      <c r="A1486" s="30" t="n">
        <v>46324.02083333334</v>
      </c>
      <c r="B1486" s="30" t="n">
        <v>46324.0625</v>
      </c>
      <c r="C1486" s="9" t="n">
        <v>46325</v>
      </c>
      <c r="D1486" s="10" t="n">
        <v>0.9993055555555556</v>
      </c>
      <c r="E1486" s="36" t="n">
        <v>2</v>
      </c>
      <c r="F1486" s="36" t="n">
        <v>2</v>
      </c>
      <c r="G1486" s="36" t="n">
        <v>0</v>
      </c>
      <c r="H1486" s="36" t="n">
        <v>0</v>
      </c>
      <c r="I1486" s="36" t="n">
        <v>0</v>
      </c>
      <c r="J1486" s="36" t="n">
        <v>4</v>
      </c>
      <c r="K1486" s="12" t="n">
        <v>48</v>
      </c>
    </row>
    <row r="1487">
      <c r="A1487" s="33" t="n">
        <v>46324.02083333334</v>
      </c>
      <c r="B1487" s="33" t="n">
        <v>46324.0625</v>
      </c>
      <c r="C1487" s="13" t="n">
        <v>46327</v>
      </c>
      <c r="D1487" s="14" t="n">
        <v>0.8854166666666666</v>
      </c>
      <c r="E1487" s="37" t="n">
        <v>2</v>
      </c>
      <c r="F1487" s="37" t="n">
        <v>0</v>
      </c>
      <c r="G1487" s="37" t="n">
        <v>0</v>
      </c>
      <c r="H1487" s="37" t="n">
        <v>2</v>
      </c>
      <c r="I1487" s="37" t="n">
        <v>0</v>
      </c>
      <c r="J1487" s="37" t="n">
        <v>8</v>
      </c>
      <c r="K1487" s="16" t="n">
        <v>96</v>
      </c>
    </row>
    <row r="1488">
      <c r="A1488" s="30" t="n">
        <v>46324.0625</v>
      </c>
      <c r="B1488" s="30" t="n">
        <v>46324.07083333333</v>
      </c>
      <c r="C1488" s="9" t="n">
        <v>46325</v>
      </c>
      <c r="D1488" s="10" t="n">
        <v>0.9993055555555556</v>
      </c>
      <c r="E1488" s="36" t="n">
        <v>3</v>
      </c>
      <c r="F1488" s="36" t="n">
        <v>1</v>
      </c>
      <c r="G1488" s="36" t="n">
        <v>1</v>
      </c>
      <c r="H1488" s="36" t="n">
        <v>0</v>
      </c>
      <c r="I1488" s="36" t="n">
        <v>1</v>
      </c>
      <c r="J1488" s="36" t="n">
        <v>10</v>
      </c>
      <c r="K1488" s="12" t="n">
        <v>120</v>
      </c>
    </row>
    <row r="1489">
      <c r="A1489" s="33" t="n">
        <v>46324.0625</v>
      </c>
      <c r="B1489" s="33" t="n">
        <v>46324.07083333333</v>
      </c>
      <c r="C1489" s="13" t="n">
        <v>46327</v>
      </c>
      <c r="D1489" s="14" t="n">
        <v>0.9993055555555556</v>
      </c>
      <c r="E1489" s="37" t="n">
        <v>1</v>
      </c>
      <c r="F1489" s="37" t="n">
        <v>1</v>
      </c>
      <c r="G1489" s="37" t="n">
        <v>0</v>
      </c>
      <c r="H1489" s="37" t="n">
        <v>0</v>
      </c>
      <c r="I1489" s="37" t="n">
        <v>0</v>
      </c>
      <c r="J1489" s="37" t="n">
        <v>2</v>
      </c>
      <c r="K1489" s="16" t="n">
        <v>24</v>
      </c>
    </row>
    <row r="1490">
      <c r="A1490" s="30" t="n">
        <v>46324.07083333333</v>
      </c>
      <c r="B1490" s="30" t="n">
        <v>46324.11944444444</v>
      </c>
      <c r="C1490" s="9" t="n">
        <v>46327</v>
      </c>
      <c r="D1490" s="10" t="n">
        <v>0.96875</v>
      </c>
      <c r="E1490" s="36" t="n">
        <v>1</v>
      </c>
      <c r="F1490" s="36" t="n">
        <v>0</v>
      </c>
      <c r="G1490" s="36" t="n">
        <v>0</v>
      </c>
      <c r="H1490" s="36" t="n">
        <v>1</v>
      </c>
      <c r="I1490" s="36" t="n">
        <v>0</v>
      </c>
      <c r="J1490" s="36" t="n">
        <v>4</v>
      </c>
      <c r="K1490" s="12" t="n">
        <v>48</v>
      </c>
    </row>
    <row r="1491">
      <c r="A1491" s="33" t="n">
        <v>46324.23680555556</v>
      </c>
      <c r="B1491" s="33" t="n">
        <v>46324.27708333333</v>
      </c>
      <c r="C1491" s="13" t="n">
        <v>46325</v>
      </c>
      <c r="D1491" s="14" t="n">
        <v>0.9993055555555556</v>
      </c>
      <c r="E1491" s="37" t="n">
        <v>1</v>
      </c>
      <c r="F1491" s="37" t="n">
        <v>1</v>
      </c>
      <c r="G1491" s="37" t="n">
        <v>0</v>
      </c>
      <c r="H1491" s="37" t="n">
        <v>0</v>
      </c>
      <c r="I1491" s="37" t="n">
        <v>0</v>
      </c>
      <c r="J1491" s="37" t="n">
        <v>2</v>
      </c>
      <c r="K1491" s="16" t="n">
        <v>24</v>
      </c>
    </row>
    <row r="1492">
      <c r="A1492" s="30" t="n">
        <v>46324.27708333333</v>
      </c>
      <c r="B1492" s="30" t="n">
        <v>46324.32222222222</v>
      </c>
      <c r="C1492" s="9" t="n">
        <v>46327</v>
      </c>
      <c r="D1492" s="10" t="n">
        <v>0.8020833333333334</v>
      </c>
      <c r="E1492" s="36" t="n">
        <v>1</v>
      </c>
      <c r="F1492" s="36" t="n">
        <v>0</v>
      </c>
      <c r="G1492" s="36" t="n">
        <v>0</v>
      </c>
      <c r="H1492" s="36" t="n">
        <v>0</v>
      </c>
      <c r="I1492" s="36" t="n">
        <v>1</v>
      </c>
      <c r="J1492" s="36" t="n">
        <v>5</v>
      </c>
      <c r="K1492" s="12" t="n">
        <v>60</v>
      </c>
    </row>
    <row r="1493">
      <c r="A1493" s="33" t="n">
        <v>46324.27708333333</v>
      </c>
      <c r="B1493" s="33" t="n">
        <v>46324.32222222222</v>
      </c>
      <c r="C1493" s="13" t="n">
        <v>46327</v>
      </c>
      <c r="D1493" s="14" t="n">
        <v>0.8854166666666666</v>
      </c>
      <c r="E1493" s="37" t="n">
        <v>1</v>
      </c>
      <c r="F1493" s="37" t="n">
        <v>1</v>
      </c>
      <c r="G1493" s="37" t="n">
        <v>0</v>
      </c>
      <c r="H1493" s="37" t="n">
        <v>0</v>
      </c>
      <c r="I1493" s="37" t="n">
        <v>0</v>
      </c>
      <c r="J1493" s="37" t="n">
        <v>2</v>
      </c>
      <c r="K1493" s="16" t="n">
        <v>24</v>
      </c>
    </row>
    <row r="1494">
      <c r="A1494" s="30" t="n">
        <v>46324.32222222222</v>
      </c>
      <c r="B1494" s="30" t="n">
        <v>46324.37152777778</v>
      </c>
      <c r="C1494" s="9" t="n">
        <v>46324</v>
      </c>
      <c r="D1494" s="10" t="n">
        <v>0.84375</v>
      </c>
      <c r="E1494" s="36" t="n">
        <v>1</v>
      </c>
      <c r="F1494" s="36" t="n">
        <v>1</v>
      </c>
      <c r="G1494" s="36" t="n">
        <v>0</v>
      </c>
      <c r="H1494" s="36" t="n">
        <v>0</v>
      </c>
      <c r="I1494" s="36" t="n">
        <v>0</v>
      </c>
      <c r="J1494" s="36" t="n">
        <v>2</v>
      </c>
      <c r="K1494" s="12" t="n">
        <v>24</v>
      </c>
    </row>
    <row r="1495">
      <c r="A1495" s="33" t="n">
        <v>46324.32222222222</v>
      </c>
      <c r="B1495" s="33" t="n">
        <v>46324.37152777778</v>
      </c>
      <c r="C1495" s="13" t="n">
        <v>46325</v>
      </c>
      <c r="D1495" s="14" t="n">
        <v>0.8854166666666666</v>
      </c>
      <c r="E1495" s="37" t="n">
        <v>3</v>
      </c>
      <c r="F1495" s="37" t="n">
        <v>1</v>
      </c>
      <c r="G1495" s="37" t="n">
        <v>0</v>
      </c>
      <c r="H1495" s="37" t="n">
        <v>2</v>
      </c>
      <c r="I1495" s="37" t="n">
        <v>0</v>
      </c>
      <c r="J1495" s="37" t="n">
        <v>10</v>
      </c>
      <c r="K1495" s="16" t="n">
        <v>120</v>
      </c>
    </row>
    <row r="1496">
      <c r="A1496" s="30" t="n">
        <v>46324.32222222222</v>
      </c>
      <c r="B1496" s="30" t="n">
        <v>46324.37152777778</v>
      </c>
      <c r="C1496" s="9" t="n">
        <v>46325</v>
      </c>
      <c r="D1496" s="10" t="n">
        <v>0.9993055555555556</v>
      </c>
      <c r="E1496" s="36" t="n">
        <v>2</v>
      </c>
      <c r="F1496" s="36" t="n">
        <v>1</v>
      </c>
      <c r="G1496" s="36" t="n">
        <v>0</v>
      </c>
      <c r="H1496" s="36" t="n">
        <v>1</v>
      </c>
      <c r="I1496" s="36" t="n">
        <v>0</v>
      </c>
      <c r="J1496" s="36" t="n">
        <v>6</v>
      </c>
      <c r="K1496" s="12" t="n">
        <v>72</v>
      </c>
    </row>
    <row r="1497">
      <c r="A1497" s="33" t="n">
        <v>46324.32222222222</v>
      </c>
      <c r="B1497" s="33" t="n">
        <v>46324.37152777778</v>
      </c>
      <c r="C1497" s="13" t="n">
        <v>46326</v>
      </c>
      <c r="D1497" s="14" t="n">
        <v>0.8020833333333334</v>
      </c>
      <c r="E1497" s="37" t="n">
        <v>1</v>
      </c>
      <c r="F1497" s="37" t="n">
        <v>0</v>
      </c>
      <c r="G1497" s="37" t="n">
        <v>0</v>
      </c>
      <c r="H1497" s="37" t="n">
        <v>1</v>
      </c>
      <c r="I1497" s="37" t="n">
        <v>0</v>
      </c>
      <c r="J1497" s="37" t="n">
        <v>4</v>
      </c>
      <c r="K1497" s="16" t="n">
        <v>48</v>
      </c>
    </row>
    <row r="1498">
      <c r="A1498" s="30" t="n">
        <v>46324.37152777778</v>
      </c>
      <c r="B1498" s="30" t="n">
        <v>46324.39791666667</v>
      </c>
      <c r="C1498" s="9" t="n">
        <v>46324</v>
      </c>
      <c r="D1498" s="10" t="n">
        <v>0.84375</v>
      </c>
      <c r="E1498" s="36" t="n">
        <v>1</v>
      </c>
      <c r="F1498" s="36" t="n">
        <v>1</v>
      </c>
      <c r="G1498" s="36" t="n">
        <v>0</v>
      </c>
      <c r="H1498" s="36" t="n">
        <v>0</v>
      </c>
      <c r="I1498" s="36" t="n">
        <v>0</v>
      </c>
      <c r="J1498" s="36" t="n">
        <v>2</v>
      </c>
      <c r="K1498" s="12" t="n">
        <v>24</v>
      </c>
    </row>
    <row r="1499">
      <c r="A1499" s="33" t="n">
        <v>46324.37152777778</v>
      </c>
      <c r="B1499" s="33" t="n">
        <v>46324.39791666667</v>
      </c>
      <c r="C1499" s="13" t="n">
        <v>46327</v>
      </c>
      <c r="D1499" s="14" t="n">
        <v>0.96875</v>
      </c>
      <c r="E1499" s="37" t="n">
        <v>1</v>
      </c>
      <c r="F1499" s="37" t="n">
        <v>0</v>
      </c>
      <c r="G1499" s="37" t="n">
        <v>0</v>
      </c>
      <c r="H1499" s="37" t="n">
        <v>1</v>
      </c>
      <c r="I1499" s="37" t="n">
        <v>0</v>
      </c>
      <c r="J1499" s="37" t="n">
        <v>4</v>
      </c>
      <c r="K1499" s="16" t="n">
        <v>48</v>
      </c>
    </row>
    <row r="1500">
      <c r="A1500" s="30" t="n">
        <v>46324.39791666667</v>
      </c>
      <c r="B1500" s="30" t="n">
        <v>46324.40833333333</v>
      </c>
      <c r="C1500" s="9" t="n">
        <v>46324</v>
      </c>
      <c r="D1500" s="10" t="n">
        <v>0.9993055555555556</v>
      </c>
      <c r="E1500" s="36" t="n">
        <v>2</v>
      </c>
      <c r="F1500" s="36" t="n">
        <v>1</v>
      </c>
      <c r="G1500" s="36" t="n">
        <v>0</v>
      </c>
      <c r="H1500" s="36" t="n">
        <v>0</v>
      </c>
      <c r="I1500" s="36" t="n">
        <v>1</v>
      </c>
      <c r="J1500" s="36" t="n">
        <v>7</v>
      </c>
      <c r="K1500" s="12" t="n">
        <v>84</v>
      </c>
    </row>
    <row r="1501">
      <c r="A1501" s="33" t="n">
        <v>46324.39791666667</v>
      </c>
      <c r="B1501" s="33" t="n">
        <v>46324.40833333333</v>
      </c>
      <c r="C1501" s="13" t="n">
        <v>46325</v>
      </c>
      <c r="D1501" s="14" t="n">
        <v>0.9993055555555556</v>
      </c>
      <c r="E1501" s="37" t="n">
        <v>2</v>
      </c>
      <c r="F1501" s="37" t="n">
        <v>0</v>
      </c>
      <c r="G1501" s="37" t="n">
        <v>2</v>
      </c>
      <c r="H1501" s="37" t="n">
        <v>0</v>
      </c>
      <c r="I1501" s="37" t="n">
        <v>0</v>
      </c>
      <c r="J1501" s="37" t="n">
        <v>6</v>
      </c>
      <c r="K1501" s="16" t="n">
        <v>72</v>
      </c>
    </row>
    <row r="1502">
      <c r="A1502" s="30" t="n">
        <v>46324.39791666667</v>
      </c>
      <c r="B1502" s="30" t="n">
        <v>46324.40833333333</v>
      </c>
      <c r="C1502" s="9" t="n">
        <v>46326</v>
      </c>
      <c r="D1502" s="10" t="n">
        <v>0.8020833333333334</v>
      </c>
      <c r="E1502" s="36" t="n">
        <v>1</v>
      </c>
      <c r="F1502" s="36" t="n">
        <v>1</v>
      </c>
      <c r="G1502" s="36" t="n">
        <v>0</v>
      </c>
      <c r="H1502" s="36" t="n">
        <v>0</v>
      </c>
      <c r="I1502" s="36" t="n">
        <v>0</v>
      </c>
      <c r="J1502" s="36" t="n">
        <v>2</v>
      </c>
      <c r="K1502" s="12" t="n">
        <v>24</v>
      </c>
    </row>
    <row r="1503">
      <c r="A1503" s="33" t="n">
        <v>46324.40833333333</v>
      </c>
      <c r="B1503" s="33" t="n">
        <v>46324.43472222222</v>
      </c>
      <c r="C1503" s="13" t="n">
        <v>46324</v>
      </c>
      <c r="D1503" s="14" t="n">
        <v>0.84375</v>
      </c>
      <c r="E1503" s="37" t="n">
        <v>1</v>
      </c>
      <c r="F1503" s="37" t="n">
        <v>0</v>
      </c>
      <c r="G1503" s="37" t="n">
        <v>0</v>
      </c>
      <c r="H1503" s="37" t="n">
        <v>1</v>
      </c>
      <c r="I1503" s="37" t="n">
        <v>0</v>
      </c>
      <c r="J1503" s="37" t="n">
        <v>4</v>
      </c>
      <c r="K1503" s="16" t="n">
        <v>48</v>
      </c>
    </row>
    <row r="1504">
      <c r="A1504" s="30" t="n">
        <v>46324.40833333333</v>
      </c>
      <c r="B1504" s="30" t="n">
        <v>46324.43472222222</v>
      </c>
      <c r="C1504" s="9" t="n">
        <v>46325</v>
      </c>
      <c r="D1504" s="10" t="n">
        <v>0.8854166666666666</v>
      </c>
      <c r="E1504" s="36" t="n">
        <v>1</v>
      </c>
      <c r="F1504" s="36" t="n">
        <v>0</v>
      </c>
      <c r="G1504" s="36" t="n">
        <v>0</v>
      </c>
      <c r="H1504" s="36" t="n">
        <v>0</v>
      </c>
      <c r="I1504" s="36" t="n">
        <v>1</v>
      </c>
      <c r="J1504" s="36" t="n">
        <v>5</v>
      </c>
      <c r="K1504" s="12" t="n">
        <v>60</v>
      </c>
    </row>
    <row r="1505">
      <c r="A1505" s="33" t="n">
        <v>46324.40833333333</v>
      </c>
      <c r="B1505" s="33" t="n">
        <v>46324.43472222222</v>
      </c>
      <c r="C1505" s="13" t="n">
        <v>46327</v>
      </c>
      <c r="D1505" s="14" t="n">
        <v>0.9270833333333334</v>
      </c>
      <c r="E1505" s="37" t="n">
        <v>1</v>
      </c>
      <c r="F1505" s="37" t="n">
        <v>0</v>
      </c>
      <c r="G1505" s="37" t="n">
        <v>0</v>
      </c>
      <c r="H1505" s="37" t="n">
        <v>1</v>
      </c>
      <c r="I1505" s="37" t="n">
        <v>0</v>
      </c>
      <c r="J1505" s="37" t="n">
        <v>4</v>
      </c>
      <c r="K1505" s="16" t="n">
        <v>48</v>
      </c>
    </row>
    <row r="1506">
      <c r="A1506" s="30" t="n">
        <v>46324.43472222222</v>
      </c>
      <c r="B1506" s="30" t="n">
        <v>46324.44722222222</v>
      </c>
      <c r="C1506" s="9" t="n">
        <v>46325</v>
      </c>
      <c r="D1506" s="10" t="n">
        <v>0.84375</v>
      </c>
      <c r="E1506" s="36" t="n">
        <v>1</v>
      </c>
      <c r="F1506" s="36" t="n">
        <v>0</v>
      </c>
      <c r="G1506" s="36" t="n">
        <v>1</v>
      </c>
      <c r="H1506" s="36" t="n">
        <v>0</v>
      </c>
      <c r="I1506" s="36" t="n">
        <v>0</v>
      </c>
      <c r="J1506" s="36" t="n">
        <v>3</v>
      </c>
      <c r="K1506" s="12" t="n">
        <v>36</v>
      </c>
    </row>
    <row r="1507">
      <c r="A1507" s="33" t="n">
        <v>46324.43472222222</v>
      </c>
      <c r="B1507" s="33" t="n">
        <v>46324.44722222222</v>
      </c>
      <c r="C1507" s="13" t="n">
        <v>46325</v>
      </c>
      <c r="D1507" s="14" t="n">
        <v>0.9993055555555556</v>
      </c>
      <c r="E1507" s="37" t="n">
        <v>2</v>
      </c>
      <c r="F1507" s="37" t="n">
        <v>0</v>
      </c>
      <c r="G1507" s="37" t="n">
        <v>0</v>
      </c>
      <c r="H1507" s="37" t="n">
        <v>1</v>
      </c>
      <c r="I1507" s="37" t="n">
        <v>1</v>
      </c>
      <c r="J1507" s="37" t="n">
        <v>9</v>
      </c>
      <c r="K1507" s="16" t="n">
        <v>108</v>
      </c>
    </row>
    <row r="1508">
      <c r="A1508" s="30" t="n">
        <v>46324.44722222222</v>
      </c>
      <c r="B1508" s="30" t="n">
        <v>46324.47361111111</v>
      </c>
      <c r="C1508" s="9" t="n">
        <v>46324</v>
      </c>
      <c r="D1508" s="10" t="n">
        <v>0.84375</v>
      </c>
      <c r="E1508" s="36" t="n">
        <v>1</v>
      </c>
      <c r="F1508" s="36" t="n">
        <v>1</v>
      </c>
      <c r="G1508" s="36" t="n">
        <v>0</v>
      </c>
      <c r="H1508" s="36" t="n">
        <v>0</v>
      </c>
      <c r="I1508" s="36" t="n">
        <v>0</v>
      </c>
      <c r="J1508" s="36" t="n">
        <v>2</v>
      </c>
      <c r="K1508" s="12" t="n">
        <v>24</v>
      </c>
    </row>
    <row r="1509">
      <c r="A1509" s="33" t="n">
        <v>46324.44722222222</v>
      </c>
      <c r="B1509" s="33" t="n">
        <v>46324.47361111111</v>
      </c>
      <c r="C1509" s="13" t="n">
        <v>46324</v>
      </c>
      <c r="D1509" s="14" t="n">
        <v>0.9993055555555556</v>
      </c>
      <c r="E1509" s="37" t="n">
        <v>1</v>
      </c>
      <c r="F1509" s="37" t="n">
        <v>0</v>
      </c>
      <c r="G1509" s="37" t="n">
        <v>1</v>
      </c>
      <c r="H1509" s="37" t="n">
        <v>0</v>
      </c>
      <c r="I1509" s="37" t="n">
        <v>0</v>
      </c>
      <c r="J1509" s="37" t="n">
        <v>3</v>
      </c>
      <c r="K1509" s="16" t="n">
        <v>36</v>
      </c>
    </row>
    <row r="1510">
      <c r="A1510" s="30" t="n">
        <v>46324.44722222222</v>
      </c>
      <c r="B1510" s="30" t="n">
        <v>46324.47361111111</v>
      </c>
      <c r="C1510" s="9" t="n">
        <v>46325</v>
      </c>
      <c r="D1510" s="10" t="n">
        <v>0.8854166666666666</v>
      </c>
      <c r="E1510" s="36" t="n">
        <v>1</v>
      </c>
      <c r="F1510" s="36" t="n">
        <v>0</v>
      </c>
      <c r="G1510" s="36" t="n">
        <v>0</v>
      </c>
      <c r="H1510" s="36" t="n">
        <v>1</v>
      </c>
      <c r="I1510" s="36" t="n">
        <v>0</v>
      </c>
      <c r="J1510" s="36" t="n">
        <v>4</v>
      </c>
      <c r="K1510" s="12" t="n">
        <v>48</v>
      </c>
    </row>
    <row r="1511">
      <c r="A1511" s="33" t="n">
        <v>46324.44722222222</v>
      </c>
      <c r="B1511" s="33" t="n">
        <v>46324.47361111111</v>
      </c>
      <c r="C1511" s="13" t="n">
        <v>46325</v>
      </c>
      <c r="D1511" s="14" t="n">
        <v>0.9993055555555556</v>
      </c>
      <c r="E1511" s="37" t="n">
        <v>2</v>
      </c>
      <c r="F1511" s="37" t="n">
        <v>0</v>
      </c>
      <c r="G1511" s="37" t="n">
        <v>0</v>
      </c>
      <c r="H1511" s="37" t="n">
        <v>0</v>
      </c>
      <c r="I1511" s="37" t="n">
        <v>2</v>
      </c>
      <c r="J1511" s="37" t="n">
        <v>10</v>
      </c>
      <c r="K1511" s="16" t="n">
        <v>120</v>
      </c>
    </row>
    <row r="1512">
      <c r="A1512" s="30" t="n">
        <v>46324.44722222222</v>
      </c>
      <c r="B1512" s="30" t="n">
        <v>46324.47361111111</v>
      </c>
      <c r="C1512" s="9" t="n">
        <v>46327</v>
      </c>
      <c r="D1512" s="10" t="n">
        <v>0.8854166666666666</v>
      </c>
      <c r="E1512" s="36" t="n">
        <v>1</v>
      </c>
      <c r="F1512" s="36" t="n">
        <v>0</v>
      </c>
      <c r="G1512" s="36" t="n">
        <v>0</v>
      </c>
      <c r="H1512" s="36" t="n">
        <v>0</v>
      </c>
      <c r="I1512" s="36" t="n">
        <v>1</v>
      </c>
      <c r="J1512" s="36" t="n">
        <v>5</v>
      </c>
      <c r="K1512" s="12" t="n">
        <v>60</v>
      </c>
    </row>
    <row r="1513">
      <c r="A1513" s="33" t="n">
        <v>46324.44722222222</v>
      </c>
      <c r="B1513" s="33" t="n">
        <v>46324.47361111111</v>
      </c>
      <c r="C1513" s="13" t="n">
        <v>46327</v>
      </c>
      <c r="D1513" s="14" t="n">
        <v>0.9270833333333334</v>
      </c>
      <c r="E1513" s="37" t="n">
        <v>1</v>
      </c>
      <c r="F1513" s="37" t="n">
        <v>0</v>
      </c>
      <c r="G1513" s="37" t="n">
        <v>0</v>
      </c>
      <c r="H1513" s="37" t="n">
        <v>0</v>
      </c>
      <c r="I1513" s="37" t="n">
        <v>1</v>
      </c>
      <c r="J1513" s="37" t="n">
        <v>5</v>
      </c>
      <c r="K1513" s="16" t="n">
        <v>60</v>
      </c>
    </row>
    <row r="1514">
      <c r="A1514" s="30" t="n">
        <v>46324.47361111111</v>
      </c>
      <c r="B1514" s="30" t="n">
        <v>46324.4875</v>
      </c>
      <c r="C1514" s="9" t="n">
        <v>46324</v>
      </c>
      <c r="D1514" s="10" t="n">
        <v>0.84375</v>
      </c>
      <c r="E1514" s="36" t="n">
        <v>2</v>
      </c>
      <c r="F1514" s="36" t="n">
        <v>1</v>
      </c>
      <c r="G1514" s="36" t="n">
        <v>0</v>
      </c>
      <c r="H1514" s="36" t="n">
        <v>1</v>
      </c>
      <c r="I1514" s="36" t="n">
        <v>0</v>
      </c>
      <c r="J1514" s="36" t="n">
        <v>6</v>
      </c>
      <c r="K1514" s="12" t="n">
        <v>72</v>
      </c>
    </row>
    <row r="1515">
      <c r="A1515" s="33" t="n">
        <v>46324.47361111111</v>
      </c>
      <c r="B1515" s="33" t="n">
        <v>46324.4875</v>
      </c>
      <c r="C1515" s="13" t="n">
        <v>46324</v>
      </c>
      <c r="D1515" s="14" t="n">
        <v>0.9993055555555556</v>
      </c>
      <c r="E1515" s="37" t="n">
        <v>1</v>
      </c>
      <c r="F1515" s="37" t="n">
        <v>0</v>
      </c>
      <c r="G1515" s="37" t="n">
        <v>1</v>
      </c>
      <c r="H1515" s="37" t="n">
        <v>0</v>
      </c>
      <c r="I1515" s="37" t="n">
        <v>0</v>
      </c>
      <c r="J1515" s="37" t="n">
        <v>3</v>
      </c>
      <c r="K1515" s="16" t="n">
        <v>36</v>
      </c>
    </row>
    <row r="1516">
      <c r="A1516" s="30" t="n">
        <v>46324.47361111111</v>
      </c>
      <c r="B1516" s="30" t="n">
        <v>46324.4875</v>
      </c>
      <c r="C1516" s="9" t="n">
        <v>46325</v>
      </c>
      <c r="D1516" s="10" t="n">
        <v>0.8854166666666666</v>
      </c>
      <c r="E1516" s="36" t="n">
        <v>2</v>
      </c>
      <c r="F1516" s="36" t="n">
        <v>1</v>
      </c>
      <c r="G1516" s="36" t="n">
        <v>0</v>
      </c>
      <c r="H1516" s="36" t="n">
        <v>1</v>
      </c>
      <c r="I1516" s="36" t="n">
        <v>0</v>
      </c>
      <c r="J1516" s="36" t="n">
        <v>6</v>
      </c>
      <c r="K1516" s="12" t="n">
        <v>72</v>
      </c>
    </row>
    <row r="1517">
      <c r="A1517" s="33" t="n">
        <v>46324.47361111111</v>
      </c>
      <c r="B1517" s="33" t="n">
        <v>46324.4875</v>
      </c>
      <c r="C1517" s="13" t="n">
        <v>46325</v>
      </c>
      <c r="D1517" s="14" t="n">
        <v>0.9993055555555556</v>
      </c>
      <c r="E1517" s="37" t="n">
        <v>1</v>
      </c>
      <c r="F1517" s="37" t="n">
        <v>0</v>
      </c>
      <c r="G1517" s="37" t="n">
        <v>0</v>
      </c>
      <c r="H1517" s="37" t="n">
        <v>1</v>
      </c>
      <c r="I1517" s="37" t="n">
        <v>0</v>
      </c>
      <c r="J1517" s="37" t="n">
        <v>4</v>
      </c>
      <c r="K1517" s="16" t="n">
        <v>48</v>
      </c>
    </row>
    <row r="1518">
      <c r="A1518" s="30" t="n">
        <v>46324.47361111111</v>
      </c>
      <c r="B1518" s="30" t="n">
        <v>46324.4875</v>
      </c>
      <c r="C1518" s="9" t="n">
        <v>46326</v>
      </c>
      <c r="D1518" s="10" t="n">
        <v>0.8020833333333334</v>
      </c>
      <c r="E1518" s="36" t="n">
        <v>2</v>
      </c>
      <c r="F1518" s="36" t="n">
        <v>2</v>
      </c>
      <c r="G1518" s="36" t="n">
        <v>0</v>
      </c>
      <c r="H1518" s="36" t="n">
        <v>0</v>
      </c>
      <c r="I1518" s="36" t="n">
        <v>0</v>
      </c>
      <c r="J1518" s="36" t="n">
        <v>4</v>
      </c>
      <c r="K1518" s="12" t="n">
        <v>48</v>
      </c>
    </row>
    <row r="1519">
      <c r="A1519" s="33" t="n">
        <v>46324.4875</v>
      </c>
      <c r="B1519" s="33" t="n">
        <v>46324.52569444444</v>
      </c>
      <c r="C1519" s="13" t="n">
        <v>46324</v>
      </c>
      <c r="D1519" s="14" t="n">
        <v>0.84375</v>
      </c>
      <c r="E1519" s="37" t="n">
        <v>1</v>
      </c>
      <c r="F1519" s="37" t="n">
        <v>1</v>
      </c>
      <c r="G1519" s="37" t="n">
        <v>0</v>
      </c>
      <c r="H1519" s="37" t="n">
        <v>0</v>
      </c>
      <c r="I1519" s="37" t="n">
        <v>0</v>
      </c>
      <c r="J1519" s="37" t="n">
        <v>2</v>
      </c>
      <c r="K1519" s="16" t="n">
        <v>24</v>
      </c>
    </row>
    <row r="1520">
      <c r="A1520" s="30" t="n">
        <v>46324.4875</v>
      </c>
      <c r="B1520" s="30" t="n">
        <v>46324.52569444444</v>
      </c>
      <c r="C1520" s="9" t="n">
        <v>46324</v>
      </c>
      <c r="D1520" s="10" t="n">
        <v>0.9993055555555556</v>
      </c>
      <c r="E1520" s="36" t="n">
        <v>4</v>
      </c>
      <c r="F1520" s="36" t="n">
        <v>2</v>
      </c>
      <c r="G1520" s="36" t="n">
        <v>0</v>
      </c>
      <c r="H1520" s="36" t="n">
        <v>2</v>
      </c>
      <c r="I1520" s="36" t="n">
        <v>0</v>
      </c>
      <c r="J1520" s="36" t="n">
        <v>12</v>
      </c>
      <c r="K1520" s="12" t="n">
        <v>144</v>
      </c>
    </row>
    <row r="1521">
      <c r="A1521" s="33" t="n">
        <v>46324.4875</v>
      </c>
      <c r="B1521" s="33" t="n">
        <v>46324.52569444444</v>
      </c>
      <c r="C1521" s="13" t="n">
        <v>46325</v>
      </c>
      <c r="D1521" s="14" t="n">
        <v>0.8854166666666666</v>
      </c>
      <c r="E1521" s="37" t="n">
        <v>5</v>
      </c>
      <c r="F1521" s="37" t="n">
        <v>2</v>
      </c>
      <c r="G1521" s="37" t="n">
        <v>1</v>
      </c>
      <c r="H1521" s="37" t="n">
        <v>2</v>
      </c>
      <c r="I1521" s="37" t="n">
        <v>0</v>
      </c>
      <c r="J1521" s="37" t="n">
        <v>15</v>
      </c>
      <c r="K1521" s="16" t="n">
        <v>180</v>
      </c>
    </row>
    <row r="1522">
      <c r="A1522" s="30" t="n">
        <v>46324.4875</v>
      </c>
      <c r="B1522" s="30" t="n">
        <v>46324.52569444444</v>
      </c>
      <c r="C1522" s="9" t="n">
        <v>46325</v>
      </c>
      <c r="D1522" s="10" t="n">
        <v>0.9993055555555556</v>
      </c>
      <c r="E1522" s="36" t="n">
        <v>1</v>
      </c>
      <c r="F1522" s="36" t="n">
        <v>0</v>
      </c>
      <c r="G1522" s="36" t="n">
        <v>0</v>
      </c>
      <c r="H1522" s="36" t="n">
        <v>0</v>
      </c>
      <c r="I1522" s="36" t="n">
        <v>1</v>
      </c>
      <c r="J1522" s="36" t="n">
        <v>5</v>
      </c>
      <c r="K1522" s="12" t="n">
        <v>60</v>
      </c>
    </row>
    <row r="1523">
      <c r="A1523" s="33" t="n">
        <v>46324.4875</v>
      </c>
      <c r="B1523" s="33" t="n">
        <v>46324.52569444444</v>
      </c>
      <c r="C1523" s="13" t="n">
        <v>46326</v>
      </c>
      <c r="D1523" s="14" t="n">
        <v>0.8020833333333334</v>
      </c>
      <c r="E1523" s="37" t="n">
        <v>1</v>
      </c>
      <c r="F1523" s="37" t="n">
        <v>1</v>
      </c>
      <c r="G1523" s="37" t="n">
        <v>0</v>
      </c>
      <c r="H1523" s="37" t="n">
        <v>0</v>
      </c>
      <c r="I1523" s="37" t="n">
        <v>0</v>
      </c>
      <c r="J1523" s="37" t="n">
        <v>2</v>
      </c>
      <c r="K1523" s="16" t="n">
        <v>24</v>
      </c>
    </row>
    <row r="1524">
      <c r="A1524" s="30" t="n">
        <v>46324.4875</v>
      </c>
      <c r="B1524" s="30" t="n">
        <v>46324.52569444444</v>
      </c>
      <c r="C1524" s="9" t="n">
        <v>46327</v>
      </c>
      <c r="D1524" s="10" t="n">
        <v>0.84375</v>
      </c>
      <c r="E1524" s="36" t="n">
        <v>1</v>
      </c>
      <c r="F1524" s="36" t="n">
        <v>1</v>
      </c>
      <c r="G1524" s="36" t="n">
        <v>0</v>
      </c>
      <c r="H1524" s="36" t="n">
        <v>0</v>
      </c>
      <c r="I1524" s="36" t="n">
        <v>0</v>
      </c>
      <c r="J1524" s="36" t="n">
        <v>2</v>
      </c>
      <c r="K1524" s="12" t="n">
        <v>24</v>
      </c>
    </row>
    <row r="1525">
      <c r="A1525" s="33" t="n">
        <v>46324.4875</v>
      </c>
      <c r="B1525" s="33" t="n">
        <v>46324.52569444444</v>
      </c>
      <c r="C1525" s="13" t="n">
        <v>46327</v>
      </c>
      <c r="D1525" s="14" t="n">
        <v>0.8854166666666666</v>
      </c>
      <c r="E1525" s="37" t="n">
        <v>1</v>
      </c>
      <c r="F1525" s="37" t="n">
        <v>0</v>
      </c>
      <c r="G1525" s="37" t="n">
        <v>1</v>
      </c>
      <c r="H1525" s="37" t="n">
        <v>0</v>
      </c>
      <c r="I1525" s="37" t="n">
        <v>0</v>
      </c>
      <c r="J1525" s="37" t="n">
        <v>3</v>
      </c>
      <c r="K1525" s="16" t="n">
        <v>36</v>
      </c>
    </row>
    <row r="1526">
      <c r="A1526" s="30" t="n">
        <v>46324.4875</v>
      </c>
      <c r="B1526" s="30" t="n">
        <v>46324.52569444444</v>
      </c>
      <c r="C1526" s="9" t="n">
        <v>46327</v>
      </c>
      <c r="D1526" s="10" t="n">
        <v>0.9270833333333334</v>
      </c>
      <c r="E1526" s="36" t="n">
        <v>2</v>
      </c>
      <c r="F1526" s="36" t="n">
        <v>0</v>
      </c>
      <c r="G1526" s="36" t="n">
        <v>0</v>
      </c>
      <c r="H1526" s="36" t="n">
        <v>1</v>
      </c>
      <c r="I1526" s="36" t="n">
        <v>1</v>
      </c>
      <c r="J1526" s="36" t="n">
        <v>9</v>
      </c>
      <c r="K1526" s="12" t="n">
        <v>108</v>
      </c>
    </row>
    <row r="1527">
      <c r="A1527" s="33" t="n">
        <v>46324.4875</v>
      </c>
      <c r="B1527" s="33" t="n">
        <v>46324.52569444444</v>
      </c>
      <c r="C1527" s="13" t="n">
        <v>46327</v>
      </c>
      <c r="D1527" s="14" t="n">
        <v>0.96875</v>
      </c>
      <c r="E1527" s="37" t="n">
        <v>3</v>
      </c>
      <c r="F1527" s="37" t="n">
        <v>1</v>
      </c>
      <c r="G1527" s="37" t="n">
        <v>1</v>
      </c>
      <c r="H1527" s="37" t="n">
        <v>1</v>
      </c>
      <c r="I1527" s="37" t="n">
        <v>0</v>
      </c>
      <c r="J1527" s="37" t="n">
        <v>9</v>
      </c>
      <c r="K1527" s="16" t="n">
        <v>108</v>
      </c>
    </row>
    <row r="1528">
      <c r="A1528" s="30" t="n">
        <v>46324.52569444444</v>
      </c>
      <c r="B1528" s="30" t="n">
        <v>46324.57222222222</v>
      </c>
      <c r="C1528" s="9" t="n">
        <v>46324</v>
      </c>
      <c r="D1528" s="10" t="n">
        <v>0.84375</v>
      </c>
      <c r="E1528" s="36" t="n">
        <v>2</v>
      </c>
      <c r="F1528" s="36" t="n">
        <v>1</v>
      </c>
      <c r="G1528" s="36" t="n">
        <v>1</v>
      </c>
      <c r="H1528" s="36" t="n">
        <v>0</v>
      </c>
      <c r="I1528" s="36" t="n">
        <v>0</v>
      </c>
      <c r="J1528" s="36" t="n">
        <v>5</v>
      </c>
      <c r="K1528" s="12" t="n">
        <v>60</v>
      </c>
    </row>
    <row r="1529">
      <c r="A1529" s="33" t="n">
        <v>46324.52569444444</v>
      </c>
      <c r="B1529" s="33" t="n">
        <v>46324.57222222222</v>
      </c>
      <c r="C1529" s="13" t="n">
        <v>46324</v>
      </c>
      <c r="D1529" s="14" t="n">
        <v>0.9993055555555556</v>
      </c>
      <c r="E1529" s="37" t="n">
        <v>8</v>
      </c>
      <c r="F1529" s="37" t="n">
        <v>1</v>
      </c>
      <c r="G1529" s="37" t="n">
        <v>3</v>
      </c>
      <c r="H1529" s="37" t="n">
        <v>3</v>
      </c>
      <c r="I1529" s="37" t="n">
        <v>1</v>
      </c>
      <c r="J1529" s="37" t="n">
        <v>28</v>
      </c>
      <c r="K1529" s="16" t="n">
        <v>336</v>
      </c>
    </row>
    <row r="1530">
      <c r="A1530" s="30" t="n">
        <v>46324.52569444444</v>
      </c>
      <c r="B1530" s="30" t="n">
        <v>46324.57222222222</v>
      </c>
      <c r="C1530" s="9" t="n">
        <v>46325</v>
      </c>
      <c r="D1530" s="10" t="n">
        <v>0.8854166666666666</v>
      </c>
      <c r="E1530" s="36" t="n">
        <v>7</v>
      </c>
      <c r="F1530" s="36" t="n">
        <v>1</v>
      </c>
      <c r="G1530" s="36" t="n">
        <v>1</v>
      </c>
      <c r="H1530" s="36" t="n">
        <v>2</v>
      </c>
      <c r="I1530" s="36" t="n">
        <v>3</v>
      </c>
      <c r="J1530" s="36" t="n">
        <v>28</v>
      </c>
      <c r="K1530" s="12" t="n">
        <v>336</v>
      </c>
    </row>
    <row r="1531">
      <c r="A1531" s="33" t="n">
        <v>46324.52569444444</v>
      </c>
      <c r="B1531" s="33" t="n">
        <v>46324.57222222222</v>
      </c>
      <c r="C1531" s="13" t="n">
        <v>46326</v>
      </c>
      <c r="D1531" s="14" t="n">
        <v>0.8020833333333334</v>
      </c>
      <c r="E1531" s="37" t="n">
        <v>1</v>
      </c>
      <c r="F1531" s="37" t="n">
        <v>1</v>
      </c>
      <c r="G1531" s="37" t="n">
        <v>0</v>
      </c>
      <c r="H1531" s="37" t="n">
        <v>0</v>
      </c>
      <c r="I1531" s="37" t="n">
        <v>0</v>
      </c>
      <c r="J1531" s="37" t="n">
        <v>2</v>
      </c>
      <c r="K1531" s="16" t="n">
        <v>24</v>
      </c>
    </row>
    <row r="1532">
      <c r="A1532" s="30" t="n">
        <v>46324.52569444444</v>
      </c>
      <c r="B1532" s="30" t="n">
        <v>46324.57222222222</v>
      </c>
      <c r="C1532" s="9" t="n">
        <v>46327</v>
      </c>
      <c r="D1532" s="10" t="n">
        <v>0.8854166666666666</v>
      </c>
      <c r="E1532" s="36" t="n">
        <v>1</v>
      </c>
      <c r="F1532" s="36" t="n">
        <v>0</v>
      </c>
      <c r="G1532" s="36" t="n">
        <v>0</v>
      </c>
      <c r="H1532" s="36" t="n">
        <v>1</v>
      </c>
      <c r="I1532" s="36" t="n">
        <v>0</v>
      </c>
      <c r="J1532" s="36" t="n">
        <v>4</v>
      </c>
      <c r="K1532" s="12" t="n">
        <v>48</v>
      </c>
    </row>
    <row r="1533">
      <c r="A1533" s="33" t="n">
        <v>46324.52569444444</v>
      </c>
      <c r="B1533" s="33" t="n">
        <v>46324.57222222222</v>
      </c>
      <c r="C1533" s="13" t="n">
        <v>46327</v>
      </c>
      <c r="D1533" s="14" t="n">
        <v>0.9270833333333334</v>
      </c>
      <c r="E1533" s="37" t="n">
        <v>2</v>
      </c>
      <c r="F1533" s="37" t="n">
        <v>0</v>
      </c>
      <c r="G1533" s="37" t="n">
        <v>0</v>
      </c>
      <c r="H1533" s="37" t="n">
        <v>2</v>
      </c>
      <c r="I1533" s="37" t="n">
        <v>0</v>
      </c>
      <c r="J1533" s="37" t="n">
        <v>8</v>
      </c>
      <c r="K1533" s="16" t="n">
        <v>96</v>
      </c>
    </row>
    <row r="1534">
      <c r="A1534" s="30" t="n">
        <v>46324.52569444444</v>
      </c>
      <c r="B1534" s="30" t="n">
        <v>46324.57222222222</v>
      </c>
      <c r="C1534" s="9" t="n">
        <v>46327</v>
      </c>
      <c r="D1534" s="10" t="n">
        <v>0.96875</v>
      </c>
      <c r="E1534" s="36" t="n">
        <v>2</v>
      </c>
      <c r="F1534" s="36" t="n">
        <v>0</v>
      </c>
      <c r="G1534" s="36" t="n">
        <v>0</v>
      </c>
      <c r="H1534" s="36" t="n">
        <v>2</v>
      </c>
      <c r="I1534" s="36" t="n">
        <v>0</v>
      </c>
      <c r="J1534" s="36" t="n">
        <v>8</v>
      </c>
      <c r="K1534" s="12" t="n">
        <v>96</v>
      </c>
    </row>
    <row r="1535">
      <c r="A1535" s="33" t="n">
        <v>46324.57222222222</v>
      </c>
      <c r="B1535" s="33" t="n">
        <v>46324.62152777778</v>
      </c>
      <c r="C1535" s="13" t="n">
        <v>46324</v>
      </c>
      <c r="D1535" s="14" t="n">
        <v>0.84375</v>
      </c>
      <c r="E1535" s="37" t="n">
        <v>10</v>
      </c>
      <c r="F1535" s="37" t="n">
        <v>2</v>
      </c>
      <c r="G1535" s="37" t="n">
        <v>2</v>
      </c>
      <c r="H1535" s="37" t="n">
        <v>4</v>
      </c>
      <c r="I1535" s="37" t="n">
        <v>2</v>
      </c>
      <c r="J1535" s="37" t="n">
        <v>36</v>
      </c>
      <c r="K1535" s="16" t="n">
        <v>432</v>
      </c>
    </row>
    <row r="1536">
      <c r="A1536" s="30" t="n">
        <v>46324.57222222222</v>
      </c>
      <c r="B1536" s="30" t="n">
        <v>46324.62152777778</v>
      </c>
      <c r="C1536" s="9" t="n">
        <v>46324</v>
      </c>
      <c r="D1536" s="10" t="n">
        <v>0.9993055555555556</v>
      </c>
      <c r="E1536" s="36" t="n">
        <v>9</v>
      </c>
      <c r="F1536" s="36" t="n">
        <v>3</v>
      </c>
      <c r="G1536" s="36" t="n">
        <v>1</v>
      </c>
      <c r="H1536" s="36" t="n">
        <v>5</v>
      </c>
      <c r="I1536" s="36" t="n">
        <v>0</v>
      </c>
      <c r="J1536" s="36" t="n">
        <v>29</v>
      </c>
      <c r="K1536" s="12" t="n">
        <v>348</v>
      </c>
    </row>
    <row r="1537">
      <c r="A1537" s="33" t="n">
        <v>46324.57222222222</v>
      </c>
      <c r="B1537" s="33" t="n">
        <v>46324.62152777778</v>
      </c>
      <c r="C1537" s="13" t="n">
        <v>46325</v>
      </c>
      <c r="D1537" s="14" t="n">
        <v>0.84375</v>
      </c>
      <c r="E1537" s="37" t="n">
        <v>7</v>
      </c>
      <c r="F1537" s="37" t="n">
        <v>1</v>
      </c>
      <c r="G1537" s="37" t="n">
        <v>2</v>
      </c>
      <c r="H1537" s="37" t="n">
        <v>3</v>
      </c>
      <c r="I1537" s="37" t="n">
        <v>1</v>
      </c>
      <c r="J1537" s="37" t="n">
        <v>25</v>
      </c>
      <c r="K1537" s="16" t="n">
        <v>300</v>
      </c>
    </row>
    <row r="1538">
      <c r="A1538" s="30" t="n">
        <v>46324.57222222222</v>
      </c>
      <c r="B1538" s="30" t="n">
        <v>46324.62152777778</v>
      </c>
      <c r="C1538" s="9" t="n">
        <v>46325</v>
      </c>
      <c r="D1538" s="10" t="n">
        <v>0.8854166666666666</v>
      </c>
      <c r="E1538" s="36" t="n">
        <v>4</v>
      </c>
      <c r="F1538" s="36" t="n">
        <v>2</v>
      </c>
      <c r="G1538" s="36" t="n">
        <v>0</v>
      </c>
      <c r="H1538" s="36" t="n">
        <v>2</v>
      </c>
      <c r="I1538" s="36" t="n">
        <v>0</v>
      </c>
      <c r="J1538" s="36" t="n">
        <v>12</v>
      </c>
      <c r="K1538" s="12" t="n">
        <v>144</v>
      </c>
    </row>
    <row r="1539">
      <c r="A1539" s="33" t="n">
        <v>46324.57222222222</v>
      </c>
      <c r="B1539" s="33" t="n">
        <v>46324.62152777778</v>
      </c>
      <c r="C1539" s="13" t="n">
        <v>46326</v>
      </c>
      <c r="D1539" s="14" t="n">
        <v>0.8020833333333334</v>
      </c>
      <c r="E1539" s="37" t="n">
        <v>3</v>
      </c>
      <c r="F1539" s="37" t="n">
        <v>1</v>
      </c>
      <c r="G1539" s="37" t="n">
        <v>0</v>
      </c>
      <c r="H1539" s="37" t="n">
        <v>2</v>
      </c>
      <c r="I1539" s="37" t="n">
        <v>0</v>
      </c>
      <c r="J1539" s="37" t="n">
        <v>10</v>
      </c>
      <c r="K1539" s="16" t="n">
        <v>120</v>
      </c>
    </row>
    <row r="1540">
      <c r="A1540" s="30" t="n">
        <v>46324.57222222222</v>
      </c>
      <c r="B1540" s="30" t="n">
        <v>46324.62152777778</v>
      </c>
      <c r="C1540" s="9" t="n">
        <v>46327</v>
      </c>
      <c r="D1540" s="10" t="n">
        <v>0.8854166666666666</v>
      </c>
      <c r="E1540" s="36" t="n">
        <v>1</v>
      </c>
      <c r="F1540" s="36" t="n">
        <v>0</v>
      </c>
      <c r="G1540" s="36" t="n">
        <v>0</v>
      </c>
      <c r="H1540" s="36" t="n">
        <v>1</v>
      </c>
      <c r="I1540" s="36" t="n">
        <v>0</v>
      </c>
      <c r="J1540" s="36" t="n">
        <v>4</v>
      </c>
      <c r="K1540" s="12" t="n">
        <v>48</v>
      </c>
    </row>
    <row r="1541">
      <c r="A1541" s="33" t="n">
        <v>46324.57222222222</v>
      </c>
      <c r="B1541" s="33" t="n">
        <v>46324.62152777778</v>
      </c>
      <c r="C1541" s="13" t="n">
        <v>46327</v>
      </c>
      <c r="D1541" s="14" t="n">
        <v>0.96875</v>
      </c>
      <c r="E1541" s="37" t="n">
        <v>1</v>
      </c>
      <c r="F1541" s="37" t="n">
        <v>0</v>
      </c>
      <c r="G1541" s="37" t="n">
        <v>0</v>
      </c>
      <c r="H1541" s="37" t="n">
        <v>1</v>
      </c>
      <c r="I1541" s="37" t="n">
        <v>0</v>
      </c>
      <c r="J1541" s="37" t="n">
        <v>4</v>
      </c>
      <c r="K1541" s="16" t="n">
        <v>48</v>
      </c>
    </row>
    <row r="1542">
      <c r="A1542" s="30" t="n">
        <v>46324.57222222222</v>
      </c>
      <c r="B1542" s="30" t="n">
        <v>46324.62152777778</v>
      </c>
      <c r="C1542" s="9" t="n">
        <v>46327</v>
      </c>
      <c r="D1542" s="10" t="n">
        <v>0.9993055555555556</v>
      </c>
      <c r="E1542" s="36" t="n">
        <v>1</v>
      </c>
      <c r="F1542" s="36" t="n">
        <v>1</v>
      </c>
      <c r="G1542" s="36" t="n">
        <v>0</v>
      </c>
      <c r="H1542" s="36" t="n">
        <v>0</v>
      </c>
      <c r="I1542" s="36" t="n">
        <v>0</v>
      </c>
      <c r="J1542" s="36" t="n">
        <v>2</v>
      </c>
      <c r="K1542" s="12" t="n">
        <v>24</v>
      </c>
    </row>
    <row r="1543">
      <c r="A1543" s="33" t="n">
        <v>46324.62152777778</v>
      </c>
      <c r="B1543" s="33" t="n">
        <v>46324.63194444445</v>
      </c>
      <c r="C1543" s="13" t="n">
        <v>46324</v>
      </c>
      <c r="D1543" s="14" t="n">
        <v>0.84375</v>
      </c>
      <c r="E1543" s="37" t="n">
        <v>2</v>
      </c>
      <c r="F1543" s="37" t="n">
        <v>2</v>
      </c>
      <c r="G1543" s="37" t="n">
        <v>0</v>
      </c>
      <c r="H1543" s="37" t="n">
        <v>0</v>
      </c>
      <c r="I1543" s="37" t="n">
        <v>0</v>
      </c>
      <c r="J1543" s="37" t="n">
        <v>4</v>
      </c>
      <c r="K1543" s="16" t="n">
        <v>48</v>
      </c>
    </row>
    <row r="1544">
      <c r="A1544" s="30" t="n">
        <v>46324.62152777778</v>
      </c>
      <c r="B1544" s="30" t="n">
        <v>46324.63194444445</v>
      </c>
      <c r="C1544" s="9" t="n">
        <v>46324</v>
      </c>
      <c r="D1544" s="10" t="n">
        <v>0.9993055555555556</v>
      </c>
      <c r="E1544" s="36" t="n">
        <v>2</v>
      </c>
      <c r="F1544" s="36" t="n">
        <v>0</v>
      </c>
      <c r="G1544" s="36" t="n">
        <v>1</v>
      </c>
      <c r="H1544" s="36" t="n">
        <v>0</v>
      </c>
      <c r="I1544" s="36" t="n">
        <v>1</v>
      </c>
      <c r="J1544" s="36" t="n">
        <v>8</v>
      </c>
      <c r="K1544" s="12" t="n">
        <v>96</v>
      </c>
    </row>
    <row r="1545">
      <c r="A1545" s="33" t="n">
        <v>46324.62152777778</v>
      </c>
      <c r="B1545" s="33" t="n">
        <v>46324.63194444445</v>
      </c>
      <c r="C1545" s="13" t="n">
        <v>46325</v>
      </c>
      <c r="D1545" s="14" t="n">
        <v>0.84375</v>
      </c>
      <c r="E1545" s="37" t="n">
        <v>2</v>
      </c>
      <c r="F1545" s="37" t="n">
        <v>1</v>
      </c>
      <c r="G1545" s="37" t="n">
        <v>0</v>
      </c>
      <c r="H1545" s="37" t="n">
        <v>1</v>
      </c>
      <c r="I1545" s="37" t="n">
        <v>0</v>
      </c>
      <c r="J1545" s="37" t="n">
        <v>6</v>
      </c>
      <c r="K1545" s="16" t="n">
        <v>72</v>
      </c>
    </row>
    <row r="1546">
      <c r="A1546" s="30" t="n">
        <v>46324.62152777778</v>
      </c>
      <c r="B1546" s="30" t="n">
        <v>46324.63194444445</v>
      </c>
      <c r="C1546" s="9" t="n">
        <v>46326</v>
      </c>
      <c r="D1546" s="10" t="n">
        <v>0.8020833333333334</v>
      </c>
      <c r="E1546" s="36" t="n">
        <v>1</v>
      </c>
      <c r="F1546" s="36" t="n">
        <v>1</v>
      </c>
      <c r="G1546" s="36" t="n">
        <v>0</v>
      </c>
      <c r="H1546" s="36" t="n">
        <v>0</v>
      </c>
      <c r="I1546" s="36" t="n">
        <v>0</v>
      </c>
      <c r="J1546" s="36" t="n">
        <v>2</v>
      </c>
      <c r="K1546" s="12" t="n">
        <v>24</v>
      </c>
    </row>
    <row r="1547">
      <c r="A1547" s="33" t="n">
        <v>46324.62152777778</v>
      </c>
      <c r="B1547" s="33" t="n">
        <v>46324.63194444445</v>
      </c>
      <c r="C1547" s="13" t="n">
        <v>46327</v>
      </c>
      <c r="D1547" s="14" t="n">
        <v>0.84375</v>
      </c>
      <c r="E1547" s="37" t="n">
        <v>1</v>
      </c>
      <c r="F1547" s="37" t="n">
        <v>0</v>
      </c>
      <c r="G1547" s="37" t="n">
        <v>1</v>
      </c>
      <c r="H1547" s="37" t="n">
        <v>0</v>
      </c>
      <c r="I1547" s="37" t="n">
        <v>0</v>
      </c>
      <c r="J1547" s="37" t="n">
        <v>3</v>
      </c>
      <c r="K1547" s="16" t="n">
        <v>36</v>
      </c>
    </row>
    <row r="1548">
      <c r="A1548" s="30" t="n">
        <v>46324.63194444445</v>
      </c>
      <c r="B1548" s="30" t="n">
        <v>46324.64236111111</v>
      </c>
      <c r="C1548" s="9" t="n">
        <v>46324</v>
      </c>
      <c r="D1548" s="10" t="n">
        <v>0.84375</v>
      </c>
      <c r="E1548" s="36" t="n">
        <v>2</v>
      </c>
      <c r="F1548" s="36" t="n">
        <v>2</v>
      </c>
      <c r="G1548" s="36" t="n">
        <v>0</v>
      </c>
      <c r="H1548" s="36" t="n">
        <v>0</v>
      </c>
      <c r="I1548" s="36" t="n">
        <v>0</v>
      </c>
      <c r="J1548" s="36" t="n">
        <v>4</v>
      </c>
      <c r="K1548" s="12" t="n">
        <v>48</v>
      </c>
    </row>
    <row r="1549">
      <c r="A1549" s="33" t="n">
        <v>46324.63194444445</v>
      </c>
      <c r="B1549" s="33" t="n">
        <v>46324.64236111111</v>
      </c>
      <c r="C1549" s="13" t="n">
        <v>46325</v>
      </c>
      <c r="D1549" s="14" t="n">
        <v>0.84375</v>
      </c>
      <c r="E1549" s="37" t="n">
        <v>1</v>
      </c>
      <c r="F1549" s="37" t="n">
        <v>0</v>
      </c>
      <c r="G1549" s="37" t="n">
        <v>0</v>
      </c>
      <c r="H1549" s="37" t="n">
        <v>1</v>
      </c>
      <c r="I1549" s="37" t="n">
        <v>0</v>
      </c>
      <c r="J1549" s="37" t="n">
        <v>4</v>
      </c>
      <c r="K1549" s="16" t="n">
        <v>48</v>
      </c>
    </row>
    <row r="1550">
      <c r="A1550" s="30" t="n">
        <v>46324.63194444445</v>
      </c>
      <c r="B1550" s="30" t="n">
        <v>46324.64236111111</v>
      </c>
      <c r="C1550" s="9" t="n">
        <v>46327</v>
      </c>
      <c r="D1550" s="10" t="n">
        <v>0.96875</v>
      </c>
      <c r="E1550" s="36" t="n">
        <v>2</v>
      </c>
      <c r="F1550" s="36" t="n">
        <v>0</v>
      </c>
      <c r="G1550" s="36" t="n">
        <v>1</v>
      </c>
      <c r="H1550" s="36" t="n">
        <v>1</v>
      </c>
      <c r="I1550" s="36" t="n">
        <v>0</v>
      </c>
      <c r="J1550" s="36" t="n">
        <v>7</v>
      </c>
      <c r="K1550" s="12" t="n">
        <v>84</v>
      </c>
    </row>
    <row r="1551">
      <c r="A1551" s="33" t="n">
        <v>46324.64236111111</v>
      </c>
      <c r="B1551" s="33" t="n">
        <v>46324.64444444444</v>
      </c>
      <c r="C1551" s="13" t="n">
        <v>46327</v>
      </c>
      <c r="D1551" s="14" t="n">
        <v>0.9270833333333334</v>
      </c>
      <c r="E1551" s="37" t="n">
        <v>2</v>
      </c>
      <c r="F1551" s="37" t="n">
        <v>2</v>
      </c>
      <c r="G1551" s="37" t="n">
        <v>0</v>
      </c>
      <c r="H1551" s="37" t="n">
        <v>0</v>
      </c>
      <c r="I1551" s="37" t="n">
        <v>0</v>
      </c>
      <c r="J1551" s="37" t="n">
        <v>4</v>
      </c>
      <c r="K1551" s="16" t="n">
        <v>48</v>
      </c>
    </row>
    <row r="1552">
      <c r="A1552" s="30" t="n">
        <v>46324.64444444444</v>
      </c>
      <c r="B1552" s="30" t="n">
        <v>46324.68263888889</v>
      </c>
      <c r="C1552" s="9" t="n">
        <v>46324</v>
      </c>
      <c r="D1552" s="10" t="n">
        <v>0.84375</v>
      </c>
      <c r="E1552" s="36" t="n">
        <v>6</v>
      </c>
      <c r="F1552" s="36" t="n">
        <v>1</v>
      </c>
      <c r="G1552" s="36" t="n">
        <v>1</v>
      </c>
      <c r="H1552" s="36" t="n">
        <v>3</v>
      </c>
      <c r="I1552" s="36" t="n">
        <v>1</v>
      </c>
      <c r="J1552" s="36" t="n">
        <v>22</v>
      </c>
      <c r="K1552" s="12" t="n">
        <v>264</v>
      </c>
    </row>
    <row r="1553">
      <c r="A1553" s="33" t="n">
        <v>46324.64444444444</v>
      </c>
      <c r="B1553" s="33" t="n">
        <v>46324.68263888889</v>
      </c>
      <c r="C1553" s="13" t="n">
        <v>46325</v>
      </c>
      <c r="D1553" s="14" t="n">
        <v>0.84375</v>
      </c>
      <c r="E1553" s="37" t="n">
        <v>2</v>
      </c>
      <c r="F1553" s="37" t="n">
        <v>0</v>
      </c>
      <c r="G1553" s="37" t="n">
        <v>1</v>
      </c>
      <c r="H1553" s="37" t="n">
        <v>1</v>
      </c>
      <c r="I1553" s="37" t="n">
        <v>0</v>
      </c>
      <c r="J1553" s="37" t="n">
        <v>7</v>
      </c>
      <c r="K1553" s="16" t="n">
        <v>84</v>
      </c>
    </row>
    <row r="1554">
      <c r="A1554" s="30" t="n">
        <v>46324.64444444444</v>
      </c>
      <c r="B1554" s="30" t="n">
        <v>46324.68263888889</v>
      </c>
      <c r="C1554" s="9" t="n">
        <v>46326</v>
      </c>
      <c r="D1554" s="10" t="n">
        <v>0.8020833333333334</v>
      </c>
      <c r="E1554" s="36" t="n">
        <v>1</v>
      </c>
      <c r="F1554" s="36" t="n">
        <v>0</v>
      </c>
      <c r="G1554" s="36" t="n">
        <v>0</v>
      </c>
      <c r="H1554" s="36" t="n">
        <v>1</v>
      </c>
      <c r="I1554" s="36" t="n">
        <v>0</v>
      </c>
      <c r="J1554" s="36" t="n">
        <v>4</v>
      </c>
      <c r="K1554" s="12" t="n">
        <v>48</v>
      </c>
    </row>
    <row r="1555">
      <c r="A1555" s="33" t="n">
        <v>46324.64444444444</v>
      </c>
      <c r="B1555" s="33" t="n">
        <v>46324.68263888889</v>
      </c>
      <c r="C1555" s="13" t="n">
        <v>46327</v>
      </c>
      <c r="D1555" s="14" t="n">
        <v>0.8854166666666666</v>
      </c>
      <c r="E1555" s="37" t="n">
        <v>2</v>
      </c>
      <c r="F1555" s="37" t="n">
        <v>1</v>
      </c>
      <c r="G1555" s="37" t="n">
        <v>0</v>
      </c>
      <c r="H1555" s="37" t="n">
        <v>1</v>
      </c>
      <c r="I1555" s="37" t="n">
        <v>0</v>
      </c>
      <c r="J1555" s="37" t="n">
        <v>6</v>
      </c>
      <c r="K1555" s="16" t="n">
        <v>72</v>
      </c>
    </row>
    <row r="1556">
      <c r="A1556" s="30" t="n">
        <v>46324.64444444444</v>
      </c>
      <c r="B1556" s="30" t="n">
        <v>46324.68263888889</v>
      </c>
      <c r="C1556" s="9" t="n">
        <v>46327</v>
      </c>
      <c r="D1556" s="10" t="n">
        <v>0.9270833333333334</v>
      </c>
      <c r="E1556" s="36" t="n">
        <v>2</v>
      </c>
      <c r="F1556" s="36" t="n">
        <v>0</v>
      </c>
      <c r="G1556" s="36" t="n">
        <v>2</v>
      </c>
      <c r="H1556" s="36" t="n">
        <v>0</v>
      </c>
      <c r="I1556" s="36" t="n">
        <v>0</v>
      </c>
      <c r="J1556" s="36" t="n">
        <v>6</v>
      </c>
      <c r="K1556" s="12" t="n">
        <v>72</v>
      </c>
    </row>
    <row r="1557">
      <c r="A1557" s="33" t="n">
        <v>46324.64444444444</v>
      </c>
      <c r="B1557" s="33" t="n">
        <v>46324.68263888889</v>
      </c>
      <c r="C1557" s="13" t="n">
        <v>46327</v>
      </c>
      <c r="D1557" s="14" t="n">
        <v>0.96875</v>
      </c>
      <c r="E1557" s="37" t="n">
        <v>1</v>
      </c>
      <c r="F1557" s="37" t="n">
        <v>0</v>
      </c>
      <c r="G1557" s="37" t="n">
        <v>0</v>
      </c>
      <c r="H1557" s="37" t="n">
        <v>1</v>
      </c>
      <c r="I1557" s="37" t="n">
        <v>0</v>
      </c>
      <c r="J1557" s="37" t="n">
        <v>4</v>
      </c>
      <c r="K1557" s="16" t="n">
        <v>48</v>
      </c>
    </row>
    <row r="1558">
      <c r="A1558" s="30" t="n">
        <v>46324.64444444444</v>
      </c>
      <c r="B1558" s="30" t="n">
        <v>46324.68263888889</v>
      </c>
      <c r="C1558" s="9" t="n">
        <v>46327</v>
      </c>
      <c r="D1558" s="10" t="n">
        <v>0.9993055555555556</v>
      </c>
      <c r="E1558" s="36" t="n">
        <v>4</v>
      </c>
      <c r="F1558" s="36" t="n">
        <v>3</v>
      </c>
      <c r="G1558" s="36" t="n">
        <v>0</v>
      </c>
      <c r="H1558" s="36" t="n">
        <v>1</v>
      </c>
      <c r="I1558" s="36" t="n">
        <v>0</v>
      </c>
      <c r="J1558" s="36" t="n">
        <v>10</v>
      </c>
      <c r="K1558" s="12" t="n">
        <v>120</v>
      </c>
    </row>
    <row r="1559">
      <c r="A1559" s="33" t="n">
        <v>46324.68263888889</v>
      </c>
      <c r="B1559" s="33" t="n">
        <v>46324.71180555555</v>
      </c>
      <c r="C1559" s="13" t="n">
        <v>46324</v>
      </c>
      <c r="D1559" s="14" t="n">
        <v>0.84375</v>
      </c>
      <c r="E1559" s="37" t="n">
        <v>4</v>
      </c>
      <c r="F1559" s="37" t="n">
        <v>3</v>
      </c>
      <c r="G1559" s="37" t="n">
        <v>0</v>
      </c>
      <c r="H1559" s="37" t="n">
        <v>0</v>
      </c>
      <c r="I1559" s="37" t="n">
        <v>1</v>
      </c>
      <c r="J1559" s="37" t="n">
        <v>11</v>
      </c>
      <c r="K1559" s="16" t="n">
        <v>132</v>
      </c>
    </row>
    <row r="1560">
      <c r="A1560" s="30" t="n">
        <v>46324.68263888889</v>
      </c>
      <c r="B1560" s="30" t="n">
        <v>46324.71180555555</v>
      </c>
      <c r="C1560" s="9" t="n">
        <v>46325</v>
      </c>
      <c r="D1560" s="10" t="n">
        <v>0.84375</v>
      </c>
      <c r="E1560" s="36" t="n">
        <v>1</v>
      </c>
      <c r="F1560" s="36" t="n">
        <v>1</v>
      </c>
      <c r="G1560" s="36" t="n">
        <v>0</v>
      </c>
      <c r="H1560" s="36" t="n">
        <v>0</v>
      </c>
      <c r="I1560" s="36" t="n">
        <v>0</v>
      </c>
      <c r="J1560" s="36" t="n">
        <v>2</v>
      </c>
      <c r="K1560" s="12" t="n">
        <v>24</v>
      </c>
    </row>
    <row r="1561">
      <c r="A1561" s="33" t="n">
        <v>46324.68263888889</v>
      </c>
      <c r="B1561" s="33" t="n">
        <v>46324.71180555555</v>
      </c>
      <c r="C1561" s="13" t="n">
        <v>46326</v>
      </c>
      <c r="D1561" s="14" t="n">
        <v>0.8020833333333334</v>
      </c>
      <c r="E1561" s="37" t="n">
        <v>1</v>
      </c>
      <c r="F1561" s="37" t="n">
        <v>0</v>
      </c>
      <c r="G1561" s="37" t="n">
        <v>0</v>
      </c>
      <c r="H1561" s="37" t="n">
        <v>1</v>
      </c>
      <c r="I1561" s="37" t="n">
        <v>0</v>
      </c>
      <c r="J1561" s="37" t="n">
        <v>4</v>
      </c>
      <c r="K1561" s="16" t="n">
        <v>48</v>
      </c>
    </row>
    <row r="1562">
      <c r="A1562" s="30" t="n">
        <v>46324.68263888889</v>
      </c>
      <c r="B1562" s="30" t="n">
        <v>46324.71180555555</v>
      </c>
      <c r="C1562" s="9" t="n">
        <v>46327</v>
      </c>
      <c r="D1562" s="10" t="n">
        <v>0.96875</v>
      </c>
      <c r="E1562" s="36" t="n">
        <v>3</v>
      </c>
      <c r="F1562" s="36" t="n">
        <v>0</v>
      </c>
      <c r="G1562" s="36" t="n">
        <v>0</v>
      </c>
      <c r="H1562" s="36" t="n">
        <v>3</v>
      </c>
      <c r="I1562" s="36" t="n">
        <v>0</v>
      </c>
      <c r="J1562" s="36" t="n">
        <v>12</v>
      </c>
      <c r="K1562" s="12" t="n">
        <v>144</v>
      </c>
    </row>
    <row r="1563">
      <c r="A1563" s="33" t="n">
        <v>46324.68263888889</v>
      </c>
      <c r="B1563" s="33" t="n">
        <v>46324.71180555555</v>
      </c>
      <c r="C1563" s="13" t="n">
        <v>46327</v>
      </c>
      <c r="D1563" s="14" t="n">
        <v>0.9993055555555556</v>
      </c>
      <c r="E1563" s="37" t="n">
        <v>4</v>
      </c>
      <c r="F1563" s="37" t="n">
        <v>1</v>
      </c>
      <c r="G1563" s="37" t="n">
        <v>0</v>
      </c>
      <c r="H1563" s="37" t="n">
        <v>3</v>
      </c>
      <c r="I1563" s="37" t="n">
        <v>0</v>
      </c>
      <c r="J1563" s="37" t="n">
        <v>14</v>
      </c>
      <c r="K1563" s="16" t="n">
        <v>168</v>
      </c>
    </row>
    <row r="1564">
      <c r="A1564" s="30" t="n">
        <v>46324.71180555555</v>
      </c>
      <c r="B1564" s="30" t="n">
        <v>46324.73680555556</v>
      </c>
      <c r="C1564" s="9" t="n">
        <v>46324</v>
      </c>
      <c r="D1564" s="10" t="n">
        <v>0.84375</v>
      </c>
      <c r="E1564" s="36" t="n">
        <v>4</v>
      </c>
      <c r="F1564" s="36" t="n">
        <v>1</v>
      </c>
      <c r="G1564" s="36" t="n">
        <v>1</v>
      </c>
      <c r="H1564" s="36" t="n">
        <v>1</v>
      </c>
      <c r="I1564" s="36" t="n">
        <v>1</v>
      </c>
      <c r="J1564" s="36" t="n">
        <v>14</v>
      </c>
      <c r="K1564" s="12" t="n">
        <v>168</v>
      </c>
    </row>
    <row r="1565">
      <c r="A1565" s="33" t="n">
        <v>46324.71180555555</v>
      </c>
      <c r="B1565" s="33" t="n">
        <v>46324.73680555556</v>
      </c>
      <c r="C1565" s="13" t="n">
        <v>46325</v>
      </c>
      <c r="D1565" s="14" t="n">
        <v>0.84375</v>
      </c>
      <c r="E1565" s="37" t="n">
        <v>4</v>
      </c>
      <c r="F1565" s="37" t="n">
        <v>1</v>
      </c>
      <c r="G1565" s="37" t="n">
        <v>0</v>
      </c>
      <c r="H1565" s="37" t="n">
        <v>3</v>
      </c>
      <c r="I1565" s="37" t="n">
        <v>0</v>
      </c>
      <c r="J1565" s="37" t="n">
        <v>14</v>
      </c>
      <c r="K1565" s="16" t="n">
        <v>168</v>
      </c>
    </row>
    <row r="1566">
      <c r="A1566" s="30" t="n">
        <v>46324.71180555555</v>
      </c>
      <c r="B1566" s="30" t="n">
        <v>46324.73680555556</v>
      </c>
      <c r="C1566" s="9" t="n">
        <v>46326</v>
      </c>
      <c r="D1566" s="10" t="n">
        <v>0.8020833333333334</v>
      </c>
      <c r="E1566" s="36" t="n">
        <v>2</v>
      </c>
      <c r="F1566" s="36" t="n">
        <v>0</v>
      </c>
      <c r="G1566" s="36" t="n">
        <v>0</v>
      </c>
      <c r="H1566" s="36" t="n">
        <v>1</v>
      </c>
      <c r="I1566" s="36" t="n">
        <v>1</v>
      </c>
      <c r="J1566" s="36" t="n">
        <v>9</v>
      </c>
      <c r="K1566" s="12" t="n">
        <v>108</v>
      </c>
    </row>
    <row r="1567">
      <c r="A1567" s="33" t="n">
        <v>46324.71180555555</v>
      </c>
      <c r="B1567" s="33" t="n">
        <v>46324.73680555556</v>
      </c>
      <c r="C1567" s="13" t="n">
        <v>46327</v>
      </c>
      <c r="D1567" s="14" t="n">
        <v>0.96875</v>
      </c>
      <c r="E1567" s="37" t="n">
        <v>1</v>
      </c>
      <c r="F1567" s="37" t="n">
        <v>1</v>
      </c>
      <c r="G1567" s="37" t="n">
        <v>0</v>
      </c>
      <c r="H1567" s="37" t="n">
        <v>0</v>
      </c>
      <c r="I1567" s="37" t="n">
        <v>0</v>
      </c>
      <c r="J1567" s="37" t="n">
        <v>2</v>
      </c>
      <c r="K1567" s="16" t="n">
        <v>24</v>
      </c>
    </row>
    <row r="1568">
      <c r="A1568" s="30" t="n">
        <v>46324.74027777778</v>
      </c>
      <c r="B1568" s="30" t="n">
        <v>46324.74652777778</v>
      </c>
      <c r="C1568" s="9" t="n">
        <v>46324</v>
      </c>
      <c r="D1568" s="10" t="n">
        <v>0.84375</v>
      </c>
      <c r="E1568" s="36" t="n">
        <v>1</v>
      </c>
      <c r="F1568" s="36" t="n">
        <v>0</v>
      </c>
      <c r="G1568" s="36" t="n">
        <v>1</v>
      </c>
      <c r="H1568" s="36" t="n">
        <v>0</v>
      </c>
      <c r="I1568" s="36" t="n">
        <v>0</v>
      </c>
      <c r="J1568" s="36" t="n">
        <v>3</v>
      </c>
      <c r="K1568" s="12" t="n">
        <v>36</v>
      </c>
    </row>
    <row r="1569">
      <c r="A1569" s="33" t="n">
        <v>46324.74652777778</v>
      </c>
      <c r="B1569" s="33" t="n">
        <v>46324.76041666666</v>
      </c>
      <c r="C1569" s="13" t="n">
        <v>46324</v>
      </c>
      <c r="D1569" s="14" t="n">
        <v>0.84375</v>
      </c>
      <c r="E1569" s="37" t="n">
        <v>2</v>
      </c>
      <c r="F1569" s="37" t="n">
        <v>1</v>
      </c>
      <c r="G1569" s="37" t="n">
        <v>0</v>
      </c>
      <c r="H1569" s="37" t="n">
        <v>0</v>
      </c>
      <c r="I1569" s="37" t="n">
        <v>1</v>
      </c>
      <c r="J1569" s="37" t="n">
        <v>7</v>
      </c>
      <c r="K1569" s="16" t="n">
        <v>84</v>
      </c>
    </row>
    <row r="1570">
      <c r="A1570" s="30" t="n">
        <v>46324.74652777778</v>
      </c>
      <c r="B1570" s="30" t="n">
        <v>46324.76041666666</v>
      </c>
      <c r="C1570" s="9" t="n">
        <v>46325</v>
      </c>
      <c r="D1570" s="10" t="n">
        <v>0.84375</v>
      </c>
      <c r="E1570" s="36" t="n">
        <v>2</v>
      </c>
      <c r="F1570" s="36" t="n">
        <v>1</v>
      </c>
      <c r="G1570" s="36" t="n">
        <v>0</v>
      </c>
      <c r="H1570" s="36" t="n">
        <v>1</v>
      </c>
      <c r="I1570" s="36" t="n">
        <v>0</v>
      </c>
      <c r="J1570" s="36" t="n">
        <v>6</v>
      </c>
      <c r="K1570" s="12" t="n">
        <v>72</v>
      </c>
    </row>
    <row r="1571">
      <c r="A1571" s="33" t="n">
        <v>46324.74652777778</v>
      </c>
      <c r="B1571" s="33" t="n">
        <v>46324.76041666666</v>
      </c>
      <c r="C1571" s="13" t="n">
        <v>46326</v>
      </c>
      <c r="D1571" s="14" t="n">
        <v>0.8020833333333334</v>
      </c>
      <c r="E1571" s="37" t="n">
        <v>2</v>
      </c>
      <c r="F1571" s="37" t="n">
        <v>2</v>
      </c>
      <c r="G1571" s="37" t="n">
        <v>0</v>
      </c>
      <c r="H1571" s="37" t="n">
        <v>0</v>
      </c>
      <c r="I1571" s="37" t="n">
        <v>0</v>
      </c>
      <c r="J1571" s="37" t="n">
        <v>4</v>
      </c>
      <c r="K1571" s="16" t="n">
        <v>48</v>
      </c>
    </row>
    <row r="1572">
      <c r="A1572" s="30" t="n">
        <v>46324.74652777778</v>
      </c>
      <c r="B1572" s="30" t="n">
        <v>46324.76041666666</v>
      </c>
      <c r="C1572" s="9" t="n">
        <v>46327</v>
      </c>
      <c r="D1572" s="10" t="n">
        <v>0.9270833333333334</v>
      </c>
      <c r="E1572" s="36" t="n">
        <v>2</v>
      </c>
      <c r="F1572" s="36" t="n">
        <v>1</v>
      </c>
      <c r="G1572" s="36" t="n">
        <v>0</v>
      </c>
      <c r="H1572" s="36" t="n">
        <v>1</v>
      </c>
      <c r="I1572" s="36" t="n">
        <v>0</v>
      </c>
      <c r="J1572" s="36" t="n">
        <v>6</v>
      </c>
      <c r="K1572" s="12" t="n">
        <v>72</v>
      </c>
    </row>
    <row r="1573">
      <c r="A1573" s="33" t="n">
        <v>46324.74652777778</v>
      </c>
      <c r="B1573" s="33" t="n">
        <v>46324.76041666666</v>
      </c>
      <c r="C1573" s="13" t="n">
        <v>46327</v>
      </c>
      <c r="D1573" s="14" t="n">
        <v>0.96875</v>
      </c>
      <c r="E1573" s="37" t="n">
        <v>3</v>
      </c>
      <c r="F1573" s="37" t="n">
        <v>0</v>
      </c>
      <c r="G1573" s="37" t="n">
        <v>1</v>
      </c>
      <c r="H1573" s="37" t="n">
        <v>1</v>
      </c>
      <c r="I1573" s="37" t="n">
        <v>1</v>
      </c>
      <c r="J1573" s="37" t="n">
        <v>12</v>
      </c>
      <c r="K1573" s="16" t="n">
        <v>144</v>
      </c>
    </row>
    <row r="1574">
      <c r="A1574" s="30" t="n">
        <v>46324.76041666666</v>
      </c>
      <c r="B1574" s="30" t="n">
        <v>46324.77847222222</v>
      </c>
      <c r="C1574" s="9" t="n">
        <v>46324</v>
      </c>
      <c r="D1574" s="10" t="n">
        <v>0.84375</v>
      </c>
      <c r="E1574" s="36" t="n">
        <v>3</v>
      </c>
      <c r="F1574" s="36" t="n">
        <v>2</v>
      </c>
      <c r="G1574" s="36" t="n">
        <v>0</v>
      </c>
      <c r="H1574" s="36" t="n">
        <v>0</v>
      </c>
      <c r="I1574" s="36" t="n">
        <v>1</v>
      </c>
      <c r="J1574" s="36" t="n">
        <v>9</v>
      </c>
      <c r="K1574" s="12" t="n">
        <v>108</v>
      </c>
    </row>
    <row r="1575">
      <c r="A1575" s="33" t="n">
        <v>46324.76041666666</v>
      </c>
      <c r="B1575" s="33" t="n">
        <v>46324.77847222222</v>
      </c>
      <c r="C1575" s="13" t="n">
        <v>46325</v>
      </c>
      <c r="D1575" s="14" t="n">
        <v>0.84375</v>
      </c>
      <c r="E1575" s="37" t="n">
        <v>2</v>
      </c>
      <c r="F1575" s="37" t="n">
        <v>2</v>
      </c>
      <c r="G1575" s="37" t="n">
        <v>0</v>
      </c>
      <c r="H1575" s="37" t="n">
        <v>0</v>
      </c>
      <c r="I1575" s="37" t="n">
        <v>0</v>
      </c>
      <c r="J1575" s="37" t="n">
        <v>4</v>
      </c>
      <c r="K1575" s="16" t="n">
        <v>48</v>
      </c>
    </row>
    <row r="1576">
      <c r="A1576" s="30" t="n">
        <v>46324.76041666666</v>
      </c>
      <c r="B1576" s="30" t="n">
        <v>46324.77847222222</v>
      </c>
      <c r="C1576" s="9" t="n">
        <v>46327</v>
      </c>
      <c r="D1576" s="10" t="n">
        <v>0.96875</v>
      </c>
      <c r="E1576" s="36" t="n">
        <v>1</v>
      </c>
      <c r="F1576" s="36" t="n">
        <v>1</v>
      </c>
      <c r="G1576" s="36" t="n">
        <v>0</v>
      </c>
      <c r="H1576" s="36" t="n">
        <v>0</v>
      </c>
      <c r="I1576" s="36" t="n">
        <v>0</v>
      </c>
      <c r="J1576" s="36" t="n">
        <v>2</v>
      </c>
      <c r="K1576" s="12" t="n">
        <v>24</v>
      </c>
    </row>
    <row r="1577">
      <c r="A1577" s="33" t="n">
        <v>46324.76041666666</v>
      </c>
      <c r="B1577" s="33" t="n">
        <v>46324.77847222222</v>
      </c>
      <c r="C1577" s="13" t="n">
        <v>46327</v>
      </c>
      <c r="D1577" s="14" t="n">
        <v>0.9993055555555556</v>
      </c>
      <c r="E1577" s="37" t="n">
        <v>5</v>
      </c>
      <c r="F1577" s="37" t="n">
        <v>2</v>
      </c>
      <c r="G1577" s="37" t="n">
        <v>1</v>
      </c>
      <c r="H1577" s="37" t="n">
        <v>2</v>
      </c>
      <c r="I1577" s="37" t="n">
        <v>0</v>
      </c>
      <c r="J1577" s="37" t="n">
        <v>15</v>
      </c>
      <c r="K1577" s="16" t="n">
        <v>180</v>
      </c>
    </row>
    <row r="1578">
      <c r="A1578" s="30" t="n">
        <v>46324.77847222222</v>
      </c>
      <c r="B1578" s="30" t="n">
        <v>46324.78194444445</v>
      </c>
      <c r="C1578" s="9" t="n">
        <v>46325</v>
      </c>
      <c r="D1578" s="10" t="n">
        <v>0.84375</v>
      </c>
      <c r="E1578" s="36" t="n">
        <v>1</v>
      </c>
      <c r="F1578" s="36" t="n">
        <v>1</v>
      </c>
      <c r="G1578" s="36" t="n">
        <v>0</v>
      </c>
      <c r="H1578" s="36" t="n">
        <v>0</v>
      </c>
      <c r="I1578" s="36" t="n">
        <v>0</v>
      </c>
      <c r="J1578" s="36" t="n">
        <v>2</v>
      </c>
      <c r="K1578" s="12" t="n">
        <v>24</v>
      </c>
    </row>
    <row r="1579">
      <c r="A1579" s="33" t="n">
        <v>46324.77847222222</v>
      </c>
      <c r="B1579" s="33" t="n">
        <v>46324.78194444445</v>
      </c>
      <c r="C1579" s="13" t="n">
        <v>46326</v>
      </c>
      <c r="D1579" s="14" t="n">
        <v>0.8020833333333334</v>
      </c>
      <c r="E1579" s="37" t="n">
        <v>1</v>
      </c>
      <c r="F1579" s="37" t="n">
        <v>0</v>
      </c>
      <c r="G1579" s="37" t="n">
        <v>0</v>
      </c>
      <c r="H1579" s="37" t="n">
        <v>1</v>
      </c>
      <c r="I1579" s="37" t="n">
        <v>0</v>
      </c>
      <c r="J1579" s="37" t="n">
        <v>4</v>
      </c>
      <c r="K1579" s="16" t="n">
        <v>48</v>
      </c>
    </row>
    <row r="1580">
      <c r="A1580" s="30" t="n">
        <v>46324.77847222222</v>
      </c>
      <c r="B1580" s="30" t="n">
        <v>46324.78194444445</v>
      </c>
      <c r="C1580" s="9" t="n">
        <v>46327</v>
      </c>
      <c r="D1580" s="10" t="n">
        <v>0.8854166666666666</v>
      </c>
      <c r="E1580" s="36" t="n">
        <v>1</v>
      </c>
      <c r="F1580" s="36" t="n">
        <v>0</v>
      </c>
      <c r="G1580" s="36" t="n">
        <v>0</v>
      </c>
      <c r="H1580" s="36" t="n">
        <v>1</v>
      </c>
      <c r="I1580" s="36" t="n">
        <v>0</v>
      </c>
      <c r="J1580" s="36" t="n">
        <v>4</v>
      </c>
      <c r="K1580" s="12" t="n">
        <v>48</v>
      </c>
    </row>
    <row r="1581">
      <c r="A1581" s="33" t="n">
        <v>46324.78194444445</v>
      </c>
      <c r="B1581" s="33" t="n">
        <v>46324.81875</v>
      </c>
      <c r="C1581" s="13" t="n">
        <v>46325</v>
      </c>
      <c r="D1581" s="14" t="n">
        <v>0.84375</v>
      </c>
      <c r="E1581" s="37" t="n">
        <v>6</v>
      </c>
      <c r="F1581" s="37" t="n">
        <v>3</v>
      </c>
      <c r="G1581" s="37" t="n">
        <v>2</v>
      </c>
      <c r="H1581" s="37" t="n">
        <v>0</v>
      </c>
      <c r="I1581" s="37" t="n">
        <v>1</v>
      </c>
      <c r="J1581" s="37" t="n">
        <v>17</v>
      </c>
      <c r="K1581" s="16" t="n">
        <v>204</v>
      </c>
    </row>
    <row r="1582">
      <c r="A1582" s="30" t="n">
        <v>46324.78194444445</v>
      </c>
      <c r="B1582" s="30" t="n">
        <v>46324.81875</v>
      </c>
      <c r="C1582" s="9" t="n">
        <v>46326</v>
      </c>
      <c r="D1582" s="10" t="n">
        <v>0.8020833333333334</v>
      </c>
      <c r="E1582" s="36" t="n">
        <v>8</v>
      </c>
      <c r="F1582" s="36" t="n">
        <v>3</v>
      </c>
      <c r="G1582" s="36" t="n">
        <v>1</v>
      </c>
      <c r="H1582" s="36" t="n">
        <v>2</v>
      </c>
      <c r="I1582" s="36" t="n">
        <v>2</v>
      </c>
      <c r="J1582" s="36" t="n">
        <v>27</v>
      </c>
      <c r="K1582" s="12" t="n">
        <v>324</v>
      </c>
    </row>
    <row r="1583">
      <c r="A1583" s="33" t="n">
        <v>46324.78194444445</v>
      </c>
      <c r="B1583" s="33" t="n">
        <v>46324.81875</v>
      </c>
      <c r="C1583" s="13" t="n">
        <v>46327</v>
      </c>
      <c r="D1583" s="14" t="n">
        <v>0.8854166666666666</v>
      </c>
      <c r="E1583" s="37" t="n">
        <v>2</v>
      </c>
      <c r="F1583" s="37" t="n">
        <v>0</v>
      </c>
      <c r="G1583" s="37" t="n">
        <v>0</v>
      </c>
      <c r="H1583" s="37" t="n">
        <v>1</v>
      </c>
      <c r="I1583" s="37" t="n">
        <v>1</v>
      </c>
      <c r="J1583" s="37" t="n">
        <v>9</v>
      </c>
      <c r="K1583" s="16" t="n">
        <v>108</v>
      </c>
    </row>
    <row r="1584">
      <c r="A1584" s="30" t="n">
        <v>46324.78194444445</v>
      </c>
      <c r="B1584" s="30" t="n">
        <v>46324.81875</v>
      </c>
      <c r="C1584" s="9" t="n">
        <v>46327</v>
      </c>
      <c r="D1584" s="10" t="n">
        <v>0.9270833333333334</v>
      </c>
      <c r="E1584" s="36" t="n">
        <v>2</v>
      </c>
      <c r="F1584" s="36" t="n">
        <v>1</v>
      </c>
      <c r="G1584" s="36" t="n">
        <v>0</v>
      </c>
      <c r="H1584" s="36" t="n">
        <v>1</v>
      </c>
      <c r="I1584" s="36" t="n">
        <v>0</v>
      </c>
      <c r="J1584" s="36" t="n">
        <v>6</v>
      </c>
      <c r="K1584" s="12" t="n">
        <v>72</v>
      </c>
    </row>
    <row r="1585">
      <c r="A1585" s="33" t="n">
        <v>46324.78194444445</v>
      </c>
      <c r="B1585" s="33" t="n">
        <v>46324.81875</v>
      </c>
      <c r="C1585" s="13" t="n">
        <v>46327</v>
      </c>
      <c r="D1585" s="14" t="n">
        <v>0.9993055555555556</v>
      </c>
      <c r="E1585" s="37" t="n">
        <v>4</v>
      </c>
      <c r="F1585" s="37" t="n">
        <v>2</v>
      </c>
      <c r="G1585" s="37" t="n">
        <v>0</v>
      </c>
      <c r="H1585" s="37" t="n">
        <v>2</v>
      </c>
      <c r="I1585" s="37" t="n">
        <v>0</v>
      </c>
      <c r="J1585" s="37" t="n">
        <v>12</v>
      </c>
      <c r="K1585" s="16" t="n">
        <v>144</v>
      </c>
    </row>
    <row r="1586">
      <c r="A1586" s="30" t="n">
        <v>46324.82083333333</v>
      </c>
      <c r="B1586" s="30" t="n">
        <v>46324.85972222222</v>
      </c>
      <c r="C1586" s="9" t="n">
        <v>46325</v>
      </c>
      <c r="D1586" s="10" t="n">
        <v>0.84375</v>
      </c>
      <c r="E1586" s="36" t="n">
        <v>6</v>
      </c>
      <c r="F1586" s="36" t="n">
        <v>0</v>
      </c>
      <c r="G1586" s="36" t="n">
        <v>3</v>
      </c>
      <c r="H1586" s="36" t="n">
        <v>3</v>
      </c>
      <c r="I1586" s="36" t="n">
        <v>0</v>
      </c>
      <c r="J1586" s="36" t="n">
        <v>21</v>
      </c>
      <c r="K1586" s="12" t="n">
        <v>252</v>
      </c>
    </row>
    <row r="1587">
      <c r="A1587" s="33" t="n">
        <v>46324.82083333333</v>
      </c>
      <c r="B1587" s="33" t="n">
        <v>46324.85972222222</v>
      </c>
      <c r="C1587" s="13" t="n">
        <v>46326</v>
      </c>
      <c r="D1587" s="14" t="n">
        <v>0.8020833333333334</v>
      </c>
      <c r="E1587" s="37" t="n">
        <v>5</v>
      </c>
      <c r="F1587" s="37" t="n">
        <v>2</v>
      </c>
      <c r="G1587" s="37" t="n">
        <v>1</v>
      </c>
      <c r="H1587" s="37" t="n">
        <v>2</v>
      </c>
      <c r="I1587" s="37" t="n">
        <v>0</v>
      </c>
      <c r="J1587" s="37" t="n">
        <v>15</v>
      </c>
      <c r="K1587" s="16" t="n">
        <v>180</v>
      </c>
    </row>
    <row r="1588">
      <c r="A1588" s="30" t="n">
        <v>46324.82083333333</v>
      </c>
      <c r="B1588" s="30" t="n">
        <v>46324.85972222222</v>
      </c>
      <c r="C1588" s="9" t="n">
        <v>46327</v>
      </c>
      <c r="D1588" s="10" t="n">
        <v>0.84375</v>
      </c>
      <c r="E1588" s="36" t="n">
        <v>1</v>
      </c>
      <c r="F1588" s="36" t="n">
        <v>1</v>
      </c>
      <c r="G1588" s="36" t="n">
        <v>0</v>
      </c>
      <c r="H1588" s="36" t="n">
        <v>0</v>
      </c>
      <c r="I1588" s="36" t="n">
        <v>0</v>
      </c>
      <c r="J1588" s="36" t="n">
        <v>2</v>
      </c>
      <c r="K1588" s="12" t="n">
        <v>24</v>
      </c>
    </row>
    <row r="1589">
      <c r="A1589" s="33" t="n">
        <v>46324.82083333333</v>
      </c>
      <c r="B1589" s="33" t="n">
        <v>46324.85972222222</v>
      </c>
      <c r="C1589" s="13" t="n">
        <v>46327</v>
      </c>
      <c r="D1589" s="14" t="n">
        <v>0.8854166666666666</v>
      </c>
      <c r="E1589" s="37" t="n">
        <v>2</v>
      </c>
      <c r="F1589" s="37" t="n">
        <v>1</v>
      </c>
      <c r="G1589" s="37" t="n">
        <v>0</v>
      </c>
      <c r="H1589" s="37" t="n">
        <v>1</v>
      </c>
      <c r="I1589" s="37" t="n">
        <v>0</v>
      </c>
      <c r="J1589" s="37" t="n">
        <v>6</v>
      </c>
      <c r="K1589" s="16" t="n">
        <v>72</v>
      </c>
    </row>
    <row r="1590">
      <c r="A1590" s="30" t="n">
        <v>46324.82083333333</v>
      </c>
      <c r="B1590" s="30" t="n">
        <v>46324.85972222222</v>
      </c>
      <c r="C1590" s="9" t="n">
        <v>46327</v>
      </c>
      <c r="D1590" s="10" t="n">
        <v>0.9270833333333334</v>
      </c>
      <c r="E1590" s="36" t="n">
        <v>2</v>
      </c>
      <c r="F1590" s="36" t="n">
        <v>1</v>
      </c>
      <c r="G1590" s="36" t="n">
        <v>0</v>
      </c>
      <c r="H1590" s="36" t="n">
        <v>1</v>
      </c>
      <c r="I1590" s="36" t="n">
        <v>0</v>
      </c>
      <c r="J1590" s="36" t="n">
        <v>6</v>
      </c>
      <c r="K1590" s="12" t="n">
        <v>72</v>
      </c>
    </row>
    <row r="1591">
      <c r="A1591" s="33" t="n">
        <v>46324.82083333333</v>
      </c>
      <c r="B1591" s="33" t="n">
        <v>46324.85972222222</v>
      </c>
      <c r="C1591" s="13" t="n">
        <v>46327</v>
      </c>
      <c r="D1591" s="14" t="n">
        <v>0.96875</v>
      </c>
      <c r="E1591" s="37" t="n">
        <v>2</v>
      </c>
      <c r="F1591" s="37" t="n">
        <v>1</v>
      </c>
      <c r="G1591" s="37" t="n">
        <v>0</v>
      </c>
      <c r="H1591" s="37" t="n">
        <v>1</v>
      </c>
      <c r="I1591" s="37" t="n">
        <v>0</v>
      </c>
      <c r="J1591" s="37" t="n">
        <v>6</v>
      </c>
      <c r="K1591" s="16" t="n">
        <v>72</v>
      </c>
    </row>
    <row r="1592">
      <c r="A1592" s="30" t="n">
        <v>46324.82083333333</v>
      </c>
      <c r="B1592" s="30" t="n">
        <v>46324.85972222222</v>
      </c>
      <c r="C1592" s="9" t="n">
        <v>46327</v>
      </c>
      <c r="D1592" s="10" t="n">
        <v>0.9993055555555556</v>
      </c>
      <c r="E1592" s="36" t="n">
        <v>2</v>
      </c>
      <c r="F1592" s="36" t="n">
        <v>0</v>
      </c>
      <c r="G1592" s="36" t="n">
        <v>0</v>
      </c>
      <c r="H1592" s="36" t="n">
        <v>2</v>
      </c>
      <c r="I1592" s="36" t="n">
        <v>0</v>
      </c>
      <c r="J1592" s="36" t="n">
        <v>8</v>
      </c>
      <c r="K1592" s="12" t="n">
        <v>96</v>
      </c>
    </row>
    <row r="1593">
      <c r="A1593" s="33" t="n">
        <v>46324.85972222222</v>
      </c>
      <c r="B1593" s="33" t="n">
        <v>46324.86388888889</v>
      </c>
      <c r="C1593" s="13" t="n">
        <v>46325</v>
      </c>
      <c r="D1593" s="14" t="n">
        <v>0.84375</v>
      </c>
      <c r="E1593" s="37" t="n">
        <v>1</v>
      </c>
      <c r="F1593" s="37" t="n">
        <v>0</v>
      </c>
      <c r="G1593" s="37" t="n">
        <v>0</v>
      </c>
      <c r="H1593" s="37" t="n">
        <v>1</v>
      </c>
      <c r="I1593" s="37" t="n">
        <v>0</v>
      </c>
      <c r="J1593" s="37" t="n">
        <v>4</v>
      </c>
      <c r="K1593" s="16" t="n">
        <v>48</v>
      </c>
    </row>
    <row r="1594">
      <c r="A1594" s="30" t="n">
        <v>46324.86388888889</v>
      </c>
      <c r="B1594" s="30" t="n">
        <v>46324.89444444444</v>
      </c>
      <c r="C1594" s="9" t="n">
        <v>46325</v>
      </c>
      <c r="D1594" s="10" t="n">
        <v>0.84375</v>
      </c>
      <c r="E1594" s="36" t="n">
        <v>7</v>
      </c>
      <c r="F1594" s="36" t="n">
        <v>3</v>
      </c>
      <c r="G1594" s="36" t="n">
        <v>2</v>
      </c>
      <c r="H1594" s="36" t="n">
        <v>1</v>
      </c>
      <c r="I1594" s="36" t="n">
        <v>1</v>
      </c>
      <c r="J1594" s="36" t="n">
        <v>21</v>
      </c>
      <c r="K1594" s="12" t="n">
        <v>252</v>
      </c>
    </row>
    <row r="1595">
      <c r="A1595" s="33" t="n">
        <v>46324.86388888889</v>
      </c>
      <c r="B1595" s="33" t="n">
        <v>46324.89444444444</v>
      </c>
      <c r="C1595" s="13" t="n">
        <v>46326</v>
      </c>
      <c r="D1595" s="14" t="n">
        <v>0.8020833333333334</v>
      </c>
      <c r="E1595" s="37" t="n">
        <v>4</v>
      </c>
      <c r="F1595" s="37" t="n">
        <v>2</v>
      </c>
      <c r="G1595" s="37" t="n">
        <v>0</v>
      </c>
      <c r="H1595" s="37" t="n">
        <v>1</v>
      </c>
      <c r="I1595" s="37" t="n">
        <v>1</v>
      </c>
      <c r="J1595" s="37" t="n">
        <v>13</v>
      </c>
      <c r="K1595" s="16" t="n">
        <v>156</v>
      </c>
    </row>
    <row r="1596">
      <c r="A1596" s="30" t="n">
        <v>46324.86388888889</v>
      </c>
      <c r="B1596" s="30" t="n">
        <v>46324.89444444444</v>
      </c>
      <c r="C1596" s="9" t="n">
        <v>46327</v>
      </c>
      <c r="D1596" s="10" t="n">
        <v>0.8020833333333334</v>
      </c>
      <c r="E1596" s="36" t="n">
        <v>2</v>
      </c>
      <c r="F1596" s="36" t="n">
        <v>1</v>
      </c>
      <c r="G1596" s="36" t="n">
        <v>0</v>
      </c>
      <c r="H1596" s="36" t="n">
        <v>1</v>
      </c>
      <c r="I1596" s="36" t="n">
        <v>0</v>
      </c>
      <c r="J1596" s="36" t="n">
        <v>6</v>
      </c>
      <c r="K1596" s="12" t="n">
        <v>72</v>
      </c>
    </row>
    <row r="1597">
      <c r="A1597" s="33" t="n">
        <v>46324.86388888889</v>
      </c>
      <c r="B1597" s="33" t="n">
        <v>46324.89444444444</v>
      </c>
      <c r="C1597" s="13" t="n">
        <v>46327</v>
      </c>
      <c r="D1597" s="14" t="n">
        <v>0.9270833333333334</v>
      </c>
      <c r="E1597" s="37" t="n">
        <v>1</v>
      </c>
      <c r="F1597" s="37" t="n">
        <v>0</v>
      </c>
      <c r="G1597" s="37" t="n">
        <v>0</v>
      </c>
      <c r="H1597" s="37" t="n">
        <v>1</v>
      </c>
      <c r="I1597" s="37" t="n">
        <v>0</v>
      </c>
      <c r="J1597" s="37" t="n">
        <v>4</v>
      </c>
      <c r="K1597" s="16" t="n">
        <v>48</v>
      </c>
    </row>
    <row r="1598">
      <c r="A1598" s="30" t="n">
        <v>46324.86388888889</v>
      </c>
      <c r="B1598" s="30" t="n">
        <v>46324.89444444444</v>
      </c>
      <c r="C1598" s="9" t="n">
        <v>46327</v>
      </c>
      <c r="D1598" s="10" t="n">
        <v>0.96875</v>
      </c>
      <c r="E1598" s="36" t="n">
        <v>1</v>
      </c>
      <c r="F1598" s="36" t="n">
        <v>0</v>
      </c>
      <c r="G1598" s="36" t="n">
        <v>0</v>
      </c>
      <c r="H1598" s="36" t="n">
        <v>1</v>
      </c>
      <c r="I1598" s="36" t="n">
        <v>0</v>
      </c>
      <c r="J1598" s="36" t="n">
        <v>4</v>
      </c>
      <c r="K1598" s="12" t="n">
        <v>48</v>
      </c>
    </row>
    <row r="1599">
      <c r="A1599" s="33" t="n">
        <v>46324.86388888889</v>
      </c>
      <c r="B1599" s="33" t="n">
        <v>46324.89444444444</v>
      </c>
      <c r="C1599" s="13" t="n">
        <v>46327</v>
      </c>
      <c r="D1599" s="14" t="n">
        <v>0.9993055555555556</v>
      </c>
      <c r="E1599" s="37" t="n">
        <v>2</v>
      </c>
      <c r="F1599" s="37" t="n">
        <v>1</v>
      </c>
      <c r="G1599" s="37" t="n">
        <v>0</v>
      </c>
      <c r="H1599" s="37" t="n">
        <v>1</v>
      </c>
      <c r="I1599" s="37" t="n">
        <v>0</v>
      </c>
      <c r="J1599" s="37" t="n">
        <v>6</v>
      </c>
      <c r="K1599" s="16" t="n">
        <v>72</v>
      </c>
    </row>
    <row r="1600">
      <c r="A1600" s="30" t="n">
        <v>46324.89444444444</v>
      </c>
      <c r="B1600" s="30" t="n">
        <v>46324.90138888889</v>
      </c>
      <c r="C1600" s="9" t="n">
        <v>46325</v>
      </c>
      <c r="D1600" s="10" t="n">
        <v>0.84375</v>
      </c>
      <c r="E1600" s="36" t="n">
        <v>1</v>
      </c>
      <c r="F1600" s="36" t="n">
        <v>0</v>
      </c>
      <c r="G1600" s="36" t="n">
        <v>0</v>
      </c>
      <c r="H1600" s="36" t="n">
        <v>0</v>
      </c>
      <c r="I1600" s="36" t="n">
        <v>1</v>
      </c>
      <c r="J1600" s="36" t="n">
        <v>5</v>
      </c>
      <c r="K1600" s="12" t="n">
        <v>60</v>
      </c>
    </row>
    <row r="1601">
      <c r="A1601" s="33" t="n">
        <v>46324.89444444444</v>
      </c>
      <c r="B1601" s="33" t="n">
        <v>46324.90138888889</v>
      </c>
      <c r="C1601" s="13" t="n">
        <v>46327</v>
      </c>
      <c r="D1601" s="14" t="n">
        <v>0.8854166666666666</v>
      </c>
      <c r="E1601" s="37" t="n">
        <v>1</v>
      </c>
      <c r="F1601" s="37" t="n">
        <v>0</v>
      </c>
      <c r="G1601" s="37" t="n">
        <v>0</v>
      </c>
      <c r="H1601" s="37" t="n">
        <v>1</v>
      </c>
      <c r="I1601" s="37" t="n">
        <v>0</v>
      </c>
      <c r="J1601" s="37" t="n">
        <v>4</v>
      </c>
      <c r="K1601" s="16" t="n">
        <v>48</v>
      </c>
    </row>
    <row r="1602">
      <c r="A1602" s="30" t="n">
        <v>46324.90138888889</v>
      </c>
      <c r="B1602" s="30" t="n">
        <v>46324.90694444445</v>
      </c>
      <c r="C1602" s="9" t="n">
        <v>46326</v>
      </c>
      <c r="D1602" s="10" t="n">
        <v>0.8020833333333334</v>
      </c>
      <c r="E1602" s="36" t="n">
        <v>2</v>
      </c>
      <c r="F1602" s="36" t="n">
        <v>0</v>
      </c>
      <c r="G1602" s="36" t="n">
        <v>0</v>
      </c>
      <c r="H1602" s="36" t="n">
        <v>1</v>
      </c>
      <c r="I1602" s="36" t="n">
        <v>1</v>
      </c>
      <c r="J1602" s="36" t="n">
        <v>9</v>
      </c>
      <c r="K1602" s="12" t="n">
        <v>108</v>
      </c>
    </row>
    <row r="1603">
      <c r="A1603" s="33" t="n">
        <v>46324.90138888889</v>
      </c>
      <c r="B1603" s="33" t="n">
        <v>46324.90694444445</v>
      </c>
      <c r="C1603" s="13" t="n">
        <v>46327</v>
      </c>
      <c r="D1603" s="14" t="n">
        <v>0.9270833333333334</v>
      </c>
      <c r="E1603" s="37" t="n">
        <v>1</v>
      </c>
      <c r="F1603" s="37" t="n">
        <v>0</v>
      </c>
      <c r="G1603" s="37" t="n">
        <v>0</v>
      </c>
      <c r="H1603" s="37" t="n">
        <v>0</v>
      </c>
      <c r="I1603" s="37" t="n">
        <v>1</v>
      </c>
      <c r="J1603" s="37" t="n">
        <v>5</v>
      </c>
      <c r="K1603" s="16" t="n">
        <v>60</v>
      </c>
    </row>
    <row r="1604">
      <c r="A1604" s="30" t="n">
        <v>46324.90694444445</v>
      </c>
      <c r="B1604" s="30" t="n">
        <v>46324.94097222222</v>
      </c>
      <c r="C1604" s="9" t="n">
        <v>46325</v>
      </c>
      <c r="D1604" s="10" t="n">
        <v>0.84375</v>
      </c>
      <c r="E1604" s="36" t="n">
        <v>1</v>
      </c>
      <c r="F1604" s="36" t="n">
        <v>1</v>
      </c>
      <c r="G1604" s="36" t="n">
        <v>0</v>
      </c>
      <c r="H1604" s="36" t="n">
        <v>0</v>
      </c>
      <c r="I1604" s="36" t="n">
        <v>0</v>
      </c>
      <c r="J1604" s="36" t="n">
        <v>2</v>
      </c>
      <c r="K1604" s="12" t="n">
        <v>24</v>
      </c>
    </row>
    <row r="1605">
      <c r="A1605" s="33" t="n">
        <v>46324.90694444445</v>
      </c>
      <c r="B1605" s="33" t="n">
        <v>46324.94097222222</v>
      </c>
      <c r="C1605" s="13" t="n">
        <v>46326</v>
      </c>
      <c r="D1605" s="14" t="n">
        <v>0.8020833333333334</v>
      </c>
      <c r="E1605" s="37" t="n">
        <v>1</v>
      </c>
      <c r="F1605" s="37" t="n">
        <v>0</v>
      </c>
      <c r="G1605" s="37" t="n">
        <v>0</v>
      </c>
      <c r="H1605" s="37" t="n">
        <v>1</v>
      </c>
      <c r="I1605" s="37" t="n">
        <v>0</v>
      </c>
      <c r="J1605" s="37" t="n">
        <v>4</v>
      </c>
      <c r="K1605" s="16" t="n">
        <v>48</v>
      </c>
    </row>
    <row r="1606">
      <c r="A1606" s="30" t="n">
        <v>46324.90694444445</v>
      </c>
      <c r="B1606" s="30" t="n">
        <v>46324.94097222222</v>
      </c>
      <c r="C1606" s="9" t="n">
        <v>46327</v>
      </c>
      <c r="D1606" s="10" t="n">
        <v>0.8854166666666666</v>
      </c>
      <c r="E1606" s="36" t="n">
        <v>2</v>
      </c>
      <c r="F1606" s="36" t="n">
        <v>1</v>
      </c>
      <c r="G1606" s="36" t="n">
        <v>0</v>
      </c>
      <c r="H1606" s="36" t="n">
        <v>1</v>
      </c>
      <c r="I1606" s="36" t="n">
        <v>0</v>
      </c>
      <c r="J1606" s="36" t="n">
        <v>6</v>
      </c>
      <c r="K1606" s="12" t="n">
        <v>72</v>
      </c>
    </row>
    <row r="1607">
      <c r="A1607" s="33" t="n">
        <v>46324.90694444445</v>
      </c>
      <c r="B1607" s="33" t="n">
        <v>46324.94097222222</v>
      </c>
      <c r="C1607" s="13" t="n">
        <v>46327</v>
      </c>
      <c r="D1607" s="14" t="n">
        <v>0.9270833333333334</v>
      </c>
      <c r="E1607" s="37" t="n">
        <v>3</v>
      </c>
      <c r="F1607" s="37" t="n">
        <v>1</v>
      </c>
      <c r="G1607" s="37" t="n">
        <v>1</v>
      </c>
      <c r="H1607" s="37" t="n">
        <v>1</v>
      </c>
      <c r="I1607" s="37" t="n">
        <v>0</v>
      </c>
      <c r="J1607" s="37" t="n">
        <v>9</v>
      </c>
      <c r="K1607" s="16" t="n">
        <v>108</v>
      </c>
    </row>
    <row r="1608">
      <c r="A1608" s="30" t="n">
        <v>46324.90694444445</v>
      </c>
      <c r="B1608" s="30" t="n">
        <v>46324.94097222222</v>
      </c>
      <c r="C1608" s="9" t="n">
        <v>46327</v>
      </c>
      <c r="D1608" s="10" t="n">
        <v>0.96875</v>
      </c>
      <c r="E1608" s="36" t="n">
        <v>6</v>
      </c>
      <c r="F1608" s="36" t="n">
        <v>0</v>
      </c>
      <c r="G1608" s="36" t="n">
        <v>1</v>
      </c>
      <c r="H1608" s="36" t="n">
        <v>5</v>
      </c>
      <c r="I1608" s="36" t="n">
        <v>0</v>
      </c>
      <c r="J1608" s="36" t="n">
        <v>23</v>
      </c>
      <c r="K1608" s="12" t="n">
        <v>276</v>
      </c>
    </row>
    <row r="1609">
      <c r="A1609" s="33" t="n">
        <v>46324.90694444445</v>
      </c>
      <c r="B1609" s="33" t="n">
        <v>46324.94097222222</v>
      </c>
      <c r="C1609" s="13" t="n">
        <v>46327</v>
      </c>
      <c r="D1609" s="14" t="n">
        <v>0.9993055555555556</v>
      </c>
      <c r="E1609" s="37" t="n">
        <v>2</v>
      </c>
      <c r="F1609" s="37" t="n">
        <v>1</v>
      </c>
      <c r="G1609" s="37" t="n">
        <v>0</v>
      </c>
      <c r="H1609" s="37" t="n">
        <v>1</v>
      </c>
      <c r="I1609" s="37" t="n">
        <v>0</v>
      </c>
      <c r="J1609" s="37" t="n">
        <v>6</v>
      </c>
      <c r="K1609" s="16" t="n">
        <v>72</v>
      </c>
    </row>
    <row r="1610">
      <c r="A1610" s="30" t="n">
        <v>46324.94097222222</v>
      </c>
      <c r="B1610" s="30" t="n">
        <v>46324.94375</v>
      </c>
      <c r="C1610" s="9" t="n">
        <v>46325</v>
      </c>
      <c r="D1610" s="10" t="n">
        <v>0.84375</v>
      </c>
      <c r="E1610" s="36" t="n">
        <v>2</v>
      </c>
      <c r="F1610" s="36" t="n">
        <v>1</v>
      </c>
      <c r="G1610" s="36" t="n">
        <v>0</v>
      </c>
      <c r="H1610" s="36" t="n">
        <v>1</v>
      </c>
      <c r="I1610" s="36" t="n">
        <v>0</v>
      </c>
      <c r="J1610" s="36" t="n">
        <v>6</v>
      </c>
      <c r="K1610" s="12" t="n">
        <v>72</v>
      </c>
    </row>
    <row r="1611">
      <c r="A1611" s="33" t="n">
        <v>46324.94097222222</v>
      </c>
      <c r="B1611" s="33" t="n">
        <v>46324.94375</v>
      </c>
      <c r="C1611" s="13" t="n">
        <v>46326</v>
      </c>
      <c r="D1611" s="14" t="n">
        <v>0.8020833333333334</v>
      </c>
      <c r="E1611" s="37" t="n">
        <v>1</v>
      </c>
      <c r="F1611" s="37" t="n">
        <v>0</v>
      </c>
      <c r="G1611" s="37" t="n">
        <v>0</v>
      </c>
      <c r="H1611" s="37" t="n">
        <v>1</v>
      </c>
      <c r="I1611" s="37" t="n">
        <v>0</v>
      </c>
      <c r="J1611" s="37" t="n">
        <v>4</v>
      </c>
      <c r="K1611" s="16" t="n">
        <v>48</v>
      </c>
    </row>
    <row r="1612">
      <c r="A1612" s="30" t="n">
        <v>46324.94375</v>
      </c>
      <c r="B1612" s="30" t="n">
        <v>46324.95486111111</v>
      </c>
      <c r="C1612" s="9" t="n">
        <v>46326</v>
      </c>
      <c r="D1612" s="10" t="n">
        <v>0.8020833333333334</v>
      </c>
      <c r="E1612" s="36" t="n">
        <v>1</v>
      </c>
      <c r="F1612" s="36" t="n">
        <v>0</v>
      </c>
      <c r="G1612" s="36" t="n">
        <v>1</v>
      </c>
      <c r="H1612" s="36" t="n">
        <v>0</v>
      </c>
      <c r="I1612" s="36" t="n">
        <v>0</v>
      </c>
      <c r="J1612" s="36" t="n">
        <v>3</v>
      </c>
      <c r="K1612" s="12" t="n">
        <v>36</v>
      </c>
    </row>
    <row r="1613">
      <c r="A1613" s="33" t="n">
        <v>46324.94375</v>
      </c>
      <c r="B1613" s="33" t="n">
        <v>46324.95486111111</v>
      </c>
      <c r="C1613" s="13" t="n">
        <v>46327</v>
      </c>
      <c r="D1613" s="14" t="n">
        <v>0.96875</v>
      </c>
      <c r="E1613" s="37" t="n">
        <v>1</v>
      </c>
      <c r="F1613" s="37" t="n">
        <v>0</v>
      </c>
      <c r="G1613" s="37" t="n">
        <v>1</v>
      </c>
      <c r="H1613" s="37" t="n">
        <v>0</v>
      </c>
      <c r="I1613" s="37" t="n">
        <v>0</v>
      </c>
      <c r="J1613" s="37" t="n">
        <v>3</v>
      </c>
      <c r="K1613" s="16" t="n">
        <v>36</v>
      </c>
    </row>
    <row r="1614">
      <c r="A1614" s="30" t="n">
        <v>46324.94375</v>
      </c>
      <c r="B1614" s="30" t="n">
        <v>46324.95486111111</v>
      </c>
      <c r="C1614" s="9" t="n">
        <v>46327</v>
      </c>
      <c r="D1614" s="10" t="n">
        <v>0.9993055555555556</v>
      </c>
      <c r="E1614" s="36" t="n">
        <v>1</v>
      </c>
      <c r="F1614" s="36" t="n">
        <v>1</v>
      </c>
      <c r="G1614" s="36" t="n">
        <v>0</v>
      </c>
      <c r="H1614" s="36" t="n">
        <v>0</v>
      </c>
      <c r="I1614" s="36" t="n">
        <v>0</v>
      </c>
      <c r="J1614" s="36" t="n">
        <v>2</v>
      </c>
      <c r="K1614" s="12" t="n">
        <v>24</v>
      </c>
    </row>
    <row r="1615">
      <c r="A1615" s="33" t="n">
        <v>46324.95486111111</v>
      </c>
      <c r="B1615" s="33" t="n">
        <v>46324.99513888889</v>
      </c>
      <c r="C1615" s="13" t="n">
        <v>46325</v>
      </c>
      <c r="D1615" s="14" t="n">
        <v>0.84375</v>
      </c>
      <c r="E1615" s="37" t="n">
        <v>3</v>
      </c>
      <c r="F1615" s="37" t="n">
        <v>0</v>
      </c>
      <c r="G1615" s="37" t="n">
        <v>0</v>
      </c>
      <c r="H1615" s="37" t="n">
        <v>3</v>
      </c>
      <c r="I1615" s="37" t="n">
        <v>0</v>
      </c>
      <c r="J1615" s="37" t="n">
        <v>12</v>
      </c>
      <c r="K1615" s="16" t="n">
        <v>144</v>
      </c>
    </row>
    <row r="1616">
      <c r="A1616" s="30" t="n">
        <v>46324.95486111111</v>
      </c>
      <c r="B1616" s="30" t="n">
        <v>46324.99513888889</v>
      </c>
      <c r="C1616" s="9" t="n">
        <v>46326</v>
      </c>
      <c r="D1616" s="10" t="n">
        <v>0.8020833333333334</v>
      </c>
      <c r="E1616" s="36" t="n">
        <v>4</v>
      </c>
      <c r="F1616" s="36" t="n">
        <v>2</v>
      </c>
      <c r="G1616" s="36" t="n">
        <v>0</v>
      </c>
      <c r="H1616" s="36" t="n">
        <v>1</v>
      </c>
      <c r="I1616" s="36" t="n">
        <v>1</v>
      </c>
      <c r="J1616" s="36" t="n">
        <v>13</v>
      </c>
      <c r="K1616" s="12" t="n">
        <v>156</v>
      </c>
    </row>
    <row r="1617">
      <c r="A1617" s="33" t="n">
        <v>46324.95486111111</v>
      </c>
      <c r="B1617" s="33" t="n">
        <v>46324.99513888889</v>
      </c>
      <c r="C1617" s="13" t="n">
        <v>46327</v>
      </c>
      <c r="D1617" s="14" t="n">
        <v>0.8020833333333334</v>
      </c>
      <c r="E1617" s="37" t="n">
        <v>1</v>
      </c>
      <c r="F1617" s="37" t="n">
        <v>0</v>
      </c>
      <c r="G1617" s="37" t="n">
        <v>0</v>
      </c>
      <c r="H1617" s="37" t="n">
        <v>1</v>
      </c>
      <c r="I1617" s="37" t="n">
        <v>0</v>
      </c>
      <c r="J1617" s="37" t="n">
        <v>4</v>
      </c>
      <c r="K1617" s="16" t="n">
        <v>48</v>
      </c>
    </row>
    <row r="1618">
      <c r="A1618" s="30" t="n">
        <v>46324.95486111111</v>
      </c>
      <c r="B1618" s="30" t="n">
        <v>46324.99513888889</v>
      </c>
      <c r="C1618" s="9" t="n">
        <v>46327</v>
      </c>
      <c r="D1618" s="10" t="n">
        <v>0.84375</v>
      </c>
      <c r="E1618" s="36" t="n">
        <v>1</v>
      </c>
      <c r="F1618" s="36" t="n">
        <v>1</v>
      </c>
      <c r="G1618" s="36" t="n">
        <v>0</v>
      </c>
      <c r="H1618" s="36" t="n">
        <v>0</v>
      </c>
      <c r="I1618" s="36" t="n">
        <v>0</v>
      </c>
      <c r="J1618" s="36" t="n">
        <v>2</v>
      </c>
      <c r="K1618" s="12" t="n">
        <v>24</v>
      </c>
    </row>
    <row r="1619">
      <c r="A1619" s="33" t="n">
        <v>46324.95486111111</v>
      </c>
      <c r="B1619" s="33" t="n">
        <v>46324.99513888889</v>
      </c>
      <c r="C1619" s="13" t="n">
        <v>46327</v>
      </c>
      <c r="D1619" s="14" t="n">
        <v>0.8854166666666666</v>
      </c>
      <c r="E1619" s="37" t="n">
        <v>3</v>
      </c>
      <c r="F1619" s="37" t="n">
        <v>0</v>
      </c>
      <c r="G1619" s="37" t="n">
        <v>1</v>
      </c>
      <c r="H1619" s="37" t="n">
        <v>1</v>
      </c>
      <c r="I1619" s="37" t="n">
        <v>1</v>
      </c>
      <c r="J1619" s="37" t="n">
        <v>12</v>
      </c>
      <c r="K1619" s="16" t="n">
        <v>144</v>
      </c>
    </row>
    <row r="1620">
      <c r="A1620" s="30" t="n">
        <v>46324.95486111111</v>
      </c>
      <c r="B1620" s="30" t="n">
        <v>46324.99513888889</v>
      </c>
      <c r="C1620" s="9" t="n">
        <v>46327</v>
      </c>
      <c r="D1620" s="10" t="n">
        <v>0.9270833333333334</v>
      </c>
      <c r="E1620" s="36" t="n">
        <v>1</v>
      </c>
      <c r="F1620" s="36" t="n">
        <v>0</v>
      </c>
      <c r="G1620" s="36" t="n">
        <v>0</v>
      </c>
      <c r="H1620" s="36" t="n">
        <v>0</v>
      </c>
      <c r="I1620" s="36" t="n">
        <v>1</v>
      </c>
      <c r="J1620" s="36" t="n">
        <v>5</v>
      </c>
      <c r="K1620" s="12" t="n">
        <v>60</v>
      </c>
    </row>
    <row r="1621">
      <c r="A1621" s="33" t="n">
        <v>46324.95486111111</v>
      </c>
      <c r="B1621" s="33" t="n">
        <v>46324.99513888889</v>
      </c>
      <c r="C1621" s="13" t="n">
        <v>46327</v>
      </c>
      <c r="D1621" s="14" t="n">
        <v>0.96875</v>
      </c>
      <c r="E1621" s="37" t="n">
        <v>1</v>
      </c>
      <c r="F1621" s="37" t="n">
        <v>1</v>
      </c>
      <c r="G1621" s="37" t="n">
        <v>0</v>
      </c>
      <c r="H1621" s="37" t="n">
        <v>0</v>
      </c>
      <c r="I1621" s="37" t="n">
        <v>0</v>
      </c>
      <c r="J1621" s="37" t="n">
        <v>2</v>
      </c>
      <c r="K1621" s="16" t="n">
        <v>24</v>
      </c>
    </row>
    <row r="1622">
      <c r="A1622" s="30" t="n">
        <v>46324.95486111111</v>
      </c>
      <c r="B1622" s="30" t="n">
        <v>46324.99513888889</v>
      </c>
      <c r="C1622" s="9" t="n">
        <v>46327</v>
      </c>
      <c r="D1622" s="10" t="n">
        <v>0.9993055555555556</v>
      </c>
      <c r="E1622" s="36" t="n">
        <v>1</v>
      </c>
      <c r="F1622" s="36" t="n">
        <v>1</v>
      </c>
      <c r="G1622" s="36" t="n">
        <v>0</v>
      </c>
      <c r="H1622" s="36" t="n">
        <v>0</v>
      </c>
      <c r="I1622" s="36" t="n">
        <v>0</v>
      </c>
      <c r="J1622" s="36" t="n">
        <v>2</v>
      </c>
      <c r="K1622" s="12" t="n">
        <v>24</v>
      </c>
    </row>
    <row r="1623">
      <c r="A1623" s="33" t="n">
        <v>46324.99513888889</v>
      </c>
      <c r="B1623" s="33" t="n">
        <v>46325.01944444444</v>
      </c>
      <c r="C1623" s="13" t="n">
        <v>46325</v>
      </c>
      <c r="D1623" s="14" t="n">
        <v>0.84375</v>
      </c>
      <c r="E1623" s="37" t="n">
        <v>1</v>
      </c>
      <c r="F1623" s="37" t="n">
        <v>0</v>
      </c>
      <c r="G1623" s="37" t="n">
        <v>0</v>
      </c>
      <c r="H1623" s="37" t="n">
        <v>0</v>
      </c>
      <c r="I1623" s="37" t="n">
        <v>1</v>
      </c>
      <c r="J1623" s="37" t="n">
        <v>5</v>
      </c>
      <c r="K1623" s="16" t="n">
        <v>60</v>
      </c>
    </row>
    <row r="1624">
      <c r="A1624" s="30" t="n">
        <v>46324.99513888889</v>
      </c>
      <c r="B1624" s="30" t="n">
        <v>46325.01944444444</v>
      </c>
      <c r="C1624" s="9" t="n">
        <v>46327</v>
      </c>
      <c r="D1624" s="10" t="n">
        <v>0.96875</v>
      </c>
      <c r="E1624" s="36" t="n">
        <v>3</v>
      </c>
      <c r="F1624" s="36" t="n">
        <v>0</v>
      </c>
      <c r="G1624" s="36" t="n">
        <v>1</v>
      </c>
      <c r="H1624" s="36" t="n">
        <v>1</v>
      </c>
      <c r="I1624" s="36" t="n">
        <v>1</v>
      </c>
      <c r="J1624" s="36" t="n">
        <v>12</v>
      </c>
      <c r="K1624" s="12" t="n">
        <v>144</v>
      </c>
    </row>
    <row r="1625">
      <c r="A1625" s="33" t="n">
        <v>46325.01944444444</v>
      </c>
      <c r="B1625" s="33" t="n">
        <v>46325.03472222222</v>
      </c>
      <c r="C1625" s="13" t="n">
        <v>46325</v>
      </c>
      <c r="D1625" s="14" t="n">
        <v>0.84375</v>
      </c>
      <c r="E1625" s="37" t="n">
        <v>2</v>
      </c>
      <c r="F1625" s="37" t="n">
        <v>1</v>
      </c>
      <c r="G1625" s="37" t="n">
        <v>1</v>
      </c>
      <c r="H1625" s="37" t="n">
        <v>0</v>
      </c>
      <c r="I1625" s="37" t="n">
        <v>0</v>
      </c>
      <c r="J1625" s="37" t="n">
        <v>5</v>
      </c>
      <c r="K1625" s="16" t="n">
        <v>60</v>
      </c>
    </row>
    <row r="1626">
      <c r="A1626" s="30" t="n">
        <v>46325.01944444444</v>
      </c>
      <c r="B1626" s="30" t="n">
        <v>46325.03472222222</v>
      </c>
      <c r="C1626" s="9" t="n">
        <v>46327</v>
      </c>
      <c r="D1626" s="10" t="n">
        <v>0.9993055555555556</v>
      </c>
      <c r="E1626" s="36" t="n">
        <v>1</v>
      </c>
      <c r="F1626" s="36" t="n">
        <v>1</v>
      </c>
      <c r="G1626" s="36" t="n">
        <v>0</v>
      </c>
      <c r="H1626" s="36" t="n">
        <v>0</v>
      </c>
      <c r="I1626" s="36" t="n">
        <v>0</v>
      </c>
      <c r="J1626" s="36" t="n">
        <v>2</v>
      </c>
      <c r="K1626" s="12" t="n">
        <v>24</v>
      </c>
    </row>
    <row r="1627">
      <c r="A1627" s="33" t="n">
        <v>46325.03541666667</v>
      </c>
      <c r="B1627" s="33" t="n">
        <v>46325.11388888889</v>
      </c>
      <c r="C1627" s="13" t="n">
        <v>46325</v>
      </c>
      <c r="D1627" s="14" t="n">
        <v>0.84375</v>
      </c>
      <c r="E1627" s="37" t="n">
        <v>1</v>
      </c>
      <c r="F1627" s="37" t="n">
        <v>1</v>
      </c>
      <c r="G1627" s="37" t="n">
        <v>0</v>
      </c>
      <c r="H1627" s="37" t="n">
        <v>0</v>
      </c>
      <c r="I1627" s="37" t="n">
        <v>0</v>
      </c>
      <c r="J1627" s="37" t="n">
        <v>2</v>
      </c>
      <c r="K1627" s="16" t="n">
        <v>24</v>
      </c>
    </row>
    <row r="1628">
      <c r="A1628" s="30" t="n">
        <v>46325.03541666667</v>
      </c>
      <c r="B1628" s="30" t="n">
        <v>46325.11388888889</v>
      </c>
      <c r="C1628" s="9" t="n">
        <v>46326</v>
      </c>
      <c r="D1628" s="10" t="n">
        <v>0.8020833333333334</v>
      </c>
      <c r="E1628" s="36" t="n">
        <v>1</v>
      </c>
      <c r="F1628" s="36" t="n">
        <v>0</v>
      </c>
      <c r="G1628" s="36" t="n">
        <v>0</v>
      </c>
      <c r="H1628" s="36" t="n">
        <v>1</v>
      </c>
      <c r="I1628" s="36" t="n">
        <v>0</v>
      </c>
      <c r="J1628" s="36" t="n">
        <v>4</v>
      </c>
      <c r="K1628" s="12" t="n">
        <v>48</v>
      </c>
    </row>
    <row r="1629">
      <c r="A1629" s="33" t="n">
        <v>46325.03541666667</v>
      </c>
      <c r="B1629" s="33" t="n">
        <v>46325.11388888889</v>
      </c>
      <c r="C1629" s="13" t="n">
        <v>46327</v>
      </c>
      <c r="D1629" s="14" t="n">
        <v>0.96875</v>
      </c>
      <c r="E1629" s="37" t="n">
        <v>3</v>
      </c>
      <c r="F1629" s="37" t="n">
        <v>0</v>
      </c>
      <c r="G1629" s="37" t="n">
        <v>0</v>
      </c>
      <c r="H1629" s="37" t="n">
        <v>3</v>
      </c>
      <c r="I1629" s="37" t="n">
        <v>0</v>
      </c>
      <c r="J1629" s="37" t="n">
        <v>12</v>
      </c>
      <c r="K1629" s="16" t="n">
        <v>144</v>
      </c>
    </row>
    <row r="1630">
      <c r="A1630" s="30" t="n">
        <v>46325.11388888889</v>
      </c>
      <c r="B1630" s="30" t="n">
        <v>46325.38958333333</v>
      </c>
      <c r="C1630" s="9" t="n">
        <v>46325</v>
      </c>
      <c r="D1630" s="10" t="n">
        <v>0.84375</v>
      </c>
      <c r="E1630" s="36" t="n">
        <v>2</v>
      </c>
      <c r="F1630" s="36" t="n">
        <v>0</v>
      </c>
      <c r="G1630" s="36" t="n">
        <v>1</v>
      </c>
      <c r="H1630" s="36" t="n">
        <v>0</v>
      </c>
      <c r="I1630" s="36" t="n">
        <v>1</v>
      </c>
      <c r="J1630" s="36" t="n">
        <v>8</v>
      </c>
      <c r="K1630" s="12" t="n">
        <v>96</v>
      </c>
    </row>
    <row r="1631">
      <c r="A1631" s="33" t="n">
        <v>46325.11388888889</v>
      </c>
      <c r="B1631" s="33" t="n">
        <v>46325.38958333333</v>
      </c>
      <c r="C1631" s="13" t="n">
        <v>46326</v>
      </c>
      <c r="D1631" s="14" t="n">
        <v>0.8020833333333334</v>
      </c>
      <c r="E1631" s="37" t="n">
        <v>4</v>
      </c>
      <c r="F1631" s="37" t="n">
        <v>3</v>
      </c>
      <c r="G1631" s="37" t="n">
        <v>0</v>
      </c>
      <c r="H1631" s="37" t="n">
        <v>1</v>
      </c>
      <c r="I1631" s="37" t="n">
        <v>0</v>
      </c>
      <c r="J1631" s="37" t="n">
        <v>10</v>
      </c>
      <c r="K1631" s="16" t="n">
        <v>120</v>
      </c>
    </row>
    <row r="1632">
      <c r="A1632" s="30" t="n">
        <v>46325.11388888889</v>
      </c>
      <c r="B1632" s="30" t="n">
        <v>46325.38958333333</v>
      </c>
      <c r="C1632" s="9" t="n">
        <v>46327</v>
      </c>
      <c r="D1632" s="10" t="n">
        <v>0.96875</v>
      </c>
      <c r="E1632" s="36" t="n">
        <v>1</v>
      </c>
      <c r="F1632" s="36" t="n">
        <v>1</v>
      </c>
      <c r="G1632" s="36" t="n">
        <v>0</v>
      </c>
      <c r="H1632" s="36" t="n">
        <v>0</v>
      </c>
      <c r="I1632" s="36" t="n">
        <v>0</v>
      </c>
      <c r="J1632" s="36" t="n">
        <v>2</v>
      </c>
      <c r="K1632" s="12" t="n">
        <v>24</v>
      </c>
    </row>
    <row r="1633">
      <c r="A1633" s="33" t="n">
        <v>46325.38958333333</v>
      </c>
      <c r="B1633" s="33" t="n">
        <v>46325.53055555555</v>
      </c>
      <c r="C1633" s="13" t="n">
        <v>46325</v>
      </c>
      <c r="D1633" s="14" t="n">
        <v>0.84375</v>
      </c>
      <c r="E1633" s="37" t="n">
        <v>3</v>
      </c>
      <c r="F1633" s="37" t="n">
        <v>1</v>
      </c>
      <c r="G1633" s="37" t="n">
        <v>0</v>
      </c>
      <c r="H1633" s="37" t="n">
        <v>2</v>
      </c>
      <c r="I1633" s="37" t="n">
        <v>0</v>
      </c>
      <c r="J1633" s="37" t="n">
        <v>10</v>
      </c>
      <c r="K1633" s="16" t="n">
        <v>120</v>
      </c>
    </row>
    <row r="1634">
      <c r="A1634" s="30" t="n">
        <v>46325.38958333333</v>
      </c>
      <c r="B1634" s="30" t="n">
        <v>46325.53055555555</v>
      </c>
      <c r="C1634" s="9" t="n">
        <v>46326</v>
      </c>
      <c r="D1634" s="10" t="n">
        <v>0.8020833333333334</v>
      </c>
      <c r="E1634" s="36" t="n">
        <v>1</v>
      </c>
      <c r="F1634" s="36" t="n">
        <v>0</v>
      </c>
      <c r="G1634" s="36" t="n">
        <v>1</v>
      </c>
      <c r="H1634" s="36" t="n">
        <v>0</v>
      </c>
      <c r="I1634" s="36" t="n">
        <v>0</v>
      </c>
      <c r="J1634" s="36" t="n">
        <v>3</v>
      </c>
      <c r="K1634" s="12" t="n">
        <v>36</v>
      </c>
    </row>
    <row r="1635">
      <c r="A1635" s="33" t="n">
        <v>46325.38958333333</v>
      </c>
      <c r="B1635" s="33" t="n">
        <v>46325.53055555555</v>
      </c>
      <c r="C1635" s="13" t="n">
        <v>46327</v>
      </c>
      <c r="D1635" s="14" t="n">
        <v>0.8020833333333334</v>
      </c>
      <c r="E1635" s="37" t="n">
        <v>4</v>
      </c>
      <c r="F1635" s="37" t="n">
        <v>3</v>
      </c>
      <c r="G1635" s="37" t="n">
        <v>0</v>
      </c>
      <c r="H1635" s="37" t="n">
        <v>1</v>
      </c>
      <c r="I1635" s="37" t="n">
        <v>0</v>
      </c>
      <c r="J1635" s="37" t="n">
        <v>10</v>
      </c>
      <c r="K1635" s="16" t="n">
        <v>120</v>
      </c>
    </row>
    <row r="1636">
      <c r="A1636" s="30" t="n">
        <v>46325.38958333333</v>
      </c>
      <c r="B1636" s="30" t="n">
        <v>46325.53055555555</v>
      </c>
      <c r="C1636" s="9" t="n">
        <v>46327</v>
      </c>
      <c r="D1636" s="10" t="n">
        <v>0.84375</v>
      </c>
      <c r="E1636" s="36" t="n">
        <v>7</v>
      </c>
      <c r="F1636" s="36" t="n">
        <v>3</v>
      </c>
      <c r="G1636" s="36" t="n">
        <v>2</v>
      </c>
      <c r="H1636" s="36" t="n">
        <v>1</v>
      </c>
      <c r="I1636" s="36" t="n">
        <v>1</v>
      </c>
      <c r="J1636" s="36" t="n">
        <v>21</v>
      </c>
      <c r="K1636" s="12" t="n">
        <v>252</v>
      </c>
    </row>
    <row r="1637">
      <c r="A1637" s="33" t="n">
        <v>46325.38958333333</v>
      </c>
      <c r="B1637" s="33" t="n">
        <v>46325.53055555555</v>
      </c>
      <c r="C1637" s="13" t="n">
        <v>46327</v>
      </c>
      <c r="D1637" s="14" t="n">
        <v>0.8854166666666666</v>
      </c>
      <c r="E1637" s="37" t="n">
        <v>7</v>
      </c>
      <c r="F1637" s="37" t="n">
        <v>5</v>
      </c>
      <c r="G1637" s="37" t="n">
        <v>0</v>
      </c>
      <c r="H1637" s="37" t="n">
        <v>1</v>
      </c>
      <c r="I1637" s="37" t="n">
        <v>1</v>
      </c>
      <c r="J1637" s="37" t="n">
        <v>19</v>
      </c>
      <c r="K1637" s="16" t="n">
        <v>228</v>
      </c>
    </row>
    <row r="1638">
      <c r="A1638" s="30" t="n">
        <v>46325.38958333333</v>
      </c>
      <c r="B1638" s="30" t="n">
        <v>46325.53055555555</v>
      </c>
      <c r="C1638" s="9" t="n">
        <v>46327</v>
      </c>
      <c r="D1638" s="10" t="n">
        <v>0.96875</v>
      </c>
      <c r="E1638" s="36" t="n">
        <v>4</v>
      </c>
      <c r="F1638" s="36" t="n">
        <v>3</v>
      </c>
      <c r="G1638" s="36" t="n">
        <v>1</v>
      </c>
      <c r="H1638" s="36" t="n">
        <v>-1</v>
      </c>
      <c r="I1638" s="36" t="n">
        <v>1</v>
      </c>
      <c r="J1638" s="36" t="n">
        <v>10</v>
      </c>
      <c r="K1638" s="12" t="n">
        <v>120</v>
      </c>
    </row>
    <row r="1639">
      <c r="A1639" s="33" t="n">
        <v>46325.38958333333</v>
      </c>
      <c r="B1639" s="33" t="n">
        <v>46325.53055555555</v>
      </c>
      <c r="C1639" s="13" t="n">
        <v>46327</v>
      </c>
      <c r="D1639" s="14" t="n">
        <v>0.9993055555555556</v>
      </c>
      <c r="E1639" s="37" t="n">
        <v>1</v>
      </c>
      <c r="F1639" s="37" t="n">
        <v>0</v>
      </c>
      <c r="G1639" s="37" t="n">
        <v>0</v>
      </c>
      <c r="H1639" s="37" t="n">
        <v>1</v>
      </c>
      <c r="I1639" s="37" t="n">
        <v>0</v>
      </c>
      <c r="J1639" s="37" t="n">
        <v>4</v>
      </c>
      <c r="K1639" s="16" t="n">
        <v>48</v>
      </c>
    </row>
    <row r="1640">
      <c r="A1640" s="30" t="n">
        <v>46325.53055555555</v>
      </c>
      <c r="B1640" s="30" t="n">
        <v>46325.55208333334</v>
      </c>
      <c r="C1640" s="9" t="n">
        <v>46327</v>
      </c>
      <c r="D1640" s="10" t="n">
        <v>0.8020833333333334</v>
      </c>
      <c r="E1640" s="36" t="n">
        <v>1</v>
      </c>
      <c r="F1640" s="36" t="n">
        <v>1</v>
      </c>
      <c r="G1640" s="36" t="n">
        <v>0</v>
      </c>
      <c r="H1640" s="36" t="n">
        <v>0</v>
      </c>
      <c r="I1640" s="36" t="n">
        <v>0</v>
      </c>
      <c r="J1640" s="36" t="n">
        <v>2</v>
      </c>
      <c r="K1640" s="12" t="n">
        <v>24</v>
      </c>
    </row>
    <row r="1641">
      <c r="A1641" s="33" t="n">
        <v>46325.53055555555</v>
      </c>
      <c r="B1641" s="33" t="n">
        <v>46325.55208333334</v>
      </c>
      <c r="C1641" s="13" t="n">
        <v>46327</v>
      </c>
      <c r="D1641" s="14" t="n">
        <v>0.96875</v>
      </c>
      <c r="E1641" s="37" t="n">
        <v>4</v>
      </c>
      <c r="F1641" s="37" t="n">
        <v>1</v>
      </c>
      <c r="G1641" s="37" t="n">
        <v>0</v>
      </c>
      <c r="H1641" s="37" t="n">
        <v>3</v>
      </c>
      <c r="I1641" s="37" t="n">
        <v>0</v>
      </c>
      <c r="J1641" s="37" t="n">
        <v>14</v>
      </c>
      <c r="K1641" s="16" t="n">
        <v>168</v>
      </c>
    </row>
    <row r="1642">
      <c r="A1642" s="30" t="n">
        <v>46325.53055555555</v>
      </c>
      <c r="B1642" s="30" t="n">
        <v>46325.55208333334</v>
      </c>
      <c r="C1642" s="9" t="n">
        <v>46327</v>
      </c>
      <c r="D1642" s="10" t="n">
        <v>0.9993055555555556</v>
      </c>
      <c r="E1642" s="36" t="n">
        <v>1</v>
      </c>
      <c r="F1642" s="36" t="n">
        <v>1</v>
      </c>
      <c r="G1642" s="36" t="n">
        <v>0</v>
      </c>
      <c r="H1642" s="36" t="n">
        <v>0</v>
      </c>
      <c r="I1642" s="36" t="n">
        <v>0</v>
      </c>
      <c r="J1642" s="36" t="n">
        <v>2</v>
      </c>
      <c r="K1642" s="12" t="n">
        <v>24</v>
      </c>
    </row>
    <row r="1643">
      <c r="A1643" s="33" t="n">
        <v>46325.55208333334</v>
      </c>
      <c r="B1643" s="33" t="n">
        <v>46325.56805555556</v>
      </c>
      <c r="C1643" s="13" t="n">
        <v>46327</v>
      </c>
      <c r="D1643" s="14" t="n">
        <v>0.8020833333333334</v>
      </c>
      <c r="E1643" s="37" t="n">
        <v>2</v>
      </c>
      <c r="F1643" s="37" t="n">
        <v>0</v>
      </c>
      <c r="G1643" s="37" t="n">
        <v>0</v>
      </c>
      <c r="H1643" s="37" t="n">
        <v>2</v>
      </c>
      <c r="I1643" s="37" t="n">
        <v>0</v>
      </c>
      <c r="J1643" s="37" t="n">
        <v>8</v>
      </c>
      <c r="K1643" s="16" t="n">
        <v>96</v>
      </c>
    </row>
    <row r="1644">
      <c r="A1644" s="30" t="n">
        <v>46325.55208333334</v>
      </c>
      <c r="B1644" s="30" t="n">
        <v>46325.56805555556</v>
      </c>
      <c r="C1644" s="9" t="n">
        <v>46327</v>
      </c>
      <c r="D1644" s="10" t="n">
        <v>0.96875</v>
      </c>
      <c r="E1644" s="36" t="n">
        <v>1</v>
      </c>
      <c r="F1644" s="36" t="n">
        <v>0</v>
      </c>
      <c r="G1644" s="36" t="n">
        <v>0</v>
      </c>
      <c r="H1644" s="36" t="n">
        <v>1</v>
      </c>
      <c r="I1644" s="36" t="n">
        <v>0</v>
      </c>
      <c r="J1644" s="36" t="n">
        <v>4</v>
      </c>
      <c r="K1644" s="12" t="n">
        <v>48</v>
      </c>
    </row>
    <row r="1645">
      <c r="A1645" s="33" t="n">
        <v>46325.56805555556</v>
      </c>
      <c r="B1645" s="33" t="n">
        <v>46325.58402777778</v>
      </c>
      <c r="C1645" s="13" t="n">
        <v>46327</v>
      </c>
      <c r="D1645" s="14" t="n">
        <v>0.8854166666666666</v>
      </c>
      <c r="E1645" s="37" t="n">
        <v>3</v>
      </c>
      <c r="F1645" s="37" t="n">
        <v>2</v>
      </c>
      <c r="G1645" s="37" t="n">
        <v>0</v>
      </c>
      <c r="H1645" s="37" t="n">
        <v>1</v>
      </c>
      <c r="I1645" s="37" t="n">
        <v>0</v>
      </c>
      <c r="J1645" s="37" t="n">
        <v>8</v>
      </c>
      <c r="K1645" s="16" t="n">
        <v>96</v>
      </c>
    </row>
    <row r="1646">
      <c r="A1646" s="30" t="n">
        <v>46325.56805555556</v>
      </c>
      <c r="B1646" s="30" t="n">
        <v>46325.58402777778</v>
      </c>
      <c r="C1646" s="9" t="n">
        <v>46327</v>
      </c>
      <c r="D1646" s="10" t="n">
        <v>0.96875</v>
      </c>
      <c r="E1646" s="36" t="n">
        <v>1</v>
      </c>
      <c r="F1646" s="36" t="n">
        <v>0</v>
      </c>
      <c r="G1646" s="36" t="n">
        <v>0</v>
      </c>
      <c r="H1646" s="36" t="n">
        <v>1</v>
      </c>
      <c r="I1646" s="36" t="n">
        <v>0</v>
      </c>
      <c r="J1646" s="36" t="n">
        <v>4</v>
      </c>
      <c r="K1646" s="12" t="n">
        <v>48</v>
      </c>
    </row>
    <row r="1647">
      <c r="A1647" s="33" t="n">
        <v>46325.58402777778</v>
      </c>
      <c r="B1647" s="33" t="n">
        <v>46325.59236111111</v>
      </c>
      <c r="C1647" s="13" t="n">
        <v>46327</v>
      </c>
      <c r="D1647" s="14" t="n">
        <v>0.8020833333333334</v>
      </c>
      <c r="E1647" s="37" t="n">
        <v>2</v>
      </c>
      <c r="F1647" s="37" t="n">
        <v>0</v>
      </c>
      <c r="G1647" s="37" t="n">
        <v>0</v>
      </c>
      <c r="H1647" s="37" t="n">
        <v>2</v>
      </c>
      <c r="I1647" s="37" t="n">
        <v>0</v>
      </c>
      <c r="J1647" s="37" t="n">
        <v>8</v>
      </c>
      <c r="K1647" s="16" t="n">
        <v>96</v>
      </c>
    </row>
    <row r="1648">
      <c r="A1648" s="30" t="n">
        <v>46325.58402777778</v>
      </c>
      <c r="B1648" s="30" t="n">
        <v>46325.59236111111</v>
      </c>
      <c r="C1648" s="9" t="n">
        <v>46327</v>
      </c>
      <c r="D1648" s="10" t="n">
        <v>0.8854166666666666</v>
      </c>
      <c r="E1648" s="36" t="n">
        <v>2</v>
      </c>
      <c r="F1648" s="36" t="n">
        <v>0</v>
      </c>
      <c r="G1648" s="36" t="n">
        <v>1</v>
      </c>
      <c r="H1648" s="36" t="n">
        <v>0</v>
      </c>
      <c r="I1648" s="36" t="n">
        <v>1</v>
      </c>
      <c r="J1648" s="36" t="n">
        <v>8</v>
      </c>
      <c r="K1648" s="12" t="n">
        <v>96</v>
      </c>
    </row>
    <row r="1649">
      <c r="A1649" s="33" t="n">
        <v>46325.58402777778</v>
      </c>
      <c r="B1649" s="33" t="n">
        <v>46325.59236111111</v>
      </c>
      <c r="C1649" s="13" t="n">
        <v>46327</v>
      </c>
      <c r="D1649" s="14" t="n">
        <v>0.96875</v>
      </c>
      <c r="E1649" s="37" t="n">
        <v>2</v>
      </c>
      <c r="F1649" s="37" t="n">
        <v>1</v>
      </c>
      <c r="G1649" s="37" t="n">
        <v>0</v>
      </c>
      <c r="H1649" s="37" t="n">
        <v>1</v>
      </c>
      <c r="I1649" s="37" t="n">
        <v>0</v>
      </c>
      <c r="J1649" s="37" t="n">
        <v>6</v>
      </c>
      <c r="K1649" s="16" t="n">
        <v>72</v>
      </c>
    </row>
    <row r="1650">
      <c r="A1650" s="30" t="n">
        <v>46325.58402777778</v>
      </c>
      <c r="B1650" s="30" t="n">
        <v>46325.59236111111</v>
      </c>
      <c r="C1650" s="9" t="n">
        <v>46327</v>
      </c>
      <c r="D1650" s="10" t="n">
        <v>0.9993055555555556</v>
      </c>
      <c r="E1650" s="36" t="n">
        <v>1</v>
      </c>
      <c r="F1650" s="36" t="n">
        <v>0</v>
      </c>
      <c r="G1650" s="36" t="n">
        <v>1</v>
      </c>
      <c r="H1650" s="36" t="n">
        <v>0</v>
      </c>
      <c r="I1650" s="36" t="n">
        <v>0</v>
      </c>
      <c r="J1650" s="36" t="n">
        <v>3</v>
      </c>
      <c r="K1650" s="12" t="n">
        <v>36</v>
      </c>
    </row>
    <row r="1651">
      <c r="A1651" s="33" t="n">
        <v>46325.59236111111</v>
      </c>
      <c r="B1651" s="33" t="n">
        <v>46325.60277777778</v>
      </c>
      <c r="C1651" s="13" t="n">
        <v>46327</v>
      </c>
      <c r="D1651" s="14" t="n">
        <v>0.8020833333333334</v>
      </c>
      <c r="E1651" s="37" t="n">
        <v>1</v>
      </c>
      <c r="F1651" s="37" t="n">
        <v>1</v>
      </c>
      <c r="G1651" s="37" t="n">
        <v>0</v>
      </c>
      <c r="H1651" s="37" t="n">
        <v>0</v>
      </c>
      <c r="I1651" s="37" t="n">
        <v>0</v>
      </c>
      <c r="J1651" s="37" t="n">
        <v>2</v>
      </c>
      <c r="K1651" s="16" t="n">
        <v>24</v>
      </c>
    </row>
    <row r="1652">
      <c r="A1652" s="30" t="n">
        <v>46325.59236111111</v>
      </c>
      <c r="B1652" s="30" t="n">
        <v>46325.60277777778</v>
      </c>
      <c r="C1652" s="9" t="n">
        <v>46327</v>
      </c>
      <c r="D1652" s="10" t="n">
        <v>0.8854166666666666</v>
      </c>
      <c r="E1652" s="36" t="n">
        <v>1</v>
      </c>
      <c r="F1652" s="36" t="n">
        <v>1</v>
      </c>
      <c r="G1652" s="36" t="n">
        <v>0</v>
      </c>
      <c r="H1652" s="36" t="n">
        <v>0</v>
      </c>
      <c r="I1652" s="36" t="n">
        <v>0</v>
      </c>
      <c r="J1652" s="36" t="n">
        <v>2</v>
      </c>
      <c r="K1652" s="12" t="n">
        <v>24</v>
      </c>
    </row>
    <row r="1653">
      <c r="A1653" s="33" t="n">
        <v>46325.59236111111</v>
      </c>
      <c r="B1653" s="33" t="n">
        <v>46325.60277777778</v>
      </c>
      <c r="C1653" s="13" t="n">
        <v>46327</v>
      </c>
      <c r="D1653" s="14" t="n">
        <v>0.9993055555555556</v>
      </c>
      <c r="E1653" s="37" t="n">
        <v>1</v>
      </c>
      <c r="F1653" s="37" t="n">
        <v>1</v>
      </c>
      <c r="G1653" s="37" t="n">
        <v>0</v>
      </c>
      <c r="H1653" s="37" t="n">
        <v>0</v>
      </c>
      <c r="I1653" s="37" t="n">
        <v>0</v>
      </c>
      <c r="J1653" s="37" t="n">
        <v>2</v>
      </c>
      <c r="K1653" s="16" t="n">
        <v>24</v>
      </c>
    </row>
    <row r="1654">
      <c r="A1654" s="30" t="n">
        <v>46325.60277777778</v>
      </c>
      <c r="B1654" s="30" t="n">
        <v>46325.61944444444</v>
      </c>
      <c r="C1654" s="9" t="n">
        <v>46327</v>
      </c>
      <c r="D1654" s="10" t="n">
        <v>0.84375</v>
      </c>
      <c r="E1654" s="36" t="n">
        <v>2</v>
      </c>
      <c r="F1654" s="36" t="n">
        <v>0</v>
      </c>
      <c r="G1654" s="36" t="n">
        <v>1</v>
      </c>
      <c r="H1654" s="36" t="n">
        <v>0</v>
      </c>
      <c r="I1654" s="36" t="n">
        <v>1</v>
      </c>
      <c r="J1654" s="36" t="n">
        <v>8</v>
      </c>
      <c r="K1654" s="12" t="n">
        <v>96</v>
      </c>
    </row>
    <row r="1655">
      <c r="A1655" s="33" t="n">
        <v>46325.60277777778</v>
      </c>
      <c r="B1655" s="33" t="n">
        <v>46325.61944444444</v>
      </c>
      <c r="C1655" s="13" t="n">
        <v>46327</v>
      </c>
      <c r="D1655" s="14" t="n">
        <v>0.8854166666666666</v>
      </c>
      <c r="E1655" s="37" t="n">
        <v>2</v>
      </c>
      <c r="F1655" s="37" t="n">
        <v>1</v>
      </c>
      <c r="G1655" s="37" t="n">
        <v>0</v>
      </c>
      <c r="H1655" s="37" t="n">
        <v>1</v>
      </c>
      <c r="I1655" s="37" t="n">
        <v>0</v>
      </c>
      <c r="J1655" s="37" t="n">
        <v>6</v>
      </c>
      <c r="K1655" s="16" t="n">
        <v>72</v>
      </c>
    </row>
    <row r="1656">
      <c r="A1656" s="30" t="n">
        <v>46325.60277777778</v>
      </c>
      <c r="B1656" s="30" t="n">
        <v>46325.61944444444</v>
      </c>
      <c r="C1656" s="9" t="n">
        <v>46327</v>
      </c>
      <c r="D1656" s="10" t="n">
        <v>0.96875</v>
      </c>
      <c r="E1656" s="36" t="n">
        <v>1</v>
      </c>
      <c r="F1656" s="36" t="n">
        <v>1</v>
      </c>
      <c r="G1656" s="36" t="n">
        <v>0</v>
      </c>
      <c r="H1656" s="36" t="n">
        <v>0</v>
      </c>
      <c r="I1656" s="36" t="n">
        <v>0</v>
      </c>
      <c r="J1656" s="36" t="n">
        <v>2</v>
      </c>
      <c r="K1656" s="12" t="n">
        <v>24</v>
      </c>
    </row>
    <row r="1657">
      <c r="A1657" s="33" t="n">
        <v>46325.62152777778</v>
      </c>
      <c r="B1657" s="33" t="n">
        <v>46325.65416666667</v>
      </c>
      <c r="C1657" s="13" t="n">
        <v>46327</v>
      </c>
      <c r="D1657" s="14" t="n">
        <v>0.84375</v>
      </c>
      <c r="E1657" s="37" t="n">
        <v>1</v>
      </c>
      <c r="F1657" s="37" t="n">
        <v>1</v>
      </c>
      <c r="G1657" s="37" t="n">
        <v>0</v>
      </c>
      <c r="H1657" s="37" t="n">
        <v>0</v>
      </c>
      <c r="I1657" s="37" t="n">
        <v>0</v>
      </c>
      <c r="J1657" s="37" t="n">
        <v>2</v>
      </c>
      <c r="K1657" s="16" t="n">
        <v>24</v>
      </c>
    </row>
    <row r="1658">
      <c r="A1658" s="30" t="n">
        <v>46325.62152777778</v>
      </c>
      <c r="B1658" s="30" t="n">
        <v>46325.65416666667</v>
      </c>
      <c r="C1658" s="9" t="n">
        <v>46327</v>
      </c>
      <c r="D1658" s="10" t="n">
        <v>0.8854166666666666</v>
      </c>
      <c r="E1658" s="36" t="n">
        <v>6</v>
      </c>
      <c r="F1658" s="36" t="n">
        <v>3</v>
      </c>
      <c r="G1658" s="36" t="n">
        <v>2</v>
      </c>
      <c r="H1658" s="36" t="n">
        <v>0</v>
      </c>
      <c r="I1658" s="36" t="n">
        <v>1</v>
      </c>
      <c r="J1658" s="36" t="n">
        <v>17</v>
      </c>
      <c r="K1658" s="12" t="n">
        <v>204</v>
      </c>
    </row>
    <row r="1659">
      <c r="A1659" s="33" t="n">
        <v>46325.62152777778</v>
      </c>
      <c r="B1659" s="33" t="n">
        <v>46325.65416666667</v>
      </c>
      <c r="C1659" s="13" t="n">
        <v>46327</v>
      </c>
      <c r="D1659" s="14" t="n">
        <v>0.96875</v>
      </c>
      <c r="E1659" s="37" t="n">
        <v>2</v>
      </c>
      <c r="F1659" s="37" t="n">
        <v>2</v>
      </c>
      <c r="G1659" s="37" t="n">
        <v>0</v>
      </c>
      <c r="H1659" s="37" t="n">
        <v>0</v>
      </c>
      <c r="I1659" s="37" t="n">
        <v>0</v>
      </c>
      <c r="J1659" s="37" t="n">
        <v>4</v>
      </c>
      <c r="K1659" s="16" t="n">
        <v>48</v>
      </c>
    </row>
    <row r="1660">
      <c r="A1660" s="30" t="n">
        <v>46325.65416666667</v>
      </c>
      <c r="B1660" s="30" t="n">
        <v>46325.67638888889</v>
      </c>
      <c r="C1660" s="9" t="n">
        <v>46327</v>
      </c>
      <c r="D1660" s="10" t="n">
        <v>0.8854166666666666</v>
      </c>
      <c r="E1660" s="36" t="n">
        <v>1</v>
      </c>
      <c r="F1660" s="36" t="n">
        <v>1</v>
      </c>
      <c r="G1660" s="36" t="n">
        <v>0</v>
      </c>
      <c r="H1660" s="36" t="n">
        <v>0</v>
      </c>
      <c r="I1660" s="36" t="n">
        <v>0</v>
      </c>
      <c r="J1660" s="36" t="n">
        <v>2</v>
      </c>
      <c r="K1660" s="12" t="n">
        <v>24</v>
      </c>
    </row>
    <row r="1661">
      <c r="A1661" s="33" t="n">
        <v>46325.65416666667</v>
      </c>
      <c r="B1661" s="33" t="n">
        <v>46325.67638888889</v>
      </c>
      <c r="C1661" s="13" t="n">
        <v>46327</v>
      </c>
      <c r="D1661" s="14" t="n">
        <v>0.96875</v>
      </c>
      <c r="E1661" s="37" t="n">
        <v>2</v>
      </c>
      <c r="F1661" s="37" t="n">
        <v>1</v>
      </c>
      <c r="G1661" s="37" t="n">
        <v>0</v>
      </c>
      <c r="H1661" s="37" t="n">
        <v>1</v>
      </c>
      <c r="I1661" s="37" t="n">
        <v>0</v>
      </c>
      <c r="J1661" s="37" t="n">
        <v>6</v>
      </c>
      <c r="K1661" s="16" t="n">
        <v>72</v>
      </c>
    </row>
    <row r="1662">
      <c r="A1662" s="30" t="n">
        <v>46325.67638888889</v>
      </c>
      <c r="B1662" s="30" t="n">
        <v>46325.68263888889</v>
      </c>
      <c r="C1662" s="9" t="n">
        <v>46327</v>
      </c>
      <c r="D1662" s="10" t="n">
        <v>0.8020833333333334</v>
      </c>
      <c r="E1662" s="36" t="n">
        <v>1</v>
      </c>
      <c r="F1662" s="36" t="n">
        <v>1</v>
      </c>
      <c r="G1662" s="36" t="n">
        <v>0</v>
      </c>
      <c r="H1662" s="36" t="n">
        <v>0</v>
      </c>
      <c r="I1662" s="36" t="n">
        <v>0</v>
      </c>
      <c r="J1662" s="36" t="n">
        <v>2</v>
      </c>
      <c r="K1662" s="12" t="n">
        <v>24</v>
      </c>
    </row>
    <row r="1663">
      <c r="A1663" s="33" t="n">
        <v>46325.67638888889</v>
      </c>
      <c r="B1663" s="33" t="n">
        <v>46325.68263888889</v>
      </c>
      <c r="C1663" s="13" t="n">
        <v>46327</v>
      </c>
      <c r="D1663" s="14" t="n">
        <v>0.96875</v>
      </c>
      <c r="E1663" s="37" t="n">
        <v>1</v>
      </c>
      <c r="F1663" s="37" t="n">
        <v>0</v>
      </c>
      <c r="G1663" s="37" t="n">
        <v>1</v>
      </c>
      <c r="H1663" s="37" t="n">
        <v>0</v>
      </c>
      <c r="I1663" s="37" t="n">
        <v>0</v>
      </c>
      <c r="J1663" s="37" t="n">
        <v>3</v>
      </c>
      <c r="K1663" s="16" t="n">
        <v>36</v>
      </c>
    </row>
    <row r="1664">
      <c r="A1664" s="30" t="n">
        <v>46325.68263888889</v>
      </c>
      <c r="B1664" s="30" t="n">
        <v>46325.69722222222</v>
      </c>
      <c r="C1664" s="9" t="n">
        <v>46327</v>
      </c>
      <c r="D1664" s="10" t="n">
        <v>0.84375</v>
      </c>
      <c r="E1664" s="36" t="n">
        <v>1</v>
      </c>
      <c r="F1664" s="36" t="n">
        <v>0</v>
      </c>
      <c r="G1664" s="36" t="n">
        <v>1</v>
      </c>
      <c r="H1664" s="36" t="n">
        <v>0</v>
      </c>
      <c r="I1664" s="36" t="n">
        <v>0</v>
      </c>
      <c r="J1664" s="36" t="n">
        <v>3</v>
      </c>
      <c r="K1664" s="12" t="n">
        <v>36</v>
      </c>
    </row>
    <row r="1665">
      <c r="A1665" s="33" t="n">
        <v>46325.68263888889</v>
      </c>
      <c r="B1665" s="33" t="n">
        <v>46325.69722222222</v>
      </c>
      <c r="C1665" s="13" t="n">
        <v>46327</v>
      </c>
      <c r="D1665" s="14" t="n">
        <v>0.8854166666666666</v>
      </c>
      <c r="E1665" s="37" t="n">
        <v>1</v>
      </c>
      <c r="F1665" s="37" t="n">
        <v>1</v>
      </c>
      <c r="G1665" s="37" t="n">
        <v>0</v>
      </c>
      <c r="H1665" s="37" t="n">
        <v>0</v>
      </c>
      <c r="I1665" s="37" t="n">
        <v>0</v>
      </c>
      <c r="J1665" s="37" t="n">
        <v>2</v>
      </c>
      <c r="K1665" s="16" t="n">
        <v>24</v>
      </c>
    </row>
    <row r="1666">
      <c r="A1666" s="30" t="n">
        <v>46325.68263888889</v>
      </c>
      <c r="B1666" s="30" t="n">
        <v>46325.69722222222</v>
      </c>
      <c r="C1666" s="9" t="n">
        <v>46327</v>
      </c>
      <c r="D1666" s="10" t="n">
        <v>0.96875</v>
      </c>
      <c r="E1666" s="36" t="n">
        <v>2</v>
      </c>
      <c r="F1666" s="36" t="n">
        <v>0</v>
      </c>
      <c r="G1666" s="36" t="n">
        <v>1</v>
      </c>
      <c r="H1666" s="36" t="n">
        <v>1</v>
      </c>
      <c r="I1666" s="36" t="n">
        <v>0</v>
      </c>
      <c r="J1666" s="36" t="n">
        <v>7</v>
      </c>
      <c r="K1666" s="12" t="n">
        <v>84</v>
      </c>
    </row>
    <row r="1667">
      <c r="A1667" s="33" t="n">
        <v>46325.68263888889</v>
      </c>
      <c r="B1667" s="33" t="n">
        <v>46325.69722222222</v>
      </c>
      <c r="C1667" s="13" t="n">
        <v>46327</v>
      </c>
      <c r="D1667" s="14" t="n">
        <v>0.9993055555555556</v>
      </c>
      <c r="E1667" s="37" t="n">
        <v>4</v>
      </c>
      <c r="F1667" s="37" t="n">
        <v>2</v>
      </c>
      <c r="G1667" s="37" t="n">
        <v>2</v>
      </c>
      <c r="H1667" s="37" t="n">
        <v>0</v>
      </c>
      <c r="I1667" s="37" t="n">
        <v>0</v>
      </c>
      <c r="J1667" s="37" t="n">
        <v>10</v>
      </c>
      <c r="K1667" s="16" t="n">
        <v>120</v>
      </c>
    </row>
    <row r="1668">
      <c r="A1668" s="30" t="n">
        <v>46325.69722222222</v>
      </c>
      <c r="B1668" s="30" t="n">
        <v>46325.71041666667</v>
      </c>
      <c r="C1668" s="9" t="n">
        <v>46327</v>
      </c>
      <c r="D1668" s="10" t="n">
        <v>0.8020833333333334</v>
      </c>
      <c r="E1668" s="36" t="n">
        <v>1</v>
      </c>
      <c r="F1668" s="36" t="n">
        <v>0</v>
      </c>
      <c r="G1668" s="36" t="n">
        <v>0</v>
      </c>
      <c r="H1668" s="36" t="n">
        <v>1</v>
      </c>
      <c r="I1668" s="36" t="n">
        <v>0</v>
      </c>
      <c r="J1668" s="36" t="n">
        <v>4</v>
      </c>
      <c r="K1668" s="12" t="n">
        <v>48</v>
      </c>
    </row>
    <row r="1669">
      <c r="A1669" s="33" t="n">
        <v>46325.69722222222</v>
      </c>
      <c r="B1669" s="33" t="n">
        <v>46325.71041666667</v>
      </c>
      <c r="C1669" s="13" t="n">
        <v>46327</v>
      </c>
      <c r="D1669" s="14" t="n">
        <v>0.84375</v>
      </c>
      <c r="E1669" s="37" t="n">
        <v>2</v>
      </c>
      <c r="F1669" s="37" t="n">
        <v>1</v>
      </c>
      <c r="G1669" s="37" t="n">
        <v>0</v>
      </c>
      <c r="H1669" s="37" t="n">
        <v>1</v>
      </c>
      <c r="I1669" s="37" t="n">
        <v>0</v>
      </c>
      <c r="J1669" s="37" t="n">
        <v>6</v>
      </c>
      <c r="K1669" s="16" t="n">
        <v>72</v>
      </c>
    </row>
    <row r="1670">
      <c r="A1670" s="30" t="n">
        <v>46325.69722222222</v>
      </c>
      <c r="B1670" s="30" t="n">
        <v>46325.71041666667</v>
      </c>
      <c r="C1670" s="9" t="n">
        <v>46327</v>
      </c>
      <c r="D1670" s="10" t="n">
        <v>0.8854166666666666</v>
      </c>
      <c r="E1670" s="36" t="n">
        <v>1</v>
      </c>
      <c r="F1670" s="36" t="n">
        <v>0</v>
      </c>
      <c r="G1670" s="36" t="n">
        <v>0</v>
      </c>
      <c r="H1670" s="36" t="n">
        <v>1</v>
      </c>
      <c r="I1670" s="36" t="n">
        <v>0</v>
      </c>
      <c r="J1670" s="36" t="n">
        <v>4</v>
      </c>
      <c r="K1670" s="12" t="n">
        <v>48</v>
      </c>
    </row>
    <row r="1671">
      <c r="A1671" s="33" t="n">
        <v>46325.72430555556</v>
      </c>
      <c r="B1671" s="33" t="n">
        <v>46325.75347222222</v>
      </c>
      <c r="C1671" s="13" t="n">
        <v>46327</v>
      </c>
      <c r="D1671" s="14" t="n">
        <v>0.8020833333333334</v>
      </c>
      <c r="E1671" s="37" t="n">
        <v>3</v>
      </c>
      <c r="F1671" s="37" t="n">
        <v>2</v>
      </c>
      <c r="G1671" s="37" t="n">
        <v>0</v>
      </c>
      <c r="H1671" s="37" t="n">
        <v>1</v>
      </c>
      <c r="I1671" s="37" t="n">
        <v>0</v>
      </c>
      <c r="J1671" s="37" t="n">
        <v>8</v>
      </c>
      <c r="K1671" s="16" t="n">
        <v>96</v>
      </c>
    </row>
    <row r="1672">
      <c r="A1672" s="30" t="n">
        <v>46325.72430555556</v>
      </c>
      <c r="B1672" s="30" t="n">
        <v>46325.75347222222</v>
      </c>
      <c r="C1672" s="9" t="n">
        <v>46327</v>
      </c>
      <c r="D1672" s="10" t="n">
        <v>0.84375</v>
      </c>
      <c r="E1672" s="36" t="n">
        <v>2</v>
      </c>
      <c r="F1672" s="36" t="n">
        <v>2</v>
      </c>
      <c r="G1672" s="36" t="n">
        <v>0</v>
      </c>
      <c r="H1672" s="36" t="n">
        <v>0</v>
      </c>
      <c r="I1672" s="36" t="n">
        <v>0</v>
      </c>
      <c r="J1672" s="36" t="n">
        <v>4</v>
      </c>
      <c r="K1672" s="12" t="n">
        <v>48</v>
      </c>
    </row>
    <row r="1673">
      <c r="A1673" s="33" t="n">
        <v>46325.72430555556</v>
      </c>
      <c r="B1673" s="33" t="n">
        <v>46325.75347222222</v>
      </c>
      <c r="C1673" s="13" t="n">
        <v>46327</v>
      </c>
      <c r="D1673" s="14" t="n">
        <v>0.96875</v>
      </c>
      <c r="E1673" s="37" t="n">
        <v>2</v>
      </c>
      <c r="F1673" s="37" t="n">
        <v>0</v>
      </c>
      <c r="G1673" s="37" t="n">
        <v>0</v>
      </c>
      <c r="H1673" s="37" t="n">
        <v>1</v>
      </c>
      <c r="I1673" s="37" t="n">
        <v>1</v>
      </c>
      <c r="J1673" s="37" t="n">
        <v>9</v>
      </c>
      <c r="K1673" s="16" t="n">
        <v>108</v>
      </c>
    </row>
    <row r="1674">
      <c r="A1674" s="30" t="n">
        <v>46325.72430555556</v>
      </c>
      <c r="B1674" s="30" t="n">
        <v>46325.75347222222</v>
      </c>
      <c r="C1674" s="9" t="n">
        <v>46327</v>
      </c>
      <c r="D1674" s="10" t="n">
        <v>0.9993055555555556</v>
      </c>
      <c r="E1674" s="36" t="n">
        <v>1</v>
      </c>
      <c r="F1674" s="36" t="n">
        <v>0</v>
      </c>
      <c r="G1674" s="36" t="n">
        <v>0</v>
      </c>
      <c r="H1674" s="36" t="n">
        <v>1</v>
      </c>
      <c r="I1674" s="36" t="n">
        <v>0</v>
      </c>
      <c r="J1674" s="36" t="n">
        <v>4</v>
      </c>
      <c r="K1674" s="12" t="n">
        <v>48</v>
      </c>
    </row>
    <row r="1675">
      <c r="A1675" s="33" t="n">
        <v>46325.75347222222</v>
      </c>
      <c r="B1675" s="33" t="n">
        <v>46325.77569444444</v>
      </c>
      <c r="C1675" s="13" t="n">
        <v>46327</v>
      </c>
      <c r="D1675" s="14" t="n">
        <v>0.84375</v>
      </c>
      <c r="E1675" s="37" t="n">
        <v>3</v>
      </c>
      <c r="F1675" s="37" t="n">
        <v>3</v>
      </c>
      <c r="G1675" s="37" t="n">
        <v>0</v>
      </c>
      <c r="H1675" s="37" t="n">
        <v>0</v>
      </c>
      <c r="I1675" s="37" t="n">
        <v>0</v>
      </c>
      <c r="J1675" s="37" t="n">
        <v>6</v>
      </c>
      <c r="K1675" s="16" t="n">
        <v>72</v>
      </c>
    </row>
    <row r="1676">
      <c r="A1676" s="30" t="n">
        <v>46325.75347222222</v>
      </c>
      <c r="B1676" s="30" t="n">
        <v>46325.77569444444</v>
      </c>
      <c r="C1676" s="9" t="n">
        <v>46327</v>
      </c>
      <c r="D1676" s="10" t="n">
        <v>0.96875</v>
      </c>
      <c r="E1676" s="36" t="n">
        <v>1</v>
      </c>
      <c r="F1676" s="36" t="n">
        <v>0</v>
      </c>
      <c r="G1676" s="36" t="n">
        <v>0</v>
      </c>
      <c r="H1676" s="36" t="n">
        <v>1</v>
      </c>
      <c r="I1676" s="36" t="n">
        <v>0</v>
      </c>
      <c r="J1676" s="36" t="n">
        <v>4</v>
      </c>
      <c r="K1676" s="12" t="n">
        <v>48</v>
      </c>
    </row>
    <row r="1677">
      <c r="A1677" s="33" t="n">
        <v>46325.75347222222</v>
      </c>
      <c r="B1677" s="33" t="n">
        <v>46325.77569444444</v>
      </c>
      <c r="C1677" s="13" t="n">
        <v>46327</v>
      </c>
      <c r="D1677" s="14" t="n">
        <v>0.9993055555555556</v>
      </c>
      <c r="E1677" s="37" t="n">
        <v>3</v>
      </c>
      <c r="F1677" s="37" t="n">
        <v>2</v>
      </c>
      <c r="G1677" s="37" t="n">
        <v>0</v>
      </c>
      <c r="H1677" s="37" t="n">
        <v>0</v>
      </c>
      <c r="I1677" s="37" t="n">
        <v>1</v>
      </c>
      <c r="J1677" s="37" t="n">
        <v>9</v>
      </c>
      <c r="K1677" s="16" t="n">
        <v>108</v>
      </c>
    </row>
    <row r="1678">
      <c r="A1678" s="30" t="n">
        <v>46325.77569444444</v>
      </c>
      <c r="B1678" s="30" t="n">
        <v>46325.7875</v>
      </c>
      <c r="C1678" s="9" t="n">
        <v>46327</v>
      </c>
      <c r="D1678" s="10" t="n">
        <v>0.84375</v>
      </c>
      <c r="E1678" s="36" t="n">
        <v>1</v>
      </c>
      <c r="F1678" s="36" t="n">
        <v>0</v>
      </c>
      <c r="G1678" s="36" t="n">
        <v>0</v>
      </c>
      <c r="H1678" s="36" t="n">
        <v>0</v>
      </c>
      <c r="I1678" s="36" t="n">
        <v>1</v>
      </c>
      <c r="J1678" s="36" t="n">
        <v>5</v>
      </c>
      <c r="K1678" s="12" t="n">
        <v>60</v>
      </c>
    </row>
    <row r="1679">
      <c r="A1679" s="33" t="n">
        <v>46325.7875</v>
      </c>
      <c r="B1679" s="33" t="n">
        <v>46325.79791666667</v>
      </c>
      <c r="C1679" s="13" t="n">
        <v>46327</v>
      </c>
      <c r="D1679" s="14" t="n">
        <v>0.9993055555555556</v>
      </c>
      <c r="E1679" s="37" t="n">
        <v>1</v>
      </c>
      <c r="F1679" s="37" t="n">
        <v>0</v>
      </c>
      <c r="G1679" s="37" t="n">
        <v>0</v>
      </c>
      <c r="H1679" s="37" t="n">
        <v>0</v>
      </c>
      <c r="I1679" s="37" t="n">
        <v>1</v>
      </c>
      <c r="J1679" s="37" t="n">
        <v>5</v>
      </c>
      <c r="K1679" s="16" t="n">
        <v>60</v>
      </c>
    </row>
    <row r="1680">
      <c r="A1680" s="30" t="n">
        <v>46325.79791666667</v>
      </c>
      <c r="B1680" s="30" t="n">
        <v>46325.84236111111</v>
      </c>
      <c r="C1680" s="9" t="n">
        <v>46327</v>
      </c>
      <c r="D1680" s="10" t="n">
        <v>0.8020833333333334</v>
      </c>
      <c r="E1680" s="36" t="n">
        <v>2</v>
      </c>
      <c r="F1680" s="36" t="n">
        <v>2</v>
      </c>
      <c r="G1680" s="36" t="n">
        <v>0</v>
      </c>
      <c r="H1680" s="36" t="n">
        <v>0</v>
      </c>
      <c r="I1680" s="36" t="n">
        <v>0</v>
      </c>
      <c r="J1680" s="36" t="n">
        <v>4</v>
      </c>
      <c r="K1680" s="12" t="n">
        <v>48</v>
      </c>
    </row>
    <row r="1681">
      <c r="A1681" s="33" t="n">
        <v>46325.79791666667</v>
      </c>
      <c r="B1681" s="33" t="n">
        <v>46325.84236111111</v>
      </c>
      <c r="C1681" s="13" t="n">
        <v>46327</v>
      </c>
      <c r="D1681" s="14" t="n">
        <v>0.84375</v>
      </c>
      <c r="E1681" s="37" t="n">
        <v>7</v>
      </c>
      <c r="F1681" s="37" t="n">
        <v>3</v>
      </c>
      <c r="G1681" s="37" t="n">
        <v>0</v>
      </c>
      <c r="H1681" s="37" t="n">
        <v>2</v>
      </c>
      <c r="I1681" s="37" t="n">
        <v>2</v>
      </c>
      <c r="J1681" s="37" t="n">
        <v>24</v>
      </c>
      <c r="K1681" s="16" t="n">
        <v>288</v>
      </c>
    </row>
    <row r="1682">
      <c r="A1682" s="30" t="n">
        <v>46325.79791666667</v>
      </c>
      <c r="B1682" s="30" t="n">
        <v>46325.84236111111</v>
      </c>
      <c r="C1682" s="9" t="n">
        <v>46327</v>
      </c>
      <c r="D1682" s="10" t="n">
        <v>0.9993055555555556</v>
      </c>
      <c r="E1682" s="36" t="n">
        <v>3</v>
      </c>
      <c r="F1682" s="36" t="n">
        <v>0</v>
      </c>
      <c r="G1682" s="36" t="n">
        <v>0</v>
      </c>
      <c r="H1682" s="36" t="n">
        <v>3</v>
      </c>
      <c r="I1682" s="36" t="n">
        <v>0</v>
      </c>
      <c r="J1682" s="36" t="n">
        <v>12</v>
      </c>
      <c r="K1682" s="12" t="n">
        <v>144</v>
      </c>
    </row>
    <row r="1683">
      <c r="A1683" s="33" t="n">
        <v>46325.84236111111</v>
      </c>
      <c r="B1683" s="33" t="n">
        <v>46325.84722222222</v>
      </c>
      <c r="C1683" s="13" t="n">
        <v>46327</v>
      </c>
      <c r="D1683" s="14" t="n">
        <v>0.8020833333333334</v>
      </c>
      <c r="E1683" s="37" t="n">
        <v>1</v>
      </c>
      <c r="F1683" s="37" t="n">
        <v>0</v>
      </c>
      <c r="G1683" s="37" t="n">
        <v>0</v>
      </c>
      <c r="H1683" s="37" t="n">
        <v>1</v>
      </c>
      <c r="I1683" s="37" t="n">
        <v>0</v>
      </c>
      <c r="J1683" s="37" t="n">
        <v>4</v>
      </c>
      <c r="K1683" s="16" t="n">
        <v>48</v>
      </c>
    </row>
    <row r="1684">
      <c r="A1684" s="30" t="n">
        <v>46325.84722222222</v>
      </c>
      <c r="B1684" s="30" t="n">
        <v>46325.86875</v>
      </c>
      <c r="C1684" s="9" t="n">
        <v>46327</v>
      </c>
      <c r="D1684" s="10" t="n">
        <v>0.8020833333333334</v>
      </c>
      <c r="E1684" s="36" t="n">
        <v>1</v>
      </c>
      <c r="F1684" s="36" t="n">
        <v>1</v>
      </c>
      <c r="G1684" s="36" t="n">
        <v>0</v>
      </c>
      <c r="H1684" s="36" t="n">
        <v>0</v>
      </c>
      <c r="I1684" s="36" t="n">
        <v>0</v>
      </c>
      <c r="J1684" s="36" t="n">
        <v>2</v>
      </c>
      <c r="K1684" s="12" t="n">
        <v>24</v>
      </c>
    </row>
    <row r="1685">
      <c r="A1685" s="33" t="n">
        <v>46325.84722222222</v>
      </c>
      <c r="B1685" s="33" t="n">
        <v>46325.86875</v>
      </c>
      <c r="C1685" s="13" t="n">
        <v>46327</v>
      </c>
      <c r="D1685" s="14" t="n">
        <v>0.84375</v>
      </c>
      <c r="E1685" s="37" t="n">
        <v>1</v>
      </c>
      <c r="F1685" s="37" t="n">
        <v>1</v>
      </c>
      <c r="G1685" s="37" t="n">
        <v>0</v>
      </c>
      <c r="H1685" s="37" t="n">
        <v>0</v>
      </c>
      <c r="I1685" s="37" t="n">
        <v>0</v>
      </c>
      <c r="J1685" s="37" t="n">
        <v>2</v>
      </c>
      <c r="K1685" s="16" t="n">
        <v>24</v>
      </c>
    </row>
    <row r="1686">
      <c r="A1686" s="30" t="n">
        <v>46325.84722222222</v>
      </c>
      <c r="B1686" s="30" t="n">
        <v>46325.86875</v>
      </c>
      <c r="C1686" s="9" t="n">
        <v>46327</v>
      </c>
      <c r="D1686" s="10" t="n">
        <v>0.9993055555555556</v>
      </c>
      <c r="E1686" s="36" t="n">
        <v>3</v>
      </c>
      <c r="F1686" s="36" t="n">
        <v>0</v>
      </c>
      <c r="G1686" s="36" t="n">
        <v>1</v>
      </c>
      <c r="H1686" s="36" t="n">
        <v>2</v>
      </c>
      <c r="I1686" s="36" t="n">
        <v>0</v>
      </c>
      <c r="J1686" s="36" t="n">
        <v>11</v>
      </c>
      <c r="K1686" s="12" t="n">
        <v>132</v>
      </c>
    </row>
    <row r="1687">
      <c r="A1687" s="33" t="n">
        <v>46325.87083333333</v>
      </c>
      <c r="B1687" s="33" t="n">
        <v>46325.87638888889</v>
      </c>
      <c r="C1687" s="13" t="n">
        <v>46327</v>
      </c>
      <c r="D1687" s="14" t="n">
        <v>0.84375</v>
      </c>
      <c r="E1687" s="37" t="n">
        <v>1</v>
      </c>
      <c r="F1687" s="37" t="n">
        <v>1</v>
      </c>
      <c r="G1687" s="37" t="n">
        <v>0</v>
      </c>
      <c r="H1687" s="37" t="n">
        <v>0</v>
      </c>
      <c r="I1687" s="37" t="n">
        <v>0</v>
      </c>
      <c r="J1687" s="37" t="n">
        <v>2</v>
      </c>
      <c r="K1687" s="16" t="n">
        <v>24</v>
      </c>
    </row>
    <row r="1688">
      <c r="A1688" s="30" t="n">
        <v>46325.88680555556</v>
      </c>
      <c r="B1688" s="30" t="n">
        <v>46325.89652777778</v>
      </c>
      <c r="C1688" s="9" t="n">
        <v>46327</v>
      </c>
      <c r="D1688" s="10" t="n">
        <v>0.84375</v>
      </c>
      <c r="E1688" s="36" t="n">
        <v>2</v>
      </c>
      <c r="F1688" s="36" t="n">
        <v>0</v>
      </c>
      <c r="G1688" s="36" t="n">
        <v>0</v>
      </c>
      <c r="H1688" s="36" t="n">
        <v>2</v>
      </c>
      <c r="I1688" s="36" t="n">
        <v>0</v>
      </c>
      <c r="J1688" s="36" t="n">
        <v>8</v>
      </c>
      <c r="K1688" s="12" t="n">
        <v>96</v>
      </c>
    </row>
    <row r="1689">
      <c r="A1689" s="33" t="n">
        <v>46325.88680555556</v>
      </c>
      <c r="B1689" s="33" t="n">
        <v>46325.89652777778</v>
      </c>
      <c r="C1689" s="13" t="n">
        <v>46327</v>
      </c>
      <c r="D1689" s="14" t="n">
        <v>0.9993055555555556</v>
      </c>
      <c r="E1689" s="37" t="n">
        <v>4</v>
      </c>
      <c r="F1689" s="37" t="n">
        <v>2</v>
      </c>
      <c r="G1689" s="37" t="n">
        <v>0</v>
      </c>
      <c r="H1689" s="37" t="n">
        <v>1</v>
      </c>
      <c r="I1689" s="37" t="n">
        <v>1</v>
      </c>
      <c r="J1689" s="37" t="n">
        <v>13</v>
      </c>
      <c r="K1689" s="16" t="n">
        <v>156</v>
      </c>
    </row>
    <row r="1690">
      <c r="A1690" s="30" t="n">
        <v>46325.88680555556</v>
      </c>
      <c r="B1690" s="30" t="n">
        <v>46325.89652777778</v>
      </c>
      <c r="C1690" s="9" t="n">
        <v>46328</v>
      </c>
      <c r="D1690" s="10" t="n">
        <v>0.84375</v>
      </c>
      <c r="E1690" s="36" t="n">
        <v>1</v>
      </c>
      <c r="F1690" s="36" t="n">
        <v>1</v>
      </c>
      <c r="G1690" s="36" t="n">
        <v>0</v>
      </c>
      <c r="H1690" s="36" t="n">
        <v>0</v>
      </c>
      <c r="I1690" s="36" t="n">
        <v>0</v>
      </c>
      <c r="J1690" s="36" t="n">
        <v>2</v>
      </c>
      <c r="K1690" s="12" t="n">
        <v>24</v>
      </c>
    </row>
    <row r="1691">
      <c r="A1691" s="33" t="n">
        <v>46325.88680555556</v>
      </c>
      <c r="B1691" s="33" t="n">
        <v>46325.89652777778</v>
      </c>
      <c r="C1691" s="13" t="n">
        <v>46328</v>
      </c>
      <c r="D1691" s="14" t="n">
        <v>0.9270833333333334</v>
      </c>
      <c r="E1691" s="37" t="n">
        <v>1</v>
      </c>
      <c r="F1691" s="37" t="n">
        <v>0</v>
      </c>
      <c r="G1691" s="37" t="n">
        <v>0</v>
      </c>
      <c r="H1691" s="37" t="n">
        <v>1</v>
      </c>
      <c r="I1691" s="37" t="n">
        <v>0</v>
      </c>
      <c r="J1691" s="37" t="n">
        <v>4</v>
      </c>
      <c r="K1691" s="16" t="n">
        <v>48</v>
      </c>
    </row>
    <row r="1692">
      <c r="A1692" s="30" t="n">
        <v>46325.88680555556</v>
      </c>
      <c r="B1692" s="30" t="n">
        <v>46325.89652777778</v>
      </c>
      <c r="C1692" s="9" t="n">
        <v>46328</v>
      </c>
      <c r="D1692" s="10" t="n">
        <v>0.96875</v>
      </c>
      <c r="E1692" s="36" t="n">
        <v>1</v>
      </c>
      <c r="F1692" s="36" t="n">
        <v>0</v>
      </c>
      <c r="G1692" s="36" t="n">
        <v>0</v>
      </c>
      <c r="H1692" s="36" t="n">
        <v>1</v>
      </c>
      <c r="I1692" s="36" t="n">
        <v>0</v>
      </c>
      <c r="J1692" s="36" t="n">
        <v>4</v>
      </c>
      <c r="K1692" s="12" t="n">
        <v>48</v>
      </c>
    </row>
    <row r="1693">
      <c r="A1693" s="33" t="n">
        <v>46325.89652777778</v>
      </c>
      <c r="B1693" s="33" t="n">
        <v>46325.9</v>
      </c>
      <c r="C1693" s="13" t="n">
        <v>46327</v>
      </c>
      <c r="D1693" s="14" t="n">
        <v>0.84375</v>
      </c>
      <c r="E1693" s="37" t="n">
        <v>1</v>
      </c>
      <c r="F1693" s="37" t="n">
        <v>1</v>
      </c>
      <c r="G1693" s="37" t="n">
        <v>0</v>
      </c>
      <c r="H1693" s="37" t="n">
        <v>0</v>
      </c>
      <c r="I1693" s="37" t="n">
        <v>0</v>
      </c>
      <c r="J1693" s="37" t="n">
        <v>2</v>
      </c>
      <c r="K1693" s="16" t="n">
        <v>24</v>
      </c>
    </row>
  </sheetData>
  <autoFilter ref="A1:K169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58</v>
      </c>
      <c r="H4" s="11" t="n">
        <v>202</v>
      </c>
      <c r="I4" s="12" t="n">
        <v>2424</v>
      </c>
      <c r="K4" s="38" t="inlineStr">
        <is>
          <t>Lunedì</t>
        </is>
      </c>
      <c r="L4" s="11" t="n">
        <v>352</v>
      </c>
      <c r="M4" s="11" t="n">
        <v>1092</v>
      </c>
      <c r="N4" s="12" t="n">
        <v>13104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47</v>
      </c>
      <c r="H5" s="11" t="n">
        <v>154</v>
      </c>
      <c r="I5" s="12" t="n">
        <v>1848</v>
      </c>
      <c r="K5" s="38" t="inlineStr">
        <is>
          <t>Martedì</t>
        </is>
      </c>
      <c r="L5" s="11" t="n">
        <v>384</v>
      </c>
      <c r="M5" s="11" t="n">
        <v>1236</v>
      </c>
      <c r="N5" s="12" t="n">
        <v>14832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5</v>
      </c>
      <c r="H6" s="11" t="n">
        <v>17</v>
      </c>
      <c r="I6" s="12" t="n">
        <v>204</v>
      </c>
      <c r="K6" s="38" t="inlineStr">
        <is>
          <t>Mercoledì</t>
        </is>
      </c>
      <c r="L6" s="11" t="n">
        <v>352</v>
      </c>
      <c r="M6" s="11" t="n">
        <v>1147</v>
      </c>
      <c r="N6" s="12" t="n">
        <v>13764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6</v>
      </c>
      <c r="H7" s="11" t="n">
        <v>17</v>
      </c>
      <c r="I7" s="12" t="n">
        <v>204</v>
      </c>
      <c r="K7" s="38" t="inlineStr">
        <is>
          <t>Giovedì</t>
        </is>
      </c>
      <c r="L7" s="11" t="n">
        <v>415</v>
      </c>
      <c r="M7" s="11" t="n">
        <v>1346</v>
      </c>
      <c r="N7" s="12" t="n">
        <v>16152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352</v>
      </c>
      <c r="M8" s="11" t="n">
        <v>1069</v>
      </c>
      <c r="N8" s="12" t="n">
        <v>12828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1</v>
      </c>
      <c r="H9" s="11" t="n">
        <v>5</v>
      </c>
      <c r="I9" s="12" t="n">
        <v>60</v>
      </c>
      <c r="K9" s="38" t="inlineStr">
        <is>
          <t>Sabato</t>
        </is>
      </c>
      <c r="L9" s="11" t="n">
        <v>313</v>
      </c>
      <c r="M9" s="11" t="n">
        <v>955</v>
      </c>
      <c r="N9" s="12" t="n">
        <v>11460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12</v>
      </c>
      <c r="H10" s="11" t="n">
        <v>36</v>
      </c>
      <c r="I10" s="12" t="n">
        <v>432</v>
      </c>
      <c r="K10" s="38" t="inlineStr">
        <is>
          <t>Domenica</t>
        </is>
      </c>
      <c r="L10" s="11" t="n">
        <v>480</v>
      </c>
      <c r="M10" s="11" t="n">
        <v>1521</v>
      </c>
      <c r="N10" s="12" t="n">
        <v>18252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10</v>
      </c>
      <c r="H11" s="11" t="n">
        <v>35</v>
      </c>
      <c r="I11" s="12" t="n">
        <v>420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29</v>
      </c>
      <c r="H12" s="11" t="n">
        <v>83</v>
      </c>
      <c r="I12" s="12" t="n">
        <v>996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45</v>
      </c>
      <c r="H13" s="11" t="n">
        <v>135</v>
      </c>
      <c r="I13" s="12" t="n">
        <v>1620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73</v>
      </c>
      <c r="H14" s="11" t="n">
        <v>235</v>
      </c>
      <c r="I14" s="12" t="n">
        <v>2820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130</v>
      </c>
      <c r="H15" s="11" t="n">
        <v>406</v>
      </c>
      <c r="I15" s="12" t="n">
        <v>4872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113</v>
      </c>
      <c r="H16" s="11" t="n">
        <v>348</v>
      </c>
      <c r="I16" s="12" t="n">
        <v>4176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151</v>
      </c>
      <c r="H17" s="11" t="n">
        <v>474</v>
      </c>
      <c r="I17" s="12" t="n">
        <v>5688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208</v>
      </c>
      <c r="H18" s="11" t="n">
        <v>669</v>
      </c>
      <c r="I18" s="12" t="n">
        <v>8028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173</v>
      </c>
      <c r="H19" s="11" t="n">
        <v>555</v>
      </c>
      <c r="I19" s="12" t="n">
        <v>6660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189</v>
      </c>
      <c r="H20" s="11" t="n">
        <v>598</v>
      </c>
      <c r="I20" s="12" t="n">
        <v>7176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148</v>
      </c>
      <c r="H21" s="11" t="n">
        <v>452</v>
      </c>
      <c r="I21" s="12" t="n">
        <v>5424</v>
      </c>
    </row>
    <row r="22">
      <c r="A22" s="9" t="n">
        <v>46318</v>
      </c>
      <c r="B22" s="11" t="n">
        <v>142</v>
      </c>
      <c r="C22" s="11" t="n">
        <v>419</v>
      </c>
      <c r="D22" s="12" t="n">
        <v>5028</v>
      </c>
      <c r="F22" s="38" t="inlineStr">
        <is>
          <t>18:00-19:00</t>
        </is>
      </c>
      <c r="G22" s="11" t="n">
        <v>232</v>
      </c>
      <c r="H22" s="11" t="n">
        <v>706</v>
      </c>
      <c r="I22" s="12" t="n">
        <v>8472</v>
      </c>
    </row>
    <row r="23">
      <c r="A23" s="9" t="n">
        <v>46319</v>
      </c>
      <c r="B23" s="11" t="n">
        <v>256</v>
      </c>
      <c r="C23" s="11" t="n">
        <v>788</v>
      </c>
      <c r="D23" s="12" t="n">
        <v>9456</v>
      </c>
      <c r="F23" s="38" t="inlineStr">
        <is>
          <t>19:00-20:00</t>
        </is>
      </c>
      <c r="G23" s="11" t="n">
        <v>244</v>
      </c>
      <c r="H23" s="11" t="n">
        <v>758</v>
      </c>
      <c r="I23" s="12" t="n">
        <v>9096</v>
      </c>
    </row>
    <row r="24">
      <c r="A24" s="9" t="n">
        <v>46320</v>
      </c>
      <c r="B24" s="11" t="n">
        <v>403</v>
      </c>
      <c r="C24" s="11" t="n">
        <v>1272</v>
      </c>
      <c r="D24" s="12" t="n">
        <v>15264</v>
      </c>
      <c r="F24" s="38" t="inlineStr">
        <is>
          <t>20:00-21:00</t>
        </is>
      </c>
      <c r="G24" s="11" t="n">
        <v>153</v>
      </c>
      <c r="H24" s="11" t="n">
        <v>477</v>
      </c>
      <c r="I24" s="12" t="n">
        <v>5724</v>
      </c>
    </row>
    <row r="25">
      <c r="A25" s="9" t="n">
        <v>46321</v>
      </c>
      <c r="B25" s="11" t="n">
        <v>225</v>
      </c>
      <c r="C25" s="11" t="n">
        <v>719</v>
      </c>
      <c r="D25" s="12" t="n">
        <v>8628</v>
      </c>
      <c r="F25" s="38" t="inlineStr">
        <is>
          <t>21:00-22:00</t>
        </is>
      </c>
      <c r="G25" s="11" t="n">
        <v>271</v>
      </c>
      <c r="H25" s="11" t="n">
        <v>870</v>
      </c>
      <c r="I25" s="12" t="n">
        <v>10440</v>
      </c>
    </row>
    <row r="26">
      <c r="A26" s="9" t="n">
        <v>46322</v>
      </c>
      <c r="B26" s="11" t="n">
        <v>286</v>
      </c>
      <c r="C26" s="11" t="n">
        <v>947</v>
      </c>
      <c r="D26" s="12" t="n">
        <v>11364</v>
      </c>
      <c r="F26" s="38" t="inlineStr">
        <is>
          <t>22:00-23:00</t>
        </is>
      </c>
      <c r="G26" s="11" t="n">
        <v>212</v>
      </c>
      <c r="H26" s="11" t="n">
        <v>673</v>
      </c>
      <c r="I26" s="12" t="n">
        <v>8076</v>
      </c>
    </row>
    <row r="27">
      <c r="A27" s="9" t="n">
        <v>46323</v>
      </c>
      <c r="B27" s="11" t="n">
        <v>260</v>
      </c>
      <c r="C27" s="11" t="n">
        <v>882</v>
      </c>
      <c r="D27" s="12" t="n">
        <v>10584</v>
      </c>
      <c r="F27" s="38" t="inlineStr">
        <is>
          <t>23:00-00:00</t>
        </is>
      </c>
      <c r="G27" s="11" t="n">
        <v>134</v>
      </c>
      <c r="H27" s="11" t="n">
        <v>450</v>
      </c>
      <c r="I27" s="12" t="n">
        <v>5400</v>
      </c>
    </row>
    <row r="28">
      <c r="A28" s="9" t="n">
        <v>46324</v>
      </c>
      <c r="B28" s="11" t="n">
        <v>315</v>
      </c>
      <c r="C28" s="11" t="n">
        <v>1041</v>
      </c>
      <c r="D28" s="12" t="n">
        <v>12492</v>
      </c>
    </row>
    <row r="29">
      <c r="A29" s="9" t="n">
        <v>46325</v>
      </c>
      <c r="B29" s="11" t="n">
        <v>146</v>
      </c>
      <c r="C29" s="11" t="n">
        <v>448</v>
      </c>
      <c r="D29" s="12" t="n">
        <v>5376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2026-10-30T20:36:14Z</dcterms:created>
  <dcterms:modified xsi:type="dcterms:W3CDTF">2026-10-30T20:36:15Z</dcterms:modified>
</cp:coreProperties>
</file>