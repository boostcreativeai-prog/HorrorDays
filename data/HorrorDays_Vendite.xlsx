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'Vendite'!$A$1:$P$64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'Storico'!$A$1:$G$189</definedName>
    <definedName name="_xlnm._FilterDatabase" localSheetId="8" hidden="1">'Registro vendite'!$A$1:$K$134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'Storico'!$H$2:$H$189</f>
            </numRef>
          </cat>
          <val>
            <numRef>
              <f>'Storico'!$C$2:$C$189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vendite'!$A$4:$A$9</f>
            </numRef>
          </cat>
          <val>
            <numRef>
              <f>'Picchi vendite'!$B$4:$B$9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MAX(Storico!A2:A189)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4</v>
      </c>
      <c r="I6" s="11" t="n">
        <v>0</v>
      </c>
      <c r="J6" s="12" t="n">
        <v>96</v>
      </c>
      <c r="K6" s="12" t="n">
        <v>0</v>
      </c>
      <c r="L6" s="12" t="n">
        <v>87.28</v>
      </c>
      <c r="M6" s="12" t="n">
        <v>8.720000000000001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8</v>
      </c>
      <c r="I7" s="15" t="n">
        <v>0</v>
      </c>
      <c r="J7" s="16" t="n">
        <v>384</v>
      </c>
      <c r="K7" s="16" t="n">
        <v>0</v>
      </c>
      <c r="L7" s="16" t="n">
        <v>349.12</v>
      </c>
      <c r="M7" s="16" t="n">
        <v>34.88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5</v>
      </c>
      <c r="I10" s="11" t="n">
        <v>0</v>
      </c>
      <c r="J10" s="12" t="n">
        <v>120</v>
      </c>
      <c r="K10" s="12" t="n">
        <v>0</v>
      </c>
      <c r="L10" s="12" t="n">
        <v>109.1</v>
      </c>
      <c r="M10" s="12" t="n">
        <v>10.9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2</v>
      </c>
      <c r="I11" s="15" t="n">
        <v>1</v>
      </c>
      <c r="J11" s="16" t="n">
        <v>96</v>
      </c>
      <c r="K11" s="16" t="n">
        <v>0</v>
      </c>
      <c r="L11" s="16" t="n">
        <v>87.28</v>
      </c>
      <c r="M11" s="16" t="n">
        <v>8.720000000000001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3</v>
      </c>
      <c r="I17" s="15" t="n">
        <v>0</v>
      </c>
      <c r="J17" s="16" t="n">
        <v>72</v>
      </c>
      <c r="K17" s="16" t="n">
        <v>0</v>
      </c>
      <c r="L17" s="16" t="n">
        <v>65.45999999999999</v>
      </c>
      <c r="M17" s="16" t="n">
        <v>6.54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1</v>
      </c>
      <c r="I20" s="11" t="n">
        <v>0</v>
      </c>
      <c r="J20" s="12" t="n">
        <v>60</v>
      </c>
      <c r="K20" s="12" t="n">
        <v>0</v>
      </c>
      <c r="L20" s="12" t="n">
        <v>54.55</v>
      </c>
      <c r="M20" s="12" t="n">
        <v>5.45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7</v>
      </c>
      <c r="I24" s="11" t="n">
        <v>0</v>
      </c>
      <c r="J24" s="12" t="n">
        <v>168</v>
      </c>
      <c r="K24" s="12" t="n">
        <v>0</v>
      </c>
      <c r="L24" s="12" t="n">
        <v>152.74</v>
      </c>
      <c r="M24" s="12" t="n">
        <v>15.26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2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0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4</v>
      </c>
      <c r="I28" s="11" t="n">
        <v>0</v>
      </c>
      <c r="J28" s="12" t="n">
        <v>96</v>
      </c>
      <c r="K28" s="12" t="n">
        <v>0</v>
      </c>
      <c r="L28" s="12" t="n">
        <v>87.28</v>
      </c>
      <c r="M28" s="12" t="n">
        <v>8.720000000000001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20261024_2359</t>
        </is>
      </c>
      <c r="B29" s="13" t="n">
        <v>46319</v>
      </c>
      <c r="C29" s="14" t="n">
        <v>0.9993055555555556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3</v>
      </c>
      <c r="I29" s="15" t="n">
        <v>0</v>
      </c>
      <c r="J29" s="16" t="n">
        <v>144</v>
      </c>
      <c r="K29" s="16" t="n">
        <v>0</v>
      </c>
      <c r="L29" s="16" t="n">
        <v>130.92</v>
      </c>
      <c r="M29" s="16" t="n">
        <v>13.08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20261024_2359</t>
        </is>
      </c>
      <c r="B30" s="9" t="n">
        <v>46319</v>
      </c>
      <c r="C30" s="10" t="n">
        <v>0.9993055555555556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3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20261025_2015</t>
        </is>
      </c>
      <c r="B31" s="13" t="n">
        <v>46320</v>
      </c>
      <c r="C31" s="14" t="n">
        <v>0.84375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1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20261025_2015</t>
        </is>
      </c>
      <c r="B32" s="9" t="n">
        <v>46320</v>
      </c>
      <c r="C32" s="10" t="n">
        <v>0.84375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20261025_2115</t>
        </is>
      </c>
      <c r="B33" s="13" t="n">
        <v>46320</v>
      </c>
      <c r="C33" s="14" t="n">
        <v>0.8854166666666666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2</v>
      </c>
      <c r="I33" s="15" t="n">
        <v>0</v>
      </c>
      <c r="J33" s="16" t="n">
        <v>96</v>
      </c>
      <c r="K33" s="16" t="n">
        <v>0</v>
      </c>
      <c r="L33" s="16" t="n">
        <v>87.28</v>
      </c>
      <c r="M33" s="16" t="n">
        <v>8.720000000000001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20261025_2115</t>
        </is>
      </c>
      <c r="B34" s="9" t="n">
        <v>46320</v>
      </c>
      <c r="C34" s="10" t="n">
        <v>0.8854166666666666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20261025_2215</t>
        </is>
      </c>
      <c r="B35" s="13" t="n">
        <v>46320</v>
      </c>
      <c r="C35" s="14" t="n">
        <v>0.9270833333333334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2</v>
      </c>
      <c r="I35" s="15" t="n">
        <v>0</v>
      </c>
      <c r="J35" s="16" t="n">
        <v>48</v>
      </c>
      <c r="K35" s="16" t="n">
        <v>0</v>
      </c>
      <c r="L35" s="16" t="n">
        <v>43.64</v>
      </c>
      <c r="M35" s="16" t="n">
        <v>4.36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20261025_2315</t>
        </is>
      </c>
      <c r="B36" s="9" t="n">
        <v>46320</v>
      </c>
      <c r="C36" s="10" t="n">
        <v>0.96875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</v>
      </c>
      <c r="I36" s="11" t="n">
        <v>0</v>
      </c>
      <c r="J36" s="12" t="n">
        <v>24</v>
      </c>
      <c r="K36" s="12" t="n">
        <v>0</v>
      </c>
      <c r="L36" s="12" t="n">
        <v>21.82</v>
      </c>
      <c r="M36" s="12" t="n">
        <v>2.18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20261025_2359</t>
        </is>
      </c>
      <c r="B37" s="13" t="n">
        <v>46320</v>
      </c>
      <c r="C37" s="14" t="n">
        <v>0.9993055555555556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20261029_2015</t>
        </is>
      </c>
      <c r="B38" s="9" t="n">
        <v>46324</v>
      </c>
      <c r="C38" s="10" t="n">
        <v>0.84375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20261029_2015</t>
        </is>
      </c>
      <c r="B39" s="13" t="n">
        <v>46324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1</v>
      </c>
      <c r="I39" s="15" t="n">
        <v>0</v>
      </c>
      <c r="J39" s="16" t="n">
        <v>24</v>
      </c>
      <c r="K39" s="16" t="n">
        <v>0</v>
      </c>
      <c r="L39" s="16" t="n">
        <v>21.82</v>
      </c>
      <c r="M39" s="16" t="n">
        <v>2.18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20261029_2215</t>
        </is>
      </c>
      <c r="B40" s="9" t="n">
        <v>46324</v>
      </c>
      <c r="C40" s="10" t="n">
        <v>0.9270833333333334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3</v>
      </c>
      <c r="I40" s="11" t="n">
        <v>0</v>
      </c>
      <c r="J40" s="12" t="n">
        <v>144</v>
      </c>
      <c r="K40" s="12" t="n">
        <v>0</v>
      </c>
      <c r="L40" s="12" t="n">
        <v>130.92</v>
      </c>
      <c r="M40" s="12" t="n">
        <v>13.08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20261029_2215</t>
        </is>
      </c>
      <c r="B41" s="13" t="n">
        <v>46324</v>
      </c>
      <c r="C41" s="14" t="n">
        <v>0.9270833333333334</v>
      </c>
      <c r="D41" s="23" t="inlineStr">
        <is>
          <t>UN Unico</t>
        </is>
      </c>
      <c r="E41" s="23" t="inlineStr">
        <is>
          <t>I2</t>
        </is>
      </c>
      <c r="F41" s="23">
        <f>IFERROR(INDEX(Tariffe!$B$2:$B$200,MATCH(E41,Tariffe!$A$2:$A$200,0)),"DA DEFINIRE")</f>
        <v/>
      </c>
      <c r="G41" s="16" t="n">
        <v>36</v>
      </c>
      <c r="H41" s="15" t="n">
        <v>1</v>
      </c>
      <c r="I41" s="15" t="n">
        <v>0</v>
      </c>
      <c r="J41" s="16" t="n">
        <v>36</v>
      </c>
      <c r="K41" s="16" t="n">
        <v>0</v>
      </c>
      <c r="L41" s="16" t="n">
        <v>32.73</v>
      </c>
      <c r="M41" s="16" t="n">
        <v>3.27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20261029_2215</t>
        </is>
      </c>
      <c r="B42" s="9" t="n">
        <v>46324</v>
      </c>
      <c r="C42" s="10" t="n">
        <v>0.9270833333333334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4</v>
      </c>
      <c r="I42" s="11" t="n">
        <v>0</v>
      </c>
      <c r="J42" s="12" t="n">
        <v>96</v>
      </c>
      <c r="K42" s="12" t="n">
        <v>0</v>
      </c>
      <c r="L42" s="12" t="n">
        <v>87.28</v>
      </c>
      <c r="M42" s="12" t="n">
        <v>8.720000000000001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20261029_2315</t>
        </is>
      </c>
      <c r="B43" s="13" t="n">
        <v>46324</v>
      </c>
      <c r="C43" s="14" t="n">
        <v>0.96875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2</v>
      </c>
      <c r="I43" s="15" t="n">
        <v>0</v>
      </c>
      <c r="J43" s="16" t="n">
        <v>96</v>
      </c>
      <c r="K43" s="16" t="n">
        <v>0</v>
      </c>
      <c r="L43" s="16" t="n">
        <v>87.28</v>
      </c>
      <c r="M43" s="16" t="n">
        <v>8.720000000000001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20261029_2315</t>
        </is>
      </c>
      <c r="B44" s="9" t="n">
        <v>46324</v>
      </c>
      <c r="C44" s="10" t="n">
        <v>0.96875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1</v>
      </c>
      <c r="I44" s="11" t="n">
        <v>0</v>
      </c>
      <c r="J44" s="12" t="n">
        <v>60</v>
      </c>
      <c r="K44" s="12" t="n">
        <v>0</v>
      </c>
      <c r="L44" s="12" t="n">
        <v>54.55</v>
      </c>
      <c r="M44" s="12" t="n">
        <v>5.45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20261029_2359</t>
        </is>
      </c>
      <c r="B45" s="13" t="n">
        <v>46324</v>
      </c>
      <c r="C45" s="14" t="n">
        <v>0.9993055555555556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</v>
      </c>
      <c r="I45" s="15" t="n">
        <v>0</v>
      </c>
      <c r="J45" s="16" t="n">
        <v>24</v>
      </c>
      <c r="K45" s="16" t="n">
        <v>0</v>
      </c>
      <c r="L45" s="16" t="n">
        <v>21.82</v>
      </c>
      <c r="M45" s="16" t="n">
        <v>2.18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20261030_2015</t>
        </is>
      </c>
      <c r="B46" s="9" t="n">
        <v>46325</v>
      </c>
      <c r="C46" s="10" t="n">
        <v>0.84375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</v>
      </c>
      <c r="I46" s="11" t="n">
        <v>0</v>
      </c>
      <c r="J46" s="12" t="n">
        <v>48</v>
      </c>
      <c r="K46" s="12" t="n">
        <v>0</v>
      </c>
      <c r="L46" s="12" t="n">
        <v>43.64</v>
      </c>
      <c r="M46" s="12" t="n">
        <v>4.36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20261030_2115</t>
        </is>
      </c>
      <c r="B47" s="13" t="n">
        <v>46325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20261030_2215</t>
        </is>
      </c>
      <c r="B48" s="9" t="n">
        <v>46325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1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20261030_2215</t>
        </is>
      </c>
      <c r="B49" s="13" t="n">
        <v>46325</v>
      </c>
      <c r="C49" s="14" t="n">
        <v>0.9270833333333334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6</v>
      </c>
      <c r="I49" s="15" t="n">
        <v>0</v>
      </c>
      <c r="J49" s="16" t="n">
        <v>144</v>
      </c>
      <c r="K49" s="16" t="n">
        <v>0</v>
      </c>
      <c r="L49" s="16" t="n">
        <v>130.92</v>
      </c>
      <c r="M49" s="16" t="n">
        <v>13.08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20261030_2315</t>
        </is>
      </c>
      <c r="B50" s="9" t="n">
        <v>46325</v>
      </c>
      <c r="C50" s="10" t="n">
        <v>0.96875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3</v>
      </c>
      <c r="I50" s="11" t="n">
        <v>0</v>
      </c>
      <c r="J50" s="12" t="n">
        <v>144</v>
      </c>
      <c r="K50" s="12" t="n">
        <v>0</v>
      </c>
      <c r="L50" s="12" t="n">
        <v>130.92</v>
      </c>
      <c r="M50" s="12" t="n">
        <v>13.08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20261030_2315</t>
        </is>
      </c>
      <c r="B51" s="13" t="n">
        <v>46325</v>
      </c>
      <c r="C51" s="14" t="n">
        <v>0.96875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20261030_2315</t>
        </is>
      </c>
      <c r="B52" s="9" t="n">
        <v>46325</v>
      </c>
      <c r="C52" s="10" t="n">
        <v>0.96875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2</v>
      </c>
      <c r="I52" s="11" t="n">
        <v>0</v>
      </c>
      <c r="J52" s="12" t="n">
        <v>48</v>
      </c>
      <c r="K52" s="12" t="n">
        <v>0</v>
      </c>
      <c r="L52" s="12" t="n">
        <v>43.64</v>
      </c>
      <c r="M52" s="12" t="n">
        <v>4.36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20261030_2359</t>
        </is>
      </c>
      <c r="B53" s="13" t="n">
        <v>46325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4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20261031_2015</t>
        </is>
      </c>
      <c r="B54" s="9" t="n">
        <v>46326</v>
      </c>
      <c r="C54" s="10" t="n">
        <v>0.84375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20261031_2015</t>
        </is>
      </c>
      <c r="B55" s="13" t="n">
        <v>46326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20261031_2115</t>
        </is>
      </c>
      <c r="B56" s="9" t="n">
        <v>46326</v>
      </c>
      <c r="C56" s="10" t="n">
        <v>0.8854166666666666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20261031_2115</t>
        </is>
      </c>
      <c r="B57" s="13" t="n">
        <v>46326</v>
      </c>
      <c r="C57" s="14" t="n">
        <v>0.8854166666666666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3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20261031_2215</t>
        </is>
      </c>
      <c r="B58" s="9" t="n">
        <v>46326</v>
      </c>
      <c r="C58" s="10" t="n">
        <v>0.9270833333333334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2</v>
      </c>
      <c r="I58" s="11" t="n">
        <v>0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20261031_2215</t>
        </is>
      </c>
      <c r="B59" s="13" t="n">
        <v>46326</v>
      </c>
      <c r="C59" s="14" t="n">
        <v>0.9270833333333334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20261031_2315</t>
        </is>
      </c>
      <c r="B60" s="9" t="n">
        <v>46326</v>
      </c>
      <c r="C60" s="10" t="n">
        <v>0.96875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4</v>
      </c>
      <c r="I60" s="11" t="n">
        <v>0</v>
      </c>
      <c r="J60" s="12" t="n">
        <v>192</v>
      </c>
      <c r="K60" s="12" t="n">
        <v>0</v>
      </c>
      <c r="L60" s="12" t="n">
        <v>174.56</v>
      </c>
      <c r="M60" s="12" t="n">
        <v>17.44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20261031_2315</t>
        </is>
      </c>
      <c r="B61" s="13" t="n">
        <v>46326</v>
      </c>
      <c r="C61" s="14" t="n">
        <v>0.96875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2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20261031_2359</t>
        </is>
      </c>
      <c r="B62" s="9" t="n">
        <v>46326</v>
      </c>
      <c r="C62" s="10" t="n">
        <v>0.9993055555555556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2</v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20261031_2359</t>
        </is>
      </c>
      <c r="B63" s="13" t="n">
        <v>46326</v>
      </c>
      <c r="C63" s="14" t="n">
        <v>0.9993055555555556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20261101_2015</t>
        </is>
      </c>
      <c r="B64" s="9" t="n">
        <v>46327</v>
      </c>
      <c r="C64" s="10" t="n">
        <v>0.84375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11/2026</t>
        </is>
      </c>
      <c r="O64" s="11">
        <f>IFERROR(INDEX(Tariffe!$D$2:$D$200,MATCH(E64,Tariffe!$A$2:$A$200,0))*1,0)</f>
        <v/>
      </c>
      <c r="P64" s="11">
        <f>H64*O64</f>
        <v/>
      </c>
    </row>
  </sheetData>
  <autoFilter ref="A1:P6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</sheetData>
  <autoFilter ref="A1:G18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</sheetData>
  <autoFilter ref="A1:K13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</v>
      </c>
      <c r="H4" s="11" t="n">
        <v>11</v>
      </c>
      <c r="I4" s="12" t="n">
        <v>132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11</v>
      </c>
      <c r="C9" s="11" t="n">
        <v>25</v>
      </c>
      <c r="D9" s="12" t="n">
        <v>300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11</v>
      </c>
      <c r="M9" s="11" t="n">
        <v>25</v>
      </c>
      <c r="N9" s="12" t="n">
        <v>300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6</v>
      </c>
      <c r="H15" s="11" t="n">
        <v>19</v>
      </c>
      <c r="I15" s="12" t="n">
        <v>228</v>
      </c>
    </row>
    <row r="16">
      <c r="F16" s="38" t="inlineStr">
        <is>
          <t>12:00-13:00</t>
        </is>
      </c>
      <c r="G16" s="11" t="n">
        <v>9</v>
      </c>
      <c r="H16" s="11" t="n">
        <v>23</v>
      </c>
      <c r="I16" s="12" t="n">
        <v>276</v>
      </c>
    </row>
    <row r="17">
      <c r="F17" s="38" t="inlineStr">
        <is>
          <t>13:00-14:00</t>
        </is>
      </c>
      <c r="G17" s="11" t="n">
        <v>6</v>
      </c>
      <c r="H17" s="11" t="n">
        <v>15</v>
      </c>
      <c r="I17" s="12" t="n">
        <v>180</v>
      </c>
    </row>
    <row r="18">
      <c r="F18" s="38" t="inlineStr">
        <is>
          <t>14:00-15:00</t>
        </is>
      </c>
      <c r="G18" s="11" t="n">
        <v>2</v>
      </c>
      <c r="H18" s="11" t="n">
        <v>6</v>
      </c>
      <c r="I18" s="12" t="n">
        <v>72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12</v>
      </c>
      <c r="H20" s="11" t="n">
        <v>30</v>
      </c>
      <c r="I20" s="12" t="n">
        <v>360</v>
      </c>
    </row>
    <row r="21">
      <c r="F21" s="38" t="inlineStr">
        <is>
          <t>17:00-18:00</t>
        </is>
      </c>
      <c r="G21" s="11" t="n">
        <v>8</v>
      </c>
      <c r="H21" s="11" t="n">
        <v>24</v>
      </c>
      <c r="I21" s="12" t="n">
        <v>288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9</v>
      </c>
      <c r="H23" s="11" t="n">
        <v>30</v>
      </c>
      <c r="I23" s="12" t="n">
        <v>360</v>
      </c>
    </row>
    <row r="24">
      <c r="F24" s="38" t="inlineStr">
        <is>
          <t>20:00-21:00</t>
        </is>
      </c>
      <c r="G24" s="11" t="n">
        <v>11</v>
      </c>
      <c r="H24" s="11" t="n">
        <v>30</v>
      </c>
      <c r="I24" s="12" t="n">
        <v>360</v>
      </c>
    </row>
    <row r="25">
      <c r="F25" s="38" t="inlineStr">
        <is>
          <t>21:00-22:00</t>
        </is>
      </c>
      <c r="G25" s="11" t="n">
        <v>15</v>
      </c>
      <c r="H25" s="11" t="n">
        <v>48</v>
      </c>
      <c r="I25" s="12" t="n">
        <v>576</v>
      </c>
    </row>
    <row r="26">
      <c r="F26" s="38" t="inlineStr">
        <is>
          <t>22:00-23:00</t>
        </is>
      </c>
      <c r="G26" s="11" t="n">
        <v>27</v>
      </c>
      <c r="H26" s="11" t="n">
        <v>77</v>
      </c>
      <c r="I26" s="12" t="n">
        <v>924</v>
      </c>
    </row>
    <row r="27">
      <c r="F27" s="38" t="inlineStr">
        <is>
          <t>23:00-00:00</t>
        </is>
      </c>
      <c r="G27" s="11" t="n">
        <v>9</v>
      </c>
      <c r="H27" s="11" t="n">
        <v>29</v>
      </c>
      <c r="I27" s="12" t="n">
        <v>348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2026-10-10T15:09:04Z</dcterms:created>
  <dcterms:modified xsi:type="dcterms:W3CDTF">2026-10-10T15:09:05Z</dcterms:modified>
</cp:coreProperties>
</file>