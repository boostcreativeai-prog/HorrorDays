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'Vendite'!$A$1:$R$132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'Storico'!$A$1:$G$702</definedName>
    <definedName name="_xlnm._FilterDatabase" localSheetId="8" hidden="1">'Registro vendite'!$A$1:$K$1005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'Storico'!$H$2:$H$702</f>
            </numRef>
          </cat>
          <val>
            <numRef>
              <f>'Storico'!$C$2:$C$702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MAX(Storico!A2:A702)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1728</v>
      </c>
      <c r="K58" s="12" t="n">
        <v>0</v>
      </c>
      <c r="L58" s="12" t="n">
        <v>1571.04</v>
      </c>
      <c r="M58" s="12" t="n">
        <v>156.96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36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4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216</v>
      </c>
      <c r="K68" s="12" t="n">
        <v>0</v>
      </c>
      <c r="L68" s="12" t="n">
        <v>196.38</v>
      </c>
      <c r="M68" s="12" t="n">
        <v>19.62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9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576</v>
      </c>
      <c r="K69" s="16" t="n">
        <v>0</v>
      </c>
      <c r="L69" s="16" t="n">
        <v>523.6799999999999</v>
      </c>
      <c r="M69" s="16" t="n">
        <v>52.32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12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408</v>
      </c>
      <c r="K72" s="12" t="n">
        <v>0</v>
      </c>
      <c r="L72" s="12" t="n">
        <v>370.94</v>
      </c>
      <c r="M72" s="12" t="n">
        <v>37.06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17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336</v>
      </c>
      <c r="K73" s="16" t="n">
        <v>0</v>
      </c>
      <c r="L73" s="16" t="n">
        <v>305.48</v>
      </c>
      <c r="M73" s="16" t="n">
        <v>30.52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7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300</v>
      </c>
      <c r="K75" s="16" t="n">
        <v>0</v>
      </c>
      <c r="L75" s="16" t="n">
        <v>272.75</v>
      </c>
      <c r="M75" s="16" t="n">
        <v>27.25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5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192</v>
      </c>
      <c r="K76" s="12" t="n">
        <v>0</v>
      </c>
      <c r="L76" s="12" t="n">
        <v>174.56</v>
      </c>
      <c r="M76" s="12" t="n">
        <v>17.44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8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I8 24€</t>
        </is>
      </c>
      <c r="F78" s="22">
        <f>IFERROR(INDEX(Tariffe!$B$2:$B$200,MATCH(E78,Tariffe!$A$2:$A$200,0)),"DA DEFINIRE")</f>
        <v/>
      </c>
      <c r="G78" s="12" t="n">
        <v>24</v>
      </c>
      <c r="H78" s="11">
        <f>Q78*R78</f>
        <v/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3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I1 48€</t>
        </is>
      </c>
      <c r="F79" s="23">
        <f>IFERROR(INDEX(Tariffe!$B$2:$B$200,MATCH(E79,Tariffe!$A$2:$A$200,0)),"DA DEFINIRE")</f>
        <v/>
      </c>
      <c r="G79" s="16" t="n">
        <v>48</v>
      </c>
      <c r="H79" s="15">
        <f>Q79*R79</f>
        <v/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72</v>
      </c>
      <c r="K80" s="12" t="n">
        <v>0</v>
      </c>
      <c r="L80" s="12" t="n">
        <v>65.45999999999999</v>
      </c>
      <c r="M80" s="12" t="n">
        <v>6.54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3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I5 60€</t>
        </is>
      </c>
      <c r="F82" s="22">
        <f>IFERROR(INDEX(Tariffe!$B$2:$B$200,MATCH(E82,Tariffe!$A$2:$A$200,0)),"DA DEFINIRE")</f>
        <v/>
      </c>
      <c r="G82" s="12" t="n">
        <v>60</v>
      </c>
      <c r="H82" s="11">
        <f>Q82*R82</f>
        <v/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10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576</v>
      </c>
      <c r="K84" s="12" t="n">
        <v>0</v>
      </c>
      <c r="L84" s="12" t="n">
        <v>523.6799999999999</v>
      </c>
      <c r="M84" s="12" t="n">
        <v>52.32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12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108</v>
      </c>
      <c r="K85" s="16" t="n">
        <v>0</v>
      </c>
      <c r="L85" s="16" t="n">
        <v>98.19</v>
      </c>
      <c r="M85" s="16" t="n">
        <v>9.81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3</v>
      </c>
      <c r="J87" s="16" t="n">
        <v>384</v>
      </c>
      <c r="K87" s="16" t="n">
        <v>0</v>
      </c>
      <c r="L87" s="16" t="n">
        <v>349.12</v>
      </c>
      <c r="M87" s="16" t="n">
        <v>34.88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16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6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8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10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6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2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2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96</v>
      </c>
      <c r="K98" s="12" t="n">
        <v>0</v>
      </c>
      <c r="L98" s="12" t="n">
        <v>87.28</v>
      </c>
      <c r="M98" s="12" t="n">
        <v>8.720000000000001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672</v>
      </c>
      <c r="K99" s="16" t="n">
        <v>0</v>
      </c>
      <c r="L99" s="16" t="n">
        <v>610.96</v>
      </c>
      <c r="M99" s="16" t="n">
        <v>61.04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288</v>
      </c>
      <c r="K102" s="12" t="n">
        <v>0</v>
      </c>
      <c r="L102" s="12" t="n">
        <v>261.84</v>
      </c>
      <c r="M102" s="12" t="n">
        <v>26.16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12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3</v>
      </c>
      <c r="J103" s="16" t="n">
        <v>720</v>
      </c>
      <c r="K103" s="16" t="n">
        <v>0</v>
      </c>
      <c r="L103" s="16" t="n">
        <v>654.6</v>
      </c>
      <c r="M103" s="16" t="n">
        <v>65.40000000000001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15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108</v>
      </c>
      <c r="K104" s="12" t="n">
        <v>0</v>
      </c>
      <c r="L104" s="12" t="n">
        <v>98.19</v>
      </c>
      <c r="M104" s="12" t="n">
        <v>9.81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816</v>
      </c>
      <c r="K106" s="12" t="n">
        <v>0</v>
      </c>
      <c r="L106" s="12" t="n">
        <v>741.88</v>
      </c>
      <c r="M106" s="12" t="n">
        <v>74.12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34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1392</v>
      </c>
      <c r="K107" s="16" t="n">
        <v>0</v>
      </c>
      <c r="L107" s="16" t="n">
        <v>1265.56</v>
      </c>
      <c r="M107" s="16" t="n">
        <v>126.44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29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108</v>
      </c>
      <c r="K108" s="12" t="n">
        <v>0</v>
      </c>
      <c r="L108" s="12" t="n">
        <v>98.19</v>
      </c>
      <c r="M108" s="12" t="n">
        <v>9.81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240</v>
      </c>
      <c r="K109" s="16" t="n">
        <v>0</v>
      </c>
      <c r="L109" s="16" t="n">
        <v>218.2</v>
      </c>
      <c r="M109" s="16" t="n">
        <v>21.8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4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480</v>
      </c>
      <c r="K110" s="12" t="n">
        <v>0</v>
      </c>
      <c r="L110" s="12" t="n">
        <v>436.4</v>
      </c>
      <c r="M110" s="12" t="n">
        <v>43.6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20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912</v>
      </c>
      <c r="K111" s="16" t="n">
        <v>0</v>
      </c>
      <c r="L111" s="16" t="n">
        <v>829.16</v>
      </c>
      <c r="M111" s="16" t="n">
        <v>82.84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19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120</v>
      </c>
      <c r="K113" s="16" t="n">
        <v>0</v>
      </c>
      <c r="L113" s="16" t="n">
        <v>109.1</v>
      </c>
      <c r="M113" s="16" t="n">
        <v>10.9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336</v>
      </c>
      <c r="K114" s="12" t="n">
        <v>0</v>
      </c>
      <c r="L114" s="12" t="n">
        <v>305.48</v>
      </c>
      <c r="M114" s="12" t="n">
        <v>30.52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14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3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72</v>
      </c>
      <c r="K117" s="16" t="n">
        <v>0</v>
      </c>
      <c r="L117" s="16" t="n">
        <v>65.45999999999999</v>
      </c>
      <c r="M117" s="16" t="n">
        <v>6.54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192</v>
      </c>
      <c r="K118" s="12" t="n">
        <v>0</v>
      </c>
      <c r="L118" s="12" t="n">
        <v>174.56</v>
      </c>
      <c r="M118" s="12" t="n">
        <v>17.44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144</v>
      </c>
      <c r="K119" s="16" t="n">
        <v>0</v>
      </c>
      <c r="L119" s="16" t="n">
        <v>130.92</v>
      </c>
      <c r="M119" s="16" t="n">
        <v>13.08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216</v>
      </c>
      <c r="K120" s="12" t="n">
        <v>0</v>
      </c>
      <c r="L120" s="12" t="n">
        <v>196.38</v>
      </c>
      <c r="M120" s="12" t="n">
        <v>19.62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9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108</v>
      </c>
      <c r="K122" s="12" t="n">
        <v>0</v>
      </c>
      <c r="L122" s="12" t="n">
        <v>98.19</v>
      </c>
      <c r="M122" s="12" t="n">
        <v>9.81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3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168</v>
      </c>
      <c r="K124" s="12" t="n">
        <v>0</v>
      </c>
      <c r="L124" s="12" t="n">
        <v>152.74</v>
      </c>
      <c r="M124" s="12" t="n">
        <v>15.26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7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20261101_2315</t>
        </is>
      </c>
      <c r="B126" s="9" t="n">
        <v>46327</v>
      </c>
      <c r="C126" s="10" t="n">
        <v>0.96875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20261101_2359</t>
        </is>
      </c>
      <c r="B128" s="9" t="n">
        <v>46327</v>
      </c>
      <c r="C128" s="10" t="n">
        <v>0.9993055555555556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20261102_2015</t>
        </is>
      </c>
      <c r="B129" s="13" t="n">
        <v>46328</v>
      </c>
      <c r="C129" s="14" t="n">
        <v>0.84375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30</v>
      </c>
      <c r="K129" s="16" t="n">
        <v>0</v>
      </c>
      <c r="L129" s="16" t="n">
        <v>27.28</v>
      </c>
      <c r="M129" s="16" t="n">
        <v>2.72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20261102_2215</t>
        </is>
      </c>
      <c r="B130" s="9" t="n">
        <v>46328</v>
      </c>
      <c r="C130" s="10" t="n">
        <v>0.9270833333333334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75</v>
      </c>
      <c r="K130" s="12" t="n">
        <v>0</v>
      </c>
      <c r="L130" s="12" t="n">
        <v>68.2</v>
      </c>
      <c r="M130" s="12" t="n">
        <v>6.8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5</v>
      </c>
      <c r="R130" s="11">
        <f>IFERROR(INDEX(Tariffe!$E$2:$E$200,MATCH(E130,Tariffe!$A$2:$A$200,0))*1,1)</f>
        <v/>
      </c>
    </row>
    <row r="131">
      <c r="A131" s="23" t="inlineStr">
        <is>
          <t>20261102_2315</t>
        </is>
      </c>
      <c r="B131" s="13" t="n">
        <v>46328</v>
      </c>
      <c r="C131" s="14" t="n">
        <v>0.96875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45</v>
      </c>
      <c r="K131" s="16" t="n">
        <v>0</v>
      </c>
      <c r="L131" s="16" t="n">
        <v>40.92</v>
      </c>
      <c r="M131" s="16" t="n">
        <v>4.08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20261102_2359</t>
        </is>
      </c>
      <c r="B132" s="9" t="n">
        <v>46328</v>
      </c>
      <c r="C132" s="10" t="n">
        <v>0.9993055555555556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15</v>
      </c>
      <c r="K132" s="12" t="n">
        <v>0</v>
      </c>
      <c r="L132" s="12" t="n">
        <v>13.64</v>
      </c>
      <c r="M132" s="12" t="n">
        <v>1.36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</sheetData>
  <autoFilter ref="A1:R1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</sheetData>
  <autoFilter ref="A1:G70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</sheetData>
  <autoFilter ref="A1:K100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453</v>
      </c>
      <c r="M10" s="11" t="n">
        <v>1429</v>
      </c>
      <c r="N10" s="12" t="n">
        <v>17154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376</v>
      </c>
      <c r="C24" s="11" t="n">
        <v>1180</v>
      </c>
      <c r="D24" s="12" t="n">
        <v>14166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124</v>
      </c>
      <c r="H26" s="11" t="n">
        <v>377</v>
      </c>
      <c r="I26" s="12" t="n">
        <v>4533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2026-10-25T21:13:04Z</dcterms:created>
  <dcterms:modified xsi:type="dcterms:W3CDTF">2026-10-25T21:13:04Z</dcterms:modified>
</cp:coreProperties>
</file>