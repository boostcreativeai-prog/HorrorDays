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'Storico'!$A$1:$G$294</definedName>
    <definedName name="_xlnm._FilterDatabase" localSheetId="8" hidden="1">'Registro vendite'!$A$1:$K$217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'Storico'!$H$2:$H$294</f>
            </numRef>
          </cat>
          <val>
            <numRef>
              <f>'Storico'!$C$2:$C$294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MAX(Storico!A2:A294)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20261029_2215</t>
        </is>
      </c>
      <c r="B48" s="9" t="n">
        <v>46324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5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20261029_2315</t>
        </is>
      </c>
      <c r="B51" s="13" t="n">
        <v>46324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4</v>
      </c>
      <c r="I51" s="15" t="n">
        <v>0</v>
      </c>
      <c r="J51" s="16" t="n">
        <v>192</v>
      </c>
      <c r="K51" s="16" t="n">
        <v>0</v>
      </c>
      <c r="L51" s="16" t="n">
        <v>174.56</v>
      </c>
      <c r="M51" s="16" t="n">
        <v>17.44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2</v>
      </c>
      <c r="I52" s="11" t="n">
        <v>0</v>
      </c>
      <c r="J52" s="12" t="n">
        <v>120</v>
      </c>
      <c r="K52" s="12" t="n">
        <v>0</v>
      </c>
      <c r="L52" s="12" t="n">
        <v>109.1</v>
      </c>
      <c r="M52" s="12" t="n">
        <v>10.9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20261029_2359</t>
        </is>
      </c>
      <c r="B53" s="13" t="n">
        <v>46324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20261030_2015</t>
        </is>
      </c>
      <c r="B54" s="9" t="n">
        <v>46325</v>
      </c>
      <c r="C54" s="10" t="n">
        <v>0.84375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20261030_2115</t>
        </is>
      </c>
      <c r="B56" s="9" t="n">
        <v>46325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20261030_2215</t>
        </is>
      </c>
      <c r="B58" s="9" t="n">
        <v>46325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4</v>
      </c>
      <c r="I59" s="15" t="n">
        <v>3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20261030_2315</t>
        </is>
      </c>
      <c r="B60" s="9" t="n">
        <v>46325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3</v>
      </c>
      <c r="I60" s="11" t="n">
        <v>0</v>
      </c>
      <c r="J60" s="12" t="n">
        <v>144</v>
      </c>
      <c r="K60" s="12" t="n">
        <v>0</v>
      </c>
      <c r="L60" s="12" t="n">
        <v>130.92</v>
      </c>
      <c r="M60" s="12" t="n">
        <v>13.08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1</v>
      </c>
      <c r="I61" s="15" t="n">
        <v>0</v>
      </c>
      <c r="J61" s="16" t="n">
        <v>60</v>
      </c>
      <c r="K61" s="16" t="n">
        <v>0</v>
      </c>
      <c r="L61" s="16" t="n">
        <v>54.55</v>
      </c>
      <c r="M61" s="16" t="n">
        <v>5.45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2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20261030_2359</t>
        </is>
      </c>
      <c r="B63" s="13" t="n">
        <v>46325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1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5</v>
      </c>
      <c r="I64" s="11" t="n">
        <v>0</v>
      </c>
      <c r="J64" s="12" t="n">
        <v>120</v>
      </c>
      <c r="K64" s="12" t="n">
        <v>0</v>
      </c>
      <c r="L64" s="12" t="n">
        <v>109.1</v>
      </c>
      <c r="M64" s="12" t="n">
        <v>10.9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20261031_2015</t>
        </is>
      </c>
      <c r="B65" s="13" t="n">
        <v>46326</v>
      </c>
      <c r="C65" s="14" t="n">
        <v>0.84375</v>
      </c>
      <c r="D65" s="23" t="inlineStr">
        <is>
          <t>UN Unico</t>
        </is>
      </c>
      <c r="E65" s="23" t="inlineStr">
        <is>
          <t>I5</t>
        </is>
      </c>
      <c r="F65" s="23">
        <f>IFERROR(INDEX(Tariffe!$B$2:$B$200,MATCH(E65,Tariffe!$A$2:$A$200,0)),"DA DEFINIRE")</f>
        <v/>
      </c>
      <c r="G65" s="16" t="n">
        <v>60</v>
      </c>
      <c r="H65" s="15" t="n">
        <v>1</v>
      </c>
      <c r="I65" s="15" t="n">
        <v>0</v>
      </c>
      <c r="J65" s="16" t="n">
        <v>60</v>
      </c>
      <c r="K65" s="16" t="n">
        <v>0</v>
      </c>
      <c r="L65" s="16" t="n">
        <v>54.55</v>
      </c>
      <c r="M65" s="16" t="n">
        <v>5.45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20261031_2115</t>
        </is>
      </c>
      <c r="B67" s="13" t="n">
        <v>46326</v>
      </c>
      <c r="C67" s="14" t="n">
        <v>0.8854166666666666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1</v>
      </c>
      <c r="I67" s="15" t="n">
        <v>0</v>
      </c>
      <c r="J67" s="16" t="n">
        <v>48</v>
      </c>
      <c r="K67" s="16" t="n">
        <v>0</v>
      </c>
      <c r="L67" s="16" t="n">
        <v>43.64</v>
      </c>
      <c r="M67" s="16" t="n">
        <v>4.36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20261031_2215</t>
        </is>
      </c>
      <c r="B69" s="13" t="n">
        <v>46326</v>
      </c>
      <c r="C69" s="14" t="n">
        <v>0.9270833333333334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2</v>
      </c>
      <c r="I69" s="15" t="n">
        <v>0</v>
      </c>
      <c r="J69" s="16" t="n">
        <v>96</v>
      </c>
      <c r="K69" s="16" t="n">
        <v>0</v>
      </c>
      <c r="L69" s="16" t="n">
        <v>87.28</v>
      </c>
      <c r="M69" s="16" t="n">
        <v>8.720000000000001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I2</t>
        </is>
      </c>
      <c r="F70" s="22">
        <f>IFERROR(INDEX(Tariffe!$B$2:$B$200,MATCH(E70,Tariffe!$A$2:$A$200,0)),"DA DEFINIRE")</f>
        <v/>
      </c>
      <c r="G70" s="12" t="n">
        <v>36</v>
      </c>
      <c r="H70" s="11" t="n">
        <v>1</v>
      </c>
      <c r="I70" s="11" t="n">
        <v>0</v>
      </c>
      <c r="J70" s="12" t="n">
        <v>36</v>
      </c>
      <c r="K70" s="12" t="n">
        <v>0</v>
      </c>
      <c r="L70" s="12" t="n">
        <v>32.73</v>
      </c>
      <c r="M70" s="12" t="n">
        <v>3.27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5</v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20261031_2315</t>
        </is>
      </c>
      <c r="B72" s="9" t="n">
        <v>46326</v>
      </c>
      <c r="C72" s="10" t="n">
        <v>0.96875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4</v>
      </c>
      <c r="I72" s="11" t="n">
        <v>0</v>
      </c>
      <c r="J72" s="12" t="n">
        <v>192</v>
      </c>
      <c r="K72" s="12" t="n">
        <v>0</v>
      </c>
      <c r="L72" s="12" t="n">
        <v>174.56</v>
      </c>
      <c r="M72" s="12" t="n">
        <v>17.44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7</v>
      </c>
      <c r="I73" s="15" t="n">
        <v>0</v>
      </c>
      <c r="J73" s="16" t="n">
        <v>168</v>
      </c>
      <c r="K73" s="16" t="n">
        <v>0</v>
      </c>
      <c r="L73" s="16" t="n">
        <v>152.74</v>
      </c>
      <c r="M73" s="16" t="n">
        <v>15.26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20261031_2359</t>
        </is>
      </c>
      <c r="B74" s="9" t="n">
        <v>46326</v>
      </c>
      <c r="C74" s="10" t="n">
        <v>0.9993055555555556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4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3</v>
      </c>
      <c r="I75" s="15" t="n">
        <v>0</v>
      </c>
      <c r="J75" s="16" t="n">
        <v>72</v>
      </c>
      <c r="K75" s="16" t="n">
        <v>0</v>
      </c>
      <c r="L75" s="16" t="n">
        <v>65.45999999999999</v>
      </c>
      <c r="M75" s="16" t="n">
        <v>6.54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20261101_2015</t>
        </is>
      </c>
      <c r="B76" s="9" t="n">
        <v>46327</v>
      </c>
      <c r="C76" s="10" t="n">
        <v>0.84375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1</v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11/2026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20261101_2115</t>
        </is>
      </c>
      <c r="B77" s="13" t="n">
        <v>46327</v>
      </c>
      <c r="C77" s="14" t="n">
        <v>0.8854166666666666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2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20261101_2215</t>
        </is>
      </c>
      <c r="B78" s="9" t="n">
        <v>46327</v>
      </c>
      <c r="C78" s="10" t="n">
        <v>0.9270833333333334</v>
      </c>
      <c r="D78" s="22" t="inlineStr">
        <is>
          <t>UN Unico</t>
        </is>
      </c>
      <c r="E78" s="22" t="inlineStr">
        <is>
          <t>I5</t>
        </is>
      </c>
      <c r="F78" s="22">
        <f>IFERROR(INDEX(Tariffe!$B$2:$B$200,MATCH(E78,Tariffe!$A$2:$A$200,0)),"DA DEFINIRE")</f>
        <v/>
      </c>
      <c r="G78" s="12" t="n">
        <v>60</v>
      </c>
      <c r="H78" s="11" t="n">
        <v>1</v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2</v>
      </c>
      <c r="I79" s="15" t="n">
        <v>0</v>
      </c>
      <c r="J79" s="16" t="n">
        <v>48</v>
      </c>
      <c r="K79" s="16" t="n">
        <v>0</v>
      </c>
      <c r="L79" s="16" t="n">
        <v>43.64</v>
      </c>
      <c r="M79" s="16" t="n">
        <v>4.36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20261101_2359</t>
        </is>
      </c>
      <c r="B80" s="9" t="n">
        <v>46327</v>
      </c>
      <c r="C80" s="10" t="n">
        <v>0.9993055555555556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</sheetData>
  <autoFilter ref="A1:P8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</sheetData>
  <autoFilter ref="A1:G29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</sheetData>
  <autoFilter ref="A1:K2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24</v>
      </c>
      <c r="M6" s="11" t="n">
        <v>71</v>
      </c>
      <c r="N6" s="12" t="n">
        <v>852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1</v>
      </c>
      <c r="C13" s="11" t="n">
        <v>3</v>
      </c>
      <c r="D13" s="12" t="n">
        <v>36</v>
      </c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2026-10-13T23:22:13Z</dcterms:created>
  <dcterms:modified xsi:type="dcterms:W3CDTF">2026-10-13T23:22:13Z</dcterms:modified>
</cp:coreProperties>
</file>