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'Vendite'!$A$1:$R$132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'Storico'!$A$1:$G$699</definedName>
    <definedName name="_xlnm._FilterDatabase" localSheetId="8" hidden="1">'Registro vendite'!$A$1:$K$994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'Storico'!$H$2:$H$699</f>
            </numRef>
          </cat>
          <val>
            <numRef>
              <f>'Storico'!$C$2:$C$699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MAX(Storico!A2:A699)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1632</v>
      </c>
      <c r="K58" s="12" t="n">
        <v>0</v>
      </c>
      <c r="L58" s="12" t="n">
        <v>1483.76</v>
      </c>
      <c r="M58" s="12" t="n">
        <v>148.24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34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576</v>
      </c>
      <c r="K61" s="16" t="n">
        <v>0</v>
      </c>
      <c r="L61" s="16" t="n">
        <v>523.6799999999999</v>
      </c>
      <c r="M61" s="16" t="n">
        <v>52.32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24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192</v>
      </c>
      <c r="K65" s="16" t="n">
        <v>0</v>
      </c>
      <c r="L65" s="16" t="n">
        <v>174.56</v>
      </c>
      <c r="M65" s="16" t="n">
        <v>17.44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4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72</v>
      </c>
      <c r="K66" s="12" t="n">
        <v>0</v>
      </c>
      <c r="L66" s="12" t="n">
        <v>65.45999999999999</v>
      </c>
      <c r="M66" s="12" t="n">
        <v>6.54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216</v>
      </c>
      <c r="K68" s="12" t="n">
        <v>0</v>
      </c>
      <c r="L68" s="12" t="n">
        <v>196.38</v>
      </c>
      <c r="M68" s="12" t="n">
        <v>19.62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9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528</v>
      </c>
      <c r="K69" s="16" t="n">
        <v>0</v>
      </c>
      <c r="L69" s="16" t="n">
        <v>480.04</v>
      </c>
      <c r="M69" s="16" t="n">
        <v>47.96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11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4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408</v>
      </c>
      <c r="K72" s="12" t="n">
        <v>0</v>
      </c>
      <c r="L72" s="12" t="n">
        <v>370.94</v>
      </c>
      <c r="M72" s="12" t="n">
        <v>37.06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17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336</v>
      </c>
      <c r="K73" s="16" t="n">
        <v>0</v>
      </c>
      <c r="L73" s="16" t="n">
        <v>305.48</v>
      </c>
      <c r="M73" s="16" t="n">
        <v>30.52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7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72</v>
      </c>
      <c r="K74" s="12" t="n">
        <v>0</v>
      </c>
      <c r="L74" s="12" t="n">
        <v>65.45999999999999</v>
      </c>
      <c r="M74" s="12" t="n">
        <v>6.54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2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0</v>
      </c>
      <c r="J75" s="16" t="n">
        <v>300</v>
      </c>
      <c r="K75" s="16" t="n">
        <v>0</v>
      </c>
      <c r="L75" s="16" t="n">
        <v>272.75</v>
      </c>
      <c r="M75" s="16" t="n">
        <v>27.25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5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192</v>
      </c>
      <c r="K76" s="12" t="n">
        <v>0</v>
      </c>
      <c r="L76" s="12" t="n">
        <v>174.56</v>
      </c>
      <c r="M76" s="12" t="n">
        <v>17.44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8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1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I8 24€</t>
        </is>
      </c>
      <c r="F78" s="22">
        <f>IFERROR(INDEX(Tariffe!$B$2:$B$200,MATCH(E78,Tariffe!$A$2:$A$200,0)),"DA DEFINIRE")</f>
        <v/>
      </c>
      <c r="G78" s="12" t="n">
        <v>24</v>
      </c>
      <c r="H78" s="11">
        <f>Q78*R78</f>
        <v/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3</v>
      </c>
      <c r="R78" s="11">
        <f>IFERROR(INDEX(Tariffe!$E$2:$E$200,MATCH(E78,Tariffe!$A$2:$A$200,0))*1,1)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I1 48€</t>
        </is>
      </c>
      <c r="F79" s="23">
        <f>IFERROR(INDEX(Tariffe!$B$2:$B$200,MATCH(E79,Tariffe!$A$2:$A$200,0)),"DA DEFINIRE")</f>
        <v/>
      </c>
      <c r="G79" s="16" t="n">
        <v>48</v>
      </c>
      <c r="H79" s="15">
        <f>Q79*R79</f>
        <v/>
      </c>
      <c r="I79" s="15" t="n">
        <v>0</v>
      </c>
      <c r="J79" s="16" t="n">
        <v>48</v>
      </c>
      <c r="K79" s="16" t="n">
        <v>0</v>
      </c>
      <c r="L79" s="16" t="n">
        <v>43.64</v>
      </c>
      <c r="M79" s="16" t="n">
        <v>4.36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72</v>
      </c>
      <c r="K80" s="12" t="n">
        <v>0</v>
      </c>
      <c r="L80" s="12" t="n">
        <v>65.45999999999999</v>
      </c>
      <c r="M80" s="12" t="n">
        <v>6.54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3</v>
      </c>
      <c r="R80" s="11">
        <f>IFERROR(INDEX(Tariffe!$E$2:$E$200,MATCH(E80,Tariffe!$A$2:$A$200,0))*1,1)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I5 60€</t>
        </is>
      </c>
      <c r="F82" s="22">
        <f>IFERROR(INDEX(Tariffe!$B$2:$B$200,MATCH(E82,Tariffe!$A$2:$A$200,0)),"DA DEFINIRE")</f>
        <v/>
      </c>
      <c r="G82" s="12" t="n">
        <v>60</v>
      </c>
      <c r="H82" s="11">
        <f>Q82*R82</f>
        <v/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I8 24€</t>
        </is>
      </c>
      <c r="F83" s="23">
        <f>IFERROR(INDEX(Tariffe!$B$2:$B$200,MATCH(E83,Tariffe!$A$2:$A$200,0)),"DA DEFINIRE")</f>
        <v/>
      </c>
      <c r="G83" s="16" t="n">
        <v>24</v>
      </c>
      <c r="H83" s="15">
        <f>Q83*R83</f>
        <v/>
      </c>
      <c r="I83" s="15" t="n">
        <v>0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10</v>
      </c>
      <c r="R83" s="15">
        <f>IFERROR(INDEX(Tariffe!$E$2:$E$200,MATCH(E83,Tariffe!$A$2:$A$200,0))*1,1)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I1 48€</t>
        </is>
      </c>
      <c r="F84" s="22">
        <f>IFERROR(INDEX(Tariffe!$B$2:$B$200,MATCH(E84,Tariffe!$A$2:$A$200,0)),"DA DEFINIRE")</f>
        <v/>
      </c>
      <c r="G84" s="12" t="n">
        <v>48</v>
      </c>
      <c r="H84" s="11">
        <f>Q84*R84</f>
        <v/>
      </c>
      <c r="I84" s="11" t="n">
        <v>0</v>
      </c>
      <c r="J84" s="12" t="n">
        <v>576</v>
      </c>
      <c r="K84" s="12" t="n">
        <v>0</v>
      </c>
      <c r="L84" s="12" t="n">
        <v>523.6799999999999</v>
      </c>
      <c r="M84" s="12" t="n">
        <v>52.32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12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I2 36€</t>
        </is>
      </c>
      <c r="F85" s="23">
        <f>IFERROR(INDEX(Tariffe!$B$2:$B$200,MATCH(E85,Tariffe!$A$2:$A$200,0)),"DA DEFINIRE")</f>
        <v/>
      </c>
      <c r="G85" s="16" t="n">
        <v>36</v>
      </c>
      <c r="H85" s="15">
        <f>Q85*R85</f>
        <v/>
      </c>
      <c r="I85" s="15" t="n">
        <v>0</v>
      </c>
      <c r="J85" s="16" t="n">
        <v>108</v>
      </c>
      <c r="K85" s="16" t="n">
        <v>0</v>
      </c>
      <c r="L85" s="16" t="n">
        <v>98.19</v>
      </c>
      <c r="M85" s="16" t="n">
        <v>9.81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I5 60€</t>
        </is>
      </c>
      <c r="F86" s="22">
        <f>IFERROR(INDEX(Tariffe!$B$2:$B$200,MATCH(E86,Tariffe!$A$2:$A$200,0)),"DA DEFINIRE")</f>
        <v/>
      </c>
      <c r="G86" s="12" t="n">
        <v>60</v>
      </c>
      <c r="H86" s="11">
        <f>Q86*R86</f>
        <v/>
      </c>
      <c r="I86" s="11" t="n">
        <v>0</v>
      </c>
      <c r="J86" s="12" t="n">
        <v>180</v>
      </c>
      <c r="K86" s="12" t="n">
        <v>0</v>
      </c>
      <c r="L86" s="12" t="n">
        <v>163.65</v>
      </c>
      <c r="M86" s="12" t="n">
        <v>16.35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3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I8 24€</t>
        </is>
      </c>
      <c r="F87" s="23">
        <f>IFERROR(INDEX(Tariffe!$B$2:$B$200,MATCH(E87,Tariffe!$A$2:$A$200,0)),"DA DEFINIRE")</f>
        <v/>
      </c>
      <c r="G87" s="16" t="n">
        <v>24</v>
      </c>
      <c r="H87" s="15">
        <f>Q87*R87</f>
        <v/>
      </c>
      <c r="I87" s="15" t="n">
        <v>3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15</v>
      </c>
      <c r="R87" s="15">
        <f>IFERROR(INDEX(Tariffe!$E$2:$E$200,MATCH(E87,Tariffe!$A$2:$A$200,0))*1,1)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I1 48€</t>
        </is>
      </c>
      <c r="F88" s="22">
        <f>IFERROR(INDEX(Tariffe!$B$2:$B$200,MATCH(E88,Tariffe!$A$2:$A$200,0)),"DA DEFINIRE")</f>
        <v/>
      </c>
      <c r="G88" s="12" t="n">
        <v>48</v>
      </c>
      <c r="H88" s="11">
        <f>Q88*R88</f>
        <v/>
      </c>
      <c r="I88" s="11" t="n">
        <v>0</v>
      </c>
      <c r="J88" s="12" t="n">
        <v>240</v>
      </c>
      <c r="K88" s="12" t="n">
        <v>0</v>
      </c>
      <c r="L88" s="12" t="n">
        <v>218.2</v>
      </c>
      <c r="M88" s="12" t="n">
        <v>21.8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5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I2 36€</t>
        </is>
      </c>
      <c r="F89" s="23">
        <f>IFERROR(INDEX(Tariffe!$B$2:$B$200,MATCH(E89,Tariffe!$A$2:$A$200,0)),"DA DEFINIRE")</f>
        <v/>
      </c>
      <c r="G89" s="16" t="n">
        <v>36</v>
      </c>
      <c r="H89" s="15">
        <f>Q89*R89</f>
        <v/>
      </c>
      <c r="I89" s="15" t="n">
        <v>0</v>
      </c>
      <c r="J89" s="16" t="n">
        <v>72</v>
      </c>
      <c r="K89" s="16" t="n">
        <v>0</v>
      </c>
      <c r="L89" s="16" t="n">
        <v>65.45999999999999</v>
      </c>
      <c r="M89" s="16" t="n">
        <v>6.54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2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I5 60€</t>
        </is>
      </c>
      <c r="F90" s="22">
        <f>IFERROR(INDEX(Tariffe!$B$2:$B$200,MATCH(E90,Tariffe!$A$2:$A$200,0)),"DA DEFINIRE")</f>
        <v/>
      </c>
      <c r="G90" s="12" t="n">
        <v>60</v>
      </c>
      <c r="H90" s="11">
        <f>Q90*R90</f>
        <v/>
      </c>
      <c r="I90" s="11" t="n">
        <v>0</v>
      </c>
      <c r="J90" s="12" t="n">
        <v>60</v>
      </c>
      <c r="K90" s="12" t="n">
        <v>0</v>
      </c>
      <c r="L90" s="12" t="n">
        <v>54.55</v>
      </c>
      <c r="M90" s="12" t="n">
        <v>5.45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1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I8 24€</t>
        </is>
      </c>
      <c r="F91" s="23">
        <f>IFERROR(INDEX(Tariffe!$B$2:$B$200,MATCH(E91,Tariffe!$A$2:$A$200,0)),"DA DEFINIRE")</f>
        <v/>
      </c>
      <c r="G91" s="16" t="n">
        <v>24</v>
      </c>
      <c r="H91" s="15">
        <f>Q91*R91</f>
        <v/>
      </c>
      <c r="I91" s="15" t="n">
        <v>0</v>
      </c>
      <c r="J91" s="16" t="n">
        <v>192</v>
      </c>
      <c r="K91" s="16" t="n">
        <v>0</v>
      </c>
      <c r="L91" s="16" t="n">
        <v>174.56</v>
      </c>
      <c r="M91" s="16" t="n">
        <v>17.44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8</v>
      </c>
      <c r="R91" s="15">
        <f>IFERROR(INDEX(Tariffe!$E$2:$E$200,MATCH(E91,Tariffe!$A$2:$A$200,0))*1,1)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I1 48€</t>
        </is>
      </c>
      <c r="F92" s="22">
        <f>IFERROR(INDEX(Tariffe!$B$2:$B$200,MATCH(E92,Tariffe!$A$2:$A$200,0)),"DA DEFINIRE")</f>
        <v/>
      </c>
      <c r="G92" s="12" t="n">
        <v>48</v>
      </c>
      <c r="H92" s="11">
        <f>Q92*R92</f>
        <v/>
      </c>
      <c r="I92" s="11" t="n">
        <v>0</v>
      </c>
      <c r="J92" s="12" t="n">
        <v>48</v>
      </c>
      <c r="K92" s="12" t="n">
        <v>0</v>
      </c>
      <c r="L92" s="12" t="n">
        <v>43.64</v>
      </c>
      <c r="M92" s="12" t="n">
        <v>4.36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2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240</v>
      </c>
      <c r="K94" s="12" t="n">
        <v>0</v>
      </c>
      <c r="L94" s="12" t="n">
        <v>218.2</v>
      </c>
      <c r="M94" s="12" t="n">
        <v>21.8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10</v>
      </c>
      <c r="R94" s="11">
        <f>IFERROR(INDEX(Tariffe!$E$2:$E$200,MATCH(E94,Tariffe!$A$2:$A$200,0))*1,1)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6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I2 36€</t>
        </is>
      </c>
      <c r="F96" s="22">
        <f>IFERROR(INDEX(Tariffe!$B$2:$B$200,MATCH(E96,Tariffe!$A$2:$A$200,0)),"DA DEFINIRE")</f>
        <v/>
      </c>
      <c r="G96" s="12" t="n">
        <v>36</v>
      </c>
      <c r="H96" s="11">
        <f>Q96*R96</f>
        <v/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2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I5 60€</t>
        </is>
      </c>
      <c r="F97" s="23">
        <f>IFERROR(INDEX(Tariffe!$B$2:$B$200,MATCH(E97,Tariffe!$A$2:$A$200,0)),"DA DEFINIRE")</f>
        <v/>
      </c>
      <c r="G97" s="16" t="n">
        <v>60</v>
      </c>
      <c r="H97" s="15">
        <f>Q97*R97</f>
        <v/>
      </c>
      <c r="I97" s="15" t="n">
        <v>2</v>
      </c>
      <c r="J97" s="16" t="n">
        <v>180</v>
      </c>
      <c r="K97" s="16" t="n">
        <v>0</v>
      </c>
      <c r="L97" s="16" t="n">
        <v>163.65</v>
      </c>
      <c r="M97" s="16" t="n">
        <v>16.35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I8 24€</t>
        </is>
      </c>
      <c r="F98" s="22">
        <f>IFERROR(INDEX(Tariffe!$B$2:$B$200,MATCH(E98,Tariffe!$A$2:$A$200,0)),"DA DEFINIRE")</f>
        <v/>
      </c>
      <c r="G98" s="12" t="n">
        <v>24</v>
      </c>
      <c r="H98" s="11">
        <f>Q98*R98</f>
        <v/>
      </c>
      <c r="I98" s="11" t="n">
        <v>0</v>
      </c>
      <c r="J98" s="12" t="n">
        <v>72</v>
      </c>
      <c r="K98" s="12" t="n">
        <v>0</v>
      </c>
      <c r="L98" s="12" t="n">
        <v>65.45999999999999</v>
      </c>
      <c r="M98" s="12" t="n">
        <v>6.54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3</v>
      </c>
      <c r="R98" s="11">
        <f>IFERROR(INDEX(Tariffe!$E$2:$E$200,MATCH(E98,Tariffe!$A$2:$A$200,0))*1,1)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I1 48€</t>
        </is>
      </c>
      <c r="F99" s="23">
        <f>IFERROR(INDEX(Tariffe!$B$2:$B$200,MATCH(E99,Tariffe!$A$2:$A$200,0)),"DA DEFINIRE")</f>
        <v/>
      </c>
      <c r="G99" s="16" t="n">
        <v>48</v>
      </c>
      <c r="H99" s="15">
        <f>Q99*R99</f>
        <v/>
      </c>
      <c r="I99" s="15" t="n">
        <v>0</v>
      </c>
      <c r="J99" s="16" t="n">
        <v>672</v>
      </c>
      <c r="K99" s="16" t="n">
        <v>0</v>
      </c>
      <c r="L99" s="16" t="n">
        <v>610.96</v>
      </c>
      <c r="M99" s="16" t="n">
        <v>61.04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14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I2 36€</t>
        </is>
      </c>
      <c r="F100" s="22">
        <f>IFERROR(INDEX(Tariffe!$B$2:$B$200,MATCH(E100,Tariffe!$A$2:$A$200,0)),"DA DEFINIRE")</f>
        <v/>
      </c>
      <c r="G100" s="12" t="n">
        <v>36</v>
      </c>
      <c r="H100" s="11">
        <f>Q100*R100</f>
        <v/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5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I5 60€</t>
        </is>
      </c>
      <c r="F101" s="23">
        <f>IFERROR(INDEX(Tariffe!$B$2:$B$200,MATCH(E101,Tariffe!$A$2:$A$200,0)),"DA DEFINIRE")</f>
        <v/>
      </c>
      <c r="G101" s="16" t="n">
        <v>60</v>
      </c>
      <c r="H101" s="15">
        <f>Q101*R101</f>
        <v/>
      </c>
      <c r="I101" s="15" t="n">
        <v>0</v>
      </c>
      <c r="J101" s="16" t="n">
        <v>180</v>
      </c>
      <c r="K101" s="16" t="n">
        <v>0</v>
      </c>
      <c r="L101" s="16" t="n">
        <v>163.65</v>
      </c>
      <c r="M101" s="16" t="n">
        <v>16.35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I8 24€</t>
        </is>
      </c>
      <c r="F102" s="22">
        <f>IFERROR(INDEX(Tariffe!$B$2:$B$200,MATCH(E102,Tariffe!$A$2:$A$200,0)),"DA DEFINIRE")</f>
        <v/>
      </c>
      <c r="G102" s="12" t="n">
        <v>24</v>
      </c>
      <c r="H102" s="11">
        <f>Q102*R102</f>
        <v/>
      </c>
      <c r="I102" s="11" t="n">
        <v>0</v>
      </c>
      <c r="J102" s="12" t="n">
        <v>288</v>
      </c>
      <c r="K102" s="12" t="n">
        <v>0</v>
      </c>
      <c r="L102" s="12" t="n">
        <v>261.84</v>
      </c>
      <c r="M102" s="12" t="n">
        <v>26.16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12</v>
      </c>
      <c r="R102" s="11">
        <f>IFERROR(INDEX(Tariffe!$E$2:$E$200,MATCH(E102,Tariffe!$A$2:$A$200,0))*1,1)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I1 48€</t>
        </is>
      </c>
      <c r="F103" s="23">
        <f>IFERROR(INDEX(Tariffe!$B$2:$B$200,MATCH(E103,Tariffe!$A$2:$A$200,0)),"DA DEFINIRE")</f>
        <v/>
      </c>
      <c r="G103" s="16" t="n">
        <v>48</v>
      </c>
      <c r="H103" s="15">
        <f>Q103*R103</f>
        <v/>
      </c>
      <c r="I103" s="15" t="n">
        <v>3</v>
      </c>
      <c r="J103" s="16" t="n">
        <v>720</v>
      </c>
      <c r="K103" s="16" t="n">
        <v>0</v>
      </c>
      <c r="L103" s="16" t="n">
        <v>654.6</v>
      </c>
      <c r="M103" s="16" t="n">
        <v>65.40000000000001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15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I2 36€</t>
        </is>
      </c>
      <c r="F104" s="22">
        <f>IFERROR(INDEX(Tariffe!$B$2:$B$200,MATCH(E104,Tariffe!$A$2:$A$200,0)),"DA DEFINIRE")</f>
        <v/>
      </c>
      <c r="G104" s="12" t="n">
        <v>36</v>
      </c>
      <c r="H104" s="11">
        <f>Q104*R104</f>
        <v/>
      </c>
      <c r="I104" s="11" t="n">
        <v>0</v>
      </c>
      <c r="J104" s="12" t="n">
        <v>108</v>
      </c>
      <c r="K104" s="12" t="n">
        <v>0</v>
      </c>
      <c r="L104" s="12" t="n">
        <v>98.19</v>
      </c>
      <c r="M104" s="12" t="n">
        <v>9.81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3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I5 60€</t>
        </is>
      </c>
      <c r="F105" s="23">
        <f>IFERROR(INDEX(Tariffe!$B$2:$B$200,MATCH(E105,Tariffe!$A$2:$A$200,0)),"DA DEFINIRE")</f>
        <v/>
      </c>
      <c r="G105" s="16" t="n">
        <v>60</v>
      </c>
      <c r="H105" s="15">
        <f>Q105*R105</f>
        <v/>
      </c>
      <c r="I105" s="15" t="n">
        <v>0</v>
      </c>
      <c r="J105" s="16" t="n">
        <v>120</v>
      </c>
      <c r="K105" s="16" t="n">
        <v>0</v>
      </c>
      <c r="L105" s="16" t="n">
        <v>109.1</v>
      </c>
      <c r="M105" s="16" t="n">
        <v>10.9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2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I8 24€</t>
        </is>
      </c>
      <c r="F106" s="22">
        <f>IFERROR(INDEX(Tariffe!$B$2:$B$200,MATCH(E106,Tariffe!$A$2:$A$200,0)),"DA DEFINIRE")</f>
        <v/>
      </c>
      <c r="G106" s="12" t="n">
        <v>24</v>
      </c>
      <c r="H106" s="11">
        <f>Q106*R106</f>
        <v/>
      </c>
      <c r="I106" s="11" t="n">
        <v>0</v>
      </c>
      <c r="J106" s="12" t="n">
        <v>816</v>
      </c>
      <c r="K106" s="12" t="n">
        <v>0</v>
      </c>
      <c r="L106" s="12" t="n">
        <v>741.88</v>
      </c>
      <c r="M106" s="12" t="n">
        <v>74.12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34</v>
      </c>
      <c r="R106" s="11">
        <f>IFERROR(INDEX(Tariffe!$E$2:$E$200,MATCH(E106,Tariffe!$A$2:$A$200,0))*1,1)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I1 48€</t>
        </is>
      </c>
      <c r="F107" s="23">
        <f>IFERROR(INDEX(Tariffe!$B$2:$B$200,MATCH(E107,Tariffe!$A$2:$A$200,0)),"DA DEFINIRE")</f>
        <v/>
      </c>
      <c r="G107" s="16" t="n">
        <v>48</v>
      </c>
      <c r="H107" s="15">
        <f>Q107*R107</f>
        <v/>
      </c>
      <c r="I107" s="15" t="n">
        <v>0</v>
      </c>
      <c r="J107" s="16" t="n">
        <v>1392</v>
      </c>
      <c r="K107" s="16" t="n">
        <v>0</v>
      </c>
      <c r="L107" s="16" t="n">
        <v>1265.56</v>
      </c>
      <c r="M107" s="16" t="n">
        <v>126.44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29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I2 36€</t>
        </is>
      </c>
      <c r="F108" s="22">
        <f>IFERROR(INDEX(Tariffe!$B$2:$B$200,MATCH(E108,Tariffe!$A$2:$A$200,0)),"DA DEFINIRE")</f>
        <v/>
      </c>
      <c r="G108" s="12" t="n">
        <v>36</v>
      </c>
      <c r="H108" s="11">
        <f>Q108*R108</f>
        <v/>
      </c>
      <c r="I108" s="11" t="n">
        <v>0</v>
      </c>
      <c r="J108" s="12" t="n">
        <v>108</v>
      </c>
      <c r="K108" s="12" t="n">
        <v>0</v>
      </c>
      <c r="L108" s="12" t="n">
        <v>98.19</v>
      </c>
      <c r="M108" s="12" t="n">
        <v>9.81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I5 60€</t>
        </is>
      </c>
      <c r="F109" s="23">
        <f>IFERROR(INDEX(Tariffe!$B$2:$B$200,MATCH(E109,Tariffe!$A$2:$A$200,0)),"DA DEFINIRE")</f>
        <v/>
      </c>
      <c r="G109" s="16" t="n">
        <v>60</v>
      </c>
      <c r="H109" s="15">
        <f>Q109*R109</f>
        <v/>
      </c>
      <c r="I109" s="15" t="n">
        <v>0</v>
      </c>
      <c r="J109" s="16" t="n">
        <v>180</v>
      </c>
      <c r="K109" s="16" t="n">
        <v>0</v>
      </c>
      <c r="L109" s="16" t="n">
        <v>163.65</v>
      </c>
      <c r="M109" s="16" t="n">
        <v>16.35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3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I8 24€</t>
        </is>
      </c>
      <c r="F110" s="22">
        <f>IFERROR(INDEX(Tariffe!$B$2:$B$200,MATCH(E110,Tariffe!$A$2:$A$200,0)),"DA DEFINIRE")</f>
        <v/>
      </c>
      <c r="G110" s="12" t="n">
        <v>24</v>
      </c>
      <c r="H110" s="11">
        <f>Q110*R110</f>
        <v/>
      </c>
      <c r="I110" s="11" t="n">
        <v>0</v>
      </c>
      <c r="J110" s="12" t="n">
        <v>480</v>
      </c>
      <c r="K110" s="12" t="n">
        <v>0</v>
      </c>
      <c r="L110" s="12" t="n">
        <v>436.4</v>
      </c>
      <c r="M110" s="12" t="n">
        <v>43.6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20</v>
      </c>
      <c r="R110" s="11">
        <f>IFERROR(INDEX(Tariffe!$E$2:$E$200,MATCH(E110,Tariffe!$A$2:$A$200,0))*1,1)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I1 48€</t>
        </is>
      </c>
      <c r="F111" s="23">
        <f>IFERROR(INDEX(Tariffe!$B$2:$B$200,MATCH(E111,Tariffe!$A$2:$A$200,0)),"DA DEFINIRE")</f>
        <v/>
      </c>
      <c r="G111" s="16" t="n">
        <v>48</v>
      </c>
      <c r="H111" s="15">
        <f>Q111*R111</f>
        <v/>
      </c>
      <c r="I111" s="15" t="n">
        <v>0</v>
      </c>
      <c r="J111" s="16" t="n">
        <v>912</v>
      </c>
      <c r="K111" s="16" t="n">
        <v>0</v>
      </c>
      <c r="L111" s="16" t="n">
        <v>829.16</v>
      </c>
      <c r="M111" s="16" t="n">
        <v>82.84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19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I2 36€</t>
        </is>
      </c>
      <c r="F112" s="22">
        <f>IFERROR(INDEX(Tariffe!$B$2:$B$200,MATCH(E112,Tariffe!$A$2:$A$200,0)),"DA DEFINIRE")</f>
        <v/>
      </c>
      <c r="G112" s="12" t="n">
        <v>36</v>
      </c>
      <c r="H112" s="11">
        <f>Q112*R112</f>
        <v/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1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I5 60€</t>
        </is>
      </c>
      <c r="F113" s="23">
        <f>IFERROR(INDEX(Tariffe!$B$2:$B$200,MATCH(E113,Tariffe!$A$2:$A$200,0)),"DA DEFINIRE")</f>
        <v/>
      </c>
      <c r="G113" s="16" t="n">
        <v>60</v>
      </c>
      <c r="H113" s="15">
        <f>Q113*R113</f>
        <v/>
      </c>
      <c r="I113" s="15" t="n">
        <v>0</v>
      </c>
      <c r="J113" s="16" t="n">
        <v>120</v>
      </c>
      <c r="K113" s="16" t="n">
        <v>0</v>
      </c>
      <c r="L113" s="16" t="n">
        <v>109.1</v>
      </c>
      <c r="M113" s="16" t="n">
        <v>10.9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2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I8 24€</t>
        </is>
      </c>
      <c r="F114" s="22">
        <f>IFERROR(INDEX(Tariffe!$B$2:$B$200,MATCH(E114,Tariffe!$A$2:$A$200,0)),"DA DEFINIRE")</f>
        <v/>
      </c>
      <c r="G114" s="12" t="n">
        <v>24</v>
      </c>
      <c r="H114" s="11">
        <f>Q114*R114</f>
        <v/>
      </c>
      <c r="I114" s="11" t="n">
        <v>0</v>
      </c>
      <c r="J114" s="12" t="n">
        <v>336</v>
      </c>
      <c r="K114" s="12" t="n">
        <v>0</v>
      </c>
      <c r="L114" s="12" t="n">
        <v>305.48</v>
      </c>
      <c r="M114" s="12" t="n">
        <v>30.52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14</v>
      </c>
      <c r="R114" s="11">
        <f>IFERROR(INDEX(Tariffe!$E$2:$E$200,MATCH(E114,Tariffe!$A$2:$A$200,0))*1,1)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I1 48€</t>
        </is>
      </c>
      <c r="F115" s="23">
        <f>IFERROR(INDEX(Tariffe!$B$2:$B$200,MATCH(E115,Tariffe!$A$2:$A$200,0)),"DA DEFINIRE")</f>
        <v/>
      </c>
      <c r="G115" s="16" t="n">
        <v>48</v>
      </c>
      <c r="H115" s="15">
        <f>Q115*R115</f>
        <v/>
      </c>
      <c r="I115" s="15" t="n">
        <v>0</v>
      </c>
      <c r="J115" s="16" t="n">
        <v>144</v>
      </c>
      <c r="K115" s="16" t="n">
        <v>0</v>
      </c>
      <c r="L115" s="16" t="n">
        <v>130.92</v>
      </c>
      <c r="M115" s="16" t="n">
        <v>13.08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3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I2 36€</t>
        </is>
      </c>
      <c r="F116" s="22">
        <f>IFERROR(INDEX(Tariffe!$B$2:$B$200,MATCH(E116,Tariffe!$A$2:$A$200,0)),"DA DEFINIRE")</f>
        <v/>
      </c>
      <c r="G116" s="12" t="n">
        <v>36</v>
      </c>
      <c r="H116" s="11">
        <f>Q116*R116</f>
        <v/>
      </c>
      <c r="I116" s="11" t="n">
        <v>0</v>
      </c>
      <c r="J116" s="12" t="n">
        <v>36</v>
      </c>
      <c r="K116" s="12" t="n">
        <v>0</v>
      </c>
      <c r="L116" s="12" t="n">
        <v>32.73</v>
      </c>
      <c r="M116" s="12" t="n">
        <v>3.27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1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72</v>
      </c>
      <c r="K117" s="16" t="n">
        <v>0</v>
      </c>
      <c r="L117" s="16" t="n">
        <v>65.45999999999999</v>
      </c>
      <c r="M117" s="16" t="n">
        <v>6.54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3</v>
      </c>
      <c r="R117" s="15">
        <f>IFERROR(INDEX(Tariffe!$E$2:$E$200,MATCH(E117,Tariffe!$A$2:$A$200,0))*1,1)</f>
        <v/>
      </c>
    </row>
    <row r="118">
      <c r="A118" s="22" t="inlineStr">
        <is>
          <t>20261101_2115</t>
        </is>
      </c>
      <c r="B118" s="9" t="n">
        <v>46327</v>
      </c>
      <c r="C118" s="10" t="n">
        <v>0.8854166666666666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192</v>
      </c>
      <c r="K118" s="12" t="n">
        <v>0</v>
      </c>
      <c r="L118" s="12" t="n">
        <v>174.56</v>
      </c>
      <c r="M118" s="12" t="n">
        <v>17.44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</v>
      </c>
      <c r="R118" s="11">
        <f>IFERROR(INDEX(Tariffe!$E$2:$E$200,MATCH(E118,Tariffe!$A$2:$A$200,0))*1,1)</f>
        <v/>
      </c>
    </row>
    <row r="119">
      <c r="A119" s="23" t="inlineStr">
        <is>
          <t>20261101_2115</t>
        </is>
      </c>
      <c r="B119" s="13" t="n">
        <v>46327</v>
      </c>
      <c r="C119" s="14" t="n">
        <v>0.8854166666666666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144</v>
      </c>
      <c r="K119" s="16" t="n">
        <v>0</v>
      </c>
      <c r="L119" s="16" t="n">
        <v>130.92</v>
      </c>
      <c r="M119" s="16" t="n">
        <v>13.08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4</v>
      </c>
      <c r="R119" s="15">
        <f>IFERROR(INDEX(Tariffe!$E$2:$E$200,MATCH(E119,Tariffe!$A$2:$A$200,0))*1,1)</f>
        <v/>
      </c>
    </row>
    <row r="120">
      <c r="A120" s="22" t="inlineStr">
        <is>
          <t>20261101_2115</t>
        </is>
      </c>
      <c r="B120" s="9" t="n">
        <v>46327</v>
      </c>
      <c r="C120" s="10" t="n">
        <v>0.8854166666666666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216</v>
      </c>
      <c r="K120" s="12" t="n">
        <v>0</v>
      </c>
      <c r="L120" s="12" t="n">
        <v>196.38</v>
      </c>
      <c r="M120" s="12" t="n">
        <v>19.62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9</v>
      </c>
      <c r="R120" s="11">
        <f>IFERROR(INDEX(Tariffe!$E$2:$E$200,MATCH(E120,Tariffe!$A$2:$A$200,0))*1,1)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I1 48€</t>
        </is>
      </c>
      <c r="F121" s="23">
        <f>IFERROR(INDEX(Tariffe!$B$2:$B$200,MATCH(E121,Tariffe!$A$2:$A$200,0)),"DA DEFINIRE")</f>
        <v/>
      </c>
      <c r="G121" s="16" t="n">
        <v>48</v>
      </c>
      <c r="H121" s="15">
        <f>Q121*R121</f>
        <v/>
      </c>
      <c r="I121" s="15" t="n">
        <v>0</v>
      </c>
      <c r="J121" s="16" t="n">
        <v>144</v>
      </c>
      <c r="K121" s="16" t="n">
        <v>0</v>
      </c>
      <c r="L121" s="16" t="n">
        <v>130.92</v>
      </c>
      <c r="M121" s="16" t="n">
        <v>13.08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</v>
      </c>
      <c r="R121" s="15">
        <f>IFERROR(INDEX(Tariffe!$E$2:$E$200,MATCH(E121,Tariffe!$A$2:$A$200,0))*1,1)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I2 36€</t>
        </is>
      </c>
      <c r="F122" s="22">
        <f>IFERROR(INDEX(Tariffe!$B$2:$B$200,MATCH(E122,Tariffe!$A$2:$A$200,0)),"DA DEFINIRE")</f>
        <v/>
      </c>
      <c r="G122" s="12" t="n">
        <v>36</v>
      </c>
      <c r="H122" s="11">
        <f>Q122*R122</f>
        <v/>
      </c>
      <c r="I122" s="11" t="n">
        <v>0</v>
      </c>
      <c r="J122" s="12" t="n">
        <v>108</v>
      </c>
      <c r="K122" s="12" t="n">
        <v>0</v>
      </c>
      <c r="L122" s="12" t="n">
        <v>98.19</v>
      </c>
      <c r="M122" s="12" t="n">
        <v>9.81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3</v>
      </c>
      <c r="R122" s="11">
        <f>IFERROR(INDEX(Tariffe!$E$2:$E$200,MATCH(E122,Tariffe!$A$2:$A$200,0))*1,1)</f>
        <v/>
      </c>
    </row>
    <row r="123">
      <c r="A123" s="23" t="inlineStr">
        <is>
          <t>20261101_2215</t>
        </is>
      </c>
      <c r="B123" s="13" t="n">
        <v>46327</v>
      </c>
      <c r="C123" s="14" t="n">
        <v>0.9270833333333334</v>
      </c>
      <c r="D123" s="23" t="inlineStr">
        <is>
          <t>UN Unico</t>
        </is>
      </c>
      <c r="E123" s="23" t="inlineStr">
        <is>
          <t>I5 60€</t>
        </is>
      </c>
      <c r="F123" s="23">
        <f>IFERROR(INDEX(Tariffe!$B$2:$B$200,MATCH(E123,Tariffe!$A$2:$A$200,0)),"DA DEFINIRE")</f>
        <v/>
      </c>
      <c r="G123" s="16" t="n">
        <v>60</v>
      </c>
      <c r="H123" s="15">
        <f>Q123*R123</f>
        <v/>
      </c>
      <c r="I123" s="15" t="n">
        <v>0</v>
      </c>
      <c r="J123" s="16" t="n">
        <v>60</v>
      </c>
      <c r="K123" s="16" t="n">
        <v>0</v>
      </c>
      <c r="L123" s="16" t="n">
        <v>54.55</v>
      </c>
      <c r="M123" s="16" t="n">
        <v>5.45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20261101_2215</t>
        </is>
      </c>
      <c r="B124" s="9" t="n">
        <v>46327</v>
      </c>
      <c r="C124" s="10" t="n">
        <v>0.9270833333333334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168</v>
      </c>
      <c r="K124" s="12" t="n">
        <v>0</v>
      </c>
      <c r="L124" s="12" t="n">
        <v>152.74</v>
      </c>
      <c r="M124" s="12" t="n">
        <v>15.26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7</v>
      </c>
      <c r="R124" s="11">
        <f>IFERROR(INDEX(Tariffe!$E$2:$E$200,MATCH(E124,Tariffe!$A$2:$A$200,0))*1,1)</f>
        <v/>
      </c>
    </row>
    <row r="125">
      <c r="A125" s="23" t="inlineStr">
        <is>
          <t>20261101_2315</t>
        </is>
      </c>
      <c r="B125" s="13" t="n">
        <v>46327</v>
      </c>
      <c r="C125" s="14" t="n">
        <v>0.96875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72</v>
      </c>
      <c r="K125" s="16" t="n">
        <v>0</v>
      </c>
      <c r="L125" s="16" t="n">
        <v>65.45999999999999</v>
      </c>
      <c r="M125" s="16" t="n">
        <v>6.54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</v>
      </c>
      <c r="R125" s="15">
        <f>IFERROR(INDEX(Tariffe!$E$2:$E$200,MATCH(E125,Tariffe!$A$2:$A$200,0))*1,1)</f>
        <v/>
      </c>
    </row>
    <row r="126">
      <c r="A126" s="22" t="inlineStr">
        <is>
          <t>20261101_2315</t>
        </is>
      </c>
      <c r="B126" s="9" t="n">
        <v>46327</v>
      </c>
      <c r="C126" s="10" t="n">
        <v>0.96875</v>
      </c>
      <c r="D126" s="22" t="inlineStr">
        <is>
          <t>UN Unico</t>
        </is>
      </c>
      <c r="E126" s="22" t="inlineStr">
        <is>
          <t>I8 24€</t>
        </is>
      </c>
      <c r="F126" s="22">
        <f>IFERROR(INDEX(Tariffe!$B$2:$B$200,MATCH(E126,Tariffe!$A$2:$A$200,0)),"DA DEFINIRE")</f>
        <v/>
      </c>
      <c r="G126" s="12" t="n">
        <v>24</v>
      </c>
      <c r="H126" s="11">
        <f>Q126*R126</f>
        <v/>
      </c>
      <c r="I126" s="11" t="n">
        <v>0</v>
      </c>
      <c r="J126" s="12" t="n">
        <v>48</v>
      </c>
      <c r="K126" s="12" t="n">
        <v>0</v>
      </c>
      <c r="L126" s="12" t="n">
        <v>43.64</v>
      </c>
      <c r="M126" s="12" t="n">
        <v>4.36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20261101_2359</t>
        </is>
      </c>
      <c r="B127" s="13" t="n">
        <v>46327</v>
      </c>
      <c r="C127" s="14" t="n">
        <v>0.9993055555555556</v>
      </c>
      <c r="D127" s="23" t="inlineStr">
        <is>
          <t>UN Unico</t>
        </is>
      </c>
      <c r="E127" s="23" t="inlineStr">
        <is>
          <t>I5 60€</t>
        </is>
      </c>
      <c r="F127" s="23">
        <f>IFERROR(INDEX(Tariffe!$B$2:$B$200,MATCH(E127,Tariffe!$A$2:$A$200,0)),"DA DEFINIRE")</f>
        <v/>
      </c>
      <c r="G127" s="16" t="n">
        <v>60</v>
      </c>
      <c r="H127" s="15">
        <f>Q127*R127</f>
        <v/>
      </c>
      <c r="I127" s="15" t="n">
        <v>0</v>
      </c>
      <c r="J127" s="16" t="n">
        <v>60</v>
      </c>
      <c r="K127" s="16" t="n">
        <v>0</v>
      </c>
      <c r="L127" s="16" t="n">
        <v>54.55</v>
      </c>
      <c r="M127" s="16" t="n">
        <v>5.45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</v>
      </c>
      <c r="R127" s="15">
        <f>IFERROR(INDEX(Tariffe!$E$2:$E$200,MATCH(E127,Tariffe!$A$2:$A$200,0))*1,1)</f>
        <v/>
      </c>
    </row>
    <row r="128">
      <c r="A128" s="22" t="inlineStr">
        <is>
          <t>20261101_2359</t>
        </is>
      </c>
      <c r="B128" s="9" t="n">
        <v>46327</v>
      </c>
      <c r="C128" s="10" t="n">
        <v>0.9993055555555556</v>
      </c>
      <c r="D128" s="22" t="inlineStr">
        <is>
          <t>UN Unico</t>
        </is>
      </c>
      <c r="E128" s="22" t="inlineStr">
        <is>
          <t>I8 24€</t>
        </is>
      </c>
      <c r="F128" s="22">
        <f>IFERROR(INDEX(Tariffe!$B$2:$B$200,MATCH(E128,Tariffe!$A$2:$A$200,0)),"DA DEFINIRE")</f>
        <v/>
      </c>
      <c r="G128" s="12" t="n">
        <v>24</v>
      </c>
      <c r="H128" s="11">
        <f>Q128*R128</f>
        <v/>
      </c>
      <c r="I128" s="11" t="n">
        <v>0</v>
      </c>
      <c r="J128" s="12" t="n">
        <v>24</v>
      </c>
      <c r="K128" s="12" t="n">
        <v>0</v>
      </c>
      <c r="L128" s="12" t="n">
        <v>21.82</v>
      </c>
      <c r="M128" s="12" t="n">
        <v>2.18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</v>
      </c>
      <c r="R128" s="11">
        <f>IFERROR(INDEX(Tariffe!$E$2:$E$200,MATCH(E128,Tariffe!$A$2:$A$200,0))*1,1)</f>
        <v/>
      </c>
    </row>
    <row r="129">
      <c r="A129" s="23" t="inlineStr">
        <is>
          <t>20261102_2015</t>
        </is>
      </c>
      <c r="B129" s="13" t="n">
        <v>46328</v>
      </c>
      <c r="C129" s="14" t="n">
        <v>0.84375</v>
      </c>
      <c r="D129" s="23" t="inlineStr">
        <is>
          <t>UN Unico</t>
        </is>
      </c>
      <c r="E129" s="23" t="inlineStr">
        <is>
          <t>I1 15€</t>
        </is>
      </c>
      <c r="F129" s="23">
        <f>IFERROR(INDEX(Tariffe!$B$2:$B$200,MATCH(E129,Tariffe!$A$2:$A$200,0)),"DA DEFINIRE")</f>
        <v/>
      </c>
      <c r="G129" s="16" t="n">
        <v>15</v>
      </c>
      <c r="H129" s="15">
        <f>Q129*R129</f>
        <v/>
      </c>
      <c r="I129" s="15" t="n">
        <v>0</v>
      </c>
      <c r="J129" s="16" t="n">
        <v>30</v>
      </c>
      <c r="K129" s="16" t="n">
        <v>0</v>
      </c>
      <c r="L129" s="16" t="n">
        <v>27.28</v>
      </c>
      <c r="M129" s="16" t="n">
        <v>2.72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20261102_2215</t>
        </is>
      </c>
      <c r="B130" s="9" t="n">
        <v>46328</v>
      </c>
      <c r="C130" s="10" t="n">
        <v>0.9270833333333334</v>
      </c>
      <c r="D130" s="22" t="inlineStr">
        <is>
          <t>UN Unico</t>
        </is>
      </c>
      <c r="E130" s="22" t="inlineStr">
        <is>
          <t>I1 15€</t>
        </is>
      </c>
      <c r="F130" s="22">
        <f>IFERROR(INDEX(Tariffe!$B$2:$B$200,MATCH(E130,Tariffe!$A$2:$A$200,0)),"DA DEFINIRE")</f>
        <v/>
      </c>
      <c r="G130" s="12" t="n">
        <v>15</v>
      </c>
      <c r="H130" s="11">
        <f>Q130*R130</f>
        <v/>
      </c>
      <c r="I130" s="11" t="n">
        <v>0</v>
      </c>
      <c r="J130" s="12" t="n">
        <v>45</v>
      </c>
      <c r="K130" s="12" t="n">
        <v>0</v>
      </c>
      <c r="L130" s="12" t="n">
        <v>40.92</v>
      </c>
      <c r="M130" s="12" t="n">
        <v>4.08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3</v>
      </c>
      <c r="R130" s="11">
        <f>IFERROR(INDEX(Tariffe!$E$2:$E$200,MATCH(E130,Tariffe!$A$2:$A$200,0))*1,1)</f>
        <v/>
      </c>
    </row>
    <row r="131">
      <c r="A131" s="23" t="inlineStr">
        <is>
          <t>20261102_2315</t>
        </is>
      </c>
      <c r="B131" s="13" t="n">
        <v>46328</v>
      </c>
      <c r="C131" s="14" t="n">
        <v>0.96875</v>
      </c>
      <c r="D131" s="23" t="inlineStr">
        <is>
          <t>UN Unico</t>
        </is>
      </c>
      <c r="E131" s="23" t="inlineStr">
        <is>
          <t>I1 15€</t>
        </is>
      </c>
      <c r="F131" s="23">
        <f>IFERROR(INDEX(Tariffe!$B$2:$B$200,MATCH(E131,Tariffe!$A$2:$A$200,0)),"DA DEFINIRE")</f>
        <v/>
      </c>
      <c r="G131" s="16" t="n">
        <v>15</v>
      </c>
      <c r="H131" s="15">
        <f>Q131*R131</f>
        <v/>
      </c>
      <c r="I131" s="15" t="n">
        <v>0</v>
      </c>
      <c r="J131" s="16" t="n">
        <v>45</v>
      </c>
      <c r="K131" s="16" t="n">
        <v>0</v>
      </c>
      <c r="L131" s="16" t="n">
        <v>40.92</v>
      </c>
      <c r="M131" s="16" t="n">
        <v>4.08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3</v>
      </c>
      <c r="R131" s="15">
        <f>IFERROR(INDEX(Tariffe!$E$2:$E$200,MATCH(E131,Tariffe!$A$2:$A$200,0))*1,1)</f>
        <v/>
      </c>
    </row>
    <row r="132">
      <c r="A132" s="22" t="inlineStr">
        <is>
          <t>20261102_2359</t>
        </is>
      </c>
      <c r="B132" s="9" t="n">
        <v>46328</v>
      </c>
      <c r="C132" s="10" t="n">
        <v>0.9993055555555556</v>
      </c>
      <c r="D132" s="22" t="inlineStr">
        <is>
          <t>UN Unico</t>
        </is>
      </c>
      <c r="E132" s="22" t="inlineStr">
        <is>
          <t>I1 15€</t>
        </is>
      </c>
      <c r="F132" s="22">
        <f>IFERROR(INDEX(Tariffe!$B$2:$B$200,MATCH(E132,Tariffe!$A$2:$A$200,0)),"DA DEFINIRE")</f>
        <v/>
      </c>
      <c r="G132" s="12" t="n">
        <v>15</v>
      </c>
      <c r="H132" s="11">
        <f>Q132*R132</f>
        <v/>
      </c>
      <c r="I132" s="11" t="n">
        <v>0</v>
      </c>
      <c r="J132" s="12" t="n">
        <v>15</v>
      </c>
      <c r="K132" s="12" t="n">
        <v>0</v>
      </c>
      <c r="L132" s="12" t="n">
        <v>13.64</v>
      </c>
      <c r="M132" s="12" t="n">
        <v>1.36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1</v>
      </c>
      <c r="R132" s="11">
        <f>IFERROR(INDEX(Tariffe!$E$2:$E$200,MATCH(E132,Tariffe!$A$2:$A$200,0))*1,1)</f>
        <v/>
      </c>
    </row>
  </sheetData>
  <autoFilter ref="A1:R13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</sheetData>
  <autoFilter ref="A1:G69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</sheetData>
  <autoFilter ref="A1:K99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442</v>
      </c>
      <c r="M10" s="11" t="n">
        <v>1391</v>
      </c>
      <c r="N10" s="12" t="n">
        <v>16692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11</v>
      </c>
      <c r="H12" s="11" t="n">
        <v>29</v>
      </c>
      <c r="I12" s="12" t="n">
        <v>348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23</v>
      </c>
      <c r="H13" s="11" t="n">
        <v>70</v>
      </c>
      <c r="I13" s="12" t="n">
        <v>840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39</v>
      </c>
      <c r="H14" s="11" t="n">
        <v>121</v>
      </c>
      <c r="I14" s="12" t="n">
        <v>1452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53</v>
      </c>
      <c r="H15" s="11" t="n">
        <v>156</v>
      </c>
      <c r="I15" s="12" t="n">
        <v>1872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56</v>
      </c>
      <c r="H16" s="11" t="n">
        <v>171</v>
      </c>
      <c r="I16" s="12" t="n">
        <v>2052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70</v>
      </c>
      <c r="H17" s="11" t="n">
        <v>198</v>
      </c>
      <c r="I17" s="12" t="n">
        <v>2376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106</v>
      </c>
      <c r="H18" s="11" t="n">
        <v>335</v>
      </c>
      <c r="I18" s="12" t="n">
        <v>4020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83</v>
      </c>
      <c r="H19" s="11" t="n">
        <v>265</v>
      </c>
      <c r="I19" s="12" t="n">
        <v>3180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125</v>
      </c>
      <c r="H20" s="11" t="n">
        <v>395</v>
      </c>
      <c r="I20" s="12" t="n">
        <v>4740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91</v>
      </c>
      <c r="H21" s="11" t="n">
        <v>257</v>
      </c>
      <c r="I21" s="12" t="n">
        <v>3084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156</v>
      </c>
      <c r="H22" s="11" t="n">
        <v>476</v>
      </c>
      <c r="I22" s="12" t="n">
        <v>5712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128</v>
      </c>
      <c r="H23" s="11" t="n">
        <v>393</v>
      </c>
      <c r="I23" s="12" t="n">
        <v>4716</v>
      </c>
    </row>
    <row r="24">
      <c r="A24" s="9" t="n">
        <v>46320</v>
      </c>
      <c r="B24" s="11" t="n">
        <v>365</v>
      </c>
      <c r="C24" s="11" t="n">
        <v>1142</v>
      </c>
      <c r="D24" s="12" t="n">
        <v>13704</v>
      </c>
      <c r="F24" s="38" t="inlineStr">
        <is>
          <t>20:00-21:00</t>
        </is>
      </c>
      <c r="G24" s="11" t="n">
        <v>87</v>
      </c>
      <c r="H24" s="11" t="n">
        <v>256</v>
      </c>
      <c r="I24" s="12" t="n">
        <v>3078</v>
      </c>
    </row>
    <row r="25">
      <c r="F25" s="38" t="inlineStr">
        <is>
          <t>21:00-22:00</t>
        </is>
      </c>
      <c r="G25" s="11" t="n">
        <v>127</v>
      </c>
      <c r="H25" s="11" t="n">
        <v>388</v>
      </c>
      <c r="I25" s="12" t="n">
        <v>4662</v>
      </c>
    </row>
    <row r="26">
      <c r="F26" s="38" t="inlineStr">
        <is>
          <t>22:00-23:00</t>
        </is>
      </c>
      <c r="G26" s="11" t="n">
        <v>121</v>
      </c>
      <c r="H26" s="11" t="n">
        <v>363</v>
      </c>
      <c r="I26" s="12" t="n">
        <v>4362</v>
      </c>
    </row>
    <row r="27">
      <c r="F27" s="38" t="inlineStr">
        <is>
          <t>23:00-00:00</t>
        </is>
      </c>
      <c r="G27" s="11" t="n">
        <v>37</v>
      </c>
      <c r="H27" s="11" t="n">
        <v>126</v>
      </c>
      <c r="I27" s="12" t="n">
        <v>1521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2026-10-25T20:41:07Z</dcterms:created>
  <dcterms:modified xsi:type="dcterms:W3CDTF">2026-10-25T20:41:08Z</dcterms:modified>
</cp:coreProperties>
</file>