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'Storico'!$A$1:$G$173</definedName>
    <definedName name="_xlnm._FilterDatabase" localSheetId="8" hidden="1">'Registro vendite'!$A$1:$K$129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'Storico'!$H$2:$H$173</f>
            </numRef>
          </cat>
          <val>
            <numRef>
              <f>'Storico'!$C$2:$C$173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vendite'!$A$4:$A$9</f>
            </numRef>
          </cat>
          <val>
            <numRef>
              <f>'Picchi vendite'!$B$4:$B$9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MAX(Storico!A2:A173)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4</v>
      </c>
      <c r="I6" s="11" t="n">
        <v>0</v>
      </c>
      <c r="J6" s="12" t="n">
        <v>96</v>
      </c>
      <c r="K6" s="12" t="n">
        <v>0</v>
      </c>
      <c r="L6" s="12" t="n">
        <v>87.28</v>
      </c>
      <c r="M6" s="12" t="n">
        <v>8.720000000000001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8</v>
      </c>
      <c r="I7" s="15" t="n">
        <v>0</v>
      </c>
      <c r="J7" s="16" t="n">
        <v>384</v>
      </c>
      <c r="K7" s="16" t="n">
        <v>0</v>
      </c>
      <c r="L7" s="16" t="n">
        <v>349.12</v>
      </c>
      <c r="M7" s="16" t="n">
        <v>34.88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5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2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6</v>
      </c>
      <c r="I24" s="11" t="n">
        <v>0</v>
      </c>
      <c r="J24" s="12" t="n">
        <v>144</v>
      </c>
      <c r="K24" s="12" t="n">
        <v>0</v>
      </c>
      <c r="L24" s="12" t="n">
        <v>130.92</v>
      </c>
      <c r="M24" s="12" t="n">
        <v>13.08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20261025_2115</t>
        </is>
      </c>
      <c r="B33" s="13" t="n">
        <v>46320</v>
      </c>
      <c r="C33" s="14" t="n">
        <v>0.8854166666666666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20261025_2215</t>
        </is>
      </c>
      <c r="B35" s="13" t="n">
        <v>46320</v>
      </c>
      <c r="C35" s="14" t="n">
        <v>0.9270833333333334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2</v>
      </c>
      <c r="I35" s="15" t="n">
        <v>0</v>
      </c>
      <c r="J35" s="16" t="n">
        <v>48</v>
      </c>
      <c r="K35" s="16" t="n">
        <v>0</v>
      </c>
      <c r="L35" s="16" t="n">
        <v>43.64</v>
      </c>
      <c r="M35" s="16" t="n">
        <v>4.36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20261025_2315</t>
        </is>
      </c>
      <c r="B36" s="9" t="n">
        <v>46320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20261025_2359</t>
        </is>
      </c>
      <c r="B37" s="13" t="n">
        <v>46320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20261029_2015</t>
        </is>
      </c>
      <c r="B38" s="9" t="n">
        <v>46324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1</v>
      </c>
      <c r="I41" s="15" t="n">
        <v>0</v>
      </c>
      <c r="J41" s="16" t="n">
        <v>36</v>
      </c>
      <c r="K41" s="16" t="n">
        <v>0</v>
      </c>
      <c r="L41" s="16" t="n">
        <v>32.73</v>
      </c>
      <c r="M41" s="16" t="n">
        <v>3.27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4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20261029_2315</t>
        </is>
      </c>
      <c r="B43" s="13" t="n">
        <v>46324</v>
      </c>
      <c r="C43" s="14" t="n">
        <v>0.96875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2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1</v>
      </c>
      <c r="I44" s="11" t="n">
        <v>0</v>
      </c>
      <c r="J44" s="12" t="n">
        <v>60</v>
      </c>
      <c r="K44" s="12" t="n">
        <v>0</v>
      </c>
      <c r="L44" s="12" t="n">
        <v>54.55</v>
      </c>
      <c r="M44" s="12" t="n">
        <v>5.45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20261029_2359</t>
        </is>
      </c>
      <c r="B45" s="13" t="n">
        <v>46324</v>
      </c>
      <c r="C45" s="14" t="n">
        <v>0.9993055555555556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20261030_2015</t>
        </is>
      </c>
      <c r="B46" s="9" t="n">
        <v>46325</v>
      </c>
      <c r="C46" s="10" t="n">
        <v>0.84375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20261030_2115</t>
        </is>
      </c>
      <c r="B47" s="13" t="n">
        <v>46325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20261030_2215</t>
        </is>
      </c>
      <c r="B48" s="9" t="n">
        <v>46325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1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20261030_2315</t>
        </is>
      </c>
      <c r="B50" s="9" t="n">
        <v>46325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2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20261030_2359</t>
        </is>
      </c>
      <c r="B53" s="13" t="n">
        <v>46325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20261031_2015</t>
        </is>
      </c>
      <c r="B54" s="9" t="n">
        <v>46326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20261031_2115</t>
        </is>
      </c>
      <c r="B56" s="9" t="n">
        <v>46326</v>
      </c>
      <c r="C56" s="10" t="n">
        <v>0.8854166666666666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20261031_2215</t>
        </is>
      </c>
      <c r="B58" s="9" t="n">
        <v>46326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2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20261031_2315</t>
        </is>
      </c>
      <c r="B60" s="9" t="n">
        <v>46326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4</v>
      </c>
      <c r="I60" s="11" t="n">
        <v>0</v>
      </c>
      <c r="J60" s="12" t="n">
        <v>192</v>
      </c>
      <c r="K60" s="12" t="n">
        <v>0</v>
      </c>
      <c r="L60" s="12" t="n">
        <v>174.56</v>
      </c>
      <c r="M60" s="12" t="n">
        <v>17.44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20261031_2359</t>
        </is>
      </c>
      <c r="B62" s="9" t="n">
        <v>46326</v>
      </c>
      <c r="C62" s="10" t="n">
        <v>0.9993055555555556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2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20261101_2015</t>
        </is>
      </c>
      <c r="B64" s="9" t="n">
        <v>46327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11/2026</t>
        </is>
      </c>
      <c r="O64" s="11">
        <f>IFERROR(INDEX(Tariffe!$D$2:$D$200,MATCH(E64,Tariffe!$A$2:$A$200,0))*1,0)</f>
        <v/>
      </c>
      <c r="P64" s="11">
        <f>H64*O64</f>
        <v/>
      </c>
    </row>
  </sheetData>
  <autoFilter ref="A1:P6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</sheetData>
  <autoFilter ref="A1:G17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</sheetData>
  <autoFilter ref="A1:K12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3</v>
      </c>
      <c r="C9" s="11" t="n">
        <v>9</v>
      </c>
      <c r="D9" s="12" t="n">
        <v>108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</v>
      </c>
      <c r="M9" s="11" t="n">
        <v>9</v>
      </c>
      <c r="N9" s="12" t="n">
        <v>108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9</v>
      </c>
      <c r="H23" s="11" t="n">
        <v>30</v>
      </c>
      <c r="I23" s="12" t="n">
        <v>360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15</v>
      </c>
      <c r="H25" s="11" t="n">
        <v>48</v>
      </c>
      <c r="I25" s="12" t="n">
        <v>576</v>
      </c>
    </row>
    <row r="26">
      <c r="F26" s="38" t="inlineStr">
        <is>
          <t>22:00-23:00</t>
        </is>
      </c>
      <c r="G26" s="11" t="n">
        <v>27</v>
      </c>
      <c r="H26" s="11" t="n">
        <v>77</v>
      </c>
      <c r="I26" s="12" t="n">
        <v>924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2026-10-10T01:17:26Z</dcterms:created>
  <dcterms:modified xsi:type="dcterms:W3CDTF">2026-10-10T01:17:26Z</dcterms:modified>
</cp:coreProperties>
</file>