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'Tariffe'!$A$1:$D$4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'Vendite'!$A$1:$P$20</definedName>
    <definedName name="_xlnm._FilterDatabase" localSheetId="5" hidden="1">'Per tariffa'!$A$1:$G$4</definedName>
    <definedName name="_xlnm._FilterDatabase" localSheetId="6" hidden="1">'Per serata'!$A$1:$S$8</definedName>
    <definedName name="_xlnm._FilterDatabase" localSheetId="7" hidden="1">'Storico'!$A$1:$G$17</definedName>
    <definedName name="_xlnm._FilterDatabase" localSheetId="8" hidden="1">'Registro vendite'!$A$1:$K$24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'Storico'!$H$2:$H$17</f>
            </numRef>
          </cat>
          <val>
            <numRef>
              <f>'Storico'!$C$2:$C$17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</f>
            </numRef>
          </cat>
          <val>
            <numRef>
              <f>'Picchi vendite'!$B$4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</sheetData>
  <autoFilter ref="A1:D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1</v>
      </c>
      <c r="I2" s="11" t="n">
        <v>0</v>
      </c>
      <c r="J2" s="12" t="n">
        <v>24</v>
      </c>
      <c r="K2" s="12" t="n">
        <v>0</v>
      </c>
      <c r="L2" s="12" t="n">
        <v>21.82</v>
      </c>
      <c r="M2" s="12" t="n">
        <v>2.18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2</v>
      </c>
      <c r="I4" s="11" t="n">
        <v>0</v>
      </c>
      <c r="J4" s="12" t="n">
        <v>48</v>
      </c>
      <c r="K4" s="12" t="n">
        <v>0</v>
      </c>
      <c r="L4" s="12" t="n">
        <v>43.64</v>
      </c>
      <c r="M4" s="12" t="n">
        <v>4.36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1</v>
      </c>
      <c r="I5" s="15" t="n">
        <v>0</v>
      </c>
      <c r="J5" s="16" t="n">
        <v>48</v>
      </c>
      <c r="K5" s="16" t="n">
        <v>0</v>
      </c>
      <c r="L5" s="16" t="n">
        <v>43.64</v>
      </c>
      <c r="M5" s="16" t="n">
        <v>4.36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1</v>
      </c>
      <c r="I6" s="11" t="n">
        <v>0</v>
      </c>
      <c r="J6" s="12" t="n">
        <v>24</v>
      </c>
      <c r="K6" s="12" t="n">
        <v>0</v>
      </c>
      <c r="L6" s="12" t="n">
        <v>21.82</v>
      </c>
      <c r="M6" s="12" t="n">
        <v>2.18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20261023_2315</t>
        </is>
      </c>
      <c r="B7" s="13" t="n">
        <v>46318</v>
      </c>
      <c r="C7" s="14" t="n">
        <v>0.96875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2</v>
      </c>
      <c r="I7" s="15" t="n">
        <v>0</v>
      </c>
      <c r="J7" s="16" t="n">
        <v>48</v>
      </c>
      <c r="K7" s="16" t="n">
        <v>0</v>
      </c>
      <c r="L7" s="16" t="n">
        <v>43.64</v>
      </c>
      <c r="M7" s="16" t="n">
        <v>4.36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20261023_2358</t>
        </is>
      </c>
      <c r="B8" s="9" t="n">
        <v>46318</v>
      </c>
      <c r="C8" s="10" t="n">
        <v>0.9986111111111111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2</v>
      </c>
      <c r="I8" s="11" t="n">
        <v>0</v>
      </c>
      <c r="J8" s="12" t="n">
        <v>48</v>
      </c>
      <c r="K8" s="12" t="n">
        <v>0</v>
      </c>
      <c r="L8" s="12" t="n">
        <v>43.64</v>
      </c>
      <c r="M8" s="12" t="n">
        <v>4.36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20261024_2215</t>
        </is>
      </c>
      <c r="B9" s="13" t="n">
        <v>46319</v>
      </c>
      <c r="C9" s="14" t="n">
        <v>0.9270833333333334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</v>
      </c>
      <c r="I9" s="15" t="n">
        <v>0</v>
      </c>
      <c r="J9" s="16" t="n">
        <v>48</v>
      </c>
      <c r="K9" s="16" t="n">
        <v>0</v>
      </c>
      <c r="L9" s="16" t="n">
        <v>43.64</v>
      </c>
      <c r="M9" s="16" t="n">
        <v>4.36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20261024_2315</t>
        </is>
      </c>
      <c r="B10" s="9" t="n">
        <v>46319</v>
      </c>
      <c r="C10" s="10" t="n">
        <v>0.96875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1</v>
      </c>
      <c r="I10" s="11" t="n">
        <v>0</v>
      </c>
      <c r="J10" s="12" t="n">
        <v>36</v>
      </c>
      <c r="K10" s="12" t="n">
        <v>0</v>
      </c>
      <c r="L10" s="12" t="n">
        <v>32.73</v>
      </c>
      <c r="M10" s="12" t="n">
        <v>3.27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20261024_2315</t>
        </is>
      </c>
      <c r="B11" s="13" t="n">
        <v>46319</v>
      </c>
      <c r="C11" s="14" t="n">
        <v>0.96875</v>
      </c>
      <c r="D11" s="23" t="inlineStr">
        <is>
          <t>UN Unico</t>
        </is>
      </c>
      <c r="E11" s="23" t="inlineStr">
        <is>
          <t>I8</t>
        </is>
      </c>
      <c r="F11" s="23">
        <f>IFERROR(INDEX(Tariffe!$B$2:$B$200,MATCH(E11,Tariffe!$A$2:$A$200,0)),"DA DEFINIRE")</f>
        <v/>
      </c>
      <c r="G11" s="16" t="n">
        <v>24</v>
      </c>
      <c r="H11" s="15" t="n">
        <v>1</v>
      </c>
      <c r="I11" s="15" t="n">
        <v>0</v>
      </c>
      <c r="J11" s="16" t="n">
        <v>24</v>
      </c>
      <c r="K11" s="16" t="n">
        <v>0</v>
      </c>
      <c r="L11" s="16" t="n">
        <v>21.82</v>
      </c>
      <c r="M11" s="16" t="n">
        <v>2.18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20261024_2359</t>
        </is>
      </c>
      <c r="B12" s="9" t="n">
        <v>46319</v>
      </c>
      <c r="C12" s="10" t="n">
        <v>0.9993055555555556</v>
      </c>
      <c r="D12" s="22" t="inlineStr">
        <is>
          <t>UN Unico</t>
        </is>
      </c>
      <c r="E12" s="22" t="inlineStr">
        <is>
          <t>I1</t>
        </is>
      </c>
      <c r="F12" s="22">
        <f>IFERROR(INDEX(Tariffe!$B$2:$B$200,MATCH(E12,Tariffe!$A$2:$A$200,0)),"DA DEFINIRE")</f>
        <v/>
      </c>
      <c r="G12" s="12" t="n">
        <v>48</v>
      </c>
      <c r="H12" s="11" t="n">
        <v>1</v>
      </c>
      <c r="I12" s="11" t="n">
        <v>0</v>
      </c>
      <c r="J12" s="12" t="n">
        <v>48</v>
      </c>
      <c r="K12" s="12" t="n">
        <v>0</v>
      </c>
      <c r="L12" s="12" t="n">
        <v>43.64</v>
      </c>
      <c r="M12" s="12" t="n">
        <v>4.36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20261025_2115</t>
        </is>
      </c>
      <c r="B13" s="13" t="n">
        <v>46320</v>
      </c>
      <c r="C13" s="14" t="n">
        <v>0.8854166666666666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</v>
      </c>
      <c r="I13" s="15" t="n">
        <v>0</v>
      </c>
      <c r="J13" s="16" t="n">
        <v>24</v>
      </c>
      <c r="K13" s="16" t="n">
        <v>0</v>
      </c>
      <c r="L13" s="16" t="n">
        <v>21.82</v>
      </c>
      <c r="M13" s="16" t="n">
        <v>2.18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20261025_2215</t>
        </is>
      </c>
      <c r="B14" s="9" t="n">
        <v>46320</v>
      </c>
      <c r="C14" s="10" t="n">
        <v>0.9270833333333334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1</v>
      </c>
      <c r="I14" s="11" t="n">
        <v>0</v>
      </c>
      <c r="J14" s="12" t="n">
        <v>24</v>
      </c>
      <c r="K14" s="12" t="n">
        <v>0</v>
      </c>
      <c r="L14" s="12" t="n">
        <v>21.82</v>
      </c>
      <c r="M14" s="12" t="n">
        <v>2.18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20261029_2215</t>
        </is>
      </c>
      <c r="B15" s="13" t="n">
        <v>46324</v>
      </c>
      <c r="C15" s="14" t="n">
        <v>0.9270833333333334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1</v>
      </c>
      <c r="I15" s="15" t="n">
        <v>0</v>
      </c>
      <c r="J15" s="16" t="n">
        <v>48</v>
      </c>
      <c r="K15" s="16" t="n">
        <v>0</v>
      </c>
      <c r="L15" s="16" t="n">
        <v>43.64</v>
      </c>
      <c r="M15" s="16" t="n">
        <v>4.36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20261029_2215</t>
        </is>
      </c>
      <c r="B16" s="9" t="n">
        <v>46324</v>
      </c>
      <c r="C16" s="10" t="n">
        <v>0.9270833333333334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</v>
      </c>
      <c r="I16" s="11" t="n">
        <v>0</v>
      </c>
      <c r="J16" s="12" t="n">
        <v>24</v>
      </c>
      <c r="K16" s="12" t="n">
        <v>0</v>
      </c>
      <c r="L16" s="12" t="n">
        <v>21.82</v>
      </c>
      <c r="M16" s="12" t="n">
        <v>2.18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20261029_2359</t>
        </is>
      </c>
      <c r="B17" s="13" t="n">
        <v>46324</v>
      </c>
      <c r="C17" s="14" t="n">
        <v>0.9993055555555556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</v>
      </c>
      <c r="I17" s="15" t="n">
        <v>0</v>
      </c>
      <c r="J17" s="16" t="n">
        <v>24</v>
      </c>
      <c r="K17" s="16" t="n">
        <v>0</v>
      </c>
      <c r="L17" s="16" t="n">
        <v>21.82</v>
      </c>
      <c r="M17" s="16" t="n">
        <v>2.18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20261030_2315</t>
        </is>
      </c>
      <c r="B18" s="9" t="n">
        <v>46325</v>
      </c>
      <c r="C18" s="10" t="n">
        <v>0.96875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2</v>
      </c>
      <c r="I18" s="11" t="n">
        <v>0</v>
      </c>
      <c r="J18" s="12" t="n">
        <v>96</v>
      </c>
      <c r="K18" s="12" t="n">
        <v>0</v>
      </c>
      <c r="L18" s="12" t="n">
        <v>87.28</v>
      </c>
      <c r="M18" s="12" t="n">
        <v>8.720000000000001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20261030_2359</t>
        </is>
      </c>
      <c r="B19" s="13" t="n">
        <v>46325</v>
      </c>
      <c r="C19" s="14" t="n">
        <v>0.9993055555555556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1</v>
      </c>
      <c r="I19" s="15" t="n">
        <v>0</v>
      </c>
      <c r="J19" s="16" t="n">
        <v>24</v>
      </c>
      <c r="K19" s="16" t="n">
        <v>0</v>
      </c>
      <c r="L19" s="16" t="n">
        <v>21.82</v>
      </c>
      <c r="M19" s="16" t="n">
        <v>2.18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20261031_2359</t>
        </is>
      </c>
      <c r="B20" s="9" t="n">
        <v>46326</v>
      </c>
      <c r="C20" s="10" t="n">
        <v>0.9993055555555556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1</v>
      </c>
      <c r="I20" s="11" t="n">
        <v>0</v>
      </c>
      <c r="J20" s="12" t="n">
        <v>24</v>
      </c>
      <c r="K20" s="12" t="n">
        <v>0</v>
      </c>
      <c r="L20" s="12" t="n">
        <v>21.82</v>
      </c>
      <c r="M20" s="12" t="n">
        <v>2.18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</sheetData>
  <autoFilter ref="A1:P2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IF(SUM($F$2:$F$4)&gt;0,F2/SUM($F$2:$F$4),0)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IF(SUM($F$2:$F$4)&gt;0,F3/SUM($F$2:$F$4),0)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IF(SUM($F$2:$F$4)&gt;0,F4/SUM($F$2:$F$4),0)</f>
        <v/>
      </c>
    </row>
    <row r="5">
      <c r="A5" s="26" t="inlineStr">
        <is>
          <t>Totale</t>
        </is>
      </c>
      <c r="B5" s="26" t="n"/>
      <c r="C5" s="26" t="n"/>
      <c r="D5" s="27">
        <f>SUM(D2:D4)</f>
        <v/>
      </c>
      <c r="E5" s="27">
        <f>SUM(E2:E4)</f>
        <v/>
      </c>
      <c r="F5" s="28">
        <f>SUM(F2:F4)</f>
        <v/>
      </c>
      <c r="G5" s="29">
        <f>SUM(G2:G4)</f>
        <v/>
      </c>
    </row>
  </sheetData>
  <autoFilter ref="A1:G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</sheetData>
  <autoFilter ref="A1:G1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</sheetData>
  <autoFilter ref="A1:K2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0</v>
      </c>
      <c r="H4" s="11" t="n">
        <v>0</v>
      </c>
      <c r="I4" s="12" t="n">
        <v>0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0</v>
      </c>
      <c r="M5" s="11" t="n">
        <v>0</v>
      </c>
      <c r="N5" s="12" t="n">
        <v>0</v>
      </c>
    </row>
    <row r="6"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0</v>
      </c>
      <c r="M6" s="11" t="n">
        <v>0</v>
      </c>
      <c r="N6" s="12" t="n">
        <v>0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0</v>
      </c>
      <c r="H12" s="11" t="n">
        <v>0</v>
      </c>
      <c r="I12" s="12" t="n">
        <v>0</v>
      </c>
    </row>
    <row r="13">
      <c r="F13" s="38" t="inlineStr">
        <is>
          <t>09:00-10:00</t>
        </is>
      </c>
      <c r="G13" s="11" t="n">
        <v>0</v>
      </c>
      <c r="H13" s="11" t="n">
        <v>0</v>
      </c>
      <c r="I13" s="12" t="n">
        <v>0</v>
      </c>
    </row>
    <row r="14">
      <c r="F14" s="38" t="inlineStr">
        <is>
          <t>10:00-11:00</t>
        </is>
      </c>
      <c r="G14" s="11" t="n">
        <v>0</v>
      </c>
      <c r="H14" s="11" t="n">
        <v>0</v>
      </c>
      <c r="I14" s="12" t="n">
        <v>0</v>
      </c>
    </row>
    <row r="15">
      <c r="F15" s="38" t="inlineStr">
        <is>
          <t>11:00-12:00</t>
        </is>
      </c>
      <c r="G15" s="11" t="n">
        <v>0</v>
      </c>
      <c r="H15" s="11" t="n">
        <v>0</v>
      </c>
      <c r="I15" s="12" t="n">
        <v>0</v>
      </c>
    </row>
    <row r="16">
      <c r="F16" s="38" t="inlineStr">
        <is>
          <t>12:00-13:00</t>
        </is>
      </c>
      <c r="G16" s="11" t="n">
        <v>0</v>
      </c>
      <c r="H16" s="11" t="n">
        <v>0</v>
      </c>
      <c r="I16" s="12" t="n">
        <v>0</v>
      </c>
    </row>
    <row r="17">
      <c r="F17" s="38" t="inlineStr">
        <is>
          <t>13:00-14:00</t>
        </is>
      </c>
      <c r="G17" s="11" t="n">
        <v>0</v>
      </c>
      <c r="H17" s="11" t="n">
        <v>0</v>
      </c>
      <c r="I17" s="12" t="n">
        <v>0</v>
      </c>
    </row>
    <row r="18">
      <c r="F18" s="38" t="inlineStr">
        <is>
          <t>14:00-15:00</t>
        </is>
      </c>
      <c r="G18" s="11" t="n">
        <v>0</v>
      </c>
      <c r="H18" s="11" t="n">
        <v>0</v>
      </c>
      <c r="I18" s="12" t="n">
        <v>0</v>
      </c>
    </row>
    <row r="19">
      <c r="F19" s="38" t="inlineStr">
        <is>
          <t>15:00-16:00</t>
        </is>
      </c>
      <c r="G19" s="11" t="n">
        <v>0</v>
      </c>
      <c r="H19" s="11" t="n">
        <v>0</v>
      </c>
      <c r="I19" s="12" t="n">
        <v>0</v>
      </c>
    </row>
    <row r="20">
      <c r="F20" s="38" t="inlineStr">
        <is>
          <t>16:00-17:00</t>
        </is>
      </c>
      <c r="G20" s="11" t="n">
        <v>6</v>
      </c>
      <c r="H20" s="11" t="n">
        <v>16</v>
      </c>
      <c r="I20" s="12" t="n">
        <v>192</v>
      </c>
    </row>
    <row r="21">
      <c r="F21" s="38" t="inlineStr">
        <is>
          <t>17:00-18:00</t>
        </is>
      </c>
      <c r="G21" s="11" t="n">
        <v>0</v>
      </c>
      <c r="H21" s="11" t="n">
        <v>0</v>
      </c>
      <c r="I21" s="12" t="n">
        <v>0</v>
      </c>
    </row>
    <row r="22">
      <c r="F22" s="38" t="inlineStr">
        <is>
          <t>18:00-19:00</t>
        </is>
      </c>
      <c r="G22" s="11" t="n">
        <v>1</v>
      </c>
      <c r="H22" s="11" t="n">
        <v>4</v>
      </c>
      <c r="I22" s="12" t="n">
        <v>48</v>
      </c>
    </row>
    <row r="23">
      <c r="F23" s="38" t="inlineStr">
        <is>
          <t>19:00-20:00</t>
        </is>
      </c>
      <c r="G23" s="11" t="n">
        <v>1</v>
      </c>
      <c r="H23" s="11" t="n">
        <v>4</v>
      </c>
      <c r="I23" s="12" t="n">
        <v>48</v>
      </c>
    </row>
    <row r="24">
      <c r="F24" s="38" t="inlineStr">
        <is>
          <t>20:00-21:00</t>
        </is>
      </c>
      <c r="G24" s="11" t="n">
        <v>1</v>
      </c>
      <c r="H24" s="11" t="n">
        <v>2</v>
      </c>
      <c r="I24" s="12" t="n">
        <v>24</v>
      </c>
    </row>
    <row r="25">
      <c r="F25" s="38" t="inlineStr">
        <is>
          <t>21:00-22:00</t>
        </is>
      </c>
      <c r="G25" s="11" t="n">
        <v>0</v>
      </c>
      <c r="H25" s="11" t="n">
        <v>0</v>
      </c>
      <c r="I25" s="12" t="n">
        <v>0</v>
      </c>
    </row>
    <row r="26">
      <c r="F26" s="38" t="inlineStr">
        <is>
          <t>22:00-23:00</t>
        </is>
      </c>
      <c r="G26" s="11" t="n">
        <v>11</v>
      </c>
      <c r="H26" s="11" t="n">
        <v>27</v>
      </c>
      <c r="I26" s="12" t="n">
        <v>324</v>
      </c>
    </row>
    <row r="27">
      <c r="F27" s="38" t="inlineStr">
        <is>
          <t>23:00-00:00</t>
        </is>
      </c>
      <c r="G27" s="11" t="n">
        <v>2</v>
      </c>
      <c r="H27" s="11" t="n">
        <v>6</v>
      </c>
      <c r="I27" s="12" t="n">
        <v>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2026-10-05T23:13:54Z</dcterms:created>
  <dcterms:modified xsi:type="dcterms:W3CDTF">2026-10-05T23:13:54Z</dcterms:modified>
</cp:coreProperties>
</file>