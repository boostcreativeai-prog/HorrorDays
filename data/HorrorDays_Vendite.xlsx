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'Storico'!$A$1:$G$323</definedName>
    <definedName name="_xlnm._FilterDatabase" localSheetId="8" hidden="1">'Registro vendite'!$A$1:$K$244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'Storico'!$H$2:$H$323</f>
            </numRef>
          </cat>
          <val>
            <numRef>
              <f>'Storico'!$C$2:$C$323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MAX(Storico!A2:A323)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2</v>
      </c>
      <c r="I7" s="15" t="n">
        <v>0</v>
      </c>
      <c r="J7" s="16" t="n">
        <v>120</v>
      </c>
      <c r="K7" s="16" t="n">
        <v>0</v>
      </c>
      <c r="L7" s="16" t="n">
        <v>109.1</v>
      </c>
      <c r="M7" s="16" t="n">
        <v>10.9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5</v>
      </c>
      <c r="I13" s="15" t="n">
        <v>1</v>
      </c>
      <c r="J13" s="16" t="n">
        <v>240</v>
      </c>
      <c r="K13" s="16" t="n">
        <v>0</v>
      </c>
      <c r="L13" s="16" t="n">
        <v>218.2</v>
      </c>
      <c r="M13" s="16" t="n">
        <v>21.8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10</v>
      </c>
      <c r="I16" s="11" t="n">
        <v>0</v>
      </c>
      <c r="J16" s="12" t="n">
        <v>240</v>
      </c>
      <c r="K16" s="12" t="n">
        <v>0</v>
      </c>
      <c r="L16" s="12" t="n">
        <v>218.2</v>
      </c>
      <c r="M16" s="12" t="n">
        <v>21.8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5</v>
      </c>
      <c r="I33" s="15" t="n">
        <v>0</v>
      </c>
      <c r="J33" s="16" t="n">
        <v>120</v>
      </c>
      <c r="K33" s="16" t="n">
        <v>0</v>
      </c>
      <c r="L33" s="16" t="n">
        <v>109.1</v>
      </c>
      <c r="M33" s="16" t="n">
        <v>10.9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20261025_2215</t>
        </is>
      </c>
      <c r="B42" s="9" t="n">
        <v>46320</v>
      </c>
      <c r="C42" s="10" t="n">
        <v>0.9270833333333334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5</v>
      </c>
      <c r="I43" s="15" t="n">
        <v>0</v>
      </c>
      <c r="J43" s="16" t="n">
        <v>120</v>
      </c>
      <c r="K43" s="16" t="n">
        <v>0</v>
      </c>
      <c r="L43" s="16" t="n">
        <v>109.1</v>
      </c>
      <c r="M43" s="16" t="n">
        <v>10.9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20261025_2315</t>
        </is>
      </c>
      <c r="B44" s="9" t="n">
        <v>46320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20261025_2359</t>
        </is>
      </c>
      <c r="B46" s="9" t="n">
        <v>46320</v>
      </c>
      <c r="C46" s="10" t="n">
        <v>0.9993055555555556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1</v>
      </c>
      <c r="I46" s="11" t="n">
        <v>0</v>
      </c>
      <c r="J46" s="12" t="n">
        <v>60</v>
      </c>
      <c r="K46" s="12" t="n">
        <v>0</v>
      </c>
      <c r="L46" s="12" t="n">
        <v>54.55</v>
      </c>
      <c r="M46" s="12" t="n">
        <v>5.45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3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20261029_2015</t>
        </is>
      </c>
      <c r="B48" s="9" t="n">
        <v>46324</v>
      </c>
      <c r="C48" s="10" t="n">
        <v>0.84375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</v>
      </c>
      <c r="I50" s="11" t="n">
        <v>0</v>
      </c>
      <c r="J50" s="12" t="n">
        <v>24</v>
      </c>
      <c r="K50" s="12" t="n">
        <v>0</v>
      </c>
      <c r="L50" s="12" t="n">
        <v>21.82</v>
      </c>
      <c r="M50" s="12" t="n">
        <v>2.18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20261029_2115</t>
        </is>
      </c>
      <c r="B51" s="13" t="n">
        <v>46324</v>
      </c>
      <c r="C51" s="14" t="n">
        <v>0.8854166666666666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20261029_2215</t>
        </is>
      </c>
      <c r="B53" s="13" t="n">
        <v>46324</v>
      </c>
      <c r="C53" s="14" t="n">
        <v>0.9270833333333334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3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I2</t>
        </is>
      </c>
      <c r="F54" s="22">
        <f>IFERROR(INDEX(Tariffe!$B$2:$B$200,MATCH(E54,Tariffe!$A$2:$A$200,0)),"DA DEFINIRE")</f>
        <v/>
      </c>
      <c r="G54" s="12" t="n">
        <v>36</v>
      </c>
      <c r="H54" s="11" t="n">
        <v>2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5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20261029_2315</t>
        </is>
      </c>
      <c r="B56" s="9" t="n">
        <v>46324</v>
      </c>
      <c r="C56" s="10" t="n">
        <v>0.96875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4</v>
      </c>
      <c r="I56" s="11" t="n">
        <v>0</v>
      </c>
      <c r="J56" s="12" t="n">
        <v>192</v>
      </c>
      <c r="K56" s="12" t="n">
        <v>0</v>
      </c>
      <c r="L56" s="12" t="n">
        <v>174.56</v>
      </c>
      <c r="M56" s="12" t="n">
        <v>17.44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20261029_2359</t>
        </is>
      </c>
      <c r="B58" s="9" t="n">
        <v>46324</v>
      </c>
      <c r="C58" s="10" t="n">
        <v>0.9993055555555556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20261030_2015</t>
        </is>
      </c>
      <c r="B59" s="13" t="n">
        <v>46325</v>
      </c>
      <c r="C59" s="14" t="n">
        <v>0.84375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1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20261030_2115</t>
        </is>
      </c>
      <c r="B61" s="13" t="n">
        <v>46325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20261030_2215</t>
        </is>
      </c>
      <c r="B63" s="13" t="n">
        <v>46325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3</v>
      </c>
      <c r="I63" s="15" t="n">
        <v>0</v>
      </c>
      <c r="J63" s="16" t="n">
        <v>144</v>
      </c>
      <c r="K63" s="16" t="n">
        <v>0</v>
      </c>
      <c r="L63" s="16" t="n">
        <v>130.92</v>
      </c>
      <c r="M63" s="16" t="n">
        <v>13.08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4</v>
      </c>
      <c r="I64" s="11" t="n">
        <v>3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20261030_2315</t>
        </is>
      </c>
      <c r="B65" s="13" t="n">
        <v>46325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3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2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20261030_2359</t>
        </is>
      </c>
      <c r="B68" s="9" t="n">
        <v>46325</v>
      </c>
      <c r="C68" s="10" t="n">
        <v>0.9993055555555556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20261031_2015</t>
        </is>
      </c>
      <c r="B70" s="9" t="n">
        <v>46326</v>
      </c>
      <c r="C70" s="10" t="n">
        <v>0.84375</v>
      </c>
      <c r="D70" s="22" t="inlineStr">
        <is>
          <t>UN Unico</t>
        </is>
      </c>
      <c r="E70" s="22" t="inlineStr">
        <is>
          <t>I5</t>
        </is>
      </c>
      <c r="F70" s="22">
        <f>IFERROR(INDEX(Tariffe!$B$2:$B$200,MATCH(E70,Tariffe!$A$2:$A$200,0)),"DA DEFINIRE")</f>
        <v/>
      </c>
      <c r="G70" s="12" t="n">
        <v>60</v>
      </c>
      <c r="H70" s="11" t="n">
        <v>1</v>
      </c>
      <c r="I70" s="11" t="n">
        <v>0</v>
      </c>
      <c r="J70" s="12" t="n">
        <v>60</v>
      </c>
      <c r="K70" s="12" t="n">
        <v>0</v>
      </c>
      <c r="L70" s="12" t="n">
        <v>54.55</v>
      </c>
      <c r="M70" s="12" t="n">
        <v>5.45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</v>
      </c>
      <c r="I71" s="15" t="n">
        <v>0</v>
      </c>
      <c r="J71" s="16" t="n">
        <v>24</v>
      </c>
      <c r="K71" s="16" t="n">
        <v>0</v>
      </c>
      <c r="L71" s="16" t="n">
        <v>21.82</v>
      </c>
      <c r="M71" s="16" t="n">
        <v>2.18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20261031_2115</t>
        </is>
      </c>
      <c r="B72" s="9" t="n">
        <v>46326</v>
      </c>
      <c r="C72" s="10" t="n">
        <v>0.8854166666666666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2</v>
      </c>
      <c r="I72" s="11" t="n">
        <v>0</v>
      </c>
      <c r="J72" s="12" t="n">
        <v>96</v>
      </c>
      <c r="K72" s="12" t="n">
        <v>0</v>
      </c>
      <c r="L72" s="12" t="n">
        <v>87.28</v>
      </c>
      <c r="M72" s="12" t="n">
        <v>8.720000000000001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5</v>
      </c>
      <c r="I73" s="15" t="n">
        <v>0</v>
      </c>
      <c r="J73" s="16" t="n">
        <v>120</v>
      </c>
      <c r="K73" s="16" t="n">
        <v>0</v>
      </c>
      <c r="L73" s="16" t="n">
        <v>109.1</v>
      </c>
      <c r="M73" s="16" t="n">
        <v>10.9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20261031_2215</t>
        </is>
      </c>
      <c r="B74" s="9" t="n">
        <v>46326</v>
      </c>
      <c r="C74" s="10" t="n">
        <v>0.9270833333333334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3</v>
      </c>
      <c r="I74" s="11" t="n">
        <v>0</v>
      </c>
      <c r="J74" s="12" t="n">
        <v>144</v>
      </c>
      <c r="K74" s="12" t="n">
        <v>0</v>
      </c>
      <c r="L74" s="12" t="n">
        <v>130.92</v>
      </c>
      <c r="M74" s="12" t="n">
        <v>13.08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I2</t>
        </is>
      </c>
      <c r="F75" s="23">
        <f>IFERROR(INDEX(Tariffe!$B$2:$B$200,MATCH(E75,Tariffe!$A$2:$A$200,0)),"DA DEFINIRE")</f>
        <v/>
      </c>
      <c r="G75" s="16" t="n">
        <v>36</v>
      </c>
      <c r="H75" s="15" t="n">
        <v>1</v>
      </c>
      <c r="I75" s="15" t="n">
        <v>0</v>
      </c>
      <c r="J75" s="16" t="n">
        <v>36</v>
      </c>
      <c r="K75" s="16" t="n">
        <v>0</v>
      </c>
      <c r="L75" s="16" t="n">
        <v>32.73</v>
      </c>
      <c r="M75" s="16" t="n">
        <v>3.27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7</v>
      </c>
      <c r="I76" s="11" t="n">
        <v>0</v>
      </c>
      <c r="J76" s="12" t="n">
        <v>168</v>
      </c>
      <c r="K76" s="12" t="n">
        <v>0</v>
      </c>
      <c r="L76" s="12" t="n">
        <v>152.74</v>
      </c>
      <c r="M76" s="12" t="n">
        <v>15.26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20261031_2315</t>
        </is>
      </c>
      <c r="B77" s="13" t="n">
        <v>46326</v>
      </c>
      <c r="C77" s="14" t="n">
        <v>0.96875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8</v>
      </c>
      <c r="I77" s="15" t="n">
        <v>0</v>
      </c>
      <c r="J77" s="16" t="n">
        <v>384</v>
      </c>
      <c r="K77" s="16" t="n">
        <v>0</v>
      </c>
      <c r="L77" s="16" t="n">
        <v>349.12</v>
      </c>
      <c r="M77" s="16" t="n">
        <v>34.88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7</v>
      </c>
      <c r="I78" s="11" t="n">
        <v>0</v>
      </c>
      <c r="J78" s="12" t="n">
        <v>168</v>
      </c>
      <c r="K78" s="12" t="n">
        <v>0</v>
      </c>
      <c r="L78" s="12" t="n">
        <v>152.74</v>
      </c>
      <c r="M78" s="12" t="n">
        <v>15.26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20261031_2359</t>
        </is>
      </c>
      <c r="B79" s="13" t="n">
        <v>46326</v>
      </c>
      <c r="C79" s="14" t="n">
        <v>0.9993055555555556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4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20261101_2015</t>
        </is>
      </c>
      <c r="B81" s="13" t="n">
        <v>46327</v>
      </c>
      <c r="C81" s="14" t="n">
        <v>0.84375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</v>
      </c>
      <c r="I81" s="15" t="n">
        <v>0</v>
      </c>
      <c r="J81" s="16" t="n">
        <v>48</v>
      </c>
      <c r="K81" s="16" t="n">
        <v>0</v>
      </c>
      <c r="L81" s="16" t="n">
        <v>43.64</v>
      </c>
      <c r="M81" s="16" t="n">
        <v>4.36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20261101_2115</t>
        </is>
      </c>
      <c r="B82" s="9" t="n">
        <v>46327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3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20261101_2215</t>
        </is>
      </c>
      <c r="B83" s="13" t="n">
        <v>46327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2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20261101_2359</t>
        </is>
      </c>
      <c r="B85" s="13" t="n">
        <v>46327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</sheetData>
  <autoFilter ref="A1:P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</sheetData>
  <autoFilter ref="A1:G3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</sheetData>
  <autoFilter ref="A1:K24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11</v>
      </c>
      <c r="H15" s="11" t="n">
        <v>31</v>
      </c>
      <c r="I15" s="12" t="n">
        <v>372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2026-10-15T02:27:03Z</dcterms:created>
  <dcterms:modified xsi:type="dcterms:W3CDTF">2026-10-15T02:27:03Z</dcterms:modified>
</cp:coreProperties>
</file>