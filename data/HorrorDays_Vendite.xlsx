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riffe" sheetId="2" state="visible" r:id="rId2"/>
    <sheet name="Tipologie" sheetId="3" state="visible" r:id="rId3"/>
    <sheet name="Spettacoli" sheetId="4" state="visible" r:id="rId4"/>
    <sheet name="Vendite" sheetId="5" state="visible" r:id="rId5"/>
    <sheet name="Per tariffa" sheetId="6" state="visible" r:id="rId6"/>
    <sheet name="Per serata" sheetId="7" state="visible" r:id="rId7"/>
    <sheet name="Storico" sheetId="8" state="visible" r:id="rId8"/>
    <sheet name="Registro vendite" sheetId="9" state="visible" r:id="rId9"/>
    <sheet name="Picchi vendite" sheetId="10" state="visible" r:id="rId10"/>
  </sheets>
  <definedNames>
    <definedName name="_xlnm._FilterDatabase" localSheetId="1" hidden="1">'Tariffe'!$A$1:$D$5</definedName>
    <definedName name="_xlnm._FilterDatabase" localSheetId="2" hidden="1">'Tipologie'!$A$1:$G$5</definedName>
    <definedName name="_xlnm._FilterDatabase" localSheetId="3" hidden="1">'Spettacoli'!$A$1:$R$41</definedName>
    <definedName name="_xlnm._FilterDatabase" localSheetId="4" hidden="1">'Vendite'!$A$1:$P$120</definedName>
    <definedName name="_xlnm._FilterDatabase" localSheetId="5" hidden="1">'Per tariffa'!$A$1:$G$5</definedName>
    <definedName name="_xlnm._FilterDatabase" localSheetId="6" hidden="1">'Per serata'!$A$1:$S$9</definedName>
    <definedName name="_xlnm._FilterDatabase" localSheetId="7" hidden="1">'Storico'!$A$1:$G$601</definedName>
    <definedName name="_xlnm._FilterDatabase" localSheetId="8" hidden="1">'Registro vendite'!$A$1:$K$657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HH:MM"/>
    <numFmt numFmtId="167" formatCode="#,##0.00 &quot;€&quot;"/>
    <numFmt numFmtId="168" formatCode="0.0%"/>
    <numFmt numFmtId="169" formatCode="yyyy-mm-dd h:mm:ss"/>
    <numFmt numFmtId="170" formatCode="DD/MM/YYYY HH:MM"/>
    <numFmt numFmtId="171" formatCode="+#,##0;-#,##0;0"/>
    <numFmt numFmtId="172" formatCode="+#,##0.00 &quot;€&quot;;-#,##0.00 &quot;€&quot;;0,00 &quot;€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2430"/>
      <sz val="11"/>
    </font>
    <font>
      <name val="Arial"/>
      <b val="1"/>
      <color rgb="001F2430"/>
      <sz val="18"/>
    </font>
    <font>
      <name val="Arial"/>
      <color rgb="006B7280"/>
      <sz val="10"/>
    </font>
    <font>
      <name val="Arial"/>
      <color rgb="006B7280"/>
      <sz val="9"/>
    </font>
    <font>
      <name val="Arial"/>
      <b val="1"/>
      <color rgb="001F2430"/>
      <sz val="16"/>
    </font>
    <font>
      <name val="Arial"/>
      <b val="1"/>
      <color rgb="001F2430"/>
      <sz val="13"/>
    </font>
  </fonts>
  <fills count="4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F2F3F5"/>
      </patternFill>
    </fill>
  </fills>
  <borders count="3">
    <border>
      <left/>
      <right/>
      <top/>
      <bottom/>
      <diagonal/>
    </border>
    <border>
      <bottom style="thin">
        <color rgb="00D9DCE1"/>
      </bottom>
    </border>
    <border>
      <top style="thin">
        <color rgb="001F2430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167" fontId="8" fillId="3" borderId="0" applyAlignment="1" pivotButton="0" quotePrefix="0" xfId="0">
      <alignment horizontal="left"/>
    </xf>
    <xf numFmtId="3" fontId="8" fillId="3" borderId="0" applyAlignment="1" pivotButton="0" quotePrefix="0" xfId="0">
      <alignment horizontal="left"/>
    </xf>
    <xf numFmtId="165" fontId="2" fillId="0" borderId="1" pivotButton="0" quotePrefix="0" xfId="0"/>
    <xf numFmtId="166" fontId="2" fillId="0" borderId="1" pivotButton="0" quotePrefix="0" xfId="0"/>
    <xf numFmtId="3" fontId="2" fillId="0" borderId="1" pivotButton="0" quotePrefix="0" xfId="0"/>
    <xf numFmtId="167" fontId="2" fillId="0" borderId="1" pivotButton="0" quotePrefix="0" xfId="0"/>
    <xf numFmtId="165" fontId="2" fillId="3" borderId="1" pivotButton="0" quotePrefix="0" xfId="0"/>
    <xf numFmtId="166" fontId="2" fillId="3" borderId="1" pivotButton="0" quotePrefix="0" xfId="0"/>
    <xf numFmtId="3" fontId="2" fillId="3" borderId="1" pivotButton="0" quotePrefix="0" xfId="0"/>
    <xf numFmtId="167" fontId="2" fillId="3" borderId="1" pivotButton="0" quotePrefix="0" xfId="0"/>
    <xf numFmtId="2" fontId="8" fillId="3" borderId="0" applyAlignment="1" pivotButton="0" quotePrefix="0" xfId="0">
      <alignment horizontal="left"/>
    </xf>
    <xf numFmtId="10" fontId="8" fillId="3" borderId="0" applyAlignment="1" pivotButton="0" quotePrefix="0" xfId="0">
      <alignment horizontal="left"/>
    </xf>
    <xf numFmtId="49" fontId="9" fillId="3" borderId="0" applyAlignment="1" pivotButton="0" quotePrefix="0" xfId="0">
      <alignment horizontal="left"/>
    </xf>
    <xf numFmtId="170" fontId="8" fillId="3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168" fontId="2" fillId="0" borderId="1" pivotButton="0" quotePrefix="0" xfId="0"/>
    <xf numFmtId="168" fontId="2" fillId="3" borderId="1" pivotButton="0" quotePrefix="0" xfId="0"/>
    <xf numFmtId="0" fontId="3" fillId="0" borderId="2" pivotButton="0" quotePrefix="0" xfId="0"/>
    <xf numFmtId="3" fontId="3" fillId="0" borderId="2" pivotButton="0" quotePrefix="0" xfId="0"/>
    <xf numFmtId="167" fontId="3" fillId="0" borderId="2" pivotButton="0" quotePrefix="0" xfId="0"/>
    <xf numFmtId="168" fontId="3" fillId="0" borderId="2" pivotButton="0" quotePrefix="0" xfId="0"/>
    <xf numFmtId="170" fontId="2" fillId="0" borderId="1" pivotButton="0" quotePrefix="0" xfId="0"/>
    <xf numFmtId="171" fontId="2" fillId="0" borderId="1" applyAlignment="1" pivotButton="0" quotePrefix="0" xfId="0">
      <alignment horizontal="right"/>
    </xf>
    <xf numFmtId="172" fontId="2" fillId="0" borderId="1" applyAlignment="1" pivotButton="0" quotePrefix="0" xfId="0">
      <alignment horizontal="right"/>
    </xf>
    <xf numFmtId="170" fontId="2" fillId="3" borderId="1" pivotButton="0" quotePrefix="0" xfId="0"/>
    <xf numFmtId="171" fontId="2" fillId="3" borderId="1" applyAlignment="1" pivotButton="0" quotePrefix="0" xfId="0">
      <alignment horizontal="right"/>
    </xf>
    <xf numFmtId="172" fontId="2" fillId="3" borderId="1" applyAlignment="1" pivotButton="0" quotePrefix="0" xfId="0">
      <alignment horizontal="right"/>
    </xf>
    <xf numFmtId="171" fontId="2" fillId="0" borderId="1" pivotButton="0" quotePrefix="0" xfId="0"/>
    <xf numFmtId="171" fontId="2" fillId="3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dxfs count="1">
    <dxf>
      <font>
        <b val="1"/>
        <color rgb="001E6B3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Auto per serata e tipologia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'Per serata'!P1</f>
            </strRef>
          </tx>
          <spPr>
            <a:solidFill>
              <a:srgbClr val="F5A623"/>
            </a:solidFill>
            <a:ln>
              <a:prstDash val="solid"/>
            </a:ln>
          </spPr>
          <cat>
            <numRef>
              <f>'Per serata'!$T$2:$T$9</f>
            </numRef>
          </cat>
          <val>
            <numRef>
              <f>'Per serata'!$P$2:$P$9</f>
            </numRef>
          </val>
        </ser>
        <ser>
          <idx val="1"/>
          <order val="1"/>
          <tx>
            <strRef>
              <f>'Per serata'!Q1</f>
            </strRef>
          </tx>
          <spPr>
            <a:solidFill>
              <a:srgbClr val="C9C2B8"/>
            </a:solidFill>
            <a:ln>
              <a:prstDash val="solid"/>
            </a:ln>
          </spPr>
          <cat>
            <numRef>
              <f>'Per serata'!$T$2:$T$9</f>
            </numRef>
          </cat>
          <val>
            <numRef>
              <f>'Per serata'!$Q$2:$Q$9</f>
            </numRef>
          </val>
        </ser>
        <ser>
          <idx val="2"/>
          <order val="2"/>
          <tx>
            <strRef>
              <f>'Per serata'!R1</f>
            </strRef>
          </tx>
          <spPr>
            <a:solidFill>
              <a:srgbClr val="D43A31"/>
            </a:solidFill>
            <a:ln>
              <a:prstDash val="solid"/>
            </a:ln>
          </spPr>
          <cat>
            <numRef>
              <f>'Per serata'!$T$2:$T$9</f>
            </numRef>
          </cat>
          <val>
            <numRef>
              <f>'Per serata'!$R$2:$R$9</f>
            </numRef>
          </val>
        </ser>
        <ser>
          <idx val="3"/>
          <order val="3"/>
          <tx>
            <strRef>
              <f>'Per serata'!S1</f>
            </strRef>
          </tx>
          <spPr>
            <a:solidFill>
              <a:srgbClr val="6B0F0B"/>
            </a:solidFill>
            <a:ln>
              <a:prstDash val="solid"/>
            </a:ln>
          </spPr>
          <cat>
            <numRef>
              <f>'Per serata'!$T$2:$T$9</f>
            </numRef>
          </cat>
          <val>
            <numRef>
              <f>'Per serata'!$S$2:$S$9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Auto per tipologia</a:t>
            </a:r>
          </a:p>
        </rich>
      </tx>
    </title>
    <plotArea>
      <pieChart>
        <varyColors val="1"/>
        <ser>
          <idx val="0"/>
          <order val="0"/>
          <tx>
            <strRef>
              <f>'Tipologie'!D1</f>
            </strRef>
          </tx>
          <spPr>
            <a:ln>
              <a:prstDash val="solid"/>
            </a:ln>
          </spPr>
          <cat>
            <numRef>
              <f>'Tipologie'!$A$2:$A$5</f>
            </numRef>
          </cat>
          <val>
            <numRef>
              <f>'Tipologie'!$D$2:$D$5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Andamento vendite (persone cumulate)</a:t>
            </a:r>
          </a:p>
        </rich>
      </tx>
    </title>
    <plotArea>
      <lineChart>
        <grouping val="standard"/>
        <ser>
          <idx val="0"/>
          <order val="0"/>
          <tx>
            <strRef>
              <f>'Storico'!C1</f>
            </strRef>
          </tx>
          <spPr>
            <a:ln>
              <a:solidFill>
                <a:srgbClr val="1F2430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'Storico'!$H$2:$H$601</f>
            </numRef>
          </cat>
          <val>
            <numRef>
              <f>'Storico'!$C$2:$C$601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Auto vendute per giorno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'Picchi vendite'!B3</f>
            </strRef>
          </tx>
          <spPr>
            <a:solidFill>
              <a:srgbClr val="8B1E1E"/>
            </a:solidFill>
            <a:ln>
              <a:prstDash val="solid"/>
            </a:ln>
          </spPr>
          <cat>
            <numRef>
              <f>'Picchi vendite'!$A$4:$A$23</f>
            </numRef>
          </cat>
          <val>
            <numRef>
              <f>'Picchi vendite'!$B$4:$B$23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Auto vendute per fascia oraria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'Picchi vendite'!G3</f>
            </strRef>
          </tx>
          <spPr>
            <a:solidFill>
              <a:srgbClr val="D43A31"/>
            </a:solidFill>
            <a:ln>
              <a:prstDash val="solid"/>
            </a:ln>
          </spPr>
          <cat>
            <numRef>
              <f>'Picchi vendite'!$F$4:$F$27</f>
            </numRef>
          </cat>
          <val>
            <numRef>
              <f>'Picchi vendite'!$G$4:$G$27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39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18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2430"/>
    <outlinePr summaryBelow="1" summaryRight="1"/>
    <pageSetUpPr/>
  </sheetPr>
  <dimension ref="B2:O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3" customWidth="1" min="4" max="4"/>
    <col width="22" customWidth="1" min="5" max="5"/>
    <col width="18" customWidth="1" min="6" max="6"/>
    <col width="3" customWidth="1" min="7" max="7"/>
    <col width="22" customWidth="1" min="8" max="8"/>
    <col width="18" customWidth="1" min="9" max="9"/>
    <col width="3" customWidth="1" min="10" max="10"/>
    <col width="12" customWidth="1" min="11" max="11"/>
    <col width="8" customWidth="1" min="12" max="12"/>
    <col width="9" customWidth="1" min="13" max="13"/>
    <col width="10" customWidth="1" min="14" max="14"/>
    <col width="13" customWidth="1" min="15" max="15"/>
  </cols>
  <sheetData>
    <row r="2">
      <c r="B2" s="1" t="inlineStr">
        <is>
          <t>HORROR DAYS · Vendite biglietti</t>
        </is>
      </c>
    </row>
    <row r="3">
      <c r="B3" s="2" t="inlineStr">
        <is>
          <t>Drive In Pozzuoli · MIX MARK S.R.L. · fonte: Riepiloghi mensili C1 (18Tickets) · 1 biglietto = 1 auto</t>
        </is>
      </c>
    </row>
    <row r="4">
      <c r="K4" s="3" t="inlineStr">
        <is>
          <t>Top 5 spettacoli per auto vendute</t>
        </is>
      </c>
    </row>
    <row r="5">
      <c r="B5" s="4" t="inlineStr">
        <is>
          <t>Incasso lordo totale</t>
        </is>
      </c>
      <c r="C5" s="5" t="n"/>
      <c r="E5" s="4" t="inlineStr">
        <is>
          <t>Auto vendute</t>
        </is>
      </c>
      <c r="F5" s="5" t="n"/>
      <c r="H5" s="4" t="inlineStr">
        <is>
          <t>Persone</t>
        </is>
      </c>
      <c r="I5" s="5" t="n"/>
      <c r="K5" s="6" t="inlineStr">
        <is>
          <t>Data</t>
        </is>
      </c>
      <c r="L5" s="6" t="inlineStr">
        <is>
          <t>Ora</t>
        </is>
      </c>
      <c r="M5" s="6" t="inlineStr">
        <is>
          <t>Auto</t>
        </is>
      </c>
      <c r="N5" s="6" t="inlineStr">
        <is>
          <t>Persone</t>
        </is>
      </c>
      <c r="O5" s="6" t="inlineStr">
        <is>
          <t>Incasso</t>
        </is>
      </c>
    </row>
    <row r="6" ht="26" customHeight="1">
      <c r="B6" s="7">
        <f>SUM(Vendite!$J$2:$J$1000)</f>
        <v/>
      </c>
      <c r="C6" s="5" t="n"/>
      <c r="E6" s="8">
        <f>SUM(Vendite!$H$2:$H$1000)</f>
        <v/>
      </c>
      <c r="F6" s="5" t="n"/>
      <c r="H6" s="8">
        <f>SUM(Vendite!$P$2:$P$1000)</f>
        <v/>
      </c>
      <c r="I6" s="5" t="n"/>
      <c r="K6" s="9">
        <f>INDEX(Spettacoli!$B$2:$B$41,MATCH(LARGE(Spettacoli!$R$2:$R$41,1),Spettacoli!$R$2:$R$41,0))</f>
        <v/>
      </c>
      <c r="L6" s="10">
        <f>INDEX(Spettacoli!$D$2:$D$41,MATCH(LARGE(Spettacoli!$R$2:$R$41,1),Spettacoli!$R$2:$R$41,0))</f>
        <v/>
      </c>
      <c r="M6" s="11">
        <f>INDEX(Spettacoli!$F$2:$F$41,MATCH(LARGE(Spettacoli!$R$2:$R$41,1),Spettacoli!$R$2:$R$41,0))</f>
        <v/>
      </c>
      <c r="N6" s="11">
        <f>INDEX(Spettacoli!$G$2:$G$41,MATCH(LARGE(Spettacoli!$R$2:$R$41,1),Spettacoli!$R$2:$R$41,0))</f>
        <v/>
      </c>
      <c r="O6" s="12">
        <f>INDEX(Spettacoli!$M$2:$M$41,MATCH(LARGE(Spettacoli!$R$2:$R$41,1),Spettacoli!$R$2:$R$41,0))</f>
        <v/>
      </c>
    </row>
    <row r="7">
      <c r="K7" s="13">
        <f>INDEX(Spettacoli!$B$2:$B$41,MATCH(LARGE(Spettacoli!$R$2:$R$41,2),Spettacoli!$R$2:$R$41,0))</f>
        <v/>
      </c>
      <c r="L7" s="14">
        <f>INDEX(Spettacoli!$D$2:$D$41,MATCH(LARGE(Spettacoli!$R$2:$R$41,2),Spettacoli!$R$2:$R$41,0))</f>
        <v/>
      </c>
      <c r="M7" s="15">
        <f>INDEX(Spettacoli!$F$2:$F$41,MATCH(LARGE(Spettacoli!$R$2:$R$41,2),Spettacoli!$R$2:$R$41,0))</f>
        <v/>
      </c>
      <c r="N7" s="15">
        <f>INDEX(Spettacoli!$G$2:$G$41,MATCH(LARGE(Spettacoli!$R$2:$R$41,2),Spettacoli!$R$2:$R$41,0))</f>
        <v/>
      </c>
      <c r="O7" s="16">
        <f>INDEX(Spettacoli!$M$2:$M$41,MATCH(LARGE(Spettacoli!$R$2:$R$41,2),Spettacoli!$R$2:$R$41,0))</f>
        <v/>
      </c>
    </row>
    <row r="8">
      <c r="B8" s="4" t="inlineStr">
        <is>
          <t>Persone per auto (media)</t>
        </is>
      </c>
      <c r="C8" s="5" t="n"/>
      <c r="E8" s="4" t="inlineStr">
        <is>
          <t>Occupazione media (auto)</t>
        </is>
      </c>
      <c r="F8" s="5" t="n"/>
      <c r="H8" s="4" t="inlineStr">
        <is>
          <t>Spettacoli con vendite / totali</t>
        </is>
      </c>
      <c r="I8" s="5" t="n"/>
      <c r="K8" s="9">
        <f>INDEX(Spettacoli!$B$2:$B$41,MATCH(LARGE(Spettacoli!$R$2:$R$41,3),Spettacoli!$R$2:$R$41,0))</f>
        <v/>
      </c>
      <c r="L8" s="10">
        <f>INDEX(Spettacoli!$D$2:$D$41,MATCH(LARGE(Spettacoli!$R$2:$R$41,3),Spettacoli!$R$2:$R$41,0))</f>
        <v/>
      </c>
      <c r="M8" s="11">
        <f>INDEX(Spettacoli!$F$2:$F$41,MATCH(LARGE(Spettacoli!$R$2:$R$41,3),Spettacoli!$R$2:$R$41,0))</f>
        <v/>
      </c>
      <c r="N8" s="11">
        <f>INDEX(Spettacoli!$G$2:$G$41,MATCH(LARGE(Spettacoli!$R$2:$R$41,3),Spettacoli!$R$2:$R$41,0))</f>
        <v/>
      </c>
      <c r="O8" s="12">
        <f>INDEX(Spettacoli!$M$2:$M$41,MATCH(LARGE(Spettacoli!$R$2:$R$41,3),Spettacoli!$R$2:$R$41,0))</f>
        <v/>
      </c>
    </row>
    <row r="9" ht="26" customHeight="1">
      <c r="B9" s="17">
        <f>IF(SUM(Vendite!$H$2:$H$1000)&gt;0,SUM(Vendite!$P$2:$P$1000)/SUM(Vendite!$H$2:$H$1000),0)</f>
        <v/>
      </c>
      <c r="C9" s="5" t="n"/>
      <c r="E9" s="18">
        <f>IF(SUM(Spettacoli!E2:E41)&gt;0,SUM(Spettacoli!F2:F41)/SUM(Spettacoli!E2:E41),0)</f>
        <v/>
      </c>
      <c r="F9" s="5" t="n"/>
      <c r="H9" s="19">
        <f>COUNTIF(Spettacoli!$Q$2:$Q$41,"Venduto")&amp;" / "&amp;COUNTA(Spettacoli!A2:A41)</f>
        <v/>
      </c>
      <c r="I9" s="5" t="n"/>
      <c r="K9" s="13">
        <f>INDEX(Spettacoli!$B$2:$B$41,MATCH(LARGE(Spettacoli!$R$2:$R$41,4),Spettacoli!$R$2:$R$41,0))</f>
        <v/>
      </c>
      <c r="L9" s="14">
        <f>INDEX(Spettacoli!$D$2:$D$41,MATCH(LARGE(Spettacoli!$R$2:$R$41,4),Spettacoli!$R$2:$R$41,0))</f>
        <v/>
      </c>
      <c r="M9" s="15">
        <f>INDEX(Spettacoli!$F$2:$F$41,MATCH(LARGE(Spettacoli!$R$2:$R$41,4),Spettacoli!$R$2:$R$41,0))</f>
        <v/>
      </c>
      <c r="N9" s="15">
        <f>INDEX(Spettacoli!$G$2:$G$41,MATCH(LARGE(Spettacoli!$R$2:$R$41,4),Spettacoli!$R$2:$R$41,0))</f>
        <v/>
      </c>
      <c r="O9" s="16">
        <f>INDEX(Spettacoli!$M$2:$M$41,MATCH(LARGE(Spettacoli!$R$2:$R$41,4),Spettacoli!$R$2:$R$41,0))</f>
        <v/>
      </c>
    </row>
    <row r="10">
      <c r="K10" s="9">
        <f>INDEX(Spettacoli!$B$2:$B$41,MATCH(LARGE(Spettacoli!$R$2:$R$41,5),Spettacoli!$R$2:$R$41,0))</f>
        <v/>
      </c>
      <c r="L10" s="10">
        <f>INDEX(Spettacoli!$D$2:$D$41,MATCH(LARGE(Spettacoli!$R$2:$R$41,5),Spettacoli!$R$2:$R$41,0))</f>
        <v/>
      </c>
      <c r="M10" s="11">
        <f>INDEX(Spettacoli!$F$2:$F$41,MATCH(LARGE(Spettacoli!$R$2:$R$41,5),Spettacoli!$R$2:$R$41,0))</f>
        <v/>
      </c>
      <c r="N10" s="11">
        <f>INDEX(Spettacoli!$G$2:$G$41,MATCH(LARGE(Spettacoli!$R$2:$R$41,5),Spettacoli!$R$2:$R$41,0))</f>
        <v/>
      </c>
      <c r="O10" s="12">
        <f>INDEX(Spettacoli!$M$2:$M$41,MATCH(LARGE(Spettacoli!$R$2:$R$41,5),Spettacoli!$R$2:$R$41,0))</f>
        <v/>
      </c>
    </row>
    <row r="11">
      <c r="B11" s="4" t="inlineStr">
        <is>
          <t>Auto per tipologia</t>
        </is>
      </c>
      <c r="C11" s="5" t="n"/>
      <c r="E11" s="4" t="inlineStr">
        <is>
          <t>Prezzo medio per auto</t>
        </is>
      </c>
      <c r="F11" s="5" t="n"/>
      <c r="H11" s="4" t="inlineStr">
        <is>
          <t>Ultimo aggiornamento</t>
        </is>
      </c>
      <c r="I11" s="5" t="n"/>
    </row>
    <row r="12" ht="26" customHeight="1">
      <c r="B12" s="19">
        <f>"Da 2: "&amp;Tipologie!D2&amp;" · "&amp;"Da 3: "&amp;Tipologie!D3&amp;" · "&amp;"Da 4: "&amp;Tipologie!D4&amp;" · "&amp;"Da 5: "&amp;Tipologie!D5</f>
        <v/>
      </c>
      <c r="C12" s="5" t="n"/>
      <c r="E12" s="7">
        <f>IF(SUM(Vendite!$H$2:$H$1000)&gt;0,SUM(Vendite!$J$2:$J$1000)/SUM(Vendite!$H$2:$H$1000),0)</f>
        <v/>
      </c>
      <c r="F12" s="5" t="n"/>
      <c r="H12" s="20">
        <f>MAX(Storico!A2:A601)</f>
        <v/>
      </c>
      <c r="I12" s="5" t="n"/>
    </row>
  </sheetData>
  <mergeCells count="18">
    <mergeCell ref="E9:F9"/>
    <mergeCell ref="E12:F12"/>
    <mergeCell ref="B6:C6"/>
    <mergeCell ref="H11:I11"/>
    <mergeCell ref="E6:F6"/>
    <mergeCell ref="H12:I12"/>
    <mergeCell ref="H6:I6"/>
    <mergeCell ref="B11:C11"/>
    <mergeCell ref="B5:C5"/>
    <mergeCell ref="H9:I9"/>
    <mergeCell ref="E11:F11"/>
    <mergeCell ref="E5:F5"/>
    <mergeCell ref="H5:I5"/>
    <mergeCell ref="H8:I8"/>
    <mergeCell ref="B9:C9"/>
    <mergeCell ref="B8:C8"/>
    <mergeCell ref="E8:F8"/>
    <mergeCell ref="B12:C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8" customWidth="1" min="4" max="4"/>
  </cols>
  <sheetData>
    <row r="1" ht="30" customHeight="1">
      <c r="A1" s="21" t="inlineStr">
        <is>
          <t>Codice titolo</t>
        </is>
      </c>
      <c r="B1" s="21" t="inlineStr">
        <is>
          <t>Descrizione</t>
        </is>
      </c>
      <c r="C1" s="21" t="inlineStr">
        <is>
          <t>Tipologia (Intero/Ridotto/Omaggio)</t>
        </is>
      </c>
      <c r="D1" s="21" t="inlineStr">
        <is>
          <t>Persone per auto</t>
        </is>
      </c>
    </row>
    <row r="2">
      <c r="A2" s="22" t="inlineStr">
        <is>
          <t>I1</t>
        </is>
      </c>
      <c r="B2" s="22" t="inlineStr">
        <is>
          <t>Auto da 4 · 48 €</t>
        </is>
      </c>
      <c r="C2" s="22" t="inlineStr">
        <is>
          <t>Intero</t>
        </is>
      </c>
      <c r="D2" s="22" t="n">
        <v>4</v>
      </c>
    </row>
    <row r="3">
      <c r="A3" s="23" t="inlineStr">
        <is>
          <t>I8</t>
        </is>
      </c>
      <c r="B3" s="23" t="inlineStr">
        <is>
          <t>Auto da 2 · 24 €</t>
        </is>
      </c>
      <c r="C3" s="23" t="inlineStr">
        <is>
          <t>Intero</t>
        </is>
      </c>
      <c r="D3" s="23" t="n">
        <v>2</v>
      </c>
    </row>
    <row r="4">
      <c r="A4" s="22" t="inlineStr">
        <is>
          <t>I2</t>
        </is>
      </c>
      <c r="B4" s="22" t="inlineStr">
        <is>
          <t>Auto da 3 · 36 €</t>
        </is>
      </c>
      <c r="C4" s="22" t="inlineStr">
        <is>
          <t>Intero</t>
        </is>
      </c>
      <c r="D4" s="22" t="n">
        <v>3</v>
      </c>
    </row>
    <row r="5">
      <c r="A5" s="23" t="inlineStr">
        <is>
          <t>I5</t>
        </is>
      </c>
      <c r="B5" s="23" t="inlineStr">
        <is>
          <t>Auto da 5 · 60 €</t>
        </is>
      </c>
      <c r="C5" s="23" t="inlineStr">
        <is>
          <t>Intero</t>
        </is>
      </c>
      <c r="D5" s="23" t="n">
        <v>5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0" customWidth="1" min="4" max="4"/>
    <col width="10" customWidth="1" min="5" max="5"/>
    <col width="13" customWidth="1" min="6" max="6"/>
    <col width="13" customWidth="1" min="7" max="7"/>
  </cols>
  <sheetData>
    <row r="1" ht="30" customHeight="1">
      <c r="A1" s="21" t="inlineStr">
        <is>
          <t>Tipologia</t>
        </is>
      </c>
      <c r="B1" s="21" t="inlineStr">
        <is>
          <t>Prezzo</t>
        </is>
      </c>
      <c r="C1" s="21" t="inlineStr">
        <is>
          <t>Persone per auto</t>
        </is>
      </c>
      <c r="D1" s="21" t="inlineStr">
        <is>
          <t>N° auto</t>
        </is>
      </c>
      <c r="E1" s="21" t="inlineStr">
        <is>
          <t>Persone</t>
        </is>
      </c>
      <c r="F1" s="21" t="inlineStr">
        <is>
          <t>Incasso</t>
        </is>
      </c>
      <c r="G1" s="21" t="inlineStr">
        <is>
          <t>% delle auto</t>
        </is>
      </c>
    </row>
    <row r="2">
      <c r="A2" s="22" t="inlineStr">
        <is>
          <t>Auto da 2 persone</t>
        </is>
      </c>
      <c r="B2" s="12" t="n">
        <v>24</v>
      </c>
      <c r="C2" s="11" t="n">
        <v>2</v>
      </c>
      <c r="D2" s="11">
        <f>SUMIF(Vendite!$O$2:$O$1000,C2,Vendite!$H$2:$H$1000)</f>
        <v/>
      </c>
      <c r="E2" s="11">
        <f>SUMIF(Vendite!$O$2:$O$1000,C2,Vendite!$P$2:$P$1000)</f>
        <v/>
      </c>
      <c r="F2" s="12">
        <f>SUMIF(Vendite!$O$2:$O$1000,C2,Vendite!$J$2:$J$1000)</f>
        <v/>
      </c>
      <c r="G2" s="24">
        <f>IF(SUM($D$2:$D$5)&gt;0,D2/SUM($D$2:$D$5),0)</f>
        <v/>
      </c>
    </row>
    <row r="3">
      <c r="A3" s="23" t="inlineStr">
        <is>
          <t>Auto da 3 persone</t>
        </is>
      </c>
      <c r="B3" s="16" t="n">
        <v>36</v>
      </c>
      <c r="C3" s="15" t="n">
        <v>3</v>
      </c>
      <c r="D3" s="15">
        <f>SUMIF(Vendite!$O$2:$O$1000,C3,Vendite!$H$2:$H$1000)</f>
        <v/>
      </c>
      <c r="E3" s="15">
        <f>SUMIF(Vendite!$O$2:$O$1000,C3,Vendite!$P$2:$P$1000)</f>
        <v/>
      </c>
      <c r="F3" s="16">
        <f>SUMIF(Vendite!$O$2:$O$1000,C3,Vendite!$J$2:$J$1000)</f>
        <v/>
      </c>
      <c r="G3" s="25">
        <f>IF(SUM($D$2:$D$5)&gt;0,D3/SUM($D$2:$D$5),0)</f>
        <v/>
      </c>
    </row>
    <row r="4">
      <c r="A4" s="22" t="inlineStr">
        <is>
          <t>Auto da 4 persone</t>
        </is>
      </c>
      <c r="B4" s="12" t="n">
        <v>48</v>
      </c>
      <c r="C4" s="11" t="n">
        <v>4</v>
      </c>
      <c r="D4" s="11">
        <f>SUMIF(Vendite!$O$2:$O$1000,C4,Vendite!$H$2:$H$1000)</f>
        <v/>
      </c>
      <c r="E4" s="11">
        <f>SUMIF(Vendite!$O$2:$O$1000,C4,Vendite!$P$2:$P$1000)</f>
        <v/>
      </c>
      <c r="F4" s="12">
        <f>SUMIF(Vendite!$O$2:$O$1000,C4,Vendite!$J$2:$J$1000)</f>
        <v/>
      </c>
      <c r="G4" s="24">
        <f>IF(SUM($D$2:$D$5)&gt;0,D4/SUM($D$2:$D$5),0)</f>
        <v/>
      </c>
    </row>
    <row r="5">
      <c r="A5" s="23" t="inlineStr">
        <is>
          <t>Auto da 5 persone</t>
        </is>
      </c>
      <c r="B5" s="16" t="n">
        <v>60</v>
      </c>
      <c r="C5" s="15" t="n">
        <v>5</v>
      </c>
      <c r="D5" s="15">
        <f>SUMIF(Vendite!$O$2:$O$1000,C5,Vendite!$H$2:$H$1000)</f>
        <v/>
      </c>
      <c r="E5" s="15">
        <f>SUMIF(Vendite!$O$2:$O$1000,C5,Vendite!$P$2:$P$1000)</f>
        <v/>
      </c>
      <c r="F5" s="16">
        <f>SUMIF(Vendite!$O$2:$O$1000,C5,Vendite!$J$2:$J$1000)</f>
        <v/>
      </c>
      <c r="G5" s="25">
        <f>IF(SUM($D$2:$D$5)&gt;0,D5/SUM($D$2:$D$5),0)</f>
        <v/>
      </c>
    </row>
    <row r="6">
      <c r="A6" s="26" t="inlineStr">
        <is>
          <t>Totale</t>
        </is>
      </c>
      <c r="B6" s="26" t="n"/>
      <c r="C6" s="26" t="n"/>
      <c r="D6" s="27">
        <f>SUM(D2:D5)</f>
        <v/>
      </c>
      <c r="E6" s="27">
        <f>SUM(E2:E5)</f>
        <v/>
      </c>
      <c r="F6" s="28">
        <f>SUM(F2:F5)</f>
        <v/>
      </c>
      <c r="G6" s="29">
        <f>SUM(G2:G5)</f>
        <v/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8" customWidth="1" min="4" max="4"/>
    <col width="11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11" customWidth="1" min="15" max="15"/>
    <col width="13" customWidth="1" min="16" max="16"/>
    <col width="14" customWidth="1" min="17" max="17"/>
    <col hidden="1" width="10" customWidth="1" min="18" max="18"/>
  </cols>
  <sheetData>
    <row r="1" ht="30" customHeight="1">
      <c r="A1" s="21" t="inlineStr">
        <is>
          <t>ID</t>
        </is>
      </c>
      <c r="B1" s="21" t="inlineStr">
        <is>
          <t>Data</t>
        </is>
      </c>
      <c r="C1" s="21" t="inlineStr">
        <is>
          <t>Giorno settimana</t>
        </is>
      </c>
      <c r="D1" s="21" t="inlineStr">
        <is>
          <t>Ora</t>
        </is>
      </c>
      <c r="E1" s="21" t="inlineStr">
        <is>
          <t>Capienza (auto)</t>
        </is>
      </c>
      <c r="F1" s="21" t="inlineStr">
        <is>
          <t>Auto</t>
        </is>
      </c>
      <c r="G1" s="21" t="inlineStr">
        <is>
          <t>Persone</t>
        </is>
      </c>
      <c r="H1" s="21" t="inlineStr">
        <is>
          <t>Auto da 2</t>
        </is>
      </c>
      <c r="I1" s="21" t="inlineStr">
        <is>
          <t>Auto da 3</t>
        </is>
      </c>
      <c r="J1" s="21" t="inlineStr">
        <is>
          <t>Auto da 4</t>
        </is>
      </c>
      <c r="K1" s="21" t="inlineStr">
        <is>
          <t>Auto da 5</t>
        </is>
      </c>
      <c r="L1" s="21" t="inlineStr">
        <is>
          <t>Annullati</t>
        </is>
      </c>
      <c r="M1" s="21" t="inlineStr">
        <is>
          <t>Incasso lordo</t>
        </is>
      </c>
      <c r="N1" s="21" t="inlineStr">
        <is>
          <t>Imponibile IVA</t>
        </is>
      </c>
      <c r="O1" s="21" t="inlineStr">
        <is>
          <t>IVA</t>
        </is>
      </c>
      <c r="P1" s="21" t="inlineStr">
        <is>
          <t>Occupazione % (auto)</t>
        </is>
      </c>
      <c r="Q1" s="21" t="inlineStr">
        <is>
          <t>Stato</t>
        </is>
      </c>
      <c r="R1" s="21" t="inlineStr">
        <is>
          <t>Chiave ordinamento</t>
        </is>
      </c>
    </row>
    <row r="2">
      <c r="A2" s="22" t="inlineStr">
        <is>
          <t>20261023_2015</t>
        </is>
      </c>
      <c r="B2" s="9" t="n">
        <v>46318</v>
      </c>
      <c r="C2" s="22">
        <f>CHOOSE(WEEKDAY(B2,2),"Lunedì","Martedì","Mercoledì","Giovedì","Venerdì","Sabato","Domenica")</f>
        <v/>
      </c>
      <c r="D2" s="10" t="n">
        <v>0.84375</v>
      </c>
      <c r="E2" s="11" t="n">
        <v>80</v>
      </c>
      <c r="F2" s="11">
        <f>SUMIF(Vendite!$A$2:$A$1000,A2,Vendite!$H$2:$H$1000)</f>
        <v/>
      </c>
      <c r="G2" s="11">
        <f>SUMIF(Vendite!$A$2:$A$1000,A2,Vendite!$P$2:$P$1000)</f>
        <v/>
      </c>
      <c r="H2" s="11">
        <f>SUMIFS(Vendite!$H$2:$H$1000,Vendite!$A$2:$A$1000,A2,Vendite!$O$2:$O$1000,2)</f>
        <v/>
      </c>
      <c r="I2" s="11">
        <f>SUMIFS(Vendite!$H$2:$H$1000,Vendite!$A$2:$A$1000,A2,Vendite!$O$2:$O$1000,3)</f>
        <v/>
      </c>
      <c r="J2" s="11">
        <f>SUMIFS(Vendite!$H$2:$H$1000,Vendite!$A$2:$A$1000,A2,Vendite!$O$2:$O$1000,4)</f>
        <v/>
      </c>
      <c r="K2" s="11">
        <f>SUMIFS(Vendite!$H$2:$H$1000,Vendite!$A$2:$A$1000,A2,Vendite!$O$2:$O$1000,5)</f>
        <v/>
      </c>
      <c r="L2" s="11">
        <f>SUMIF(Vendite!$A$2:$A$1000,A2,Vendite!$I$2:$I$1000)</f>
        <v/>
      </c>
      <c r="M2" s="12">
        <f>SUMIF(Vendite!$A$2:$A$1000,A2,Vendite!$J$2:$J$1000)</f>
        <v/>
      </c>
      <c r="N2" s="12">
        <f>SUMIF(Vendite!$A$2:$A$1000,A2,Vendite!$L$2:$L$1000)</f>
        <v/>
      </c>
      <c r="O2" s="12">
        <f>SUMIF(Vendite!$A$2:$A$1000,A2,Vendite!$M$2:$M$1000)</f>
        <v/>
      </c>
      <c r="P2" s="24">
        <f>IF(E2&gt;0,F2/E2,0)</f>
        <v/>
      </c>
      <c r="Q2" s="22">
        <f>IF(F2&gt;0,"Venduto","Zero vendite")</f>
        <v/>
      </c>
      <c r="R2" s="22">
        <f>F2+M2/100000+(1000-ROW())/100000000</f>
        <v/>
      </c>
    </row>
    <row r="3">
      <c r="A3" s="23" t="inlineStr">
        <is>
          <t>20261023_2115</t>
        </is>
      </c>
      <c r="B3" s="13" t="n">
        <v>46318</v>
      </c>
      <c r="C3" s="23">
        <f>CHOOSE(WEEKDAY(B3,2),"Lunedì","Martedì","Mercoledì","Giovedì","Venerdì","Sabato","Domenica")</f>
        <v/>
      </c>
      <c r="D3" s="14" t="n">
        <v>0.8854166666666666</v>
      </c>
      <c r="E3" s="15" t="n">
        <v>80</v>
      </c>
      <c r="F3" s="15">
        <f>SUMIF(Vendite!$A$2:$A$1000,A3,Vendite!$H$2:$H$1000)</f>
        <v/>
      </c>
      <c r="G3" s="15">
        <f>SUMIF(Vendite!$A$2:$A$1000,A3,Vendite!$P$2:$P$1000)</f>
        <v/>
      </c>
      <c r="H3" s="15">
        <f>SUMIFS(Vendite!$H$2:$H$1000,Vendite!$A$2:$A$1000,A3,Vendite!$O$2:$O$1000,2)</f>
        <v/>
      </c>
      <c r="I3" s="15">
        <f>SUMIFS(Vendite!$H$2:$H$1000,Vendite!$A$2:$A$1000,A3,Vendite!$O$2:$O$1000,3)</f>
        <v/>
      </c>
      <c r="J3" s="15">
        <f>SUMIFS(Vendite!$H$2:$H$1000,Vendite!$A$2:$A$1000,A3,Vendite!$O$2:$O$1000,4)</f>
        <v/>
      </c>
      <c r="K3" s="15">
        <f>SUMIFS(Vendite!$H$2:$H$1000,Vendite!$A$2:$A$1000,A3,Vendite!$O$2:$O$1000,5)</f>
        <v/>
      </c>
      <c r="L3" s="15">
        <f>SUMIF(Vendite!$A$2:$A$1000,A3,Vendite!$I$2:$I$1000)</f>
        <v/>
      </c>
      <c r="M3" s="16">
        <f>SUMIF(Vendite!$A$2:$A$1000,A3,Vendite!$J$2:$J$1000)</f>
        <v/>
      </c>
      <c r="N3" s="16">
        <f>SUMIF(Vendite!$A$2:$A$1000,A3,Vendite!$L$2:$L$1000)</f>
        <v/>
      </c>
      <c r="O3" s="16">
        <f>SUMIF(Vendite!$A$2:$A$1000,A3,Vendite!$M$2:$M$1000)</f>
        <v/>
      </c>
      <c r="P3" s="25">
        <f>IF(E3&gt;0,F3/E3,0)</f>
        <v/>
      </c>
      <c r="Q3" s="23">
        <f>IF(F3&gt;0,"Venduto","Zero vendite")</f>
        <v/>
      </c>
      <c r="R3" s="23">
        <f>F3+M3/100000+(1000-ROW())/100000000</f>
        <v/>
      </c>
    </row>
    <row r="4">
      <c r="A4" s="22" t="inlineStr">
        <is>
          <t>20261023_2215</t>
        </is>
      </c>
      <c r="B4" s="9" t="n">
        <v>46318</v>
      </c>
      <c r="C4" s="22">
        <f>CHOOSE(WEEKDAY(B4,2),"Lunedì","Martedì","Mercoledì","Giovedì","Venerdì","Sabato","Domenica")</f>
        <v/>
      </c>
      <c r="D4" s="10" t="n">
        <v>0.9270833333333334</v>
      </c>
      <c r="E4" s="11" t="n">
        <v>80</v>
      </c>
      <c r="F4" s="11">
        <f>SUMIF(Vendite!$A$2:$A$1000,A4,Vendite!$H$2:$H$1000)</f>
        <v/>
      </c>
      <c r="G4" s="11">
        <f>SUMIF(Vendite!$A$2:$A$1000,A4,Vendite!$P$2:$P$1000)</f>
        <v/>
      </c>
      <c r="H4" s="11">
        <f>SUMIFS(Vendite!$H$2:$H$1000,Vendite!$A$2:$A$1000,A4,Vendite!$O$2:$O$1000,2)</f>
        <v/>
      </c>
      <c r="I4" s="11">
        <f>SUMIFS(Vendite!$H$2:$H$1000,Vendite!$A$2:$A$1000,A4,Vendite!$O$2:$O$1000,3)</f>
        <v/>
      </c>
      <c r="J4" s="11">
        <f>SUMIFS(Vendite!$H$2:$H$1000,Vendite!$A$2:$A$1000,A4,Vendite!$O$2:$O$1000,4)</f>
        <v/>
      </c>
      <c r="K4" s="11">
        <f>SUMIFS(Vendite!$H$2:$H$1000,Vendite!$A$2:$A$1000,A4,Vendite!$O$2:$O$1000,5)</f>
        <v/>
      </c>
      <c r="L4" s="11">
        <f>SUMIF(Vendite!$A$2:$A$1000,A4,Vendite!$I$2:$I$1000)</f>
        <v/>
      </c>
      <c r="M4" s="12">
        <f>SUMIF(Vendite!$A$2:$A$1000,A4,Vendite!$J$2:$J$1000)</f>
        <v/>
      </c>
      <c r="N4" s="12">
        <f>SUMIF(Vendite!$A$2:$A$1000,A4,Vendite!$L$2:$L$1000)</f>
        <v/>
      </c>
      <c r="O4" s="12">
        <f>SUMIF(Vendite!$A$2:$A$1000,A4,Vendite!$M$2:$M$1000)</f>
        <v/>
      </c>
      <c r="P4" s="24">
        <f>IF(E4&gt;0,F4/E4,0)</f>
        <v/>
      </c>
      <c r="Q4" s="22">
        <f>IF(F4&gt;0,"Venduto","Zero vendite")</f>
        <v/>
      </c>
      <c r="R4" s="22">
        <f>F4+M4/100000+(1000-ROW())/100000000</f>
        <v/>
      </c>
    </row>
    <row r="5">
      <c r="A5" s="23" t="inlineStr">
        <is>
          <t>20261023_2315</t>
        </is>
      </c>
      <c r="B5" s="13" t="n">
        <v>46318</v>
      </c>
      <c r="C5" s="23">
        <f>CHOOSE(WEEKDAY(B5,2),"Lunedì","Martedì","Mercoledì","Giovedì","Venerdì","Sabato","Domenica")</f>
        <v/>
      </c>
      <c r="D5" s="14" t="n">
        <v>0.96875</v>
      </c>
      <c r="E5" s="15" t="n">
        <v>80</v>
      </c>
      <c r="F5" s="15">
        <f>SUMIF(Vendite!$A$2:$A$1000,A5,Vendite!$H$2:$H$1000)</f>
        <v/>
      </c>
      <c r="G5" s="15">
        <f>SUMIF(Vendite!$A$2:$A$1000,A5,Vendite!$P$2:$P$1000)</f>
        <v/>
      </c>
      <c r="H5" s="15">
        <f>SUMIFS(Vendite!$H$2:$H$1000,Vendite!$A$2:$A$1000,A5,Vendite!$O$2:$O$1000,2)</f>
        <v/>
      </c>
      <c r="I5" s="15">
        <f>SUMIFS(Vendite!$H$2:$H$1000,Vendite!$A$2:$A$1000,A5,Vendite!$O$2:$O$1000,3)</f>
        <v/>
      </c>
      <c r="J5" s="15">
        <f>SUMIFS(Vendite!$H$2:$H$1000,Vendite!$A$2:$A$1000,A5,Vendite!$O$2:$O$1000,4)</f>
        <v/>
      </c>
      <c r="K5" s="15">
        <f>SUMIFS(Vendite!$H$2:$H$1000,Vendite!$A$2:$A$1000,A5,Vendite!$O$2:$O$1000,5)</f>
        <v/>
      </c>
      <c r="L5" s="15">
        <f>SUMIF(Vendite!$A$2:$A$1000,A5,Vendite!$I$2:$I$1000)</f>
        <v/>
      </c>
      <c r="M5" s="16">
        <f>SUMIF(Vendite!$A$2:$A$1000,A5,Vendite!$J$2:$J$1000)</f>
        <v/>
      </c>
      <c r="N5" s="16">
        <f>SUMIF(Vendite!$A$2:$A$1000,A5,Vendite!$L$2:$L$1000)</f>
        <v/>
      </c>
      <c r="O5" s="16">
        <f>SUMIF(Vendite!$A$2:$A$1000,A5,Vendite!$M$2:$M$1000)</f>
        <v/>
      </c>
      <c r="P5" s="25">
        <f>IF(E5&gt;0,F5/E5,0)</f>
        <v/>
      </c>
      <c r="Q5" s="23">
        <f>IF(F5&gt;0,"Venduto","Zero vendite")</f>
        <v/>
      </c>
      <c r="R5" s="23">
        <f>F5+M5/100000+(1000-ROW())/100000000</f>
        <v/>
      </c>
    </row>
    <row r="6">
      <c r="A6" s="22" t="inlineStr">
        <is>
          <t>20261023_2358</t>
        </is>
      </c>
      <c r="B6" s="9" t="n">
        <v>46318</v>
      </c>
      <c r="C6" s="22">
        <f>CHOOSE(WEEKDAY(B6,2),"Lunedì","Martedì","Mercoledì","Giovedì","Venerdì","Sabato","Domenica")</f>
        <v/>
      </c>
      <c r="D6" s="10" t="n">
        <v>0.9986111111111111</v>
      </c>
      <c r="E6" s="11" t="n">
        <v>80</v>
      </c>
      <c r="F6" s="11">
        <f>SUMIF(Vendite!$A$2:$A$1000,A6,Vendite!$H$2:$H$1000)</f>
        <v/>
      </c>
      <c r="G6" s="11">
        <f>SUMIF(Vendite!$A$2:$A$1000,A6,Vendite!$P$2:$P$1000)</f>
        <v/>
      </c>
      <c r="H6" s="11">
        <f>SUMIFS(Vendite!$H$2:$H$1000,Vendite!$A$2:$A$1000,A6,Vendite!$O$2:$O$1000,2)</f>
        <v/>
      </c>
      <c r="I6" s="11">
        <f>SUMIFS(Vendite!$H$2:$H$1000,Vendite!$A$2:$A$1000,A6,Vendite!$O$2:$O$1000,3)</f>
        <v/>
      </c>
      <c r="J6" s="11">
        <f>SUMIFS(Vendite!$H$2:$H$1000,Vendite!$A$2:$A$1000,A6,Vendite!$O$2:$O$1000,4)</f>
        <v/>
      </c>
      <c r="K6" s="11">
        <f>SUMIFS(Vendite!$H$2:$H$1000,Vendite!$A$2:$A$1000,A6,Vendite!$O$2:$O$1000,5)</f>
        <v/>
      </c>
      <c r="L6" s="11">
        <f>SUMIF(Vendite!$A$2:$A$1000,A6,Vendite!$I$2:$I$1000)</f>
        <v/>
      </c>
      <c r="M6" s="12">
        <f>SUMIF(Vendite!$A$2:$A$1000,A6,Vendite!$J$2:$J$1000)</f>
        <v/>
      </c>
      <c r="N6" s="12">
        <f>SUMIF(Vendite!$A$2:$A$1000,A6,Vendite!$L$2:$L$1000)</f>
        <v/>
      </c>
      <c r="O6" s="12">
        <f>SUMIF(Vendite!$A$2:$A$1000,A6,Vendite!$M$2:$M$1000)</f>
        <v/>
      </c>
      <c r="P6" s="24">
        <f>IF(E6&gt;0,F6/E6,0)</f>
        <v/>
      </c>
      <c r="Q6" s="22">
        <f>IF(F6&gt;0,"Venduto","Zero vendite")</f>
        <v/>
      </c>
      <c r="R6" s="22">
        <f>F6+M6/100000+(1000-ROW())/100000000</f>
        <v/>
      </c>
    </row>
    <row r="7">
      <c r="A7" s="23" t="inlineStr">
        <is>
          <t>20261024_2015</t>
        </is>
      </c>
      <c r="B7" s="13" t="n">
        <v>46319</v>
      </c>
      <c r="C7" s="23">
        <f>CHOOSE(WEEKDAY(B7,2),"Lunedì","Martedì","Mercoledì","Giovedì","Venerdì","Sabato","Domenica")</f>
        <v/>
      </c>
      <c r="D7" s="14" t="n">
        <v>0.84375</v>
      </c>
      <c r="E7" s="15" t="n">
        <v>80</v>
      </c>
      <c r="F7" s="15">
        <f>SUMIF(Vendite!$A$2:$A$1000,A7,Vendite!$H$2:$H$1000)</f>
        <v/>
      </c>
      <c r="G7" s="15">
        <f>SUMIF(Vendite!$A$2:$A$1000,A7,Vendite!$P$2:$P$1000)</f>
        <v/>
      </c>
      <c r="H7" s="15">
        <f>SUMIFS(Vendite!$H$2:$H$1000,Vendite!$A$2:$A$1000,A7,Vendite!$O$2:$O$1000,2)</f>
        <v/>
      </c>
      <c r="I7" s="15">
        <f>SUMIFS(Vendite!$H$2:$H$1000,Vendite!$A$2:$A$1000,A7,Vendite!$O$2:$O$1000,3)</f>
        <v/>
      </c>
      <c r="J7" s="15">
        <f>SUMIFS(Vendite!$H$2:$H$1000,Vendite!$A$2:$A$1000,A7,Vendite!$O$2:$O$1000,4)</f>
        <v/>
      </c>
      <c r="K7" s="15">
        <f>SUMIFS(Vendite!$H$2:$H$1000,Vendite!$A$2:$A$1000,A7,Vendite!$O$2:$O$1000,5)</f>
        <v/>
      </c>
      <c r="L7" s="15">
        <f>SUMIF(Vendite!$A$2:$A$1000,A7,Vendite!$I$2:$I$1000)</f>
        <v/>
      </c>
      <c r="M7" s="16">
        <f>SUMIF(Vendite!$A$2:$A$1000,A7,Vendite!$J$2:$J$1000)</f>
        <v/>
      </c>
      <c r="N7" s="16">
        <f>SUMIF(Vendite!$A$2:$A$1000,A7,Vendite!$L$2:$L$1000)</f>
        <v/>
      </c>
      <c r="O7" s="16">
        <f>SUMIF(Vendite!$A$2:$A$1000,A7,Vendite!$M$2:$M$1000)</f>
        <v/>
      </c>
      <c r="P7" s="25">
        <f>IF(E7&gt;0,F7/E7,0)</f>
        <v/>
      </c>
      <c r="Q7" s="23">
        <f>IF(F7&gt;0,"Venduto","Zero vendite")</f>
        <v/>
      </c>
      <c r="R7" s="23">
        <f>F7+M7/100000+(1000-ROW())/100000000</f>
        <v/>
      </c>
    </row>
    <row r="8">
      <c r="A8" s="22" t="inlineStr">
        <is>
          <t>20261024_2115</t>
        </is>
      </c>
      <c r="B8" s="9" t="n">
        <v>46319</v>
      </c>
      <c r="C8" s="22">
        <f>CHOOSE(WEEKDAY(B8,2),"Lunedì","Martedì","Mercoledì","Giovedì","Venerdì","Sabato","Domenica")</f>
        <v/>
      </c>
      <c r="D8" s="10" t="n">
        <v>0.8854166666666666</v>
      </c>
      <c r="E8" s="11" t="n">
        <v>80</v>
      </c>
      <c r="F8" s="11">
        <f>SUMIF(Vendite!$A$2:$A$1000,A8,Vendite!$H$2:$H$1000)</f>
        <v/>
      </c>
      <c r="G8" s="11">
        <f>SUMIF(Vendite!$A$2:$A$1000,A8,Vendite!$P$2:$P$1000)</f>
        <v/>
      </c>
      <c r="H8" s="11">
        <f>SUMIFS(Vendite!$H$2:$H$1000,Vendite!$A$2:$A$1000,A8,Vendite!$O$2:$O$1000,2)</f>
        <v/>
      </c>
      <c r="I8" s="11">
        <f>SUMIFS(Vendite!$H$2:$H$1000,Vendite!$A$2:$A$1000,A8,Vendite!$O$2:$O$1000,3)</f>
        <v/>
      </c>
      <c r="J8" s="11">
        <f>SUMIFS(Vendite!$H$2:$H$1000,Vendite!$A$2:$A$1000,A8,Vendite!$O$2:$O$1000,4)</f>
        <v/>
      </c>
      <c r="K8" s="11">
        <f>SUMIFS(Vendite!$H$2:$H$1000,Vendite!$A$2:$A$1000,A8,Vendite!$O$2:$O$1000,5)</f>
        <v/>
      </c>
      <c r="L8" s="11">
        <f>SUMIF(Vendite!$A$2:$A$1000,A8,Vendite!$I$2:$I$1000)</f>
        <v/>
      </c>
      <c r="M8" s="12">
        <f>SUMIF(Vendite!$A$2:$A$1000,A8,Vendite!$J$2:$J$1000)</f>
        <v/>
      </c>
      <c r="N8" s="12">
        <f>SUMIF(Vendite!$A$2:$A$1000,A8,Vendite!$L$2:$L$1000)</f>
        <v/>
      </c>
      <c r="O8" s="12">
        <f>SUMIF(Vendite!$A$2:$A$1000,A8,Vendite!$M$2:$M$1000)</f>
        <v/>
      </c>
      <c r="P8" s="24">
        <f>IF(E8&gt;0,F8/E8,0)</f>
        <v/>
      </c>
      <c r="Q8" s="22">
        <f>IF(F8&gt;0,"Venduto","Zero vendite")</f>
        <v/>
      </c>
      <c r="R8" s="22">
        <f>F8+M8/100000+(1000-ROW())/100000000</f>
        <v/>
      </c>
    </row>
    <row r="9">
      <c r="A9" s="23" t="inlineStr">
        <is>
          <t>20261024_2215</t>
        </is>
      </c>
      <c r="B9" s="13" t="n">
        <v>46319</v>
      </c>
      <c r="C9" s="23">
        <f>CHOOSE(WEEKDAY(B9,2),"Lunedì","Martedì","Mercoledì","Giovedì","Venerdì","Sabato","Domenica")</f>
        <v/>
      </c>
      <c r="D9" s="14" t="n">
        <v>0.9270833333333334</v>
      </c>
      <c r="E9" s="15" t="n">
        <v>80</v>
      </c>
      <c r="F9" s="15">
        <f>SUMIF(Vendite!$A$2:$A$1000,A9,Vendite!$H$2:$H$1000)</f>
        <v/>
      </c>
      <c r="G9" s="15">
        <f>SUMIF(Vendite!$A$2:$A$1000,A9,Vendite!$P$2:$P$1000)</f>
        <v/>
      </c>
      <c r="H9" s="15">
        <f>SUMIFS(Vendite!$H$2:$H$1000,Vendite!$A$2:$A$1000,A9,Vendite!$O$2:$O$1000,2)</f>
        <v/>
      </c>
      <c r="I9" s="15">
        <f>SUMIFS(Vendite!$H$2:$H$1000,Vendite!$A$2:$A$1000,A9,Vendite!$O$2:$O$1000,3)</f>
        <v/>
      </c>
      <c r="J9" s="15">
        <f>SUMIFS(Vendite!$H$2:$H$1000,Vendite!$A$2:$A$1000,A9,Vendite!$O$2:$O$1000,4)</f>
        <v/>
      </c>
      <c r="K9" s="15">
        <f>SUMIFS(Vendite!$H$2:$H$1000,Vendite!$A$2:$A$1000,A9,Vendite!$O$2:$O$1000,5)</f>
        <v/>
      </c>
      <c r="L9" s="15">
        <f>SUMIF(Vendite!$A$2:$A$1000,A9,Vendite!$I$2:$I$1000)</f>
        <v/>
      </c>
      <c r="M9" s="16">
        <f>SUMIF(Vendite!$A$2:$A$1000,A9,Vendite!$J$2:$J$1000)</f>
        <v/>
      </c>
      <c r="N9" s="16">
        <f>SUMIF(Vendite!$A$2:$A$1000,A9,Vendite!$L$2:$L$1000)</f>
        <v/>
      </c>
      <c r="O9" s="16">
        <f>SUMIF(Vendite!$A$2:$A$1000,A9,Vendite!$M$2:$M$1000)</f>
        <v/>
      </c>
      <c r="P9" s="25">
        <f>IF(E9&gt;0,F9/E9,0)</f>
        <v/>
      </c>
      <c r="Q9" s="23">
        <f>IF(F9&gt;0,"Venduto","Zero vendite")</f>
        <v/>
      </c>
      <c r="R9" s="23">
        <f>F9+M9/100000+(1000-ROW())/100000000</f>
        <v/>
      </c>
    </row>
    <row r="10">
      <c r="A10" s="22" t="inlineStr">
        <is>
          <t>20261024_2315</t>
        </is>
      </c>
      <c r="B10" s="9" t="n">
        <v>46319</v>
      </c>
      <c r="C10" s="22">
        <f>CHOOSE(WEEKDAY(B10,2),"Lunedì","Martedì","Mercoledì","Giovedì","Venerdì","Sabato","Domenica")</f>
        <v/>
      </c>
      <c r="D10" s="10" t="n">
        <v>0.96875</v>
      </c>
      <c r="E10" s="11" t="n">
        <v>80</v>
      </c>
      <c r="F10" s="11">
        <f>SUMIF(Vendite!$A$2:$A$1000,A10,Vendite!$H$2:$H$1000)</f>
        <v/>
      </c>
      <c r="G10" s="11">
        <f>SUMIF(Vendite!$A$2:$A$1000,A10,Vendite!$P$2:$P$1000)</f>
        <v/>
      </c>
      <c r="H10" s="11">
        <f>SUMIFS(Vendite!$H$2:$H$1000,Vendite!$A$2:$A$1000,A10,Vendite!$O$2:$O$1000,2)</f>
        <v/>
      </c>
      <c r="I10" s="11">
        <f>SUMIFS(Vendite!$H$2:$H$1000,Vendite!$A$2:$A$1000,A10,Vendite!$O$2:$O$1000,3)</f>
        <v/>
      </c>
      <c r="J10" s="11">
        <f>SUMIFS(Vendite!$H$2:$H$1000,Vendite!$A$2:$A$1000,A10,Vendite!$O$2:$O$1000,4)</f>
        <v/>
      </c>
      <c r="K10" s="11">
        <f>SUMIFS(Vendite!$H$2:$H$1000,Vendite!$A$2:$A$1000,A10,Vendite!$O$2:$O$1000,5)</f>
        <v/>
      </c>
      <c r="L10" s="11">
        <f>SUMIF(Vendite!$A$2:$A$1000,A10,Vendite!$I$2:$I$1000)</f>
        <v/>
      </c>
      <c r="M10" s="12">
        <f>SUMIF(Vendite!$A$2:$A$1000,A10,Vendite!$J$2:$J$1000)</f>
        <v/>
      </c>
      <c r="N10" s="12">
        <f>SUMIF(Vendite!$A$2:$A$1000,A10,Vendite!$L$2:$L$1000)</f>
        <v/>
      </c>
      <c r="O10" s="12">
        <f>SUMIF(Vendite!$A$2:$A$1000,A10,Vendite!$M$2:$M$1000)</f>
        <v/>
      </c>
      <c r="P10" s="24">
        <f>IF(E10&gt;0,F10/E10,0)</f>
        <v/>
      </c>
      <c r="Q10" s="22">
        <f>IF(F10&gt;0,"Venduto","Zero vendite")</f>
        <v/>
      </c>
      <c r="R10" s="22">
        <f>F10+M10/100000+(1000-ROW())/100000000</f>
        <v/>
      </c>
    </row>
    <row r="11">
      <c r="A11" s="23" t="inlineStr">
        <is>
          <t>20261024_2359</t>
        </is>
      </c>
      <c r="B11" s="13" t="n">
        <v>46319</v>
      </c>
      <c r="C11" s="23">
        <f>CHOOSE(WEEKDAY(B11,2),"Lunedì","Martedì","Mercoledì","Giovedì","Venerdì","Sabato","Domenica")</f>
        <v/>
      </c>
      <c r="D11" s="14" t="n">
        <v>0.9993055555555556</v>
      </c>
      <c r="E11" s="15" t="n">
        <v>80</v>
      </c>
      <c r="F11" s="15">
        <f>SUMIF(Vendite!$A$2:$A$1000,A11,Vendite!$H$2:$H$1000)</f>
        <v/>
      </c>
      <c r="G11" s="15">
        <f>SUMIF(Vendite!$A$2:$A$1000,A11,Vendite!$P$2:$P$1000)</f>
        <v/>
      </c>
      <c r="H11" s="15">
        <f>SUMIFS(Vendite!$H$2:$H$1000,Vendite!$A$2:$A$1000,A11,Vendite!$O$2:$O$1000,2)</f>
        <v/>
      </c>
      <c r="I11" s="15">
        <f>SUMIFS(Vendite!$H$2:$H$1000,Vendite!$A$2:$A$1000,A11,Vendite!$O$2:$O$1000,3)</f>
        <v/>
      </c>
      <c r="J11" s="15">
        <f>SUMIFS(Vendite!$H$2:$H$1000,Vendite!$A$2:$A$1000,A11,Vendite!$O$2:$O$1000,4)</f>
        <v/>
      </c>
      <c r="K11" s="15">
        <f>SUMIFS(Vendite!$H$2:$H$1000,Vendite!$A$2:$A$1000,A11,Vendite!$O$2:$O$1000,5)</f>
        <v/>
      </c>
      <c r="L11" s="15">
        <f>SUMIF(Vendite!$A$2:$A$1000,A11,Vendite!$I$2:$I$1000)</f>
        <v/>
      </c>
      <c r="M11" s="16">
        <f>SUMIF(Vendite!$A$2:$A$1000,A11,Vendite!$J$2:$J$1000)</f>
        <v/>
      </c>
      <c r="N11" s="16">
        <f>SUMIF(Vendite!$A$2:$A$1000,A11,Vendite!$L$2:$L$1000)</f>
        <v/>
      </c>
      <c r="O11" s="16">
        <f>SUMIF(Vendite!$A$2:$A$1000,A11,Vendite!$M$2:$M$1000)</f>
        <v/>
      </c>
      <c r="P11" s="25">
        <f>IF(E11&gt;0,F11/E11,0)</f>
        <v/>
      </c>
      <c r="Q11" s="23">
        <f>IF(F11&gt;0,"Venduto","Zero vendite")</f>
        <v/>
      </c>
      <c r="R11" s="23">
        <f>F11+M11/100000+(1000-ROW())/100000000</f>
        <v/>
      </c>
    </row>
    <row r="12">
      <c r="A12" s="22" t="inlineStr">
        <is>
          <t>20261025_2015</t>
        </is>
      </c>
      <c r="B12" s="9" t="n">
        <v>46320</v>
      </c>
      <c r="C12" s="22">
        <f>CHOOSE(WEEKDAY(B12,2),"Lunedì","Martedì","Mercoledì","Giovedì","Venerdì","Sabato","Domenica")</f>
        <v/>
      </c>
      <c r="D12" s="10" t="n">
        <v>0.84375</v>
      </c>
      <c r="E12" s="11" t="n">
        <v>80</v>
      </c>
      <c r="F12" s="11">
        <f>SUMIF(Vendite!$A$2:$A$1000,A12,Vendite!$H$2:$H$1000)</f>
        <v/>
      </c>
      <c r="G12" s="11">
        <f>SUMIF(Vendite!$A$2:$A$1000,A12,Vendite!$P$2:$P$1000)</f>
        <v/>
      </c>
      <c r="H12" s="11">
        <f>SUMIFS(Vendite!$H$2:$H$1000,Vendite!$A$2:$A$1000,A12,Vendite!$O$2:$O$1000,2)</f>
        <v/>
      </c>
      <c r="I12" s="11">
        <f>SUMIFS(Vendite!$H$2:$H$1000,Vendite!$A$2:$A$1000,A12,Vendite!$O$2:$O$1000,3)</f>
        <v/>
      </c>
      <c r="J12" s="11">
        <f>SUMIFS(Vendite!$H$2:$H$1000,Vendite!$A$2:$A$1000,A12,Vendite!$O$2:$O$1000,4)</f>
        <v/>
      </c>
      <c r="K12" s="11">
        <f>SUMIFS(Vendite!$H$2:$H$1000,Vendite!$A$2:$A$1000,A12,Vendite!$O$2:$O$1000,5)</f>
        <v/>
      </c>
      <c r="L12" s="11">
        <f>SUMIF(Vendite!$A$2:$A$1000,A12,Vendite!$I$2:$I$1000)</f>
        <v/>
      </c>
      <c r="M12" s="12">
        <f>SUMIF(Vendite!$A$2:$A$1000,A12,Vendite!$J$2:$J$1000)</f>
        <v/>
      </c>
      <c r="N12" s="12">
        <f>SUMIF(Vendite!$A$2:$A$1000,A12,Vendite!$L$2:$L$1000)</f>
        <v/>
      </c>
      <c r="O12" s="12">
        <f>SUMIF(Vendite!$A$2:$A$1000,A12,Vendite!$M$2:$M$1000)</f>
        <v/>
      </c>
      <c r="P12" s="24">
        <f>IF(E12&gt;0,F12/E12,0)</f>
        <v/>
      </c>
      <c r="Q12" s="22">
        <f>IF(F12&gt;0,"Venduto","Zero vendite")</f>
        <v/>
      </c>
      <c r="R12" s="22">
        <f>F12+M12/100000+(1000-ROW())/100000000</f>
        <v/>
      </c>
    </row>
    <row r="13">
      <c r="A13" s="23" t="inlineStr">
        <is>
          <t>20261025_2115</t>
        </is>
      </c>
      <c r="B13" s="13" t="n">
        <v>46320</v>
      </c>
      <c r="C13" s="23">
        <f>CHOOSE(WEEKDAY(B13,2),"Lunedì","Martedì","Mercoledì","Giovedì","Venerdì","Sabato","Domenica")</f>
        <v/>
      </c>
      <c r="D13" s="14" t="n">
        <v>0.8854166666666666</v>
      </c>
      <c r="E13" s="15" t="n">
        <v>80</v>
      </c>
      <c r="F13" s="15">
        <f>SUMIF(Vendite!$A$2:$A$1000,A13,Vendite!$H$2:$H$1000)</f>
        <v/>
      </c>
      <c r="G13" s="15">
        <f>SUMIF(Vendite!$A$2:$A$1000,A13,Vendite!$P$2:$P$1000)</f>
        <v/>
      </c>
      <c r="H13" s="15">
        <f>SUMIFS(Vendite!$H$2:$H$1000,Vendite!$A$2:$A$1000,A13,Vendite!$O$2:$O$1000,2)</f>
        <v/>
      </c>
      <c r="I13" s="15">
        <f>SUMIFS(Vendite!$H$2:$H$1000,Vendite!$A$2:$A$1000,A13,Vendite!$O$2:$O$1000,3)</f>
        <v/>
      </c>
      <c r="J13" s="15">
        <f>SUMIFS(Vendite!$H$2:$H$1000,Vendite!$A$2:$A$1000,A13,Vendite!$O$2:$O$1000,4)</f>
        <v/>
      </c>
      <c r="K13" s="15">
        <f>SUMIFS(Vendite!$H$2:$H$1000,Vendite!$A$2:$A$1000,A13,Vendite!$O$2:$O$1000,5)</f>
        <v/>
      </c>
      <c r="L13" s="15">
        <f>SUMIF(Vendite!$A$2:$A$1000,A13,Vendite!$I$2:$I$1000)</f>
        <v/>
      </c>
      <c r="M13" s="16">
        <f>SUMIF(Vendite!$A$2:$A$1000,A13,Vendite!$J$2:$J$1000)</f>
        <v/>
      </c>
      <c r="N13" s="16">
        <f>SUMIF(Vendite!$A$2:$A$1000,A13,Vendite!$L$2:$L$1000)</f>
        <v/>
      </c>
      <c r="O13" s="16">
        <f>SUMIF(Vendite!$A$2:$A$1000,A13,Vendite!$M$2:$M$1000)</f>
        <v/>
      </c>
      <c r="P13" s="25">
        <f>IF(E13&gt;0,F13/E13,0)</f>
        <v/>
      </c>
      <c r="Q13" s="23">
        <f>IF(F13&gt;0,"Venduto","Zero vendite")</f>
        <v/>
      </c>
      <c r="R13" s="23">
        <f>F13+M13/100000+(1000-ROW())/100000000</f>
        <v/>
      </c>
    </row>
    <row r="14">
      <c r="A14" s="22" t="inlineStr">
        <is>
          <t>20261025_2215</t>
        </is>
      </c>
      <c r="B14" s="9" t="n">
        <v>46320</v>
      </c>
      <c r="C14" s="22">
        <f>CHOOSE(WEEKDAY(B14,2),"Lunedì","Martedì","Mercoledì","Giovedì","Venerdì","Sabato","Domenica")</f>
        <v/>
      </c>
      <c r="D14" s="10" t="n">
        <v>0.9270833333333334</v>
      </c>
      <c r="E14" s="11" t="n">
        <v>80</v>
      </c>
      <c r="F14" s="11">
        <f>SUMIF(Vendite!$A$2:$A$1000,A14,Vendite!$H$2:$H$1000)</f>
        <v/>
      </c>
      <c r="G14" s="11">
        <f>SUMIF(Vendite!$A$2:$A$1000,A14,Vendite!$P$2:$P$1000)</f>
        <v/>
      </c>
      <c r="H14" s="11">
        <f>SUMIFS(Vendite!$H$2:$H$1000,Vendite!$A$2:$A$1000,A14,Vendite!$O$2:$O$1000,2)</f>
        <v/>
      </c>
      <c r="I14" s="11">
        <f>SUMIFS(Vendite!$H$2:$H$1000,Vendite!$A$2:$A$1000,A14,Vendite!$O$2:$O$1000,3)</f>
        <v/>
      </c>
      <c r="J14" s="11">
        <f>SUMIFS(Vendite!$H$2:$H$1000,Vendite!$A$2:$A$1000,A14,Vendite!$O$2:$O$1000,4)</f>
        <v/>
      </c>
      <c r="K14" s="11">
        <f>SUMIFS(Vendite!$H$2:$H$1000,Vendite!$A$2:$A$1000,A14,Vendite!$O$2:$O$1000,5)</f>
        <v/>
      </c>
      <c r="L14" s="11">
        <f>SUMIF(Vendite!$A$2:$A$1000,A14,Vendite!$I$2:$I$1000)</f>
        <v/>
      </c>
      <c r="M14" s="12">
        <f>SUMIF(Vendite!$A$2:$A$1000,A14,Vendite!$J$2:$J$1000)</f>
        <v/>
      </c>
      <c r="N14" s="12">
        <f>SUMIF(Vendite!$A$2:$A$1000,A14,Vendite!$L$2:$L$1000)</f>
        <v/>
      </c>
      <c r="O14" s="12">
        <f>SUMIF(Vendite!$A$2:$A$1000,A14,Vendite!$M$2:$M$1000)</f>
        <v/>
      </c>
      <c r="P14" s="24">
        <f>IF(E14&gt;0,F14/E14,0)</f>
        <v/>
      </c>
      <c r="Q14" s="22">
        <f>IF(F14&gt;0,"Venduto","Zero vendite")</f>
        <v/>
      </c>
      <c r="R14" s="22">
        <f>F14+M14/100000+(1000-ROW())/100000000</f>
        <v/>
      </c>
    </row>
    <row r="15">
      <c r="A15" s="23" t="inlineStr">
        <is>
          <t>20261025_2315</t>
        </is>
      </c>
      <c r="B15" s="13" t="n">
        <v>46320</v>
      </c>
      <c r="C15" s="23">
        <f>CHOOSE(WEEKDAY(B15,2),"Lunedì","Martedì","Mercoledì","Giovedì","Venerdì","Sabato","Domenica")</f>
        <v/>
      </c>
      <c r="D15" s="14" t="n">
        <v>0.96875</v>
      </c>
      <c r="E15" s="15" t="n">
        <v>80</v>
      </c>
      <c r="F15" s="15">
        <f>SUMIF(Vendite!$A$2:$A$1000,A15,Vendite!$H$2:$H$1000)</f>
        <v/>
      </c>
      <c r="G15" s="15">
        <f>SUMIF(Vendite!$A$2:$A$1000,A15,Vendite!$P$2:$P$1000)</f>
        <v/>
      </c>
      <c r="H15" s="15">
        <f>SUMIFS(Vendite!$H$2:$H$1000,Vendite!$A$2:$A$1000,A15,Vendite!$O$2:$O$1000,2)</f>
        <v/>
      </c>
      <c r="I15" s="15">
        <f>SUMIFS(Vendite!$H$2:$H$1000,Vendite!$A$2:$A$1000,A15,Vendite!$O$2:$O$1000,3)</f>
        <v/>
      </c>
      <c r="J15" s="15">
        <f>SUMIFS(Vendite!$H$2:$H$1000,Vendite!$A$2:$A$1000,A15,Vendite!$O$2:$O$1000,4)</f>
        <v/>
      </c>
      <c r="K15" s="15">
        <f>SUMIFS(Vendite!$H$2:$H$1000,Vendite!$A$2:$A$1000,A15,Vendite!$O$2:$O$1000,5)</f>
        <v/>
      </c>
      <c r="L15" s="15">
        <f>SUMIF(Vendite!$A$2:$A$1000,A15,Vendite!$I$2:$I$1000)</f>
        <v/>
      </c>
      <c r="M15" s="16">
        <f>SUMIF(Vendite!$A$2:$A$1000,A15,Vendite!$J$2:$J$1000)</f>
        <v/>
      </c>
      <c r="N15" s="16">
        <f>SUMIF(Vendite!$A$2:$A$1000,A15,Vendite!$L$2:$L$1000)</f>
        <v/>
      </c>
      <c r="O15" s="16">
        <f>SUMIF(Vendite!$A$2:$A$1000,A15,Vendite!$M$2:$M$1000)</f>
        <v/>
      </c>
      <c r="P15" s="25">
        <f>IF(E15&gt;0,F15/E15,0)</f>
        <v/>
      </c>
      <c r="Q15" s="23">
        <f>IF(F15&gt;0,"Venduto","Zero vendite")</f>
        <v/>
      </c>
      <c r="R15" s="23">
        <f>F15+M15/100000+(1000-ROW())/100000000</f>
        <v/>
      </c>
    </row>
    <row r="16">
      <c r="A16" s="22" t="inlineStr">
        <is>
          <t>20261025_2359</t>
        </is>
      </c>
      <c r="B16" s="9" t="n">
        <v>46320</v>
      </c>
      <c r="C16" s="22">
        <f>CHOOSE(WEEKDAY(B16,2),"Lunedì","Martedì","Mercoledì","Giovedì","Venerdì","Sabato","Domenica")</f>
        <v/>
      </c>
      <c r="D16" s="10" t="n">
        <v>0.9993055555555556</v>
      </c>
      <c r="E16" s="11" t="n">
        <v>80</v>
      </c>
      <c r="F16" s="11">
        <f>SUMIF(Vendite!$A$2:$A$1000,A16,Vendite!$H$2:$H$1000)</f>
        <v/>
      </c>
      <c r="G16" s="11">
        <f>SUMIF(Vendite!$A$2:$A$1000,A16,Vendite!$P$2:$P$1000)</f>
        <v/>
      </c>
      <c r="H16" s="11">
        <f>SUMIFS(Vendite!$H$2:$H$1000,Vendite!$A$2:$A$1000,A16,Vendite!$O$2:$O$1000,2)</f>
        <v/>
      </c>
      <c r="I16" s="11">
        <f>SUMIFS(Vendite!$H$2:$H$1000,Vendite!$A$2:$A$1000,A16,Vendite!$O$2:$O$1000,3)</f>
        <v/>
      </c>
      <c r="J16" s="11">
        <f>SUMIFS(Vendite!$H$2:$H$1000,Vendite!$A$2:$A$1000,A16,Vendite!$O$2:$O$1000,4)</f>
        <v/>
      </c>
      <c r="K16" s="11">
        <f>SUMIFS(Vendite!$H$2:$H$1000,Vendite!$A$2:$A$1000,A16,Vendite!$O$2:$O$1000,5)</f>
        <v/>
      </c>
      <c r="L16" s="11">
        <f>SUMIF(Vendite!$A$2:$A$1000,A16,Vendite!$I$2:$I$1000)</f>
        <v/>
      </c>
      <c r="M16" s="12">
        <f>SUMIF(Vendite!$A$2:$A$1000,A16,Vendite!$J$2:$J$1000)</f>
        <v/>
      </c>
      <c r="N16" s="12">
        <f>SUMIF(Vendite!$A$2:$A$1000,A16,Vendite!$L$2:$L$1000)</f>
        <v/>
      </c>
      <c r="O16" s="12">
        <f>SUMIF(Vendite!$A$2:$A$1000,A16,Vendite!$M$2:$M$1000)</f>
        <v/>
      </c>
      <c r="P16" s="24">
        <f>IF(E16&gt;0,F16/E16,0)</f>
        <v/>
      </c>
      <c r="Q16" s="22">
        <f>IF(F16&gt;0,"Venduto","Zero vendite")</f>
        <v/>
      </c>
      <c r="R16" s="22">
        <f>F16+M16/100000+(1000-ROW())/100000000</f>
        <v/>
      </c>
    </row>
    <row r="17">
      <c r="A17" s="23" t="inlineStr">
        <is>
          <t>20261029_2015</t>
        </is>
      </c>
      <c r="B17" s="13" t="n">
        <v>46324</v>
      </c>
      <c r="C17" s="23">
        <f>CHOOSE(WEEKDAY(B17,2),"Lunedì","Martedì","Mercoledì","Giovedì","Venerdì","Sabato","Domenica")</f>
        <v/>
      </c>
      <c r="D17" s="14" t="n">
        <v>0.84375</v>
      </c>
      <c r="E17" s="15" t="n">
        <v>80</v>
      </c>
      <c r="F17" s="15">
        <f>SUMIF(Vendite!$A$2:$A$1000,A17,Vendite!$H$2:$H$1000)</f>
        <v/>
      </c>
      <c r="G17" s="15">
        <f>SUMIF(Vendite!$A$2:$A$1000,A17,Vendite!$P$2:$P$1000)</f>
        <v/>
      </c>
      <c r="H17" s="15">
        <f>SUMIFS(Vendite!$H$2:$H$1000,Vendite!$A$2:$A$1000,A17,Vendite!$O$2:$O$1000,2)</f>
        <v/>
      </c>
      <c r="I17" s="15">
        <f>SUMIFS(Vendite!$H$2:$H$1000,Vendite!$A$2:$A$1000,A17,Vendite!$O$2:$O$1000,3)</f>
        <v/>
      </c>
      <c r="J17" s="15">
        <f>SUMIFS(Vendite!$H$2:$H$1000,Vendite!$A$2:$A$1000,A17,Vendite!$O$2:$O$1000,4)</f>
        <v/>
      </c>
      <c r="K17" s="15">
        <f>SUMIFS(Vendite!$H$2:$H$1000,Vendite!$A$2:$A$1000,A17,Vendite!$O$2:$O$1000,5)</f>
        <v/>
      </c>
      <c r="L17" s="15">
        <f>SUMIF(Vendite!$A$2:$A$1000,A17,Vendite!$I$2:$I$1000)</f>
        <v/>
      </c>
      <c r="M17" s="16">
        <f>SUMIF(Vendite!$A$2:$A$1000,A17,Vendite!$J$2:$J$1000)</f>
        <v/>
      </c>
      <c r="N17" s="16">
        <f>SUMIF(Vendite!$A$2:$A$1000,A17,Vendite!$L$2:$L$1000)</f>
        <v/>
      </c>
      <c r="O17" s="16">
        <f>SUMIF(Vendite!$A$2:$A$1000,A17,Vendite!$M$2:$M$1000)</f>
        <v/>
      </c>
      <c r="P17" s="25">
        <f>IF(E17&gt;0,F17/E17,0)</f>
        <v/>
      </c>
      <c r="Q17" s="23">
        <f>IF(F17&gt;0,"Venduto","Zero vendite")</f>
        <v/>
      </c>
      <c r="R17" s="23">
        <f>F17+M17/100000+(1000-ROW())/100000000</f>
        <v/>
      </c>
    </row>
    <row r="18">
      <c r="A18" s="22" t="inlineStr">
        <is>
          <t>20261029_2115</t>
        </is>
      </c>
      <c r="B18" s="9" t="n">
        <v>46324</v>
      </c>
      <c r="C18" s="22">
        <f>CHOOSE(WEEKDAY(B18,2),"Lunedì","Martedì","Mercoledì","Giovedì","Venerdì","Sabato","Domenica")</f>
        <v/>
      </c>
      <c r="D18" s="10" t="n">
        <v>0.8854166666666666</v>
      </c>
      <c r="E18" s="11" t="n">
        <v>80</v>
      </c>
      <c r="F18" s="11">
        <f>SUMIF(Vendite!$A$2:$A$1000,A18,Vendite!$H$2:$H$1000)</f>
        <v/>
      </c>
      <c r="G18" s="11">
        <f>SUMIF(Vendite!$A$2:$A$1000,A18,Vendite!$P$2:$P$1000)</f>
        <v/>
      </c>
      <c r="H18" s="11">
        <f>SUMIFS(Vendite!$H$2:$H$1000,Vendite!$A$2:$A$1000,A18,Vendite!$O$2:$O$1000,2)</f>
        <v/>
      </c>
      <c r="I18" s="11">
        <f>SUMIFS(Vendite!$H$2:$H$1000,Vendite!$A$2:$A$1000,A18,Vendite!$O$2:$O$1000,3)</f>
        <v/>
      </c>
      <c r="J18" s="11">
        <f>SUMIFS(Vendite!$H$2:$H$1000,Vendite!$A$2:$A$1000,A18,Vendite!$O$2:$O$1000,4)</f>
        <v/>
      </c>
      <c r="K18" s="11">
        <f>SUMIFS(Vendite!$H$2:$H$1000,Vendite!$A$2:$A$1000,A18,Vendite!$O$2:$O$1000,5)</f>
        <v/>
      </c>
      <c r="L18" s="11">
        <f>SUMIF(Vendite!$A$2:$A$1000,A18,Vendite!$I$2:$I$1000)</f>
        <v/>
      </c>
      <c r="M18" s="12">
        <f>SUMIF(Vendite!$A$2:$A$1000,A18,Vendite!$J$2:$J$1000)</f>
        <v/>
      </c>
      <c r="N18" s="12">
        <f>SUMIF(Vendite!$A$2:$A$1000,A18,Vendite!$L$2:$L$1000)</f>
        <v/>
      </c>
      <c r="O18" s="12">
        <f>SUMIF(Vendite!$A$2:$A$1000,A18,Vendite!$M$2:$M$1000)</f>
        <v/>
      </c>
      <c r="P18" s="24">
        <f>IF(E18&gt;0,F18/E18,0)</f>
        <v/>
      </c>
      <c r="Q18" s="22">
        <f>IF(F18&gt;0,"Venduto","Zero vendite")</f>
        <v/>
      </c>
      <c r="R18" s="22">
        <f>F18+M18/100000+(1000-ROW())/100000000</f>
        <v/>
      </c>
    </row>
    <row r="19">
      <c r="A19" s="23" t="inlineStr">
        <is>
          <t>20261029_2215</t>
        </is>
      </c>
      <c r="B19" s="13" t="n">
        <v>46324</v>
      </c>
      <c r="C19" s="23">
        <f>CHOOSE(WEEKDAY(B19,2),"Lunedì","Martedì","Mercoledì","Giovedì","Venerdì","Sabato","Domenica")</f>
        <v/>
      </c>
      <c r="D19" s="14" t="n">
        <v>0.9270833333333334</v>
      </c>
      <c r="E19" s="15" t="n">
        <v>80</v>
      </c>
      <c r="F19" s="15">
        <f>SUMIF(Vendite!$A$2:$A$1000,A19,Vendite!$H$2:$H$1000)</f>
        <v/>
      </c>
      <c r="G19" s="15">
        <f>SUMIF(Vendite!$A$2:$A$1000,A19,Vendite!$P$2:$P$1000)</f>
        <v/>
      </c>
      <c r="H19" s="15">
        <f>SUMIFS(Vendite!$H$2:$H$1000,Vendite!$A$2:$A$1000,A19,Vendite!$O$2:$O$1000,2)</f>
        <v/>
      </c>
      <c r="I19" s="15">
        <f>SUMIFS(Vendite!$H$2:$H$1000,Vendite!$A$2:$A$1000,A19,Vendite!$O$2:$O$1000,3)</f>
        <v/>
      </c>
      <c r="J19" s="15">
        <f>SUMIFS(Vendite!$H$2:$H$1000,Vendite!$A$2:$A$1000,A19,Vendite!$O$2:$O$1000,4)</f>
        <v/>
      </c>
      <c r="K19" s="15">
        <f>SUMIFS(Vendite!$H$2:$H$1000,Vendite!$A$2:$A$1000,A19,Vendite!$O$2:$O$1000,5)</f>
        <v/>
      </c>
      <c r="L19" s="15">
        <f>SUMIF(Vendite!$A$2:$A$1000,A19,Vendite!$I$2:$I$1000)</f>
        <v/>
      </c>
      <c r="M19" s="16">
        <f>SUMIF(Vendite!$A$2:$A$1000,A19,Vendite!$J$2:$J$1000)</f>
        <v/>
      </c>
      <c r="N19" s="16">
        <f>SUMIF(Vendite!$A$2:$A$1000,A19,Vendite!$L$2:$L$1000)</f>
        <v/>
      </c>
      <c r="O19" s="16">
        <f>SUMIF(Vendite!$A$2:$A$1000,A19,Vendite!$M$2:$M$1000)</f>
        <v/>
      </c>
      <c r="P19" s="25">
        <f>IF(E19&gt;0,F19/E19,0)</f>
        <v/>
      </c>
      <c r="Q19" s="23">
        <f>IF(F19&gt;0,"Venduto","Zero vendite")</f>
        <v/>
      </c>
      <c r="R19" s="23">
        <f>F19+M19/100000+(1000-ROW())/100000000</f>
        <v/>
      </c>
    </row>
    <row r="20">
      <c r="A20" s="22" t="inlineStr">
        <is>
          <t>20261029_2315</t>
        </is>
      </c>
      <c r="B20" s="9" t="n">
        <v>46324</v>
      </c>
      <c r="C20" s="22">
        <f>CHOOSE(WEEKDAY(B20,2),"Lunedì","Martedì","Mercoledì","Giovedì","Venerdì","Sabato","Domenica")</f>
        <v/>
      </c>
      <c r="D20" s="10" t="n">
        <v>0.96875</v>
      </c>
      <c r="E20" s="11" t="n">
        <v>80</v>
      </c>
      <c r="F20" s="11">
        <f>SUMIF(Vendite!$A$2:$A$1000,A20,Vendite!$H$2:$H$1000)</f>
        <v/>
      </c>
      <c r="G20" s="11">
        <f>SUMIF(Vendite!$A$2:$A$1000,A20,Vendite!$P$2:$P$1000)</f>
        <v/>
      </c>
      <c r="H20" s="11">
        <f>SUMIFS(Vendite!$H$2:$H$1000,Vendite!$A$2:$A$1000,A20,Vendite!$O$2:$O$1000,2)</f>
        <v/>
      </c>
      <c r="I20" s="11">
        <f>SUMIFS(Vendite!$H$2:$H$1000,Vendite!$A$2:$A$1000,A20,Vendite!$O$2:$O$1000,3)</f>
        <v/>
      </c>
      <c r="J20" s="11">
        <f>SUMIFS(Vendite!$H$2:$H$1000,Vendite!$A$2:$A$1000,A20,Vendite!$O$2:$O$1000,4)</f>
        <v/>
      </c>
      <c r="K20" s="11">
        <f>SUMIFS(Vendite!$H$2:$H$1000,Vendite!$A$2:$A$1000,A20,Vendite!$O$2:$O$1000,5)</f>
        <v/>
      </c>
      <c r="L20" s="11">
        <f>SUMIF(Vendite!$A$2:$A$1000,A20,Vendite!$I$2:$I$1000)</f>
        <v/>
      </c>
      <c r="M20" s="12">
        <f>SUMIF(Vendite!$A$2:$A$1000,A20,Vendite!$J$2:$J$1000)</f>
        <v/>
      </c>
      <c r="N20" s="12">
        <f>SUMIF(Vendite!$A$2:$A$1000,A20,Vendite!$L$2:$L$1000)</f>
        <v/>
      </c>
      <c r="O20" s="12">
        <f>SUMIF(Vendite!$A$2:$A$1000,A20,Vendite!$M$2:$M$1000)</f>
        <v/>
      </c>
      <c r="P20" s="24">
        <f>IF(E20&gt;0,F20/E20,0)</f>
        <v/>
      </c>
      <c r="Q20" s="22">
        <f>IF(F20&gt;0,"Venduto","Zero vendite")</f>
        <v/>
      </c>
      <c r="R20" s="22">
        <f>F20+M20/100000+(1000-ROW())/100000000</f>
        <v/>
      </c>
    </row>
    <row r="21">
      <c r="A21" s="23" t="inlineStr">
        <is>
          <t>20261029_2359</t>
        </is>
      </c>
      <c r="B21" s="13" t="n">
        <v>46324</v>
      </c>
      <c r="C21" s="23">
        <f>CHOOSE(WEEKDAY(B21,2),"Lunedì","Martedì","Mercoledì","Giovedì","Venerdì","Sabato","Domenica")</f>
        <v/>
      </c>
      <c r="D21" s="14" t="n">
        <v>0.9993055555555556</v>
      </c>
      <c r="E21" s="15" t="n">
        <v>80</v>
      </c>
      <c r="F21" s="15">
        <f>SUMIF(Vendite!$A$2:$A$1000,A21,Vendite!$H$2:$H$1000)</f>
        <v/>
      </c>
      <c r="G21" s="15">
        <f>SUMIF(Vendite!$A$2:$A$1000,A21,Vendite!$P$2:$P$1000)</f>
        <v/>
      </c>
      <c r="H21" s="15">
        <f>SUMIFS(Vendite!$H$2:$H$1000,Vendite!$A$2:$A$1000,A21,Vendite!$O$2:$O$1000,2)</f>
        <v/>
      </c>
      <c r="I21" s="15">
        <f>SUMIFS(Vendite!$H$2:$H$1000,Vendite!$A$2:$A$1000,A21,Vendite!$O$2:$O$1000,3)</f>
        <v/>
      </c>
      <c r="J21" s="15">
        <f>SUMIFS(Vendite!$H$2:$H$1000,Vendite!$A$2:$A$1000,A21,Vendite!$O$2:$O$1000,4)</f>
        <v/>
      </c>
      <c r="K21" s="15">
        <f>SUMIFS(Vendite!$H$2:$H$1000,Vendite!$A$2:$A$1000,A21,Vendite!$O$2:$O$1000,5)</f>
        <v/>
      </c>
      <c r="L21" s="15">
        <f>SUMIF(Vendite!$A$2:$A$1000,A21,Vendite!$I$2:$I$1000)</f>
        <v/>
      </c>
      <c r="M21" s="16">
        <f>SUMIF(Vendite!$A$2:$A$1000,A21,Vendite!$J$2:$J$1000)</f>
        <v/>
      </c>
      <c r="N21" s="16">
        <f>SUMIF(Vendite!$A$2:$A$1000,A21,Vendite!$L$2:$L$1000)</f>
        <v/>
      </c>
      <c r="O21" s="16">
        <f>SUMIF(Vendite!$A$2:$A$1000,A21,Vendite!$M$2:$M$1000)</f>
        <v/>
      </c>
      <c r="P21" s="25">
        <f>IF(E21&gt;0,F21/E21,0)</f>
        <v/>
      </c>
      <c r="Q21" s="23">
        <f>IF(F21&gt;0,"Venduto","Zero vendite")</f>
        <v/>
      </c>
      <c r="R21" s="23">
        <f>F21+M21/100000+(1000-ROW())/100000000</f>
        <v/>
      </c>
    </row>
    <row r="22">
      <c r="A22" s="22" t="inlineStr">
        <is>
          <t>20261030_2015</t>
        </is>
      </c>
      <c r="B22" s="9" t="n">
        <v>46325</v>
      </c>
      <c r="C22" s="22">
        <f>CHOOSE(WEEKDAY(B22,2),"Lunedì","Martedì","Mercoledì","Giovedì","Venerdì","Sabato","Domenica")</f>
        <v/>
      </c>
      <c r="D22" s="10" t="n">
        <v>0.84375</v>
      </c>
      <c r="E22" s="11" t="n">
        <v>80</v>
      </c>
      <c r="F22" s="11">
        <f>SUMIF(Vendite!$A$2:$A$1000,A22,Vendite!$H$2:$H$1000)</f>
        <v/>
      </c>
      <c r="G22" s="11">
        <f>SUMIF(Vendite!$A$2:$A$1000,A22,Vendite!$P$2:$P$1000)</f>
        <v/>
      </c>
      <c r="H22" s="11">
        <f>SUMIFS(Vendite!$H$2:$H$1000,Vendite!$A$2:$A$1000,A22,Vendite!$O$2:$O$1000,2)</f>
        <v/>
      </c>
      <c r="I22" s="11">
        <f>SUMIFS(Vendite!$H$2:$H$1000,Vendite!$A$2:$A$1000,A22,Vendite!$O$2:$O$1000,3)</f>
        <v/>
      </c>
      <c r="J22" s="11">
        <f>SUMIFS(Vendite!$H$2:$H$1000,Vendite!$A$2:$A$1000,A22,Vendite!$O$2:$O$1000,4)</f>
        <v/>
      </c>
      <c r="K22" s="11">
        <f>SUMIFS(Vendite!$H$2:$H$1000,Vendite!$A$2:$A$1000,A22,Vendite!$O$2:$O$1000,5)</f>
        <v/>
      </c>
      <c r="L22" s="11">
        <f>SUMIF(Vendite!$A$2:$A$1000,A22,Vendite!$I$2:$I$1000)</f>
        <v/>
      </c>
      <c r="M22" s="12">
        <f>SUMIF(Vendite!$A$2:$A$1000,A22,Vendite!$J$2:$J$1000)</f>
        <v/>
      </c>
      <c r="N22" s="12">
        <f>SUMIF(Vendite!$A$2:$A$1000,A22,Vendite!$L$2:$L$1000)</f>
        <v/>
      </c>
      <c r="O22" s="12">
        <f>SUMIF(Vendite!$A$2:$A$1000,A22,Vendite!$M$2:$M$1000)</f>
        <v/>
      </c>
      <c r="P22" s="24">
        <f>IF(E22&gt;0,F22/E22,0)</f>
        <v/>
      </c>
      <c r="Q22" s="22">
        <f>IF(F22&gt;0,"Venduto","Zero vendite")</f>
        <v/>
      </c>
      <c r="R22" s="22">
        <f>F22+M22/100000+(1000-ROW())/100000000</f>
        <v/>
      </c>
    </row>
    <row r="23">
      <c r="A23" s="23" t="inlineStr">
        <is>
          <t>20261030_2115</t>
        </is>
      </c>
      <c r="B23" s="13" t="n">
        <v>46325</v>
      </c>
      <c r="C23" s="23">
        <f>CHOOSE(WEEKDAY(B23,2),"Lunedì","Martedì","Mercoledì","Giovedì","Venerdì","Sabato","Domenica")</f>
        <v/>
      </c>
      <c r="D23" s="14" t="n">
        <v>0.8854166666666666</v>
      </c>
      <c r="E23" s="15" t="n">
        <v>80</v>
      </c>
      <c r="F23" s="15">
        <f>SUMIF(Vendite!$A$2:$A$1000,A23,Vendite!$H$2:$H$1000)</f>
        <v/>
      </c>
      <c r="G23" s="15">
        <f>SUMIF(Vendite!$A$2:$A$1000,A23,Vendite!$P$2:$P$1000)</f>
        <v/>
      </c>
      <c r="H23" s="15">
        <f>SUMIFS(Vendite!$H$2:$H$1000,Vendite!$A$2:$A$1000,A23,Vendite!$O$2:$O$1000,2)</f>
        <v/>
      </c>
      <c r="I23" s="15">
        <f>SUMIFS(Vendite!$H$2:$H$1000,Vendite!$A$2:$A$1000,A23,Vendite!$O$2:$O$1000,3)</f>
        <v/>
      </c>
      <c r="J23" s="15">
        <f>SUMIFS(Vendite!$H$2:$H$1000,Vendite!$A$2:$A$1000,A23,Vendite!$O$2:$O$1000,4)</f>
        <v/>
      </c>
      <c r="K23" s="15">
        <f>SUMIFS(Vendite!$H$2:$H$1000,Vendite!$A$2:$A$1000,A23,Vendite!$O$2:$O$1000,5)</f>
        <v/>
      </c>
      <c r="L23" s="15">
        <f>SUMIF(Vendite!$A$2:$A$1000,A23,Vendite!$I$2:$I$1000)</f>
        <v/>
      </c>
      <c r="M23" s="16">
        <f>SUMIF(Vendite!$A$2:$A$1000,A23,Vendite!$J$2:$J$1000)</f>
        <v/>
      </c>
      <c r="N23" s="16">
        <f>SUMIF(Vendite!$A$2:$A$1000,A23,Vendite!$L$2:$L$1000)</f>
        <v/>
      </c>
      <c r="O23" s="16">
        <f>SUMIF(Vendite!$A$2:$A$1000,A23,Vendite!$M$2:$M$1000)</f>
        <v/>
      </c>
      <c r="P23" s="25">
        <f>IF(E23&gt;0,F23/E23,0)</f>
        <v/>
      </c>
      <c r="Q23" s="23">
        <f>IF(F23&gt;0,"Venduto","Zero vendite")</f>
        <v/>
      </c>
      <c r="R23" s="23">
        <f>F23+M23/100000+(1000-ROW())/100000000</f>
        <v/>
      </c>
    </row>
    <row r="24">
      <c r="A24" s="22" t="inlineStr">
        <is>
          <t>20261030_2215</t>
        </is>
      </c>
      <c r="B24" s="9" t="n">
        <v>46325</v>
      </c>
      <c r="C24" s="22">
        <f>CHOOSE(WEEKDAY(B24,2),"Lunedì","Martedì","Mercoledì","Giovedì","Venerdì","Sabato","Domenica")</f>
        <v/>
      </c>
      <c r="D24" s="10" t="n">
        <v>0.9270833333333334</v>
      </c>
      <c r="E24" s="11" t="n">
        <v>80</v>
      </c>
      <c r="F24" s="11">
        <f>SUMIF(Vendite!$A$2:$A$1000,A24,Vendite!$H$2:$H$1000)</f>
        <v/>
      </c>
      <c r="G24" s="11">
        <f>SUMIF(Vendite!$A$2:$A$1000,A24,Vendite!$P$2:$P$1000)</f>
        <v/>
      </c>
      <c r="H24" s="11">
        <f>SUMIFS(Vendite!$H$2:$H$1000,Vendite!$A$2:$A$1000,A24,Vendite!$O$2:$O$1000,2)</f>
        <v/>
      </c>
      <c r="I24" s="11">
        <f>SUMIFS(Vendite!$H$2:$H$1000,Vendite!$A$2:$A$1000,A24,Vendite!$O$2:$O$1000,3)</f>
        <v/>
      </c>
      <c r="J24" s="11">
        <f>SUMIFS(Vendite!$H$2:$H$1000,Vendite!$A$2:$A$1000,A24,Vendite!$O$2:$O$1000,4)</f>
        <v/>
      </c>
      <c r="K24" s="11">
        <f>SUMIFS(Vendite!$H$2:$H$1000,Vendite!$A$2:$A$1000,A24,Vendite!$O$2:$O$1000,5)</f>
        <v/>
      </c>
      <c r="L24" s="11">
        <f>SUMIF(Vendite!$A$2:$A$1000,A24,Vendite!$I$2:$I$1000)</f>
        <v/>
      </c>
      <c r="M24" s="12">
        <f>SUMIF(Vendite!$A$2:$A$1000,A24,Vendite!$J$2:$J$1000)</f>
        <v/>
      </c>
      <c r="N24" s="12">
        <f>SUMIF(Vendite!$A$2:$A$1000,A24,Vendite!$L$2:$L$1000)</f>
        <v/>
      </c>
      <c r="O24" s="12">
        <f>SUMIF(Vendite!$A$2:$A$1000,A24,Vendite!$M$2:$M$1000)</f>
        <v/>
      </c>
      <c r="P24" s="24">
        <f>IF(E24&gt;0,F24/E24,0)</f>
        <v/>
      </c>
      <c r="Q24" s="22">
        <f>IF(F24&gt;0,"Venduto","Zero vendite")</f>
        <v/>
      </c>
      <c r="R24" s="22">
        <f>F24+M24/100000+(1000-ROW())/100000000</f>
        <v/>
      </c>
    </row>
    <row r="25">
      <c r="A25" s="23" t="inlineStr">
        <is>
          <t>20261030_2315</t>
        </is>
      </c>
      <c r="B25" s="13" t="n">
        <v>46325</v>
      </c>
      <c r="C25" s="23">
        <f>CHOOSE(WEEKDAY(B25,2),"Lunedì","Martedì","Mercoledì","Giovedì","Venerdì","Sabato","Domenica")</f>
        <v/>
      </c>
      <c r="D25" s="14" t="n">
        <v>0.96875</v>
      </c>
      <c r="E25" s="15" t="n">
        <v>80</v>
      </c>
      <c r="F25" s="15">
        <f>SUMIF(Vendite!$A$2:$A$1000,A25,Vendite!$H$2:$H$1000)</f>
        <v/>
      </c>
      <c r="G25" s="15">
        <f>SUMIF(Vendite!$A$2:$A$1000,A25,Vendite!$P$2:$P$1000)</f>
        <v/>
      </c>
      <c r="H25" s="15">
        <f>SUMIFS(Vendite!$H$2:$H$1000,Vendite!$A$2:$A$1000,A25,Vendite!$O$2:$O$1000,2)</f>
        <v/>
      </c>
      <c r="I25" s="15">
        <f>SUMIFS(Vendite!$H$2:$H$1000,Vendite!$A$2:$A$1000,A25,Vendite!$O$2:$O$1000,3)</f>
        <v/>
      </c>
      <c r="J25" s="15">
        <f>SUMIFS(Vendite!$H$2:$H$1000,Vendite!$A$2:$A$1000,A25,Vendite!$O$2:$O$1000,4)</f>
        <v/>
      </c>
      <c r="K25" s="15">
        <f>SUMIFS(Vendite!$H$2:$H$1000,Vendite!$A$2:$A$1000,A25,Vendite!$O$2:$O$1000,5)</f>
        <v/>
      </c>
      <c r="L25" s="15">
        <f>SUMIF(Vendite!$A$2:$A$1000,A25,Vendite!$I$2:$I$1000)</f>
        <v/>
      </c>
      <c r="M25" s="16">
        <f>SUMIF(Vendite!$A$2:$A$1000,A25,Vendite!$J$2:$J$1000)</f>
        <v/>
      </c>
      <c r="N25" s="16">
        <f>SUMIF(Vendite!$A$2:$A$1000,A25,Vendite!$L$2:$L$1000)</f>
        <v/>
      </c>
      <c r="O25" s="16">
        <f>SUMIF(Vendite!$A$2:$A$1000,A25,Vendite!$M$2:$M$1000)</f>
        <v/>
      </c>
      <c r="P25" s="25">
        <f>IF(E25&gt;0,F25/E25,0)</f>
        <v/>
      </c>
      <c r="Q25" s="23">
        <f>IF(F25&gt;0,"Venduto","Zero vendite")</f>
        <v/>
      </c>
      <c r="R25" s="23">
        <f>F25+M25/100000+(1000-ROW())/100000000</f>
        <v/>
      </c>
    </row>
    <row r="26">
      <c r="A26" s="22" t="inlineStr">
        <is>
          <t>20261030_2359</t>
        </is>
      </c>
      <c r="B26" s="9" t="n">
        <v>46325</v>
      </c>
      <c r="C26" s="22">
        <f>CHOOSE(WEEKDAY(B26,2),"Lunedì","Martedì","Mercoledì","Giovedì","Venerdì","Sabato","Domenica")</f>
        <v/>
      </c>
      <c r="D26" s="10" t="n">
        <v>0.9993055555555556</v>
      </c>
      <c r="E26" s="11" t="n">
        <v>80</v>
      </c>
      <c r="F26" s="11">
        <f>SUMIF(Vendite!$A$2:$A$1000,A26,Vendite!$H$2:$H$1000)</f>
        <v/>
      </c>
      <c r="G26" s="11">
        <f>SUMIF(Vendite!$A$2:$A$1000,A26,Vendite!$P$2:$P$1000)</f>
        <v/>
      </c>
      <c r="H26" s="11">
        <f>SUMIFS(Vendite!$H$2:$H$1000,Vendite!$A$2:$A$1000,A26,Vendite!$O$2:$O$1000,2)</f>
        <v/>
      </c>
      <c r="I26" s="11">
        <f>SUMIFS(Vendite!$H$2:$H$1000,Vendite!$A$2:$A$1000,A26,Vendite!$O$2:$O$1000,3)</f>
        <v/>
      </c>
      <c r="J26" s="11">
        <f>SUMIFS(Vendite!$H$2:$H$1000,Vendite!$A$2:$A$1000,A26,Vendite!$O$2:$O$1000,4)</f>
        <v/>
      </c>
      <c r="K26" s="11">
        <f>SUMIFS(Vendite!$H$2:$H$1000,Vendite!$A$2:$A$1000,A26,Vendite!$O$2:$O$1000,5)</f>
        <v/>
      </c>
      <c r="L26" s="11">
        <f>SUMIF(Vendite!$A$2:$A$1000,A26,Vendite!$I$2:$I$1000)</f>
        <v/>
      </c>
      <c r="M26" s="12">
        <f>SUMIF(Vendite!$A$2:$A$1000,A26,Vendite!$J$2:$J$1000)</f>
        <v/>
      </c>
      <c r="N26" s="12">
        <f>SUMIF(Vendite!$A$2:$A$1000,A26,Vendite!$L$2:$L$1000)</f>
        <v/>
      </c>
      <c r="O26" s="12">
        <f>SUMIF(Vendite!$A$2:$A$1000,A26,Vendite!$M$2:$M$1000)</f>
        <v/>
      </c>
      <c r="P26" s="24">
        <f>IF(E26&gt;0,F26/E26,0)</f>
        <v/>
      </c>
      <c r="Q26" s="22">
        <f>IF(F26&gt;0,"Venduto","Zero vendite")</f>
        <v/>
      </c>
      <c r="R26" s="22">
        <f>F26+M26/100000+(1000-ROW())/100000000</f>
        <v/>
      </c>
    </row>
    <row r="27">
      <c r="A27" s="23" t="inlineStr">
        <is>
          <t>20261031_2015</t>
        </is>
      </c>
      <c r="B27" s="13" t="n">
        <v>46326</v>
      </c>
      <c r="C27" s="23">
        <f>CHOOSE(WEEKDAY(B27,2),"Lunedì","Martedì","Mercoledì","Giovedì","Venerdì","Sabato","Domenica")</f>
        <v/>
      </c>
      <c r="D27" s="14" t="n">
        <v>0.84375</v>
      </c>
      <c r="E27" s="15" t="n">
        <v>80</v>
      </c>
      <c r="F27" s="15">
        <f>SUMIF(Vendite!$A$2:$A$1000,A27,Vendite!$H$2:$H$1000)</f>
        <v/>
      </c>
      <c r="G27" s="15">
        <f>SUMIF(Vendite!$A$2:$A$1000,A27,Vendite!$P$2:$P$1000)</f>
        <v/>
      </c>
      <c r="H27" s="15">
        <f>SUMIFS(Vendite!$H$2:$H$1000,Vendite!$A$2:$A$1000,A27,Vendite!$O$2:$O$1000,2)</f>
        <v/>
      </c>
      <c r="I27" s="15">
        <f>SUMIFS(Vendite!$H$2:$H$1000,Vendite!$A$2:$A$1000,A27,Vendite!$O$2:$O$1000,3)</f>
        <v/>
      </c>
      <c r="J27" s="15">
        <f>SUMIFS(Vendite!$H$2:$H$1000,Vendite!$A$2:$A$1000,A27,Vendite!$O$2:$O$1000,4)</f>
        <v/>
      </c>
      <c r="K27" s="15">
        <f>SUMIFS(Vendite!$H$2:$H$1000,Vendite!$A$2:$A$1000,A27,Vendite!$O$2:$O$1000,5)</f>
        <v/>
      </c>
      <c r="L27" s="15">
        <f>SUMIF(Vendite!$A$2:$A$1000,A27,Vendite!$I$2:$I$1000)</f>
        <v/>
      </c>
      <c r="M27" s="16">
        <f>SUMIF(Vendite!$A$2:$A$1000,A27,Vendite!$J$2:$J$1000)</f>
        <v/>
      </c>
      <c r="N27" s="16">
        <f>SUMIF(Vendite!$A$2:$A$1000,A27,Vendite!$L$2:$L$1000)</f>
        <v/>
      </c>
      <c r="O27" s="16">
        <f>SUMIF(Vendite!$A$2:$A$1000,A27,Vendite!$M$2:$M$1000)</f>
        <v/>
      </c>
      <c r="P27" s="25">
        <f>IF(E27&gt;0,F27/E27,0)</f>
        <v/>
      </c>
      <c r="Q27" s="23">
        <f>IF(F27&gt;0,"Venduto","Zero vendite")</f>
        <v/>
      </c>
      <c r="R27" s="23">
        <f>F27+M27/100000+(1000-ROW())/100000000</f>
        <v/>
      </c>
    </row>
    <row r="28">
      <c r="A28" s="22" t="inlineStr">
        <is>
          <t>20261031_2115</t>
        </is>
      </c>
      <c r="B28" s="9" t="n">
        <v>46326</v>
      </c>
      <c r="C28" s="22">
        <f>CHOOSE(WEEKDAY(B28,2),"Lunedì","Martedì","Mercoledì","Giovedì","Venerdì","Sabato","Domenica")</f>
        <v/>
      </c>
      <c r="D28" s="10" t="n">
        <v>0.8854166666666666</v>
      </c>
      <c r="E28" s="11" t="n">
        <v>80</v>
      </c>
      <c r="F28" s="11">
        <f>SUMIF(Vendite!$A$2:$A$1000,A28,Vendite!$H$2:$H$1000)</f>
        <v/>
      </c>
      <c r="G28" s="11">
        <f>SUMIF(Vendite!$A$2:$A$1000,A28,Vendite!$P$2:$P$1000)</f>
        <v/>
      </c>
      <c r="H28" s="11">
        <f>SUMIFS(Vendite!$H$2:$H$1000,Vendite!$A$2:$A$1000,A28,Vendite!$O$2:$O$1000,2)</f>
        <v/>
      </c>
      <c r="I28" s="11">
        <f>SUMIFS(Vendite!$H$2:$H$1000,Vendite!$A$2:$A$1000,A28,Vendite!$O$2:$O$1000,3)</f>
        <v/>
      </c>
      <c r="J28" s="11">
        <f>SUMIFS(Vendite!$H$2:$H$1000,Vendite!$A$2:$A$1000,A28,Vendite!$O$2:$O$1000,4)</f>
        <v/>
      </c>
      <c r="K28" s="11">
        <f>SUMIFS(Vendite!$H$2:$H$1000,Vendite!$A$2:$A$1000,A28,Vendite!$O$2:$O$1000,5)</f>
        <v/>
      </c>
      <c r="L28" s="11">
        <f>SUMIF(Vendite!$A$2:$A$1000,A28,Vendite!$I$2:$I$1000)</f>
        <v/>
      </c>
      <c r="M28" s="12">
        <f>SUMIF(Vendite!$A$2:$A$1000,A28,Vendite!$J$2:$J$1000)</f>
        <v/>
      </c>
      <c r="N28" s="12">
        <f>SUMIF(Vendite!$A$2:$A$1000,A28,Vendite!$L$2:$L$1000)</f>
        <v/>
      </c>
      <c r="O28" s="12">
        <f>SUMIF(Vendite!$A$2:$A$1000,A28,Vendite!$M$2:$M$1000)</f>
        <v/>
      </c>
      <c r="P28" s="24">
        <f>IF(E28&gt;0,F28/E28,0)</f>
        <v/>
      </c>
      <c r="Q28" s="22">
        <f>IF(F28&gt;0,"Venduto","Zero vendite")</f>
        <v/>
      </c>
      <c r="R28" s="22">
        <f>F28+M28/100000+(1000-ROW())/100000000</f>
        <v/>
      </c>
    </row>
    <row r="29">
      <c r="A29" s="23" t="inlineStr">
        <is>
          <t>20261031_2215</t>
        </is>
      </c>
      <c r="B29" s="13" t="n">
        <v>46326</v>
      </c>
      <c r="C29" s="23">
        <f>CHOOSE(WEEKDAY(B29,2),"Lunedì","Martedì","Mercoledì","Giovedì","Venerdì","Sabato","Domenica")</f>
        <v/>
      </c>
      <c r="D29" s="14" t="n">
        <v>0.9270833333333334</v>
      </c>
      <c r="E29" s="15" t="n">
        <v>80</v>
      </c>
      <c r="F29" s="15">
        <f>SUMIF(Vendite!$A$2:$A$1000,A29,Vendite!$H$2:$H$1000)</f>
        <v/>
      </c>
      <c r="G29" s="15">
        <f>SUMIF(Vendite!$A$2:$A$1000,A29,Vendite!$P$2:$P$1000)</f>
        <v/>
      </c>
      <c r="H29" s="15">
        <f>SUMIFS(Vendite!$H$2:$H$1000,Vendite!$A$2:$A$1000,A29,Vendite!$O$2:$O$1000,2)</f>
        <v/>
      </c>
      <c r="I29" s="15">
        <f>SUMIFS(Vendite!$H$2:$H$1000,Vendite!$A$2:$A$1000,A29,Vendite!$O$2:$O$1000,3)</f>
        <v/>
      </c>
      <c r="J29" s="15">
        <f>SUMIFS(Vendite!$H$2:$H$1000,Vendite!$A$2:$A$1000,A29,Vendite!$O$2:$O$1000,4)</f>
        <v/>
      </c>
      <c r="K29" s="15">
        <f>SUMIFS(Vendite!$H$2:$H$1000,Vendite!$A$2:$A$1000,A29,Vendite!$O$2:$O$1000,5)</f>
        <v/>
      </c>
      <c r="L29" s="15">
        <f>SUMIF(Vendite!$A$2:$A$1000,A29,Vendite!$I$2:$I$1000)</f>
        <v/>
      </c>
      <c r="M29" s="16">
        <f>SUMIF(Vendite!$A$2:$A$1000,A29,Vendite!$J$2:$J$1000)</f>
        <v/>
      </c>
      <c r="N29" s="16">
        <f>SUMIF(Vendite!$A$2:$A$1000,A29,Vendite!$L$2:$L$1000)</f>
        <v/>
      </c>
      <c r="O29" s="16">
        <f>SUMIF(Vendite!$A$2:$A$1000,A29,Vendite!$M$2:$M$1000)</f>
        <v/>
      </c>
      <c r="P29" s="25">
        <f>IF(E29&gt;0,F29/E29,0)</f>
        <v/>
      </c>
      <c r="Q29" s="23">
        <f>IF(F29&gt;0,"Venduto","Zero vendite")</f>
        <v/>
      </c>
      <c r="R29" s="23">
        <f>F29+M29/100000+(1000-ROW())/100000000</f>
        <v/>
      </c>
    </row>
    <row r="30">
      <c r="A30" s="22" t="inlineStr">
        <is>
          <t>20261031_2315</t>
        </is>
      </c>
      <c r="B30" s="9" t="n">
        <v>46326</v>
      </c>
      <c r="C30" s="22">
        <f>CHOOSE(WEEKDAY(B30,2),"Lunedì","Martedì","Mercoledì","Giovedì","Venerdì","Sabato","Domenica")</f>
        <v/>
      </c>
      <c r="D30" s="10" t="n">
        <v>0.96875</v>
      </c>
      <c r="E30" s="11" t="n">
        <v>80</v>
      </c>
      <c r="F30" s="11">
        <f>SUMIF(Vendite!$A$2:$A$1000,A30,Vendite!$H$2:$H$1000)</f>
        <v/>
      </c>
      <c r="G30" s="11">
        <f>SUMIF(Vendite!$A$2:$A$1000,A30,Vendite!$P$2:$P$1000)</f>
        <v/>
      </c>
      <c r="H30" s="11">
        <f>SUMIFS(Vendite!$H$2:$H$1000,Vendite!$A$2:$A$1000,A30,Vendite!$O$2:$O$1000,2)</f>
        <v/>
      </c>
      <c r="I30" s="11">
        <f>SUMIFS(Vendite!$H$2:$H$1000,Vendite!$A$2:$A$1000,A30,Vendite!$O$2:$O$1000,3)</f>
        <v/>
      </c>
      <c r="J30" s="11">
        <f>SUMIFS(Vendite!$H$2:$H$1000,Vendite!$A$2:$A$1000,A30,Vendite!$O$2:$O$1000,4)</f>
        <v/>
      </c>
      <c r="K30" s="11">
        <f>SUMIFS(Vendite!$H$2:$H$1000,Vendite!$A$2:$A$1000,A30,Vendite!$O$2:$O$1000,5)</f>
        <v/>
      </c>
      <c r="L30" s="11">
        <f>SUMIF(Vendite!$A$2:$A$1000,A30,Vendite!$I$2:$I$1000)</f>
        <v/>
      </c>
      <c r="M30" s="12">
        <f>SUMIF(Vendite!$A$2:$A$1000,A30,Vendite!$J$2:$J$1000)</f>
        <v/>
      </c>
      <c r="N30" s="12">
        <f>SUMIF(Vendite!$A$2:$A$1000,A30,Vendite!$L$2:$L$1000)</f>
        <v/>
      </c>
      <c r="O30" s="12">
        <f>SUMIF(Vendite!$A$2:$A$1000,A30,Vendite!$M$2:$M$1000)</f>
        <v/>
      </c>
      <c r="P30" s="24">
        <f>IF(E30&gt;0,F30/E30,0)</f>
        <v/>
      </c>
      <c r="Q30" s="22">
        <f>IF(F30&gt;0,"Venduto","Zero vendite")</f>
        <v/>
      </c>
      <c r="R30" s="22">
        <f>F30+M30/100000+(1000-ROW())/100000000</f>
        <v/>
      </c>
    </row>
    <row r="31">
      <c r="A31" s="23" t="inlineStr">
        <is>
          <t>20261031_2359</t>
        </is>
      </c>
      <c r="B31" s="13" t="n">
        <v>46326</v>
      </c>
      <c r="C31" s="23">
        <f>CHOOSE(WEEKDAY(B31,2),"Lunedì","Martedì","Mercoledì","Giovedì","Venerdì","Sabato","Domenica")</f>
        <v/>
      </c>
      <c r="D31" s="14" t="n">
        <v>0.9993055555555556</v>
      </c>
      <c r="E31" s="15" t="n">
        <v>80</v>
      </c>
      <c r="F31" s="15">
        <f>SUMIF(Vendite!$A$2:$A$1000,A31,Vendite!$H$2:$H$1000)</f>
        <v/>
      </c>
      <c r="G31" s="15">
        <f>SUMIF(Vendite!$A$2:$A$1000,A31,Vendite!$P$2:$P$1000)</f>
        <v/>
      </c>
      <c r="H31" s="15">
        <f>SUMIFS(Vendite!$H$2:$H$1000,Vendite!$A$2:$A$1000,A31,Vendite!$O$2:$O$1000,2)</f>
        <v/>
      </c>
      <c r="I31" s="15">
        <f>SUMIFS(Vendite!$H$2:$H$1000,Vendite!$A$2:$A$1000,A31,Vendite!$O$2:$O$1000,3)</f>
        <v/>
      </c>
      <c r="J31" s="15">
        <f>SUMIFS(Vendite!$H$2:$H$1000,Vendite!$A$2:$A$1000,A31,Vendite!$O$2:$O$1000,4)</f>
        <v/>
      </c>
      <c r="K31" s="15">
        <f>SUMIFS(Vendite!$H$2:$H$1000,Vendite!$A$2:$A$1000,A31,Vendite!$O$2:$O$1000,5)</f>
        <v/>
      </c>
      <c r="L31" s="15">
        <f>SUMIF(Vendite!$A$2:$A$1000,A31,Vendite!$I$2:$I$1000)</f>
        <v/>
      </c>
      <c r="M31" s="16">
        <f>SUMIF(Vendite!$A$2:$A$1000,A31,Vendite!$J$2:$J$1000)</f>
        <v/>
      </c>
      <c r="N31" s="16">
        <f>SUMIF(Vendite!$A$2:$A$1000,A31,Vendite!$L$2:$L$1000)</f>
        <v/>
      </c>
      <c r="O31" s="16">
        <f>SUMIF(Vendite!$A$2:$A$1000,A31,Vendite!$M$2:$M$1000)</f>
        <v/>
      </c>
      <c r="P31" s="25">
        <f>IF(E31&gt;0,F31/E31,0)</f>
        <v/>
      </c>
      <c r="Q31" s="23">
        <f>IF(F31&gt;0,"Venduto","Zero vendite")</f>
        <v/>
      </c>
      <c r="R31" s="23">
        <f>F31+M31/100000+(1000-ROW())/100000000</f>
        <v/>
      </c>
    </row>
    <row r="32">
      <c r="A32" s="22" t="inlineStr">
        <is>
          <t>20261101_2015</t>
        </is>
      </c>
      <c r="B32" s="9" t="n">
        <v>46327</v>
      </c>
      <c r="C32" s="22">
        <f>CHOOSE(WEEKDAY(B32,2),"Lunedì","Martedì","Mercoledì","Giovedì","Venerdì","Sabato","Domenica")</f>
        <v/>
      </c>
      <c r="D32" s="10" t="n">
        <v>0.84375</v>
      </c>
      <c r="E32" s="11" t="n">
        <v>80</v>
      </c>
      <c r="F32" s="11">
        <f>SUMIF(Vendite!$A$2:$A$1000,A32,Vendite!$H$2:$H$1000)</f>
        <v/>
      </c>
      <c r="G32" s="11">
        <f>SUMIF(Vendite!$A$2:$A$1000,A32,Vendite!$P$2:$P$1000)</f>
        <v/>
      </c>
      <c r="H32" s="11">
        <f>SUMIFS(Vendite!$H$2:$H$1000,Vendite!$A$2:$A$1000,A32,Vendite!$O$2:$O$1000,2)</f>
        <v/>
      </c>
      <c r="I32" s="11">
        <f>SUMIFS(Vendite!$H$2:$H$1000,Vendite!$A$2:$A$1000,A32,Vendite!$O$2:$O$1000,3)</f>
        <v/>
      </c>
      <c r="J32" s="11">
        <f>SUMIFS(Vendite!$H$2:$H$1000,Vendite!$A$2:$A$1000,A32,Vendite!$O$2:$O$1000,4)</f>
        <v/>
      </c>
      <c r="K32" s="11">
        <f>SUMIFS(Vendite!$H$2:$H$1000,Vendite!$A$2:$A$1000,A32,Vendite!$O$2:$O$1000,5)</f>
        <v/>
      </c>
      <c r="L32" s="11">
        <f>SUMIF(Vendite!$A$2:$A$1000,A32,Vendite!$I$2:$I$1000)</f>
        <v/>
      </c>
      <c r="M32" s="12">
        <f>SUMIF(Vendite!$A$2:$A$1000,A32,Vendite!$J$2:$J$1000)</f>
        <v/>
      </c>
      <c r="N32" s="12">
        <f>SUMIF(Vendite!$A$2:$A$1000,A32,Vendite!$L$2:$L$1000)</f>
        <v/>
      </c>
      <c r="O32" s="12">
        <f>SUMIF(Vendite!$A$2:$A$1000,A32,Vendite!$M$2:$M$1000)</f>
        <v/>
      </c>
      <c r="P32" s="24">
        <f>IF(E32&gt;0,F32/E32,0)</f>
        <v/>
      </c>
      <c r="Q32" s="22">
        <f>IF(F32&gt;0,"Venduto","Zero vendite")</f>
        <v/>
      </c>
      <c r="R32" s="22">
        <f>F32+M32/100000+(1000-ROW())/100000000</f>
        <v/>
      </c>
    </row>
    <row r="33">
      <c r="A33" s="23" t="inlineStr">
        <is>
          <t>20261101_2115</t>
        </is>
      </c>
      <c r="B33" s="13" t="n">
        <v>46327</v>
      </c>
      <c r="C33" s="23">
        <f>CHOOSE(WEEKDAY(B33,2),"Lunedì","Martedì","Mercoledì","Giovedì","Venerdì","Sabato","Domenica")</f>
        <v/>
      </c>
      <c r="D33" s="14" t="n">
        <v>0.8854166666666666</v>
      </c>
      <c r="E33" s="15" t="n">
        <v>80</v>
      </c>
      <c r="F33" s="15">
        <f>SUMIF(Vendite!$A$2:$A$1000,A33,Vendite!$H$2:$H$1000)</f>
        <v/>
      </c>
      <c r="G33" s="15">
        <f>SUMIF(Vendite!$A$2:$A$1000,A33,Vendite!$P$2:$P$1000)</f>
        <v/>
      </c>
      <c r="H33" s="15">
        <f>SUMIFS(Vendite!$H$2:$H$1000,Vendite!$A$2:$A$1000,A33,Vendite!$O$2:$O$1000,2)</f>
        <v/>
      </c>
      <c r="I33" s="15">
        <f>SUMIFS(Vendite!$H$2:$H$1000,Vendite!$A$2:$A$1000,A33,Vendite!$O$2:$O$1000,3)</f>
        <v/>
      </c>
      <c r="J33" s="15">
        <f>SUMIFS(Vendite!$H$2:$H$1000,Vendite!$A$2:$A$1000,A33,Vendite!$O$2:$O$1000,4)</f>
        <v/>
      </c>
      <c r="K33" s="15">
        <f>SUMIFS(Vendite!$H$2:$H$1000,Vendite!$A$2:$A$1000,A33,Vendite!$O$2:$O$1000,5)</f>
        <v/>
      </c>
      <c r="L33" s="15">
        <f>SUMIF(Vendite!$A$2:$A$1000,A33,Vendite!$I$2:$I$1000)</f>
        <v/>
      </c>
      <c r="M33" s="16">
        <f>SUMIF(Vendite!$A$2:$A$1000,A33,Vendite!$J$2:$J$1000)</f>
        <v/>
      </c>
      <c r="N33" s="16">
        <f>SUMIF(Vendite!$A$2:$A$1000,A33,Vendite!$L$2:$L$1000)</f>
        <v/>
      </c>
      <c r="O33" s="16">
        <f>SUMIF(Vendite!$A$2:$A$1000,A33,Vendite!$M$2:$M$1000)</f>
        <v/>
      </c>
      <c r="P33" s="25">
        <f>IF(E33&gt;0,F33/E33,0)</f>
        <v/>
      </c>
      <c r="Q33" s="23">
        <f>IF(F33&gt;0,"Venduto","Zero vendite")</f>
        <v/>
      </c>
      <c r="R33" s="23">
        <f>F33+M33/100000+(1000-ROW())/100000000</f>
        <v/>
      </c>
    </row>
    <row r="34">
      <c r="A34" s="22" t="inlineStr">
        <is>
          <t>20261101_2215</t>
        </is>
      </c>
      <c r="B34" s="9" t="n">
        <v>46327</v>
      </c>
      <c r="C34" s="22">
        <f>CHOOSE(WEEKDAY(B34,2),"Lunedì","Martedì","Mercoledì","Giovedì","Venerdì","Sabato","Domenica")</f>
        <v/>
      </c>
      <c r="D34" s="10" t="n">
        <v>0.9270833333333334</v>
      </c>
      <c r="E34" s="11" t="n">
        <v>80</v>
      </c>
      <c r="F34" s="11">
        <f>SUMIF(Vendite!$A$2:$A$1000,A34,Vendite!$H$2:$H$1000)</f>
        <v/>
      </c>
      <c r="G34" s="11">
        <f>SUMIF(Vendite!$A$2:$A$1000,A34,Vendite!$P$2:$P$1000)</f>
        <v/>
      </c>
      <c r="H34" s="11">
        <f>SUMIFS(Vendite!$H$2:$H$1000,Vendite!$A$2:$A$1000,A34,Vendite!$O$2:$O$1000,2)</f>
        <v/>
      </c>
      <c r="I34" s="11">
        <f>SUMIFS(Vendite!$H$2:$H$1000,Vendite!$A$2:$A$1000,A34,Vendite!$O$2:$O$1000,3)</f>
        <v/>
      </c>
      <c r="J34" s="11">
        <f>SUMIFS(Vendite!$H$2:$H$1000,Vendite!$A$2:$A$1000,A34,Vendite!$O$2:$O$1000,4)</f>
        <v/>
      </c>
      <c r="K34" s="11">
        <f>SUMIFS(Vendite!$H$2:$H$1000,Vendite!$A$2:$A$1000,A34,Vendite!$O$2:$O$1000,5)</f>
        <v/>
      </c>
      <c r="L34" s="11">
        <f>SUMIF(Vendite!$A$2:$A$1000,A34,Vendite!$I$2:$I$1000)</f>
        <v/>
      </c>
      <c r="M34" s="12">
        <f>SUMIF(Vendite!$A$2:$A$1000,A34,Vendite!$J$2:$J$1000)</f>
        <v/>
      </c>
      <c r="N34" s="12">
        <f>SUMIF(Vendite!$A$2:$A$1000,A34,Vendite!$L$2:$L$1000)</f>
        <v/>
      </c>
      <c r="O34" s="12">
        <f>SUMIF(Vendite!$A$2:$A$1000,A34,Vendite!$M$2:$M$1000)</f>
        <v/>
      </c>
      <c r="P34" s="24">
        <f>IF(E34&gt;0,F34/E34,0)</f>
        <v/>
      </c>
      <c r="Q34" s="22">
        <f>IF(F34&gt;0,"Venduto","Zero vendite")</f>
        <v/>
      </c>
      <c r="R34" s="22">
        <f>F34+M34/100000+(1000-ROW())/100000000</f>
        <v/>
      </c>
    </row>
    <row r="35">
      <c r="A35" s="23" t="inlineStr">
        <is>
          <t>20261101_2315</t>
        </is>
      </c>
      <c r="B35" s="13" t="n">
        <v>46327</v>
      </c>
      <c r="C35" s="23">
        <f>CHOOSE(WEEKDAY(B35,2),"Lunedì","Martedì","Mercoledì","Giovedì","Venerdì","Sabato","Domenica")</f>
        <v/>
      </c>
      <c r="D35" s="14" t="n">
        <v>0.96875</v>
      </c>
      <c r="E35" s="15" t="n">
        <v>80</v>
      </c>
      <c r="F35" s="15">
        <f>SUMIF(Vendite!$A$2:$A$1000,A35,Vendite!$H$2:$H$1000)</f>
        <v/>
      </c>
      <c r="G35" s="15">
        <f>SUMIF(Vendite!$A$2:$A$1000,A35,Vendite!$P$2:$P$1000)</f>
        <v/>
      </c>
      <c r="H35" s="15">
        <f>SUMIFS(Vendite!$H$2:$H$1000,Vendite!$A$2:$A$1000,A35,Vendite!$O$2:$O$1000,2)</f>
        <v/>
      </c>
      <c r="I35" s="15">
        <f>SUMIFS(Vendite!$H$2:$H$1000,Vendite!$A$2:$A$1000,A35,Vendite!$O$2:$O$1000,3)</f>
        <v/>
      </c>
      <c r="J35" s="15">
        <f>SUMIFS(Vendite!$H$2:$H$1000,Vendite!$A$2:$A$1000,A35,Vendite!$O$2:$O$1000,4)</f>
        <v/>
      </c>
      <c r="K35" s="15">
        <f>SUMIFS(Vendite!$H$2:$H$1000,Vendite!$A$2:$A$1000,A35,Vendite!$O$2:$O$1000,5)</f>
        <v/>
      </c>
      <c r="L35" s="15">
        <f>SUMIF(Vendite!$A$2:$A$1000,A35,Vendite!$I$2:$I$1000)</f>
        <v/>
      </c>
      <c r="M35" s="16">
        <f>SUMIF(Vendite!$A$2:$A$1000,A35,Vendite!$J$2:$J$1000)</f>
        <v/>
      </c>
      <c r="N35" s="16">
        <f>SUMIF(Vendite!$A$2:$A$1000,A35,Vendite!$L$2:$L$1000)</f>
        <v/>
      </c>
      <c r="O35" s="16">
        <f>SUMIF(Vendite!$A$2:$A$1000,A35,Vendite!$M$2:$M$1000)</f>
        <v/>
      </c>
      <c r="P35" s="25">
        <f>IF(E35&gt;0,F35/E35,0)</f>
        <v/>
      </c>
      <c r="Q35" s="23">
        <f>IF(F35&gt;0,"Venduto","Zero vendite")</f>
        <v/>
      </c>
      <c r="R35" s="23">
        <f>F35+M35/100000+(1000-ROW())/100000000</f>
        <v/>
      </c>
    </row>
    <row r="36">
      <c r="A36" s="22" t="inlineStr">
        <is>
          <t>20261101_2359</t>
        </is>
      </c>
      <c r="B36" s="9" t="n">
        <v>46327</v>
      </c>
      <c r="C36" s="22">
        <f>CHOOSE(WEEKDAY(B36,2),"Lunedì","Martedì","Mercoledì","Giovedì","Venerdì","Sabato","Domenica")</f>
        <v/>
      </c>
      <c r="D36" s="10" t="n">
        <v>0.9993055555555556</v>
      </c>
      <c r="E36" s="11" t="n">
        <v>80</v>
      </c>
      <c r="F36" s="11">
        <f>SUMIF(Vendite!$A$2:$A$1000,A36,Vendite!$H$2:$H$1000)</f>
        <v/>
      </c>
      <c r="G36" s="11">
        <f>SUMIF(Vendite!$A$2:$A$1000,A36,Vendite!$P$2:$P$1000)</f>
        <v/>
      </c>
      <c r="H36" s="11">
        <f>SUMIFS(Vendite!$H$2:$H$1000,Vendite!$A$2:$A$1000,A36,Vendite!$O$2:$O$1000,2)</f>
        <v/>
      </c>
      <c r="I36" s="11">
        <f>SUMIFS(Vendite!$H$2:$H$1000,Vendite!$A$2:$A$1000,A36,Vendite!$O$2:$O$1000,3)</f>
        <v/>
      </c>
      <c r="J36" s="11">
        <f>SUMIFS(Vendite!$H$2:$H$1000,Vendite!$A$2:$A$1000,A36,Vendite!$O$2:$O$1000,4)</f>
        <v/>
      </c>
      <c r="K36" s="11">
        <f>SUMIFS(Vendite!$H$2:$H$1000,Vendite!$A$2:$A$1000,A36,Vendite!$O$2:$O$1000,5)</f>
        <v/>
      </c>
      <c r="L36" s="11">
        <f>SUMIF(Vendite!$A$2:$A$1000,A36,Vendite!$I$2:$I$1000)</f>
        <v/>
      </c>
      <c r="M36" s="12">
        <f>SUMIF(Vendite!$A$2:$A$1000,A36,Vendite!$J$2:$J$1000)</f>
        <v/>
      </c>
      <c r="N36" s="12">
        <f>SUMIF(Vendite!$A$2:$A$1000,A36,Vendite!$L$2:$L$1000)</f>
        <v/>
      </c>
      <c r="O36" s="12">
        <f>SUMIF(Vendite!$A$2:$A$1000,A36,Vendite!$M$2:$M$1000)</f>
        <v/>
      </c>
      <c r="P36" s="24">
        <f>IF(E36&gt;0,F36/E36,0)</f>
        <v/>
      </c>
      <c r="Q36" s="22">
        <f>IF(F36&gt;0,"Venduto","Zero vendite")</f>
        <v/>
      </c>
      <c r="R36" s="22">
        <f>F36+M36/100000+(1000-ROW())/100000000</f>
        <v/>
      </c>
    </row>
    <row r="37">
      <c r="A37" s="23" t="inlineStr">
        <is>
          <t>20261102_2015</t>
        </is>
      </c>
      <c r="B37" s="13" t="n">
        <v>46328</v>
      </c>
      <c r="C37" s="23">
        <f>CHOOSE(WEEKDAY(B37,2),"Lunedì","Martedì","Mercoledì","Giovedì","Venerdì","Sabato","Domenica")</f>
        <v/>
      </c>
      <c r="D37" s="14" t="n">
        <v>0.84375</v>
      </c>
      <c r="E37" s="15" t="n">
        <v>80</v>
      </c>
      <c r="F37" s="15">
        <f>SUMIF(Vendite!$A$2:$A$1000,A37,Vendite!$H$2:$H$1000)</f>
        <v/>
      </c>
      <c r="G37" s="15">
        <f>SUMIF(Vendite!$A$2:$A$1000,A37,Vendite!$P$2:$P$1000)</f>
        <v/>
      </c>
      <c r="H37" s="15">
        <f>SUMIFS(Vendite!$H$2:$H$1000,Vendite!$A$2:$A$1000,A37,Vendite!$O$2:$O$1000,2)</f>
        <v/>
      </c>
      <c r="I37" s="15">
        <f>SUMIFS(Vendite!$H$2:$H$1000,Vendite!$A$2:$A$1000,A37,Vendite!$O$2:$O$1000,3)</f>
        <v/>
      </c>
      <c r="J37" s="15">
        <f>SUMIFS(Vendite!$H$2:$H$1000,Vendite!$A$2:$A$1000,A37,Vendite!$O$2:$O$1000,4)</f>
        <v/>
      </c>
      <c r="K37" s="15">
        <f>SUMIFS(Vendite!$H$2:$H$1000,Vendite!$A$2:$A$1000,A37,Vendite!$O$2:$O$1000,5)</f>
        <v/>
      </c>
      <c r="L37" s="15">
        <f>SUMIF(Vendite!$A$2:$A$1000,A37,Vendite!$I$2:$I$1000)</f>
        <v/>
      </c>
      <c r="M37" s="16">
        <f>SUMIF(Vendite!$A$2:$A$1000,A37,Vendite!$J$2:$J$1000)</f>
        <v/>
      </c>
      <c r="N37" s="16">
        <f>SUMIF(Vendite!$A$2:$A$1000,A37,Vendite!$L$2:$L$1000)</f>
        <v/>
      </c>
      <c r="O37" s="16">
        <f>SUMIF(Vendite!$A$2:$A$1000,A37,Vendite!$M$2:$M$1000)</f>
        <v/>
      </c>
      <c r="P37" s="25">
        <f>IF(E37&gt;0,F37/E37,0)</f>
        <v/>
      </c>
      <c r="Q37" s="23">
        <f>IF(F37&gt;0,"Venduto","Zero vendite")</f>
        <v/>
      </c>
      <c r="R37" s="23">
        <f>F37+M37/100000+(1000-ROW())/100000000</f>
        <v/>
      </c>
    </row>
    <row r="38">
      <c r="A38" s="22" t="inlineStr">
        <is>
          <t>20261102_2115</t>
        </is>
      </c>
      <c r="B38" s="9" t="n">
        <v>46328</v>
      </c>
      <c r="C38" s="22">
        <f>CHOOSE(WEEKDAY(B38,2),"Lunedì","Martedì","Mercoledì","Giovedì","Venerdì","Sabato","Domenica")</f>
        <v/>
      </c>
      <c r="D38" s="10" t="n">
        <v>0.8854166666666666</v>
      </c>
      <c r="E38" s="11" t="n">
        <v>80</v>
      </c>
      <c r="F38" s="11">
        <f>SUMIF(Vendite!$A$2:$A$1000,A38,Vendite!$H$2:$H$1000)</f>
        <v/>
      </c>
      <c r="G38" s="11">
        <f>SUMIF(Vendite!$A$2:$A$1000,A38,Vendite!$P$2:$P$1000)</f>
        <v/>
      </c>
      <c r="H38" s="11">
        <f>SUMIFS(Vendite!$H$2:$H$1000,Vendite!$A$2:$A$1000,A38,Vendite!$O$2:$O$1000,2)</f>
        <v/>
      </c>
      <c r="I38" s="11">
        <f>SUMIFS(Vendite!$H$2:$H$1000,Vendite!$A$2:$A$1000,A38,Vendite!$O$2:$O$1000,3)</f>
        <v/>
      </c>
      <c r="J38" s="11">
        <f>SUMIFS(Vendite!$H$2:$H$1000,Vendite!$A$2:$A$1000,A38,Vendite!$O$2:$O$1000,4)</f>
        <v/>
      </c>
      <c r="K38" s="11">
        <f>SUMIFS(Vendite!$H$2:$H$1000,Vendite!$A$2:$A$1000,A38,Vendite!$O$2:$O$1000,5)</f>
        <v/>
      </c>
      <c r="L38" s="11">
        <f>SUMIF(Vendite!$A$2:$A$1000,A38,Vendite!$I$2:$I$1000)</f>
        <v/>
      </c>
      <c r="M38" s="12">
        <f>SUMIF(Vendite!$A$2:$A$1000,A38,Vendite!$J$2:$J$1000)</f>
        <v/>
      </c>
      <c r="N38" s="12">
        <f>SUMIF(Vendite!$A$2:$A$1000,A38,Vendite!$L$2:$L$1000)</f>
        <v/>
      </c>
      <c r="O38" s="12">
        <f>SUMIF(Vendite!$A$2:$A$1000,A38,Vendite!$M$2:$M$1000)</f>
        <v/>
      </c>
      <c r="P38" s="24">
        <f>IF(E38&gt;0,F38/E38,0)</f>
        <v/>
      </c>
      <c r="Q38" s="22">
        <f>IF(F38&gt;0,"Venduto","Zero vendite")</f>
        <v/>
      </c>
      <c r="R38" s="22">
        <f>F38+M38/100000+(1000-ROW())/100000000</f>
        <v/>
      </c>
    </row>
    <row r="39">
      <c r="A39" s="23" t="inlineStr">
        <is>
          <t>20261102_2215</t>
        </is>
      </c>
      <c r="B39" s="13" t="n">
        <v>46328</v>
      </c>
      <c r="C39" s="23">
        <f>CHOOSE(WEEKDAY(B39,2),"Lunedì","Martedì","Mercoledì","Giovedì","Venerdì","Sabato","Domenica")</f>
        <v/>
      </c>
      <c r="D39" s="14" t="n">
        <v>0.9270833333333334</v>
      </c>
      <c r="E39" s="15" t="n">
        <v>80</v>
      </c>
      <c r="F39" s="15">
        <f>SUMIF(Vendite!$A$2:$A$1000,A39,Vendite!$H$2:$H$1000)</f>
        <v/>
      </c>
      <c r="G39" s="15">
        <f>SUMIF(Vendite!$A$2:$A$1000,A39,Vendite!$P$2:$P$1000)</f>
        <v/>
      </c>
      <c r="H39" s="15">
        <f>SUMIFS(Vendite!$H$2:$H$1000,Vendite!$A$2:$A$1000,A39,Vendite!$O$2:$O$1000,2)</f>
        <v/>
      </c>
      <c r="I39" s="15">
        <f>SUMIFS(Vendite!$H$2:$H$1000,Vendite!$A$2:$A$1000,A39,Vendite!$O$2:$O$1000,3)</f>
        <v/>
      </c>
      <c r="J39" s="15">
        <f>SUMIFS(Vendite!$H$2:$H$1000,Vendite!$A$2:$A$1000,A39,Vendite!$O$2:$O$1000,4)</f>
        <v/>
      </c>
      <c r="K39" s="15">
        <f>SUMIFS(Vendite!$H$2:$H$1000,Vendite!$A$2:$A$1000,A39,Vendite!$O$2:$O$1000,5)</f>
        <v/>
      </c>
      <c r="L39" s="15">
        <f>SUMIF(Vendite!$A$2:$A$1000,A39,Vendite!$I$2:$I$1000)</f>
        <v/>
      </c>
      <c r="M39" s="16">
        <f>SUMIF(Vendite!$A$2:$A$1000,A39,Vendite!$J$2:$J$1000)</f>
        <v/>
      </c>
      <c r="N39" s="16">
        <f>SUMIF(Vendite!$A$2:$A$1000,A39,Vendite!$L$2:$L$1000)</f>
        <v/>
      </c>
      <c r="O39" s="16">
        <f>SUMIF(Vendite!$A$2:$A$1000,A39,Vendite!$M$2:$M$1000)</f>
        <v/>
      </c>
      <c r="P39" s="25">
        <f>IF(E39&gt;0,F39/E39,0)</f>
        <v/>
      </c>
      <c r="Q39" s="23">
        <f>IF(F39&gt;0,"Venduto","Zero vendite")</f>
        <v/>
      </c>
      <c r="R39" s="23">
        <f>F39+M39/100000+(1000-ROW())/100000000</f>
        <v/>
      </c>
    </row>
    <row r="40">
      <c r="A40" s="22" t="inlineStr">
        <is>
          <t>20261102_2315</t>
        </is>
      </c>
      <c r="B40" s="9" t="n">
        <v>46328</v>
      </c>
      <c r="C40" s="22">
        <f>CHOOSE(WEEKDAY(B40,2),"Lunedì","Martedì","Mercoledì","Giovedì","Venerdì","Sabato","Domenica")</f>
        <v/>
      </c>
      <c r="D40" s="10" t="n">
        <v>0.96875</v>
      </c>
      <c r="E40" s="11" t="n">
        <v>80</v>
      </c>
      <c r="F40" s="11">
        <f>SUMIF(Vendite!$A$2:$A$1000,A40,Vendite!$H$2:$H$1000)</f>
        <v/>
      </c>
      <c r="G40" s="11">
        <f>SUMIF(Vendite!$A$2:$A$1000,A40,Vendite!$P$2:$P$1000)</f>
        <v/>
      </c>
      <c r="H40" s="11">
        <f>SUMIFS(Vendite!$H$2:$H$1000,Vendite!$A$2:$A$1000,A40,Vendite!$O$2:$O$1000,2)</f>
        <v/>
      </c>
      <c r="I40" s="11">
        <f>SUMIFS(Vendite!$H$2:$H$1000,Vendite!$A$2:$A$1000,A40,Vendite!$O$2:$O$1000,3)</f>
        <v/>
      </c>
      <c r="J40" s="11">
        <f>SUMIFS(Vendite!$H$2:$H$1000,Vendite!$A$2:$A$1000,A40,Vendite!$O$2:$O$1000,4)</f>
        <v/>
      </c>
      <c r="K40" s="11">
        <f>SUMIFS(Vendite!$H$2:$H$1000,Vendite!$A$2:$A$1000,A40,Vendite!$O$2:$O$1000,5)</f>
        <v/>
      </c>
      <c r="L40" s="11">
        <f>SUMIF(Vendite!$A$2:$A$1000,A40,Vendite!$I$2:$I$1000)</f>
        <v/>
      </c>
      <c r="M40" s="12">
        <f>SUMIF(Vendite!$A$2:$A$1000,A40,Vendite!$J$2:$J$1000)</f>
        <v/>
      </c>
      <c r="N40" s="12">
        <f>SUMIF(Vendite!$A$2:$A$1000,A40,Vendite!$L$2:$L$1000)</f>
        <v/>
      </c>
      <c r="O40" s="12">
        <f>SUMIF(Vendite!$A$2:$A$1000,A40,Vendite!$M$2:$M$1000)</f>
        <v/>
      </c>
      <c r="P40" s="24">
        <f>IF(E40&gt;0,F40/E40,0)</f>
        <v/>
      </c>
      <c r="Q40" s="22">
        <f>IF(F40&gt;0,"Venduto","Zero vendite")</f>
        <v/>
      </c>
      <c r="R40" s="22">
        <f>F40+M40/100000+(1000-ROW())/100000000</f>
        <v/>
      </c>
    </row>
    <row r="41">
      <c r="A41" s="23" t="inlineStr">
        <is>
          <t>20261102_2359</t>
        </is>
      </c>
      <c r="B41" s="13" t="n">
        <v>46328</v>
      </c>
      <c r="C41" s="23">
        <f>CHOOSE(WEEKDAY(B41,2),"Lunedì","Martedì","Mercoledì","Giovedì","Venerdì","Sabato","Domenica")</f>
        <v/>
      </c>
      <c r="D41" s="14" t="n">
        <v>0.9993055555555556</v>
      </c>
      <c r="E41" s="15" t="n">
        <v>80</v>
      </c>
      <c r="F41" s="15">
        <f>SUMIF(Vendite!$A$2:$A$1000,A41,Vendite!$H$2:$H$1000)</f>
        <v/>
      </c>
      <c r="G41" s="15">
        <f>SUMIF(Vendite!$A$2:$A$1000,A41,Vendite!$P$2:$P$1000)</f>
        <v/>
      </c>
      <c r="H41" s="15">
        <f>SUMIFS(Vendite!$H$2:$H$1000,Vendite!$A$2:$A$1000,A41,Vendite!$O$2:$O$1000,2)</f>
        <v/>
      </c>
      <c r="I41" s="15">
        <f>SUMIFS(Vendite!$H$2:$H$1000,Vendite!$A$2:$A$1000,A41,Vendite!$O$2:$O$1000,3)</f>
        <v/>
      </c>
      <c r="J41" s="15">
        <f>SUMIFS(Vendite!$H$2:$H$1000,Vendite!$A$2:$A$1000,A41,Vendite!$O$2:$O$1000,4)</f>
        <v/>
      </c>
      <c r="K41" s="15">
        <f>SUMIFS(Vendite!$H$2:$H$1000,Vendite!$A$2:$A$1000,A41,Vendite!$O$2:$O$1000,5)</f>
        <v/>
      </c>
      <c r="L41" s="15">
        <f>SUMIF(Vendite!$A$2:$A$1000,A41,Vendite!$I$2:$I$1000)</f>
        <v/>
      </c>
      <c r="M41" s="16">
        <f>SUMIF(Vendite!$A$2:$A$1000,A41,Vendite!$J$2:$J$1000)</f>
        <v/>
      </c>
      <c r="N41" s="16">
        <f>SUMIF(Vendite!$A$2:$A$1000,A41,Vendite!$L$2:$L$1000)</f>
        <v/>
      </c>
      <c r="O41" s="16">
        <f>SUMIF(Vendite!$A$2:$A$1000,A41,Vendite!$M$2:$M$1000)</f>
        <v/>
      </c>
      <c r="P41" s="25">
        <f>IF(E41&gt;0,F41/E41,0)</f>
        <v/>
      </c>
      <c r="Q41" s="23">
        <f>IF(F41&gt;0,"Venduto","Zero vendite")</f>
        <v/>
      </c>
      <c r="R41" s="23">
        <f>F41+M41/100000+(1000-ROW())/100000000</f>
        <v/>
      </c>
    </row>
  </sheetData>
  <autoFilter ref="A1:R41"/>
  <conditionalFormatting sqref="Q2:Q41">
    <cfRule type="expression" priority="1" dxfId="0">
      <formula>Q2="Venduto"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2" customWidth="1" min="4" max="4"/>
    <col width="12" customWidth="1" min="5" max="5"/>
    <col width="22" customWidth="1" min="6" max="6"/>
    <col width="13" customWidth="1" min="7" max="7"/>
    <col width="12" customWidth="1" min="8" max="8"/>
    <col width="11" customWidth="1" min="9" max="9"/>
    <col width="13" customWidth="1" min="10" max="10"/>
    <col width="12" customWidth="1" min="11" max="11"/>
    <col width="14" customWidth="1" min="12" max="12"/>
    <col width="11" customWidth="1" min="13" max="13"/>
    <col width="12" customWidth="1" min="14" max="14"/>
    <col width="12" customWidth="1" min="15" max="15"/>
    <col width="10" customWidth="1" min="16" max="16"/>
  </cols>
  <sheetData>
    <row r="1" ht="30" customHeight="1">
      <c r="A1" s="21" t="inlineStr">
        <is>
          <t>ID spettacolo</t>
        </is>
      </c>
      <c r="B1" s="21" t="inlineStr">
        <is>
          <t>Data</t>
        </is>
      </c>
      <c r="C1" s="21" t="inlineStr">
        <is>
          <t>Ora</t>
        </is>
      </c>
      <c r="D1" s="21" t="inlineStr">
        <is>
          <t>Settore</t>
        </is>
      </c>
      <c r="E1" s="21" t="inlineStr">
        <is>
          <t>Codice titolo</t>
        </is>
      </c>
      <c r="F1" s="21" t="inlineStr">
        <is>
          <t>Descrizione tariffa</t>
        </is>
      </c>
      <c r="G1" s="21" t="inlineStr">
        <is>
          <t>Prezzo unitario</t>
        </is>
      </c>
      <c r="H1" s="21" t="inlineStr">
        <is>
          <t>N° auto (titoli emessi)</t>
        </is>
      </c>
      <c r="I1" s="21" t="inlineStr">
        <is>
          <t>N° annullati</t>
        </is>
      </c>
      <c r="J1" s="21" t="inlineStr">
        <is>
          <t>Incasso lordo</t>
        </is>
      </c>
      <c r="K1" s="21" t="inlineStr">
        <is>
          <t>Prevendita</t>
        </is>
      </c>
      <c r="L1" s="21" t="inlineStr">
        <is>
          <t>Imponibile IVA</t>
        </is>
      </c>
      <c r="M1" s="21" t="inlineStr">
        <is>
          <t>IVA</t>
        </is>
      </c>
      <c r="N1" s="21" t="inlineStr">
        <is>
          <t>Mese C1 di origine</t>
        </is>
      </c>
      <c r="O1" s="21" t="inlineStr">
        <is>
          <t>Persone per auto</t>
        </is>
      </c>
      <c r="P1" s="21" t="inlineStr">
        <is>
          <t>Persone</t>
        </is>
      </c>
    </row>
    <row r="2">
      <c r="A2" s="22" t="inlineStr">
        <is>
          <t>20261023_2015</t>
        </is>
      </c>
      <c r="B2" s="9" t="n">
        <v>46318</v>
      </c>
      <c r="C2" s="10" t="n">
        <v>0.84375</v>
      </c>
      <c r="D2" s="22" t="inlineStr">
        <is>
          <t>UN Unico</t>
        </is>
      </c>
      <c r="E2" s="22" t="inlineStr">
        <is>
          <t>I1</t>
        </is>
      </c>
      <c r="F2" s="22">
        <f>IFERROR(INDEX(Tariffe!$B$2:$B$200,MATCH(E2,Tariffe!$A$2:$A$200,0)),"DA DEFINIRE")</f>
        <v/>
      </c>
      <c r="G2" s="12" t="n">
        <v>48</v>
      </c>
      <c r="H2" s="11" t="n">
        <v>4</v>
      </c>
      <c r="I2" s="11" t="n">
        <v>0</v>
      </c>
      <c r="J2" s="12" t="n">
        <v>192</v>
      </c>
      <c r="K2" s="12" t="n">
        <v>0</v>
      </c>
      <c r="L2" s="12" t="n">
        <v>174.56</v>
      </c>
      <c r="M2" s="12" t="n">
        <v>17.44</v>
      </c>
      <c r="N2" s="22" t="inlineStr">
        <is>
          <t>10/2026</t>
        </is>
      </c>
      <c r="O2" s="11">
        <f>IFERROR(INDEX(Tariffe!$D$2:$D$200,MATCH(E2,Tariffe!$A$2:$A$200,0))*1,0)</f>
        <v/>
      </c>
      <c r="P2" s="11">
        <f>H2*O2</f>
        <v/>
      </c>
    </row>
    <row r="3">
      <c r="A3" s="23" t="inlineStr">
        <is>
          <t>20261023_2015</t>
        </is>
      </c>
      <c r="B3" s="13" t="n">
        <v>46318</v>
      </c>
      <c r="C3" s="14" t="n">
        <v>0.84375</v>
      </c>
      <c r="D3" s="23" t="inlineStr">
        <is>
          <t>UN Unico</t>
        </is>
      </c>
      <c r="E3" s="23" t="inlineStr">
        <is>
          <t>I2</t>
        </is>
      </c>
      <c r="F3" s="23">
        <f>IFERROR(INDEX(Tariffe!$B$2:$B$200,MATCH(E3,Tariffe!$A$2:$A$200,0)),"DA DEFINIRE")</f>
        <v/>
      </c>
      <c r="G3" s="16" t="n">
        <v>36</v>
      </c>
      <c r="H3" s="15" t="n">
        <v>6</v>
      </c>
      <c r="I3" s="15" t="n">
        <v>0</v>
      </c>
      <c r="J3" s="16" t="n">
        <v>216</v>
      </c>
      <c r="K3" s="16" t="n">
        <v>0</v>
      </c>
      <c r="L3" s="16" t="n">
        <v>196.38</v>
      </c>
      <c r="M3" s="16" t="n">
        <v>19.62</v>
      </c>
      <c r="N3" s="23" t="inlineStr">
        <is>
          <t>10/2026</t>
        </is>
      </c>
      <c r="O3" s="15">
        <f>IFERROR(INDEX(Tariffe!$D$2:$D$200,MATCH(E3,Tariffe!$A$2:$A$200,0))*1,0)</f>
        <v/>
      </c>
      <c r="P3" s="15">
        <f>H3*O3</f>
        <v/>
      </c>
    </row>
    <row r="4">
      <c r="A4" s="22" t="inlineStr">
        <is>
          <t>20261023_2015</t>
        </is>
      </c>
      <c r="B4" s="9" t="n">
        <v>46318</v>
      </c>
      <c r="C4" s="10" t="n">
        <v>0.84375</v>
      </c>
      <c r="D4" s="22" t="inlineStr">
        <is>
          <t>UN Unico</t>
        </is>
      </c>
      <c r="E4" s="22" t="inlineStr">
        <is>
          <t>I5</t>
        </is>
      </c>
      <c r="F4" s="22">
        <f>IFERROR(INDEX(Tariffe!$B$2:$B$200,MATCH(E4,Tariffe!$A$2:$A$200,0)),"DA DEFINIRE")</f>
        <v/>
      </c>
      <c r="G4" s="12" t="n">
        <v>60</v>
      </c>
      <c r="H4" s="11" t="n">
        <v>2</v>
      </c>
      <c r="I4" s="11" t="n">
        <v>0</v>
      </c>
      <c r="J4" s="12" t="n">
        <v>120</v>
      </c>
      <c r="K4" s="12" t="n">
        <v>0</v>
      </c>
      <c r="L4" s="12" t="n">
        <v>109.1</v>
      </c>
      <c r="M4" s="12" t="n">
        <v>10.9</v>
      </c>
      <c r="N4" s="22" t="inlineStr">
        <is>
          <t>10/2026</t>
        </is>
      </c>
      <c r="O4" s="11">
        <f>IFERROR(INDEX(Tariffe!$D$2:$D$200,MATCH(E4,Tariffe!$A$2:$A$200,0))*1,0)</f>
        <v/>
      </c>
      <c r="P4" s="11">
        <f>H4*O4</f>
        <v/>
      </c>
    </row>
    <row r="5">
      <c r="A5" s="23" t="inlineStr">
        <is>
          <t>20261023_2015</t>
        </is>
      </c>
      <c r="B5" s="13" t="n">
        <v>46318</v>
      </c>
      <c r="C5" s="14" t="n">
        <v>0.84375</v>
      </c>
      <c r="D5" s="23" t="inlineStr">
        <is>
          <t>UN Unico</t>
        </is>
      </c>
      <c r="E5" s="23" t="inlineStr">
        <is>
          <t>I8</t>
        </is>
      </c>
      <c r="F5" s="23">
        <f>IFERROR(INDEX(Tariffe!$B$2:$B$200,MATCH(E5,Tariffe!$A$2:$A$200,0)),"DA DEFINIRE")</f>
        <v/>
      </c>
      <c r="G5" s="16" t="n">
        <v>24</v>
      </c>
      <c r="H5" s="15" t="n">
        <v>17</v>
      </c>
      <c r="I5" s="15" t="n">
        <v>0</v>
      </c>
      <c r="J5" s="16" t="n">
        <v>408</v>
      </c>
      <c r="K5" s="16" t="n">
        <v>0</v>
      </c>
      <c r="L5" s="16" t="n">
        <v>370.94</v>
      </c>
      <c r="M5" s="16" t="n">
        <v>37.06</v>
      </c>
      <c r="N5" s="23" t="inlineStr">
        <is>
          <t>10/2026</t>
        </is>
      </c>
      <c r="O5" s="15">
        <f>IFERROR(INDEX(Tariffe!$D$2:$D$200,MATCH(E5,Tariffe!$A$2:$A$200,0))*1,0)</f>
        <v/>
      </c>
      <c r="P5" s="15">
        <f>H5*O5</f>
        <v/>
      </c>
    </row>
    <row r="6">
      <c r="A6" s="22" t="inlineStr">
        <is>
          <t>20261023_2115</t>
        </is>
      </c>
      <c r="B6" s="9" t="n">
        <v>46318</v>
      </c>
      <c r="C6" s="10" t="n">
        <v>0.8854166666666666</v>
      </c>
      <c r="D6" s="22" t="inlineStr">
        <is>
          <t>UN Unico</t>
        </is>
      </c>
      <c r="E6" s="22" t="inlineStr">
        <is>
          <t>I1</t>
        </is>
      </c>
      <c r="F6" s="22">
        <f>IFERROR(INDEX(Tariffe!$B$2:$B$200,MATCH(E6,Tariffe!$A$2:$A$200,0)),"DA DEFINIRE")</f>
        <v/>
      </c>
      <c r="G6" s="12" t="n">
        <v>48</v>
      </c>
      <c r="H6" s="11" t="n">
        <v>21</v>
      </c>
      <c r="I6" s="11" t="n">
        <v>3</v>
      </c>
      <c r="J6" s="12" t="n">
        <v>1008</v>
      </c>
      <c r="K6" s="12" t="n">
        <v>0</v>
      </c>
      <c r="L6" s="12" t="n">
        <v>916.4400000000001</v>
      </c>
      <c r="M6" s="12" t="n">
        <v>91.56</v>
      </c>
      <c r="N6" s="22" t="inlineStr">
        <is>
          <t>10/2026</t>
        </is>
      </c>
      <c r="O6" s="11">
        <f>IFERROR(INDEX(Tariffe!$D$2:$D$200,MATCH(E6,Tariffe!$A$2:$A$200,0))*1,0)</f>
        <v/>
      </c>
      <c r="P6" s="11">
        <f>H6*O6</f>
        <v/>
      </c>
    </row>
    <row r="7">
      <c r="A7" s="23" t="inlineStr">
        <is>
          <t>20261023_2115</t>
        </is>
      </c>
      <c r="B7" s="13" t="n">
        <v>46318</v>
      </c>
      <c r="C7" s="14" t="n">
        <v>0.8854166666666666</v>
      </c>
      <c r="D7" s="23" t="inlineStr">
        <is>
          <t>UN Unico</t>
        </is>
      </c>
      <c r="E7" s="23" t="inlineStr">
        <is>
          <t>I2</t>
        </is>
      </c>
      <c r="F7" s="23">
        <f>IFERROR(INDEX(Tariffe!$B$2:$B$200,MATCH(E7,Tariffe!$A$2:$A$200,0)),"DA DEFINIRE")</f>
        <v/>
      </c>
      <c r="G7" s="16" t="n">
        <v>36</v>
      </c>
      <c r="H7" s="15" t="n">
        <v>13</v>
      </c>
      <c r="I7" s="15" t="n">
        <v>0</v>
      </c>
      <c r="J7" s="16" t="n">
        <v>468</v>
      </c>
      <c r="K7" s="16" t="n">
        <v>0</v>
      </c>
      <c r="L7" s="16" t="n">
        <v>425.49</v>
      </c>
      <c r="M7" s="16" t="n">
        <v>42.51</v>
      </c>
      <c r="N7" s="23" t="inlineStr">
        <is>
          <t>10/2026</t>
        </is>
      </c>
      <c r="O7" s="15">
        <f>IFERROR(INDEX(Tariffe!$D$2:$D$200,MATCH(E7,Tariffe!$A$2:$A$200,0))*1,0)</f>
        <v/>
      </c>
      <c r="P7" s="15">
        <f>H7*O7</f>
        <v/>
      </c>
    </row>
    <row r="8">
      <c r="A8" s="22" t="inlineStr">
        <is>
          <t>20261023_2115</t>
        </is>
      </c>
      <c r="B8" s="9" t="n">
        <v>46318</v>
      </c>
      <c r="C8" s="10" t="n">
        <v>0.8854166666666666</v>
      </c>
      <c r="D8" s="22" t="inlineStr">
        <is>
          <t>UN Unico</t>
        </is>
      </c>
      <c r="E8" s="22" t="inlineStr">
        <is>
          <t>I5</t>
        </is>
      </c>
      <c r="F8" s="22">
        <f>IFERROR(INDEX(Tariffe!$B$2:$B$200,MATCH(E8,Tariffe!$A$2:$A$200,0)),"DA DEFINIRE")</f>
        <v/>
      </c>
      <c r="G8" s="12" t="n">
        <v>60</v>
      </c>
      <c r="H8" s="11" t="n">
        <v>4</v>
      </c>
      <c r="I8" s="11" t="n">
        <v>1</v>
      </c>
      <c r="J8" s="12" t="n">
        <v>240</v>
      </c>
      <c r="K8" s="12" t="n">
        <v>0</v>
      </c>
      <c r="L8" s="12" t="n">
        <v>218.2</v>
      </c>
      <c r="M8" s="12" t="n">
        <v>21.8</v>
      </c>
      <c r="N8" s="22" t="inlineStr">
        <is>
          <t>10/2026</t>
        </is>
      </c>
      <c r="O8" s="11">
        <f>IFERROR(INDEX(Tariffe!$D$2:$D$200,MATCH(E8,Tariffe!$A$2:$A$200,0))*1,0)</f>
        <v/>
      </c>
      <c r="P8" s="11">
        <f>H8*O8</f>
        <v/>
      </c>
    </row>
    <row r="9">
      <c r="A9" s="23" t="inlineStr">
        <is>
          <t>20261023_2115</t>
        </is>
      </c>
      <c r="B9" s="13" t="n">
        <v>46318</v>
      </c>
      <c r="C9" s="14" t="n">
        <v>0.8854166666666666</v>
      </c>
      <c r="D9" s="23" t="inlineStr">
        <is>
          <t>UN Unico</t>
        </is>
      </c>
      <c r="E9" s="23" t="inlineStr">
        <is>
          <t>I8</t>
        </is>
      </c>
      <c r="F9" s="23">
        <f>IFERROR(INDEX(Tariffe!$B$2:$B$200,MATCH(E9,Tariffe!$A$2:$A$200,0)),"DA DEFINIRE")</f>
        <v/>
      </c>
      <c r="G9" s="16" t="n">
        <v>24</v>
      </c>
      <c r="H9" s="15" t="n">
        <v>28</v>
      </c>
      <c r="I9" s="15" t="n">
        <v>0</v>
      </c>
      <c r="J9" s="16" t="n">
        <v>672</v>
      </c>
      <c r="K9" s="16" t="n">
        <v>0</v>
      </c>
      <c r="L9" s="16" t="n">
        <v>610.96</v>
      </c>
      <c r="M9" s="16" t="n">
        <v>61.04</v>
      </c>
      <c r="N9" s="23" t="inlineStr">
        <is>
          <t>10/2026</t>
        </is>
      </c>
      <c r="O9" s="15">
        <f>IFERROR(INDEX(Tariffe!$D$2:$D$200,MATCH(E9,Tariffe!$A$2:$A$200,0))*1,0)</f>
        <v/>
      </c>
      <c r="P9" s="15">
        <f>H9*O9</f>
        <v/>
      </c>
    </row>
    <row r="10">
      <c r="A10" s="22" t="inlineStr">
        <is>
          <t>20261023_2215</t>
        </is>
      </c>
      <c r="B10" s="9" t="n">
        <v>46318</v>
      </c>
      <c r="C10" s="10" t="n">
        <v>0.9270833333333334</v>
      </c>
      <c r="D10" s="22" t="inlineStr">
        <is>
          <t>UN Unico</t>
        </is>
      </c>
      <c r="E10" s="22" t="inlineStr">
        <is>
          <t>I1</t>
        </is>
      </c>
      <c r="F10" s="22">
        <f>IFERROR(INDEX(Tariffe!$B$2:$B$200,MATCH(E10,Tariffe!$A$2:$A$200,0)),"DA DEFINIRE")</f>
        <v/>
      </c>
      <c r="G10" s="12" t="n">
        <v>48</v>
      </c>
      <c r="H10" s="11" t="n">
        <v>25</v>
      </c>
      <c r="I10" s="11" t="n">
        <v>0</v>
      </c>
      <c r="J10" s="12" t="n">
        <v>1200</v>
      </c>
      <c r="K10" s="12" t="n">
        <v>0</v>
      </c>
      <c r="L10" s="12" t="n">
        <v>1091</v>
      </c>
      <c r="M10" s="12" t="n">
        <v>109</v>
      </c>
      <c r="N10" s="22" t="inlineStr">
        <is>
          <t>10/2026</t>
        </is>
      </c>
      <c r="O10" s="11">
        <f>IFERROR(INDEX(Tariffe!$D$2:$D$200,MATCH(E10,Tariffe!$A$2:$A$200,0))*1,0)</f>
        <v/>
      </c>
      <c r="P10" s="11">
        <f>H10*O10</f>
        <v/>
      </c>
    </row>
    <row r="11">
      <c r="A11" s="23" t="inlineStr">
        <is>
          <t>20261023_2215</t>
        </is>
      </c>
      <c r="B11" s="13" t="n">
        <v>46318</v>
      </c>
      <c r="C11" s="14" t="n">
        <v>0.9270833333333334</v>
      </c>
      <c r="D11" s="23" t="inlineStr">
        <is>
          <t>UN Unico</t>
        </is>
      </c>
      <c r="E11" s="23" t="inlineStr">
        <is>
          <t>I2</t>
        </is>
      </c>
      <c r="F11" s="23">
        <f>IFERROR(INDEX(Tariffe!$B$2:$B$200,MATCH(E11,Tariffe!$A$2:$A$200,0)),"DA DEFINIRE")</f>
        <v/>
      </c>
      <c r="G11" s="16" t="n">
        <v>36</v>
      </c>
      <c r="H11" s="15" t="n">
        <v>9</v>
      </c>
      <c r="I11" s="15" t="n">
        <v>0</v>
      </c>
      <c r="J11" s="16" t="n">
        <v>324</v>
      </c>
      <c r="K11" s="16" t="n">
        <v>0</v>
      </c>
      <c r="L11" s="16" t="n">
        <v>294.57</v>
      </c>
      <c r="M11" s="16" t="n">
        <v>29.43</v>
      </c>
      <c r="N11" s="23" t="inlineStr">
        <is>
          <t>10/2026</t>
        </is>
      </c>
      <c r="O11" s="15">
        <f>IFERROR(INDEX(Tariffe!$D$2:$D$200,MATCH(E11,Tariffe!$A$2:$A$200,0))*1,0)</f>
        <v/>
      </c>
      <c r="P11" s="15">
        <f>H11*O11</f>
        <v/>
      </c>
    </row>
    <row r="12">
      <c r="A12" s="22" t="inlineStr">
        <is>
          <t>20261023_2215</t>
        </is>
      </c>
      <c r="B12" s="9" t="n">
        <v>46318</v>
      </c>
      <c r="C12" s="10" t="n">
        <v>0.9270833333333334</v>
      </c>
      <c r="D12" s="22" t="inlineStr">
        <is>
          <t>UN Unico</t>
        </is>
      </c>
      <c r="E12" s="22" t="inlineStr">
        <is>
          <t>I5</t>
        </is>
      </c>
      <c r="F12" s="22">
        <f>IFERROR(INDEX(Tariffe!$B$2:$B$200,MATCH(E12,Tariffe!$A$2:$A$200,0)),"DA DEFINIRE")</f>
        <v/>
      </c>
      <c r="G12" s="12" t="n">
        <v>60</v>
      </c>
      <c r="H12" s="11" t="n">
        <v>10</v>
      </c>
      <c r="I12" s="11" t="n">
        <v>0</v>
      </c>
      <c r="J12" s="12" t="n">
        <v>600</v>
      </c>
      <c r="K12" s="12" t="n">
        <v>0</v>
      </c>
      <c r="L12" s="12" t="n">
        <v>545.5</v>
      </c>
      <c r="M12" s="12" t="n">
        <v>54.5</v>
      </c>
      <c r="N12" s="22" t="inlineStr">
        <is>
          <t>10/2026</t>
        </is>
      </c>
      <c r="O12" s="11">
        <f>IFERROR(INDEX(Tariffe!$D$2:$D$200,MATCH(E12,Tariffe!$A$2:$A$200,0))*1,0)</f>
        <v/>
      </c>
      <c r="P12" s="11">
        <f>H12*O12</f>
        <v/>
      </c>
    </row>
    <row r="13">
      <c r="A13" s="23" t="inlineStr">
        <is>
          <t>20261023_2215</t>
        </is>
      </c>
      <c r="B13" s="13" t="n">
        <v>46318</v>
      </c>
      <c r="C13" s="14" t="n">
        <v>0.9270833333333334</v>
      </c>
      <c r="D13" s="23" t="inlineStr">
        <is>
          <t>UN Unico</t>
        </is>
      </c>
      <c r="E13" s="23" t="inlineStr">
        <is>
          <t>I8</t>
        </is>
      </c>
      <c r="F13" s="23">
        <f>IFERROR(INDEX(Tariffe!$B$2:$B$200,MATCH(E13,Tariffe!$A$2:$A$200,0)),"DA DEFINIRE")</f>
        <v/>
      </c>
      <c r="G13" s="16" t="n">
        <v>24</v>
      </c>
      <c r="H13" s="15" t="n">
        <v>36</v>
      </c>
      <c r="I13" s="15" t="n">
        <v>0</v>
      </c>
      <c r="J13" s="16" t="n">
        <v>864</v>
      </c>
      <c r="K13" s="16" t="n">
        <v>0</v>
      </c>
      <c r="L13" s="16" t="n">
        <v>785.52</v>
      </c>
      <c r="M13" s="16" t="n">
        <v>78.48</v>
      </c>
      <c r="N13" s="23" t="inlineStr">
        <is>
          <t>10/2026</t>
        </is>
      </c>
      <c r="O13" s="15">
        <f>IFERROR(INDEX(Tariffe!$D$2:$D$200,MATCH(E13,Tariffe!$A$2:$A$200,0))*1,0)</f>
        <v/>
      </c>
      <c r="P13" s="15">
        <f>H13*O13</f>
        <v/>
      </c>
    </row>
    <row r="14">
      <c r="A14" s="22" t="inlineStr">
        <is>
          <t>20261023_2315</t>
        </is>
      </c>
      <c r="B14" s="9" t="n">
        <v>46318</v>
      </c>
      <c r="C14" s="10" t="n">
        <v>0.96875</v>
      </c>
      <c r="D14" s="22" t="inlineStr">
        <is>
          <t>UN Unico</t>
        </is>
      </c>
      <c r="E14" s="22" t="inlineStr">
        <is>
          <t>I1</t>
        </is>
      </c>
      <c r="F14" s="22">
        <f>IFERROR(INDEX(Tariffe!$B$2:$B$200,MATCH(E14,Tariffe!$A$2:$A$200,0)),"DA DEFINIRE")</f>
        <v/>
      </c>
      <c r="G14" s="12" t="n">
        <v>48</v>
      </c>
      <c r="H14" s="11" t="n">
        <v>16</v>
      </c>
      <c r="I14" s="11" t="n">
        <v>1</v>
      </c>
      <c r="J14" s="12" t="n">
        <v>768</v>
      </c>
      <c r="K14" s="12" t="n">
        <v>0</v>
      </c>
      <c r="L14" s="12" t="n">
        <v>698.24</v>
      </c>
      <c r="M14" s="12" t="n">
        <v>69.76000000000001</v>
      </c>
      <c r="N14" s="22" t="inlineStr">
        <is>
          <t>10/2026</t>
        </is>
      </c>
      <c r="O14" s="11">
        <f>IFERROR(INDEX(Tariffe!$D$2:$D$200,MATCH(E14,Tariffe!$A$2:$A$200,0))*1,0)</f>
        <v/>
      </c>
      <c r="P14" s="11">
        <f>H14*O14</f>
        <v/>
      </c>
    </row>
    <row r="15">
      <c r="A15" s="23" t="inlineStr">
        <is>
          <t>20261023_2315</t>
        </is>
      </c>
      <c r="B15" s="13" t="n">
        <v>46318</v>
      </c>
      <c r="C15" s="14" t="n">
        <v>0.96875</v>
      </c>
      <c r="D15" s="23" t="inlineStr">
        <is>
          <t>UN Unico</t>
        </is>
      </c>
      <c r="E15" s="23" t="inlineStr">
        <is>
          <t>I2</t>
        </is>
      </c>
      <c r="F15" s="23">
        <f>IFERROR(INDEX(Tariffe!$B$2:$B$200,MATCH(E15,Tariffe!$A$2:$A$200,0)),"DA DEFINIRE")</f>
        <v/>
      </c>
      <c r="G15" s="16" t="n">
        <v>36</v>
      </c>
      <c r="H15" s="15" t="n">
        <v>9</v>
      </c>
      <c r="I15" s="15" t="n">
        <v>0</v>
      </c>
      <c r="J15" s="16" t="n">
        <v>324</v>
      </c>
      <c r="K15" s="16" t="n">
        <v>0</v>
      </c>
      <c r="L15" s="16" t="n">
        <v>294.57</v>
      </c>
      <c r="M15" s="16" t="n">
        <v>29.43</v>
      </c>
      <c r="N15" s="23" t="inlineStr">
        <is>
          <t>10/2026</t>
        </is>
      </c>
      <c r="O15" s="15">
        <f>IFERROR(INDEX(Tariffe!$D$2:$D$200,MATCH(E15,Tariffe!$A$2:$A$200,0))*1,0)</f>
        <v/>
      </c>
      <c r="P15" s="15">
        <f>H15*O15</f>
        <v/>
      </c>
    </row>
    <row r="16">
      <c r="A16" s="22" t="inlineStr">
        <is>
          <t>20261023_2315</t>
        </is>
      </c>
      <c r="B16" s="9" t="n">
        <v>46318</v>
      </c>
      <c r="C16" s="10" t="n">
        <v>0.96875</v>
      </c>
      <c r="D16" s="22" t="inlineStr">
        <is>
          <t>UN Unico</t>
        </is>
      </c>
      <c r="E16" s="22" t="inlineStr">
        <is>
          <t>I5</t>
        </is>
      </c>
      <c r="F16" s="22">
        <f>IFERROR(INDEX(Tariffe!$B$2:$B$200,MATCH(E16,Tariffe!$A$2:$A$200,0)),"DA DEFINIRE")</f>
        <v/>
      </c>
      <c r="G16" s="12" t="n">
        <v>60</v>
      </c>
      <c r="H16" s="11" t="n">
        <v>8</v>
      </c>
      <c r="I16" s="11" t="n">
        <v>0</v>
      </c>
      <c r="J16" s="12" t="n">
        <v>480</v>
      </c>
      <c r="K16" s="12" t="n">
        <v>0</v>
      </c>
      <c r="L16" s="12" t="n">
        <v>436.4</v>
      </c>
      <c r="M16" s="12" t="n">
        <v>43.6</v>
      </c>
      <c r="N16" s="22" t="inlineStr">
        <is>
          <t>10/2026</t>
        </is>
      </c>
      <c r="O16" s="11">
        <f>IFERROR(INDEX(Tariffe!$D$2:$D$200,MATCH(E16,Tariffe!$A$2:$A$200,0))*1,0)</f>
        <v/>
      </c>
      <c r="P16" s="11">
        <f>H16*O16</f>
        <v/>
      </c>
    </row>
    <row r="17">
      <c r="A17" s="23" t="inlineStr">
        <is>
          <t>20261023_2315</t>
        </is>
      </c>
      <c r="B17" s="13" t="n">
        <v>46318</v>
      </c>
      <c r="C17" s="14" t="n">
        <v>0.96875</v>
      </c>
      <c r="D17" s="23" t="inlineStr">
        <is>
          <t>UN Unico</t>
        </is>
      </c>
      <c r="E17" s="23" t="inlineStr">
        <is>
          <t>I8</t>
        </is>
      </c>
      <c r="F17" s="23">
        <f>IFERROR(INDEX(Tariffe!$B$2:$B$200,MATCH(E17,Tariffe!$A$2:$A$200,0)),"DA DEFINIRE")</f>
        <v/>
      </c>
      <c r="G17" s="16" t="n">
        <v>24</v>
      </c>
      <c r="H17" s="15" t="n">
        <v>46</v>
      </c>
      <c r="I17" s="15" t="n">
        <v>1</v>
      </c>
      <c r="J17" s="16" t="n">
        <v>1104</v>
      </c>
      <c r="K17" s="16" t="n">
        <v>0</v>
      </c>
      <c r="L17" s="16" t="n">
        <v>1003.72</v>
      </c>
      <c r="M17" s="16" t="n">
        <v>100.28</v>
      </c>
      <c r="N17" s="23" t="inlineStr">
        <is>
          <t>10/2026</t>
        </is>
      </c>
      <c r="O17" s="15">
        <f>IFERROR(INDEX(Tariffe!$D$2:$D$200,MATCH(E17,Tariffe!$A$2:$A$200,0))*1,0)</f>
        <v/>
      </c>
      <c r="P17" s="15">
        <f>H17*O17</f>
        <v/>
      </c>
    </row>
    <row r="18">
      <c r="A18" s="22" t="inlineStr">
        <is>
          <t>20261023_2358</t>
        </is>
      </c>
      <c r="B18" s="9" t="n">
        <v>46318</v>
      </c>
      <c r="C18" s="10" t="n">
        <v>0.9986111111111111</v>
      </c>
      <c r="D18" s="22" t="inlineStr">
        <is>
          <t>UN Unico</t>
        </is>
      </c>
      <c r="E18" s="22" t="inlineStr">
        <is>
          <t>I1</t>
        </is>
      </c>
      <c r="F18" s="22">
        <f>IFERROR(INDEX(Tariffe!$B$2:$B$200,MATCH(E18,Tariffe!$A$2:$A$200,0)),"DA DEFINIRE")</f>
        <v/>
      </c>
      <c r="G18" s="12" t="n">
        <v>48</v>
      </c>
      <c r="H18" s="11" t="n">
        <v>10</v>
      </c>
      <c r="I18" s="11" t="n">
        <v>0</v>
      </c>
      <c r="J18" s="12" t="n">
        <v>480</v>
      </c>
      <c r="K18" s="12" t="n">
        <v>0</v>
      </c>
      <c r="L18" s="12" t="n">
        <v>436.4</v>
      </c>
      <c r="M18" s="12" t="n">
        <v>43.6</v>
      </c>
      <c r="N18" s="22" t="inlineStr">
        <is>
          <t>10/2026</t>
        </is>
      </c>
      <c r="O18" s="11">
        <f>IFERROR(INDEX(Tariffe!$D$2:$D$200,MATCH(E18,Tariffe!$A$2:$A$200,0))*1,0)</f>
        <v/>
      </c>
      <c r="P18" s="11">
        <f>H18*O18</f>
        <v/>
      </c>
    </row>
    <row r="19">
      <c r="A19" s="23" t="inlineStr">
        <is>
          <t>20261023_2358</t>
        </is>
      </c>
      <c r="B19" s="13" t="n">
        <v>46318</v>
      </c>
      <c r="C19" s="14" t="n">
        <v>0.9986111111111111</v>
      </c>
      <c r="D19" s="23" t="inlineStr">
        <is>
          <t>UN Unico</t>
        </is>
      </c>
      <c r="E19" s="23" t="inlineStr">
        <is>
          <t>I2</t>
        </is>
      </c>
      <c r="F19" s="23">
        <f>IFERROR(INDEX(Tariffe!$B$2:$B$200,MATCH(E19,Tariffe!$A$2:$A$200,0)),"DA DEFINIRE")</f>
        <v/>
      </c>
      <c r="G19" s="16" t="n">
        <v>36</v>
      </c>
      <c r="H19" s="15" t="n">
        <v>5</v>
      </c>
      <c r="I19" s="15" t="n">
        <v>1</v>
      </c>
      <c r="J19" s="16" t="n">
        <v>180</v>
      </c>
      <c r="K19" s="16" t="n">
        <v>0</v>
      </c>
      <c r="L19" s="16" t="n">
        <v>163.65</v>
      </c>
      <c r="M19" s="16" t="n">
        <v>16.35</v>
      </c>
      <c r="N19" s="23" t="inlineStr">
        <is>
          <t>10/2026</t>
        </is>
      </c>
      <c r="O19" s="15">
        <f>IFERROR(INDEX(Tariffe!$D$2:$D$200,MATCH(E19,Tariffe!$A$2:$A$200,0))*1,0)</f>
        <v/>
      </c>
      <c r="P19" s="15">
        <f>H19*O19</f>
        <v/>
      </c>
    </row>
    <row r="20">
      <c r="A20" s="22" t="inlineStr">
        <is>
          <t>20261023_2358</t>
        </is>
      </c>
      <c r="B20" s="9" t="n">
        <v>46318</v>
      </c>
      <c r="C20" s="10" t="n">
        <v>0.9986111111111111</v>
      </c>
      <c r="D20" s="22" t="inlineStr">
        <is>
          <t>UN Unico</t>
        </is>
      </c>
      <c r="E20" s="22" t="inlineStr">
        <is>
          <t>I5</t>
        </is>
      </c>
      <c r="F20" s="22">
        <f>IFERROR(INDEX(Tariffe!$B$2:$B$200,MATCH(E20,Tariffe!$A$2:$A$200,0)),"DA DEFINIRE")</f>
        <v/>
      </c>
      <c r="G20" s="12" t="n">
        <v>60</v>
      </c>
      <c r="H20" s="11" t="n">
        <v>4</v>
      </c>
      <c r="I20" s="11" t="n">
        <v>0</v>
      </c>
      <c r="J20" s="12" t="n">
        <v>240</v>
      </c>
      <c r="K20" s="12" t="n">
        <v>0</v>
      </c>
      <c r="L20" s="12" t="n">
        <v>218.2</v>
      </c>
      <c r="M20" s="12" t="n">
        <v>21.8</v>
      </c>
      <c r="N20" s="22" t="inlineStr">
        <is>
          <t>10/2026</t>
        </is>
      </c>
      <c r="O20" s="11">
        <f>IFERROR(INDEX(Tariffe!$D$2:$D$200,MATCH(E20,Tariffe!$A$2:$A$200,0))*1,0)</f>
        <v/>
      </c>
      <c r="P20" s="11">
        <f>H20*O20</f>
        <v/>
      </c>
    </row>
    <row r="21">
      <c r="A21" s="23" t="inlineStr">
        <is>
          <t>20261023_2358</t>
        </is>
      </c>
      <c r="B21" s="13" t="n">
        <v>46318</v>
      </c>
      <c r="C21" s="14" t="n">
        <v>0.9986111111111111</v>
      </c>
      <c r="D21" s="23" t="inlineStr">
        <is>
          <t>UN Unico</t>
        </is>
      </c>
      <c r="E21" s="23" t="inlineStr">
        <is>
          <t>I8</t>
        </is>
      </c>
      <c r="F21" s="23">
        <f>IFERROR(INDEX(Tariffe!$B$2:$B$200,MATCH(E21,Tariffe!$A$2:$A$200,0)),"DA DEFINIRE")</f>
        <v/>
      </c>
      <c r="G21" s="16" t="n">
        <v>24</v>
      </c>
      <c r="H21" s="15" t="n">
        <v>15</v>
      </c>
      <c r="I21" s="15" t="n">
        <v>0</v>
      </c>
      <c r="J21" s="16" t="n">
        <v>360</v>
      </c>
      <c r="K21" s="16" t="n">
        <v>0</v>
      </c>
      <c r="L21" s="16" t="n">
        <v>327.3</v>
      </c>
      <c r="M21" s="16" t="n">
        <v>32.7</v>
      </c>
      <c r="N21" s="23" t="inlineStr">
        <is>
          <t>10/2026</t>
        </is>
      </c>
      <c r="O21" s="15">
        <f>IFERROR(INDEX(Tariffe!$D$2:$D$200,MATCH(E21,Tariffe!$A$2:$A$200,0))*1,0)</f>
        <v/>
      </c>
      <c r="P21" s="15">
        <f>H21*O21</f>
        <v/>
      </c>
    </row>
    <row r="22">
      <c r="A22" s="22" t="inlineStr">
        <is>
          <t>20261024_2015</t>
        </is>
      </c>
      <c r="B22" s="9" t="n">
        <v>46319</v>
      </c>
      <c r="C22" s="10" t="n">
        <v>0.84375</v>
      </c>
      <c r="D22" s="22" t="inlineStr">
        <is>
          <t>UN Unico</t>
        </is>
      </c>
      <c r="E22" s="22" t="inlineStr">
        <is>
          <t>I1</t>
        </is>
      </c>
      <c r="F22" s="22">
        <f>IFERROR(INDEX(Tariffe!$B$2:$B$200,MATCH(E22,Tariffe!$A$2:$A$200,0)),"DA DEFINIRE")</f>
        <v/>
      </c>
      <c r="G22" s="12" t="n">
        <v>48</v>
      </c>
      <c r="H22" s="11" t="n">
        <v>2</v>
      </c>
      <c r="I22" s="11" t="n">
        <v>0</v>
      </c>
      <c r="J22" s="12" t="n">
        <v>96</v>
      </c>
      <c r="K22" s="12" t="n">
        <v>0</v>
      </c>
      <c r="L22" s="12" t="n">
        <v>87.28</v>
      </c>
      <c r="M22" s="12" t="n">
        <v>8.720000000000001</v>
      </c>
      <c r="N22" s="22" t="inlineStr">
        <is>
          <t>10/2026</t>
        </is>
      </c>
      <c r="O22" s="11">
        <f>IFERROR(INDEX(Tariffe!$D$2:$D$200,MATCH(E22,Tariffe!$A$2:$A$200,0))*1,0)</f>
        <v/>
      </c>
      <c r="P22" s="11">
        <f>H22*O22</f>
        <v/>
      </c>
    </row>
    <row r="23">
      <c r="A23" s="23" t="inlineStr">
        <is>
          <t>20261024_2015</t>
        </is>
      </c>
      <c r="B23" s="13" t="n">
        <v>46319</v>
      </c>
      <c r="C23" s="14" t="n">
        <v>0.84375</v>
      </c>
      <c r="D23" s="23" t="inlineStr">
        <is>
          <t>UN Unico</t>
        </is>
      </c>
      <c r="E23" s="23" t="inlineStr">
        <is>
          <t>I2</t>
        </is>
      </c>
      <c r="F23" s="23">
        <f>IFERROR(INDEX(Tariffe!$B$2:$B$200,MATCH(E23,Tariffe!$A$2:$A$200,0)),"DA DEFINIRE")</f>
        <v/>
      </c>
      <c r="G23" s="16" t="n">
        <v>36</v>
      </c>
      <c r="H23" s="15" t="n">
        <v>3</v>
      </c>
      <c r="I23" s="15" t="n">
        <v>0</v>
      </c>
      <c r="J23" s="16" t="n">
        <v>108</v>
      </c>
      <c r="K23" s="16" t="n">
        <v>0</v>
      </c>
      <c r="L23" s="16" t="n">
        <v>98.19</v>
      </c>
      <c r="M23" s="16" t="n">
        <v>9.81</v>
      </c>
      <c r="N23" s="23" t="inlineStr">
        <is>
          <t>10/2026</t>
        </is>
      </c>
      <c r="O23" s="15">
        <f>IFERROR(INDEX(Tariffe!$D$2:$D$200,MATCH(E23,Tariffe!$A$2:$A$200,0))*1,0)</f>
        <v/>
      </c>
      <c r="P23" s="15">
        <f>H23*O23</f>
        <v/>
      </c>
    </row>
    <row r="24">
      <c r="A24" s="22" t="inlineStr">
        <is>
          <t>20261024_2015</t>
        </is>
      </c>
      <c r="B24" s="9" t="n">
        <v>46319</v>
      </c>
      <c r="C24" s="10" t="n">
        <v>0.84375</v>
      </c>
      <c r="D24" s="22" t="inlineStr">
        <is>
          <t>UN Unico</t>
        </is>
      </c>
      <c r="E24" s="22" t="inlineStr">
        <is>
          <t>I5</t>
        </is>
      </c>
      <c r="F24" s="22">
        <f>IFERROR(INDEX(Tariffe!$B$2:$B$200,MATCH(E24,Tariffe!$A$2:$A$200,0)),"DA DEFINIRE")</f>
        <v/>
      </c>
      <c r="G24" s="12" t="n">
        <v>60</v>
      </c>
      <c r="H24" s="11" t="n">
        <v>2</v>
      </c>
      <c r="I24" s="11" t="n">
        <v>0</v>
      </c>
      <c r="J24" s="12" t="n">
        <v>120</v>
      </c>
      <c r="K24" s="12" t="n">
        <v>0</v>
      </c>
      <c r="L24" s="12" t="n">
        <v>109.1</v>
      </c>
      <c r="M24" s="12" t="n">
        <v>10.9</v>
      </c>
      <c r="N24" s="22" t="inlineStr">
        <is>
          <t>10/2026</t>
        </is>
      </c>
      <c r="O24" s="11">
        <f>IFERROR(INDEX(Tariffe!$D$2:$D$200,MATCH(E24,Tariffe!$A$2:$A$200,0))*1,0)</f>
        <v/>
      </c>
      <c r="P24" s="11">
        <f>H24*O24</f>
        <v/>
      </c>
    </row>
    <row r="25">
      <c r="A25" s="23" t="inlineStr">
        <is>
          <t>20261024_2015</t>
        </is>
      </c>
      <c r="B25" s="13" t="n">
        <v>46319</v>
      </c>
      <c r="C25" s="14" t="n">
        <v>0.84375</v>
      </c>
      <c r="D25" s="23" t="inlineStr">
        <is>
          <t>UN Unico</t>
        </is>
      </c>
      <c r="E25" s="23" t="inlineStr">
        <is>
          <t>I8</t>
        </is>
      </c>
      <c r="F25" s="23">
        <f>IFERROR(INDEX(Tariffe!$B$2:$B$200,MATCH(E25,Tariffe!$A$2:$A$200,0)),"DA DEFINIRE")</f>
        <v/>
      </c>
      <c r="G25" s="16" t="n">
        <v>24</v>
      </c>
      <c r="H25" s="15" t="n">
        <v>4</v>
      </c>
      <c r="I25" s="15" t="n">
        <v>0</v>
      </c>
      <c r="J25" s="16" t="n">
        <v>96</v>
      </c>
      <c r="K25" s="16" t="n">
        <v>0</v>
      </c>
      <c r="L25" s="16" t="n">
        <v>87.28</v>
      </c>
      <c r="M25" s="16" t="n">
        <v>8.720000000000001</v>
      </c>
      <c r="N25" s="23" t="inlineStr">
        <is>
          <t>10/2026</t>
        </is>
      </c>
      <c r="O25" s="15">
        <f>IFERROR(INDEX(Tariffe!$D$2:$D$200,MATCH(E25,Tariffe!$A$2:$A$200,0))*1,0)</f>
        <v/>
      </c>
      <c r="P25" s="15">
        <f>H25*O25</f>
        <v/>
      </c>
    </row>
    <row r="26">
      <c r="A26" s="22" t="inlineStr">
        <is>
          <t>20261024_2115</t>
        </is>
      </c>
      <c r="B26" s="9" t="n">
        <v>46319</v>
      </c>
      <c r="C26" s="10" t="n">
        <v>0.8854166666666666</v>
      </c>
      <c r="D26" s="22" t="inlineStr">
        <is>
          <t>UN Unico</t>
        </is>
      </c>
      <c r="E26" s="22" t="inlineStr">
        <is>
          <t>I1</t>
        </is>
      </c>
      <c r="F26" s="22">
        <f>IFERROR(INDEX(Tariffe!$B$2:$B$200,MATCH(E26,Tariffe!$A$2:$A$200,0)),"DA DEFINIRE")</f>
        <v/>
      </c>
      <c r="G26" s="12" t="n">
        <v>48</v>
      </c>
      <c r="H26" s="11" t="n">
        <v>7</v>
      </c>
      <c r="I26" s="11" t="n">
        <v>0</v>
      </c>
      <c r="J26" s="12" t="n">
        <v>336</v>
      </c>
      <c r="K26" s="12" t="n">
        <v>0</v>
      </c>
      <c r="L26" s="12" t="n">
        <v>305.48</v>
      </c>
      <c r="M26" s="12" t="n">
        <v>30.52</v>
      </c>
      <c r="N26" s="22" t="inlineStr">
        <is>
          <t>10/2026</t>
        </is>
      </c>
      <c r="O26" s="11">
        <f>IFERROR(INDEX(Tariffe!$D$2:$D$200,MATCH(E26,Tariffe!$A$2:$A$200,0))*1,0)</f>
        <v/>
      </c>
      <c r="P26" s="11">
        <f>H26*O26</f>
        <v/>
      </c>
    </row>
    <row r="27">
      <c r="A27" s="23" t="inlineStr">
        <is>
          <t>20261024_2115</t>
        </is>
      </c>
      <c r="B27" s="13" t="n">
        <v>46319</v>
      </c>
      <c r="C27" s="14" t="n">
        <v>0.8854166666666666</v>
      </c>
      <c r="D27" s="23" t="inlineStr">
        <is>
          <t>UN Unico</t>
        </is>
      </c>
      <c r="E27" s="23" t="inlineStr">
        <is>
          <t>I2</t>
        </is>
      </c>
      <c r="F27" s="23">
        <f>IFERROR(INDEX(Tariffe!$B$2:$B$200,MATCH(E27,Tariffe!$A$2:$A$200,0)),"DA DEFINIRE")</f>
        <v/>
      </c>
      <c r="G27" s="16" t="n">
        <v>36</v>
      </c>
      <c r="H27" s="15" t="n">
        <v>3</v>
      </c>
      <c r="I27" s="15" t="n">
        <v>0</v>
      </c>
      <c r="J27" s="16" t="n">
        <v>108</v>
      </c>
      <c r="K27" s="16" t="n">
        <v>0</v>
      </c>
      <c r="L27" s="16" t="n">
        <v>98.19</v>
      </c>
      <c r="M27" s="16" t="n">
        <v>9.81</v>
      </c>
      <c r="N27" s="23" t="inlineStr">
        <is>
          <t>10/2026</t>
        </is>
      </c>
      <c r="O27" s="15">
        <f>IFERROR(INDEX(Tariffe!$D$2:$D$200,MATCH(E27,Tariffe!$A$2:$A$200,0))*1,0)</f>
        <v/>
      </c>
      <c r="P27" s="15">
        <f>H27*O27</f>
        <v/>
      </c>
    </row>
    <row r="28">
      <c r="A28" s="22" t="inlineStr">
        <is>
          <t>20261024_2115</t>
        </is>
      </c>
      <c r="B28" s="9" t="n">
        <v>46319</v>
      </c>
      <c r="C28" s="10" t="n">
        <v>0.8854166666666666</v>
      </c>
      <c r="D28" s="22" t="inlineStr">
        <is>
          <t>UN Unico</t>
        </is>
      </c>
      <c r="E28" s="22" t="inlineStr">
        <is>
          <t>I5</t>
        </is>
      </c>
      <c r="F28" s="22">
        <f>IFERROR(INDEX(Tariffe!$B$2:$B$200,MATCH(E28,Tariffe!$A$2:$A$200,0)),"DA DEFINIRE")</f>
        <v/>
      </c>
      <c r="G28" s="12" t="n">
        <v>60</v>
      </c>
      <c r="H28" s="11" t="n">
        <v>4</v>
      </c>
      <c r="I28" s="11" t="n">
        <v>4</v>
      </c>
      <c r="J28" s="12" t="n">
        <v>240</v>
      </c>
      <c r="K28" s="12" t="n">
        <v>0</v>
      </c>
      <c r="L28" s="12" t="n">
        <v>218.2</v>
      </c>
      <c r="M28" s="12" t="n">
        <v>21.8</v>
      </c>
      <c r="N28" s="22" t="inlineStr">
        <is>
          <t>10/2026</t>
        </is>
      </c>
      <c r="O28" s="11">
        <f>IFERROR(INDEX(Tariffe!$D$2:$D$200,MATCH(E28,Tariffe!$A$2:$A$200,0))*1,0)</f>
        <v/>
      </c>
      <c r="P28" s="11">
        <f>H28*O28</f>
        <v/>
      </c>
    </row>
    <row r="29">
      <c r="A29" s="23" t="inlineStr">
        <is>
          <t>20261024_2115</t>
        </is>
      </c>
      <c r="B29" s="13" t="n">
        <v>46319</v>
      </c>
      <c r="C29" s="14" t="n">
        <v>0.8854166666666666</v>
      </c>
      <c r="D29" s="23" t="inlineStr">
        <is>
          <t>UN Unico</t>
        </is>
      </c>
      <c r="E29" s="23" t="inlineStr">
        <is>
          <t>I8</t>
        </is>
      </c>
      <c r="F29" s="23">
        <f>IFERROR(INDEX(Tariffe!$B$2:$B$200,MATCH(E29,Tariffe!$A$2:$A$200,0)),"DA DEFINIRE")</f>
        <v/>
      </c>
      <c r="G29" s="16" t="n">
        <v>24</v>
      </c>
      <c r="H29" s="15" t="n">
        <v>16</v>
      </c>
      <c r="I29" s="15" t="n">
        <v>1</v>
      </c>
      <c r="J29" s="16" t="n">
        <v>384</v>
      </c>
      <c r="K29" s="16" t="n">
        <v>0</v>
      </c>
      <c r="L29" s="16" t="n">
        <v>349.12</v>
      </c>
      <c r="M29" s="16" t="n">
        <v>34.88</v>
      </c>
      <c r="N29" s="23" t="inlineStr">
        <is>
          <t>10/2026</t>
        </is>
      </c>
      <c r="O29" s="15">
        <f>IFERROR(INDEX(Tariffe!$D$2:$D$200,MATCH(E29,Tariffe!$A$2:$A$200,0))*1,0)</f>
        <v/>
      </c>
      <c r="P29" s="15">
        <f>H29*O29</f>
        <v/>
      </c>
    </row>
    <row r="30">
      <c r="A30" s="22" t="inlineStr">
        <is>
          <t>20261024_2215</t>
        </is>
      </c>
      <c r="B30" s="9" t="n">
        <v>46319</v>
      </c>
      <c r="C30" s="10" t="n">
        <v>0.9270833333333334</v>
      </c>
      <c r="D30" s="22" t="inlineStr">
        <is>
          <t>UN Unico</t>
        </is>
      </c>
      <c r="E30" s="22" t="inlineStr">
        <is>
          <t>I1</t>
        </is>
      </c>
      <c r="F30" s="22">
        <f>IFERROR(INDEX(Tariffe!$B$2:$B$200,MATCH(E30,Tariffe!$A$2:$A$200,0)),"DA DEFINIRE")</f>
        <v/>
      </c>
      <c r="G30" s="12" t="n">
        <v>48</v>
      </c>
      <c r="H30" s="11" t="n">
        <v>8</v>
      </c>
      <c r="I30" s="11" t="n">
        <v>0</v>
      </c>
      <c r="J30" s="12" t="n">
        <v>384</v>
      </c>
      <c r="K30" s="12" t="n">
        <v>0</v>
      </c>
      <c r="L30" s="12" t="n">
        <v>349.12</v>
      </c>
      <c r="M30" s="12" t="n">
        <v>34.88</v>
      </c>
      <c r="N30" s="22" t="inlineStr">
        <is>
          <t>10/2026</t>
        </is>
      </c>
      <c r="O30" s="11">
        <f>IFERROR(INDEX(Tariffe!$D$2:$D$200,MATCH(E30,Tariffe!$A$2:$A$200,0))*1,0)</f>
        <v/>
      </c>
      <c r="P30" s="11">
        <f>H30*O30</f>
        <v/>
      </c>
    </row>
    <row r="31">
      <c r="A31" s="23" t="inlineStr">
        <is>
          <t>20261024_2215</t>
        </is>
      </c>
      <c r="B31" s="13" t="n">
        <v>46319</v>
      </c>
      <c r="C31" s="14" t="n">
        <v>0.9270833333333334</v>
      </c>
      <c r="D31" s="23" t="inlineStr">
        <is>
          <t>UN Unico</t>
        </is>
      </c>
      <c r="E31" s="23" t="inlineStr">
        <is>
          <t>I2</t>
        </is>
      </c>
      <c r="F31" s="23">
        <f>IFERROR(INDEX(Tariffe!$B$2:$B$200,MATCH(E31,Tariffe!$A$2:$A$200,0)),"DA DEFINIRE")</f>
        <v/>
      </c>
      <c r="G31" s="16" t="n">
        <v>36</v>
      </c>
      <c r="H31" s="15" t="n">
        <v>3</v>
      </c>
      <c r="I31" s="15" t="n">
        <v>0</v>
      </c>
      <c r="J31" s="16" t="n">
        <v>108</v>
      </c>
      <c r="K31" s="16" t="n">
        <v>0</v>
      </c>
      <c r="L31" s="16" t="n">
        <v>98.19</v>
      </c>
      <c r="M31" s="16" t="n">
        <v>9.81</v>
      </c>
      <c r="N31" s="23" t="inlineStr">
        <is>
          <t>10/2026</t>
        </is>
      </c>
      <c r="O31" s="15">
        <f>IFERROR(INDEX(Tariffe!$D$2:$D$200,MATCH(E31,Tariffe!$A$2:$A$200,0))*1,0)</f>
        <v/>
      </c>
      <c r="P31" s="15">
        <f>H31*O31</f>
        <v/>
      </c>
    </row>
    <row r="32">
      <c r="A32" s="22" t="inlineStr">
        <is>
          <t>20261024_2215</t>
        </is>
      </c>
      <c r="B32" s="9" t="n">
        <v>46319</v>
      </c>
      <c r="C32" s="10" t="n">
        <v>0.9270833333333334</v>
      </c>
      <c r="D32" s="22" t="inlineStr">
        <is>
          <t>UN Unico</t>
        </is>
      </c>
      <c r="E32" s="22" t="inlineStr">
        <is>
          <t>I5</t>
        </is>
      </c>
      <c r="F32" s="22">
        <f>IFERROR(INDEX(Tariffe!$B$2:$B$200,MATCH(E32,Tariffe!$A$2:$A$200,0)),"DA DEFINIRE")</f>
        <v/>
      </c>
      <c r="G32" s="12" t="n">
        <v>60</v>
      </c>
      <c r="H32" s="11" t="n">
        <v>2</v>
      </c>
      <c r="I32" s="11" t="n">
        <v>0</v>
      </c>
      <c r="J32" s="12" t="n">
        <v>120</v>
      </c>
      <c r="K32" s="12" t="n">
        <v>0</v>
      </c>
      <c r="L32" s="12" t="n">
        <v>109.1</v>
      </c>
      <c r="M32" s="12" t="n">
        <v>10.9</v>
      </c>
      <c r="N32" s="22" t="inlineStr">
        <is>
          <t>10/2026</t>
        </is>
      </c>
      <c r="O32" s="11">
        <f>IFERROR(INDEX(Tariffe!$D$2:$D$200,MATCH(E32,Tariffe!$A$2:$A$200,0))*1,0)</f>
        <v/>
      </c>
      <c r="P32" s="11">
        <f>H32*O32</f>
        <v/>
      </c>
    </row>
    <row r="33">
      <c r="A33" s="23" t="inlineStr">
        <is>
          <t>20261024_2215</t>
        </is>
      </c>
      <c r="B33" s="13" t="n">
        <v>46319</v>
      </c>
      <c r="C33" s="14" t="n">
        <v>0.9270833333333334</v>
      </c>
      <c r="D33" s="23" t="inlineStr">
        <is>
          <t>UN Unico</t>
        </is>
      </c>
      <c r="E33" s="23" t="inlineStr">
        <is>
          <t>I8</t>
        </is>
      </c>
      <c r="F33" s="23">
        <f>IFERROR(INDEX(Tariffe!$B$2:$B$200,MATCH(E33,Tariffe!$A$2:$A$200,0)),"DA DEFINIRE")</f>
        <v/>
      </c>
      <c r="G33" s="16" t="n">
        <v>24</v>
      </c>
      <c r="H33" s="15" t="n">
        <v>30</v>
      </c>
      <c r="I33" s="15" t="n">
        <v>0</v>
      </c>
      <c r="J33" s="16" t="n">
        <v>720</v>
      </c>
      <c r="K33" s="16" t="n">
        <v>0</v>
      </c>
      <c r="L33" s="16" t="n">
        <v>654.6</v>
      </c>
      <c r="M33" s="16" t="n">
        <v>65.40000000000001</v>
      </c>
      <c r="N33" s="23" t="inlineStr">
        <is>
          <t>10/2026</t>
        </is>
      </c>
      <c r="O33" s="15">
        <f>IFERROR(INDEX(Tariffe!$D$2:$D$200,MATCH(E33,Tariffe!$A$2:$A$200,0))*1,0)</f>
        <v/>
      </c>
      <c r="P33" s="15">
        <f>H33*O33</f>
        <v/>
      </c>
    </row>
    <row r="34">
      <c r="A34" s="22" t="inlineStr">
        <is>
          <t>20261024_2315</t>
        </is>
      </c>
      <c r="B34" s="9" t="n">
        <v>46319</v>
      </c>
      <c r="C34" s="10" t="n">
        <v>0.96875</v>
      </c>
      <c r="D34" s="22" t="inlineStr">
        <is>
          <t>UN Unico</t>
        </is>
      </c>
      <c r="E34" s="22" t="inlineStr">
        <is>
          <t>I1</t>
        </is>
      </c>
      <c r="F34" s="22">
        <f>IFERROR(INDEX(Tariffe!$B$2:$B$200,MATCH(E34,Tariffe!$A$2:$A$200,0)),"DA DEFINIRE")</f>
        <v/>
      </c>
      <c r="G34" s="12" t="n">
        <v>48</v>
      </c>
      <c r="H34" s="11" t="n">
        <v>9</v>
      </c>
      <c r="I34" s="11" t="n">
        <v>0</v>
      </c>
      <c r="J34" s="12" t="n">
        <v>432</v>
      </c>
      <c r="K34" s="12" t="n">
        <v>0</v>
      </c>
      <c r="L34" s="12" t="n">
        <v>392.76</v>
      </c>
      <c r="M34" s="12" t="n">
        <v>39.24</v>
      </c>
      <c r="N34" s="22" t="inlineStr">
        <is>
          <t>10/2026</t>
        </is>
      </c>
      <c r="O34" s="11">
        <f>IFERROR(INDEX(Tariffe!$D$2:$D$200,MATCH(E34,Tariffe!$A$2:$A$200,0))*1,0)</f>
        <v/>
      </c>
      <c r="P34" s="11">
        <f>H34*O34</f>
        <v/>
      </c>
    </row>
    <row r="35">
      <c r="A35" s="23" t="inlineStr">
        <is>
          <t>20261024_2315</t>
        </is>
      </c>
      <c r="B35" s="13" t="n">
        <v>46319</v>
      </c>
      <c r="C35" s="14" t="n">
        <v>0.96875</v>
      </c>
      <c r="D35" s="23" t="inlineStr">
        <is>
          <t>UN Unico</t>
        </is>
      </c>
      <c r="E35" s="23" t="inlineStr">
        <is>
          <t>I2</t>
        </is>
      </c>
      <c r="F35" s="23">
        <f>IFERROR(INDEX(Tariffe!$B$2:$B$200,MATCH(E35,Tariffe!$A$2:$A$200,0)),"DA DEFINIRE")</f>
        <v/>
      </c>
      <c r="G35" s="16" t="n">
        <v>36</v>
      </c>
      <c r="H35" s="15" t="n">
        <v>5</v>
      </c>
      <c r="I35" s="15" t="n">
        <v>0</v>
      </c>
      <c r="J35" s="16" t="n">
        <v>180</v>
      </c>
      <c r="K35" s="16" t="n">
        <v>0</v>
      </c>
      <c r="L35" s="16" t="n">
        <v>163.65</v>
      </c>
      <c r="M35" s="16" t="n">
        <v>16.35</v>
      </c>
      <c r="N35" s="23" t="inlineStr">
        <is>
          <t>10/2026</t>
        </is>
      </c>
      <c r="O35" s="15">
        <f>IFERROR(INDEX(Tariffe!$D$2:$D$200,MATCH(E35,Tariffe!$A$2:$A$200,0))*1,0)</f>
        <v/>
      </c>
      <c r="P35" s="15">
        <f>H35*O35</f>
        <v/>
      </c>
    </row>
    <row r="36">
      <c r="A36" s="22" t="inlineStr">
        <is>
          <t>20261024_2315</t>
        </is>
      </c>
      <c r="B36" s="9" t="n">
        <v>46319</v>
      </c>
      <c r="C36" s="10" t="n">
        <v>0.96875</v>
      </c>
      <c r="D36" s="22" t="inlineStr">
        <is>
          <t>UN Unico</t>
        </is>
      </c>
      <c r="E36" s="22" t="inlineStr">
        <is>
          <t>I5</t>
        </is>
      </c>
      <c r="F36" s="22">
        <f>IFERROR(INDEX(Tariffe!$B$2:$B$200,MATCH(E36,Tariffe!$A$2:$A$200,0)),"DA DEFINIRE")</f>
        <v/>
      </c>
      <c r="G36" s="12" t="n">
        <v>60</v>
      </c>
      <c r="H36" s="11" t="n">
        <v>5</v>
      </c>
      <c r="I36" s="11" t="n">
        <v>0</v>
      </c>
      <c r="J36" s="12" t="n">
        <v>300</v>
      </c>
      <c r="K36" s="12" t="n">
        <v>0</v>
      </c>
      <c r="L36" s="12" t="n">
        <v>272.75</v>
      </c>
      <c r="M36" s="12" t="n">
        <v>27.25</v>
      </c>
      <c r="N36" s="22" t="inlineStr">
        <is>
          <t>10/2026</t>
        </is>
      </c>
      <c r="O36" s="11">
        <f>IFERROR(INDEX(Tariffe!$D$2:$D$200,MATCH(E36,Tariffe!$A$2:$A$200,0))*1,0)</f>
        <v/>
      </c>
      <c r="P36" s="11">
        <f>H36*O36</f>
        <v/>
      </c>
    </row>
    <row r="37">
      <c r="A37" s="23" t="inlineStr">
        <is>
          <t>20261024_2315</t>
        </is>
      </c>
      <c r="B37" s="13" t="n">
        <v>46319</v>
      </c>
      <c r="C37" s="14" t="n">
        <v>0.96875</v>
      </c>
      <c r="D37" s="23" t="inlineStr">
        <is>
          <t>UN Unico</t>
        </is>
      </c>
      <c r="E37" s="23" t="inlineStr">
        <is>
          <t>I8</t>
        </is>
      </c>
      <c r="F37" s="23">
        <f>IFERROR(INDEX(Tariffe!$B$2:$B$200,MATCH(E37,Tariffe!$A$2:$A$200,0)),"DA DEFINIRE")</f>
        <v/>
      </c>
      <c r="G37" s="16" t="n">
        <v>24</v>
      </c>
      <c r="H37" s="15" t="n">
        <v>22</v>
      </c>
      <c r="I37" s="15" t="n">
        <v>0</v>
      </c>
      <c r="J37" s="16" t="n">
        <v>528</v>
      </c>
      <c r="K37" s="16" t="n">
        <v>0</v>
      </c>
      <c r="L37" s="16" t="n">
        <v>480.04</v>
      </c>
      <c r="M37" s="16" t="n">
        <v>47.96</v>
      </c>
      <c r="N37" s="23" t="inlineStr">
        <is>
          <t>10/2026</t>
        </is>
      </c>
      <c r="O37" s="15">
        <f>IFERROR(INDEX(Tariffe!$D$2:$D$200,MATCH(E37,Tariffe!$A$2:$A$200,0))*1,0)</f>
        <v/>
      </c>
      <c r="P37" s="15">
        <f>H37*O37</f>
        <v/>
      </c>
    </row>
    <row r="38">
      <c r="A38" s="22" t="inlineStr">
        <is>
          <t>20261024_2359</t>
        </is>
      </c>
      <c r="B38" s="9" t="n">
        <v>46319</v>
      </c>
      <c r="C38" s="10" t="n">
        <v>0.9993055555555556</v>
      </c>
      <c r="D38" s="22" t="inlineStr">
        <is>
          <t>UN Unico</t>
        </is>
      </c>
      <c r="E38" s="22" t="inlineStr">
        <is>
          <t>I1</t>
        </is>
      </c>
      <c r="F38" s="22">
        <f>IFERROR(INDEX(Tariffe!$B$2:$B$200,MATCH(E38,Tariffe!$A$2:$A$200,0)),"DA DEFINIRE")</f>
        <v/>
      </c>
      <c r="G38" s="12" t="n">
        <v>48</v>
      </c>
      <c r="H38" s="11" t="n">
        <v>12</v>
      </c>
      <c r="I38" s="11" t="n">
        <v>0</v>
      </c>
      <c r="J38" s="12" t="n">
        <v>576</v>
      </c>
      <c r="K38" s="12" t="n">
        <v>0</v>
      </c>
      <c r="L38" s="12" t="n">
        <v>523.6799999999999</v>
      </c>
      <c r="M38" s="12" t="n">
        <v>52.32</v>
      </c>
      <c r="N38" s="22" t="inlineStr">
        <is>
          <t>10/2026</t>
        </is>
      </c>
      <c r="O38" s="11">
        <f>IFERROR(INDEX(Tariffe!$D$2:$D$200,MATCH(E38,Tariffe!$A$2:$A$200,0))*1,0)</f>
        <v/>
      </c>
      <c r="P38" s="11">
        <f>H38*O38</f>
        <v/>
      </c>
    </row>
    <row r="39">
      <c r="A39" s="23" t="inlineStr">
        <is>
          <t>20261024_2359</t>
        </is>
      </c>
      <c r="B39" s="13" t="n">
        <v>46319</v>
      </c>
      <c r="C39" s="14" t="n">
        <v>0.9993055555555556</v>
      </c>
      <c r="D39" s="23" t="inlineStr">
        <is>
          <t>UN Unico</t>
        </is>
      </c>
      <c r="E39" s="23" t="inlineStr">
        <is>
          <t>I5</t>
        </is>
      </c>
      <c r="F39" s="23">
        <f>IFERROR(INDEX(Tariffe!$B$2:$B$200,MATCH(E39,Tariffe!$A$2:$A$200,0)),"DA DEFINIRE")</f>
        <v/>
      </c>
      <c r="G39" s="16" t="n">
        <v>60</v>
      </c>
      <c r="H39" s="15" t="n">
        <v>2</v>
      </c>
      <c r="I39" s="15" t="n">
        <v>0</v>
      </c>
      <c r="J39" s="16" t="n">
        <v>120</v>
      </c>
      <c r="K39" s="16" t="n">
        <v>0</v>
      </c>
      <c r="L39" s="16" t="n">
        <v>109.1</v>
      </c>
      <c r="M39" s="16" t="n">
        <v>10.9</v>
      </c>
      <c r="N39" s="23" t="inlineStr">
        <is>
          <t>10/2026</t>
        </is>
      </c>
      <c r="O39" s="15">
        <f>IFERROR(INDEX(Tariffe!$D$2:$D$200,MATCH(E39,Tariffe!$A$2:$A$200,0))*1,0)</f>
        <v/>
      </c>
      <c r="P39" s="15">
        <f>H39*O39</f>
        <v/>
      </c>
    </row>
    <row r="40">
      <c r="A40" s="22" t="inlineStr">
        <is>
          <t>20261024_2359</t>
        </is>
      </c>
      <c r="B40" s="9" t="n">
        <v>46319</v>
      </c>
      <c r="C40" s="10" t="n">
        <v>0.9993055555555556</v>
      </c>
      <c r="D40" s="22" t="inlineStr">
        <is>
          <t>UN Unico</t>
        </is>
      </c>
      <c r="E40" s="22" t="inlineStr">
        <is>
          <t>I8</t>
        </is>
      </c>
      <c r="F40" s="22">
        <f>IFERROR(INDEX(Tariffe!$B$2:$B$200,MATCH(E40,Tariffe!$A$2:$A$200,0)),"DA DEFINIRE")</f>
        <v/>
      </c>
      <c r="G40" s="12" t="n">
        <v>24</v>
      </c>
      <c r="H40" s="11" t="n">
        <v>13</v>
      </c>
      <c r="I40" s="11" t="n">
        <v>0</v>
      </c>
      <c r="J40" s="12" t="n">
        <v>312</v>
      </c>
      <c r="K40" s="12" t="n">
        <v>0</v>
      </c>
      <c r="L40" s="12" t="n">
        <v>283.66</v>
      </c>
      <c r="M40" s="12" t="n">
        <v>28.34</v>
      </c>
      <c r="N40" s="22" t="inlineStr">
        <is>
          <t>10/2026</t>
        </is>
      </c>
      <c r="O40" s="11">
        <f>IFERROR(INDEX(Tariffe!$D$2:$D$200,MATCH(E40,Tariffe!$A$2:$A$200,0))*1,0)</f>
        <v/>
      </c>
      <c r="P40" s="11">
        <f>H40*O40</f>
        <v/>
      </c>
    </row>
    <row r="41">
      <c r="A41" s="23" t="inlineStr">
        <is>
          <t>20261025_2015</t>
        </is>
      </c>
      <c r="B41" s="13" t="n">
        <v>46320</v>
      </c>
      <c r="C41" s="14" t="n">
        <v>0.84375</v>
      </c>
      <c r="D41" s="23" t="inlineStr">
        <is>
          <t>UN Unico</t>
        </is>
      </c>
      <c r="E41" s="23" t="inlineStr">
        <is>
          <t>I1</t>
        </is>
      </c>
      <c r="F41" s="23">
        <f>IFERROR(INDEX(Tariffe!$B$2:$B$200,MATCH(E41,Tariffe!$A$2:$A$200,0)),"DA DEFINIRE")</f>
        <v/>
      </c>
      <c r="G41" s="16" t="n">
        <v>48</v>
      </c>
      <c r="H41" s="15" t="n">
        <v>3</v>
      </c>
      <c r="I41" s="15" t="n">
        <v>0</v>
      </c>
      <c r="J41" s="16" t="n">
        <v>144</v>
      </c>
      <c r="K41" s="16" t="n">
        <v>0</v>
      </c>
      <c r="L41" s="16" t="n">
        <v>130.92</v>
      </c>
      <c r="M41" s="16" t="n">
        <v>13.08</v>
      </c>
      <c r="N41" s="23" t="inlineStr">
        <is>
          <t>10/2026</t>
        </is>
      </c>
      <c r="O41" s="15">
        <f>IFERROR(INDEX(Tariffe!$D$2:$D$200,MATCH(E41,Tariffe!$A$2:$A$200,0))*1,0)</f>
        <v/>
      </c>
      <c r="P41" s="15">
        <f>H41*O41</f>
        <v/>
      </c>
    </row>
    <row r="42">
      <c r="A42" s="22" t="inlineStr">
        <is>
          <t>20261025_2015</t>
        </is>
      </c>
      <c r="B42" s="9" t="n">
        <v>46320</v>
      </c>
      <c r="C42" s="10" t="n">
        <v>0.84375</v>
      </c>
      <c r="D42" s="22" t="inlineStr">
        <is>
          <t>UN Unico</t>
        </is>
      </c>
      <c r="E42" s="22" t="inlineStr">
        <is>
          <t>I2</t>
        </is>
      </c>
      <c r="F42" s="22">
        <f>IFERROR(INDEX(Tariffe!$B$2:$B$200,MATCH(E42,Tariffe!$A$2:$A$200,0)),"DA DEFINIRE")</f>
        <v/>
      </c>
      <c r="G42" s="12" t="n">
        <v>36</v>
      </c>
      <c r="H42" s="11" t="n">
        <v>3</v>
      </c>
      <c r="I42" s="11" t="n">
        <v>0</v>
      </c>
      <c r="J42" s="12" t="n">
        <v>108</v>
      </c>
      <c r="K42" s="12" t="n">
        <v>0</v>
      </c>
      <c r="L42" s="12" t="n">
        <v>98.19</v>
      </c>
      <c r="M42" s="12" t="n">
        <v>9.81</v>
      </c>
      <c r="N42" s="22" t="inlineStr">
        <is>
          <t>10/2026</t>
        </is>
      </c>
      <c r="O42" s="11">
        <f>IFERROR(INDEX(Tariffe!$D$2:$D$200,MATCH(E42,Tariffe!$A$2:$A$200,0))*1,0)</f>
        <v/>
      </c>
      <c r="P42" s="11">
        <f>H42*O42</f>
        <v/>
      </c>
    </row>
    <row r="43">
      <c r="A43" s="23" t="inlineStr">
        <is>
          <t>20261025_2015</t>
        </is>
      </c>
      <c r="B43" s="13" t="n">
        <v>46320</v>
      </c>
      <c r="C43" s="14" t="n">
        <v>0.84375</v>
      </c>
      <c r="D43" s="23" t="inlineStr">
        <is>
          <t>UN Unico</t>
        </is>
      </c>
      <c r="E43" s="23" t="inlineStr">
        <is>
          <t>I5</t>
        </is>
      </c>
      <c r="F43" s="23">
        <f>IFERROR(INDEX(Tariffe!$B$2:$B$200,MATCH(E43,Tariffe!$A$2:$A$200,0)),"DA DEFINIRE")</f>
        <v/>
      </c>
      <c r="G43" s="16" t="n">
        <v>60</v>
      </c>
      <c r="H43" s="15" t="n">
        <v>4</v>
      </c>
      <c r="I43" s="15" t="n">
        <v>0</v>
      </c>
      <c r="J43" s="16" t="n">
        <v>240</v>
      </c>
      <c r="K43" s="16" t="n">
        <v>0</v>
      </c>
      <c r="L43" s="16" t="n">
        <v>218.2</v>
      </c>
      <c r="M43" s="16" t="n">
        <v>21.8</v>
      </c>
      <c r="N43" s="23" t="inlineStr">
        <is>
          <t>10/2026</t>
        </is>
      </c>
      <c r="O43" s="15">
        <f>IFERROR(INDEX(Tariffe!$D$2:$D$200,MATCH(E43,Tariffe!$A$2:$A$200,0))*1,0)</f>
        <v/>
      </c>
      <c r="P43" s="15">
        <f>H43*O43</f>
        <v/>
      </c>
    </row>
    <row r="44">
      <c r="A44" s="22" t="inlineStr">
        <is>
          <t>20261025_2015</t>
        </is>
      </c>
      <c r="B44" s="9" t="n">
        <v>46320</v>
      </c>
      <c r="C44" s="10" t="n">
        <v>0.84375</v>
      </c>
      <c r="D44" s="22" t="inlineStr">
        <is>
          <t>UN Unico</t>
        </is>
      </c>
      <c r="E44" s="22" t="inlineStr">
        <is>
          <t>I8</t>
        </is>
      </c>
      <c r="F44" s="22">
        <f>IFERROR(INDEX(Tariffe!$B$2:$B$200,MATCH(E44,Tariffe!$A$2:$A$200,0)),"DA DEFINIRE")</f>
        <v/>
      </c>
      <c r="G44" s="12" t="n">
        <v>24</v>
      </c>
      <c r="H44" s="11" t="n">
        <v>5</v>
      </c>
      <c r="I44" s="11" t="n">
        <v>0</v>
      </c>
      <c r="J44" s="12" t="n">
        <v>120</v>
      </c>
      <c r="K44" s="12" t="n">
        <v>0</v>
      </c>
      <c r="L44" s="12" t="n">
        <v>109.1</v>
      </c>
      <c r="M44" s="12" t="n">
        <v>10.9</v>
      </c>
      <c r="N44" s="22" t="inlineStr">
        <is>
          <t>10/2026</t>
        </is>
      </c>
      <c r="O44" s="11">
        <f>IFERROR(INDEX(Tariffe!$D$2:$D$200,MATCH(E44,Tariffe!$A$2:$A$200,0))*1,0)</f>
        <v/>
      </c>
      <c r="P44" s="11">
        <f>H44*O44</f>
        <v/>
      </c>
    </row>
    <row r="45">
      <c r="A45" s="23" t="inlineStr">
        <is>
          <t>20261025_2115</t>
        </is>
      </c>
      <c r="B45" s="13" t="n">
        <v>46320</v>
      </c>
      <c r="C45" s="14" t="n">
        <v>0.8854166666666666</v>
      </c>
      <c r="D45" s="23" t="inlineStr">
        <is>
          <t>UN Unico</t>
        </is>
      </c>
      <c r="E45" s="23" t="inlineStr">
        <is>
          <t>I1</t>
        </is>
      </c>
      <c r="F45" s="23">
        <f>IFERROR(INDEX(Tariffe!$B$2:$B$200,MATCH(E45,Tariffe!$A$2:$A$200,0)),"DA DEFINIRE")</f>
        <v/>
      </c>
      <c r="G45" s="16" t="n">
        <v>48</v>
      </c>
      <c r="H45" s="15" t="n">
        <v>13</v>
      </c>
      <c r="I45" s="15" t="n">
        <v>0</v>
      </c>
      <c r="J45" s="16" t="n">
        <v>624</v>
      </c>
      <c r="K45" s="16" t="n">
        <v>0</v>
      </c>
      <c r="L45" s="16" t="n">
        <v>567.3200000000001</v>
      </c>
      <c r="M45" s="16" t="n">
        <v>56.68</v>
      </c>
      <c r="N45" s="23" t="inlineStr">
        <is>
          <t>10/2026</t>
        </is>
      </c>
      <c r="O45" s="15">
        <f>IFERROR(INDEX(Tariffe!$D$2:$D$200,MATCH(E45,Tariffe!$A$2:$A$200,0))*1,0)</f>
        <v/>
      </c>
      <c r="P45" s="15">
        <f>H45*O45</f>
        <v/>
      </c>
    </row>
    <row r="46">
      <c r="A46" s="22" t="inlineStr">
        <is>
          <t>20261025_2115</t>
        </is>
      </c>
      <c r="B46" s="9" t="n">
        <v>46320</v>
      </c>
      <c r="C46" s="10" t="n">
        <v>0.8854166666666666</v>
      </c>
      <c r="D46" s="22" t="inlineStr">
        <is>
          <t>UN Unico</t>
        </is>
      </c>
      <c r="E46" s="22" t="inlineStr">
        <is>
          <t>I5</t>
        </is>
      </c>
      <c r="F46" s="22">
        <f>IFERROR(INDEX(Tariffe!$B$2:$B$200,MATCH(E46,Tariffe!$A$2:$A$200,0)),"DA DEFINIRE")</f>
        <v/>
      </c>
      <c r="G46" s="12" t="n">
        <v>60</v>
      </c>
      <c r="H46" s="11" t="n">
        <v>4</v>
      </c>
      <c r="I46" s="11" t="n">
        <v>0</v>
      </c>
      <c r="J46" s="12" t="n">
        <v>240</v>
      </c>
      <c r="K46" s="12" t="n">
        <v>0</v>
      </c>
      <c r="L46" s="12" t="n">
        <v>218.2</v>
      </c>
      <c r="M46" s="12" t="n">
        <v>21.8</v>
      </c>
      <c r="N46" s="22" t="inlineStr">
        <is>
          <t>10/2026</t>
        </is>
      </c>
      <c r="O46" s="11">
        <f>IFERROR(INDEX(Tariffe!$D$2:$D$200,MATCH(E46,Tariffe!$A$2:$A$200,0))*1,0)</f>
        <v/>
      </c>
      <c r="P46" s="11">
        <f>H46*O46</f>
        <v/>
      </c>
    </row>
    <row r="47">
      <c r="A47" s="23" t="inlineStr">
        <is>
          <t>20261025_2115</t>
        </is>
      </c>
      <c r="B47" s="13" t="n">
        <v>46320</v>
      </c>
      <c r="C47" s="14" t="n">
        <v>0.8854166666666666</v>
      </c>
      <c r="D47" s="23" t="inlineStr">
        <is>
          <t>UN Unico</t>
        </is>
      </c>
      <c r="E47" s="23" t="inlineStr">
        <is>
          <t>I8</t>
        </is>
      </c>
      <c r="F47" s="23">
        <f>IFERROR(INDEX(Tariffe!$B$2:$B$200,MATCH(E47,Tariffe!$A$2:$A$200,0)),"DA DEFINIRE")</f>
        <v/>
      </c>
      <c r="G47" s="16" t="n">
        <v>24</v>
      </c>
      <c r="H47" s="15" t="n">
        <v>12</v>
      </c>
      <c r="I47" s="15" t="n">
        <v>0</v>
      </c>
      <c r="J47" s="16" t="n">
        <v>288</v>
      </c>
      <c r="K47" s="16" t="n">
        <v>0</v>
      </c>
      <c r="L47" s="16" t="n">
        <v>261.84</v>
      </c>
      <c r="M47" s="16" t="n">
        <v>26.16</v>
      </c>
      <c r="N47" s="23" t="inlineStr">
        <is>
          <t>10/2026</t>
        </is>
      </c>
      <c r="O47" s="15">
        <f>IFERROR(INDEX(Tariffe!$D$2:$D$200,MATCH(E47,Tariffe!$A$2:$A$200,0))*1,0)</f>
        <v/>
      </c>
      <c r="P47" s="15">
        <f>H47*O47</f>
        <v/>
      </c>
    </row>
    <row r="48">
      <c r="A48" s="22" t="inlineStr">
        <is>
          <t>20261025_2215</t>
        </is>
      </c>
      <c r="B48" s="9" t="n">
        <v>46320</v>
      </c>
      <c r="C48" s="10" t="n">
        <v>0.9270833333333334</v>
      </c>
      <c r="D48" s="22" t="inlineStr">
        <is>
          <t>UN Unico</t>
        </is>
      </c>
      <c r="E48" s="22" t="inlineStr">
        <is>
          <t>I1</t>
        </is>
      </c>
      <c r="F48" s="22">
        <f>IFERROR(INDEX(Tariffe!$B$2:$B$200,MATCH(E48,Tariffe!$A$2:$A$200,0)),"DA DEFINIRE")</f>
        <v/>
      </c>
      <c r="G48" s="12" t="n">
        <v>48</v>
      </c>
      <c r="H48" s="11" t="n">
        <v>3</v>
      </c>
      <c r="I48" s="11" t="n">
        <v>0</v>
      </c>
      <c r="J48" s="12" t="n">
        <v>144</v>
      </c>
      <c r="K48" s="12" t="n">
        <v>0</v>
      </c>
      <c r="L48" s="12" t="n">
        <v>130.92</v>
      </c>
      <c r="M48" s="12" t="n">
        <v>13.08</v>
      </c>
      <c r="N48" s="22" t="inlineStr">
        <is>
          <t>10/2026</t>
        </is>
      </c>
      <c r="O48" s="11">
        <f>IFERROR(INDEX(Tariffe!$D$2:$D$200,MATCH(E48,Tariffe!$A$2:$A$200,0))*1,0)</f>
        <v/>
      </c>
      <c r="P48" s="11">
        <f>H48*O48</f>
        <v/>
      </c>
    </row>
    <row r="49">
      <c r="A49" s="23" t="inlineStr">
        <is>
          <t>20261025_2215</t>
        </is>
      </c>
      <c r="B49" s="13" t="n">
        <v>46320</v>
      </c>
      <c r="C49" s="14" t="n">
        <v>0.9270833333333334</v>
      </c>
      <c r="D49" s="23" t="inlineStr">
        <is>
          <t>UN Unico</t>
        </is>
      </c>
      <c r="E49" s="23" t="inlineStr">
        <is>
          <t>I2</t>
        </is>
      </c>
      <c r="F49" s="23">
        <f>IFERROR(INDEX(Tariffe!$B$2:$B$200,MATCH(E49,Tariffe!$A$2:$A$200,0)),"DA DEFINIRE")</f>
        <v/>
      </c>
      <c r="G49" s="16" t="n">
        <v>36</v>
      </c>
      <c r="H49" s="15" t="n">
        <v>2</v>
      </c>
      <c r="I49" s="15" t="n">
        <v>0</v>
      </c>
      <c r="J49" s="16" t="n">
        <v>72</v>
      </c>
      <c r="K49" s="16" t="n">
        <v>0</v>
      </c>
      <c r="L49" s="16" t="n">
        <v>65.45999999999999</v>
      </c>
      <c r="M49" s="16" t="n">
        <v>6.54</v>
      </c>
      <c r="N49" s="23" t="inlineStr">
        <is>
          <t>10/2026</t>
        </is>
      </c>
      <c r="O49" s="15">
        <f>IFERROR(INDEX(Tariffe!$D$2:$D$200,MATCH(E49,Tariffe!$A$2:$A$200,0))*1,0)</f>
        <v/>
      </c>
      <c r="P49" s="15">
        <f>H49*O49</f>
        <v/>
      </c>
    </row>
    <row r="50">
      <c r="A50" s="22" t="inlineStr">
        <is>
          <t>20261025_2215</t>
        </is>
      </c>
      <c r="B50" s="9" t="n">
        <v>46320</v>
      </c>
      <c r="C50" s="10" t="n">
        <v>0.9270833333333334</v>
      </c>
      <c r="D50" s="22" t="inlineStr">
        <is>
          <t>UN Unico</t>
        </is>
      </c>
      <c r="E50" s="22" t="inlineStr">
        <is>
          <t>I5</t>
        </is>
      </c>
      <c r="F50" s="22">
        <f>IFERROR(INDEX(Tariffe!$B$2:$B$200,MATCH(E50,Tariffe!$A$2:$A$200,0)),"DA DEFINIRE")</f>
        <v/>
      </c>
      <c r="G50" s="12" t="n">
        <v>60</v>
      </c>
      <c r="H50" s="11" t="n">
        <v>2</v>
      </c>
      <c r="I50" s="11" t="n">
        <v>0</v>
      </c>
      <c r="J50" s="12" t="n">
        <v>120</v>
      </c>
      <c r="K50" s="12" t="n">
        <v>0</v>
      </c>
      <c r="L50" s="12" t="n">
        <v>109.1</v>
      </c>
      <c r="M50" s="12" t="n">
        <v>10.9</v>
      </c>
      <c r="N50" s="22" t="inlineStr">
        <is>
          <t>10/2026</t>
        </is>
      </c>
      <c r="O50" s="11">
        <f>IFERROR(INDEX(Tariffe!$D$2:$D$200,MATCH(E50,Tariffe!$A$2:$A$200,0))*1,0)</f>
        <v/>
      </c>
      <c r="P50" s="11">
        <f>H50*O50</f>
        <v/>
      </c>
    </row>
    <row r="51">
      <c r="A51" s="23" t="inlineStr">
        <is>
          <t>20261025_2215</t>
        </is>
      </c>
      <c r="B51" s="13" t="n">
        <v>46320</v>
      </c>
      <c r="C51" s="14" t="n">
        <v>0.9270833333333334</v>
      </c>
      <c r="D51" s="23" t="inlineStr">
        <is>
          <t>UN Unico</t>
        </is>
      </c>
      <c r="E51" s="23" t="inlineStr">
        <is>
          <t>I8</t>
        </is>
      </c>
      <c r="F51" s="23">
        <f>IFERROR(INDEX(Tariffe!$B$2:$B$200,MATCH(E51,Tariffe!$A$2:$A$200,0)),"DA DEFINIRE")</f>
        <v/>
      </c>
      <c r="G51" s="16" t="n">
        <v>24</v>
      </c>
      <c r="H51" s="15" t="n">
        <v>13</v>
      </c>
      <c r="I51" s="15" t="n">
        <v>0</v>
      </c>
      <c r="J51" s="16" t="n">
        <v>312</v>
      </c>
      <c r="K51" s="16" t="n">
        <v>0</v>
      </c>
      <c r="L51" s="16" t="n">
        <v>283.66</v>
      </c>
      <c r="M51" s="16" t="n">
        <v>28.34</v>
      </c>
      <c r="N51" s="23" t="inlineStr">
        <is>
          <t>10/2026</t>
        </is>
      </c>
      <c r="O51" s="15">
        <f>IFERROR(INDEX(Tariffe!$D$2:$D$200,MATCH(E51,Tariffe!$A$2:$A$200,0))*1,0)</f>
        <v/>
      </c>
      <c r="P51" s="15">
        <f>H51*O51</f>
        <v/>
      </c>
    </row>
    <row r="52">
      <c r="A52" s="22" t="inlineStr">
        <is>
          <t>20261025_2315</t>
        </is>
      </c>
      <c r="B52" s="9" t="n">
        <v>46320</v>
      </c>
      <c r="C52" s="10" t="n">
        <v>0.96875</v>
      </c>
      <c r="D52" s="22" t="inlineStr">
        <is>
          <t>UN Unico</t>
        </is>
      </c>
      <c r="E52" s="22" t="inlineStr">
        <is>
          <t>I1</t>
        </is>
      </c>
      <c r="F52" s="22">
        <f>IFERROR(INDEX(Tariffe!$B$2:$B$200,MATCH(E52,Tariffe!$A$2:$A$200,0)),"DA DEFINIRE")</f>
        <v/>
      </c>
      <c r="G52" s="12" t="n">
        <v>48</v>
      </c>
      <c r="H52" s="11" t="n">
        <v>8</v>
      </c>
      <c r="I52" s="11" t="n">
        <v>0</v>
      </c>
      <c r="J52" s="12" t="n">
        <v>384</v>
      </c>
      <c r="K52" s="12" t="n">
        <v>0</v>
      </c>
      <c r="L52" s="12" t="n">
        <v>349.12</v>
      </c>
      <c r="M52" s="12" t="n">
        <v>34.88</v>
      </c>
      <c r="N52" s="22" t="inlineStr">
        <is>
          <t>10/2026</t>
        </is>
      </c>
      <c r="O52" s="11">
        <f>IFERROR(INDEX(Tariffe!$D$2:$D$200,MATCH(E52,Tariffe!$A$2:$A$200,0))*1,0)</f>
        <v/>
      </c>
      <c r="P52" s="11">
        <f>H52*O52</f>
        <v/>
      </c>
    </row>
    <row r="53">
      <c r="A53" s="23" t="inlineStr">
        <is>
          <t>20261025_2315</t>
        </is>
      </c>
      <c r="B53" s="13" t="n">
        <v>46320</v>
      </c>
      <c r="C53" s="14" t="n">
        <v>0.96875</v>
      </c>
      <c r="D53" s="23" t="inlineStr">
        <is>
          <t>UN Unico</t>
        </is>
      </c>
      <c r="E53" s="23" t="inlineStr">
        <is>
          <t>I2</t>
        </is>
      </c>
      <c r="F53" s="23">
        <f>IFERROR(INDEX(Tariffe!$B$2:$B$200,MATCH(E53,Tariffe!$A$2:$A$200,0)),"DA DEFINIRE")</f>
        <v/>
      </c>
      <c r="G53" s="16" t="n">
        <v>36</v>
      </c>
      <c r="H53" s="15" t="n">
        <v>3</v>
      </c>
      <c r="I53" s="15" t="n">
        <v>0</v>
      </c>
      <c r="J53" s="16" t="n">
        <v>108</v>
      </c>
      <c r="K53" s="16" t="n">
        <v>0</v>
      </c>
      <c r="L53" s="16" t="n">
        <v>98.19</v>
      </c>
      <c r="M53" s="16" t="n">
        <v>9.81</v>
      </c>
      <c r="N53" s="23" t="inlineStr">
        <is>
          <t>10/2026</t>
        </is>
      </c>
      <c r="O53" s="15">
        <f>IFERROR(INDEX(Tariffe!$D$2:$D$200,MATCH(E53,Tariffe!$A$2:$A$200,0))*1,0)</f>
        <v/>
      </c>
      <c r="P53" s="15">
        <f>H53*O53</f>
        <v/>
      </c>
    </row>
    <row r="54">
      <c r="A54" s="22" t="inlineStr">
        <is>
          <t>20261025_2315</t>
        </is>
      </c>
      <c r="B54" s="9" t="n">
        <v>46320</v>
      </c>
      <c r="C54" s="10" t="n">
        <v>0.96875</v>
      </c>
      <c r="D54" s="22" t="inlineStr">
        <is>
          <t>UN Unico</t>
        </is>
      </c>
      <c r="E54" s="22" t="inlineStr">
        <is>
          <t>I8</t>
        </is>
      </c>
      <c r="F54" s="22">
        <f>IFERROR(INDEX(Tariffe!$B$2:$B$200,MATCH(E54,Tariffe!$A$2:$A$200,0)),"DA DEFINIRE")</f>
        <v/>
      </c>
      <c r="G54" s="12" t="n">
        <v>24</v>
      </c>
      <c r="H54" s="11" t="n">
        <v>4</v>
      </c>
      <c r="I54" s="11" t="n">
        <v>0</v>
      </c>
      <c r="J54" s="12" t="n">
        <v>96</v>
      </c>
      <c r="K54" s="12" t="n">
        <v>0</v>
      </c>
      <c r="L54" s="12" t="n">
        <v>87.28</v>
      </c>
      <c r="M54" s="12" t="n">
        <v>8.720000000000001</v>
      </c>
      <c r="N54" s="22" t="inlineStr">
        <is>
          <t>10/2026</t>
        </is>
      </c>
      <c r="O54" s="11">
        <f>IFERROR(INDEX(Tariffe!$D$2:$D$200,MATCH(E54,Tariffe!$A$2:$A$200,0))*1,0)</f>
        <v/>
      </c>
      <c r="P54" s="11">
        <f>H54*O54</f>
        <v/>
      </c>
    </row>
    <row r="55">
      <c r="A55" s="23" t="inlineStr">
        <is>
          <t>20261025_2359</t>
        </is>
      </c>
      <c r="B55" s="13" t="n">
        <v>46320</v>
      </c>
      <c r="C55" s="14" t="n">
        <v>0.9993055555555556</v>
      </c>
      <c r="D55" s="23" t="inlineStr">
        <is>
          <t>UN Unico</t>
        </is>
      </c>
      <c r="E55" s="23" t="inlineStr">
        <is>
          <t>I1</t>
        </is>
      </c>
      <c r="F55" s="23">
        <f>IFERROR(INDEX(Tariffe!$B$2:$B$200,MATCH(E55,Tariffe!$A$2:$A$200,0)),"DA DEFINIRE")</f>
        <v/>
      </c>
      <c r="G55" s="16" t="n">
        <v>48</v>
      </c>
      <c r="H55" s="15" t="n">
        <v>1</v>
      </c>
      <c r="I55" s="15" t="n">
        <v>0</v>
      </c>
      <c r="J55" s="16" t="n">
        <v>48</v>
      </c>
      <c r="K55" s="16" t="n">
        <v>0</v>
      </c>
      <c r="L55" s="16" t="n">
        <v>43.64</v>
      </c>
      <c r="M55" s="16" t="n">
        <v>4.36</v>
      </c>
      <c r="N55" s="23" t="inlineStr">
        <is>
          <t>10/2026</t>
        </is>
      </c>
      <c r="O55" s="15">
        <f>IFERROR(INDEX(Tariffe!$D$2:$D$200,MATCH(E55,Tariffe!$A$2:$A$200,0))*1,0)</f>
        <v/>
      </c>
      <c r="P55" s="15">
        <f>H55*O55</f>
        <v/>
      </c>
    </row>
    <row r="56">
      <c r="A56" s="22" t="inlineStr">
        <is>
          <t>20261025_2359</t>
        </is>
      </c>
      <c r="B56" s="9" t="n">
        <v>46320</v>
      </c>
      <c r="C56" s="10" t="n">
        <v>0.9993055555555556</v>
      </c>
      <c r="D56" s="22" t="inlineStr">
        <is>
          <t>UN Unico</t>
        </is>
      </c>
      <c r="E56" s="22" t="inlineStr">
        <is>
          <t>I5</t>
        </is>
      </c>
      <c r="F56" s="22">
        <f>IFERROR(INDEX(Tariffe!$B$2:$B$200,MATCH(E56,Tariffe!$A$2:$A$200,0)),"DA DEFINIRE")</f>
        <v/>
      </c>
      <c r="G56" s="12" t="n">
        <v>60</v>
      </c>
      <c r="H56" s="11" t="n">
        <v>1</v>
      </c>
      <c r="I56" s="11" t="n">
        <v>0</v>
      </c>
      <c r="J56" s="12" t="n">
        <v>60</v>
      </c>
      <c r="K56" s="12" t="n">
        <v>0</v>
      </c>
      <c r="L56" s="12" t="n">
        <v>54.55</v>
      </c>
      <c r="M56" s="12" t="n">
        <v>5.45</v>
      </c>
      <c r="N56" s="22" t="inlineStr">
        <is>
          <t>10/2026</t>
        </is>
      </c>
      <c r="O56" s="11">
        <f>IFERROR(INDEX(Tariffe!$D$2:$D$200,MATCH(E56,Tariffe!$A$2:$A$200,0))*1,0)</f>
        <v/>
      </c>
      <c r="P56" s="11">
        <f>H56*O56</f>
        <v/>
      </c>
    </row>
    <row r="57">
      <c r="A57" s="23" t="inlineStr">
        <is>
          <t>20261025_2359</t>
        </is>
      </c>
      <c r="B57" s="13" t="n">
        <v>46320</v>
      </c>
      <c r="C57" s="14" t="n">
        <v>0.9993055555555556</v>
      </c>
      <c r="D57" s="23" t="inlineStr">
        <is>
          <t>UN Unico</t>
        </is>
      </c>
      <c r="E57" s="23" t="inlineStr">
        <is>
          <t>I8</t>
        </is>
      </c>
      <c r="F57" s="23">
        <f>IFERROR(INDEX(Tariffe!$B$2:$B$200,MATCH(E57,Tariffe!$A$2:$A$200,0)),"DA DEFINIRE")</f>
        <v/>
      </c>
      <c r="G57" s="16" t="n">
        <v>24</v>
      </c>
      <c r="H57" s="15" t="n">
        <v>3</v>
      </c>
      <c r="I57" s="15" t="n">
        <v>0</v>
      </c>
      <c r="J57" s="16" t="n">
        <v>72</v>
      </c>
      <c r="K57" s="16" t="n">
        <v>0</v>
      </c>
      <c r="L57" s="16" t="n">
        <v>65.45999999999999</v>
      </c>
      <c r="M57" s="16" t="n">
        <v>6.54</v>
      </c>
      <c r="N57" s="23" t="inlineStr">
        <is>
          <t>10/2026</t>
        </is>
      </c>
      <c r="O57" s="15">
        <f>IFERROR(INDEX(Tariffe!$D$2:$D$200,MATCH(E57,Tariffe!$A$2:$A$200,0))*1,0)</f>
        <v/>
      </c>
      <c r="P57" s="15">
        <f>H57*O57</f>
        <v/>
      </c>
    </row>
    <row r="58">
      <c r="A58" s="22" t="inlineStr">
        <is>
          <t>20261029_2015</t>
        </is>
      </c>
      <c r="B58" s="9" t="n">
        <v>46324</v>
      </c>
      <c r="C58" s="10" t="n">
        <v>0.84375</v>
      </c>
      <c r="D58" s="22" t="inlineStr">
        <is>
          <t>UN Unico</t>
        </is>
      </c>
      <c r="E58" s="22" t="inlineStr">
        <is>
          <t>I1</t>
        </is>
      </c>
      <c r="F58" s="22">
        <f>IFERROR(INDEX(Tariffe!$B$2:$B$200,MATCH(E58,Tariffe!$A$2:$A$200,0)),"DA DEFINIRE")</f>
        <v/>
      </c>
      <c r="G58" s="12" t="n">
        <v>48</v>
      </c>
      <c r="H58" s="11" t="n">
        <v>1</v>
      </c>
      <c r="I58" s="11" t="n">
        <v>0</v>
      </c>
      <c r="J58" s="12" t="n">
        <v>48</v>
      </c>
      <c r="K58" s="12" t="n">
        <v>0</v>
      </c>
      <c r="L58" s="12" t="n">
        <v>43.64</v>
      </c>
      <c r="M58" s="12" t="n">
        <v>4.36</v>
      </c>
      <c r="N58" s="22" t="inlineStr">
        <is>
          <t>10/2026</t>
        </is>
      </c>
      <c r="O58" s="11">
        <f>IFERROR(INDEX(Tariffe!$D$2:$D$200,MATCH(E58,Tariffe!$A$2:$A$200,0))*1,0)</f>
        <v/>
      </c>
      <c r="P58" s="11">
        <f>H58*O58</f>
        <v/>
      </c>
    </row>
    <row r="59">
      <c r="A59" s="23" t="inlineStr">
        <is>
          <t>20261029_2015</t>
        </is>
      </c>
      <c r="B59" s="13" t="n">
        <v>46324</v>
      </c>
      <c r="C59" s="14" t="n">
        <v>0.84375</v>
      </c>
      <c r="D59" s="23" t="inlineStr">
        <is>
          <t>UN Unico</t>
        </is>
      </c>
      <c r="E59" s="23" t="inlineStr">
        <is>
          <t>I5</t>
        </is>
      </c>
      <c r="F59" s="23">
        <f>IFERROR(INDEX(Tariffe!$B$2:$B$200,MATCH(E59,Tariffe!$A$2:$A$200,0)),"DA DEFINIRE")</f>
        <v/>
      </c>
      <c r="G59" s="16" t="n">
        <v>60</v>
      </c>
      <c r="H59" s="15" t="n">
        <v>2</v>
      </c>
      <c r="I59" s="15" t="n">
        <v>0</v>
      </c>
      <c r="J59" s="16" t="n">
        <v>120</v>
      </c>
      <c r="K59" s="16" t="n">
        <v>0</v>
      </c>
      <c r="L59" s="16" t="n">
        <v>109.1</v>
      </c>
      <c r="M59" s="16" t="n">
        <v>10.9</v>
      </c>
      <c r="N59" s="23" t="inlineStr">
        <is>
          <t>10/2026</t>
        </is>
      </c>
      <c r="O59" s="15">
        <f>IFERROR(INDEX(Tariffe!$D$2:$D$200,MATCH(E59,Tariffe!$A$2:$A$200,0))*1,0)</f>
        <v/>
      </c>
      <c r="P59" s="15">
        <f>H59*O59</f>
        <v/>
      </c>
    </row>
    <row r="60">
      <c r="A60" s="22" t="inlineStr">
        <is>
          <t>20261029_2015</t>
        </is>
      </c>
      <c r="B60" s="9" t="n">
        <v>46324</v>
      </c>
      <c r="C60" s="10" t="n">
        <v>0.84375</v>
      </c>
      <c r="D60" s="22" t="inlineStr">
        <is>
          <t>UN Unico</t>
        </is>
      </c>
      <c r="E60" s="22" t="inlineStr">
        <is>
          <t>I8</t>
        </is>
      </c>
      <c r="F60" s="22">
        <f>IFERROR(INDEX(Tariffe!$B$2:$B$200,MATCH(E60,Tariffe!$A$2:$A$200,0)),"DA DEFINIRE")</f>
        <v/>
      </c>
      <c r="G60" s="12" t="n">
        <v>24</v>
      </c>
      <c r="H60" s="11" t="n">
        <v>3</v>
      </c>
      <c r="I60" s="11" t="n">
        <v>0</v>
      </c>
      <c r="J60" s="12" t="n">
        <v>72</v>
      </c>
      <c r="K60" s="12" t="n">
        <v>0</v>
      </c>
      <c r="L60" s="12" t="n">
        <v>65.45999999999999</v>
      </c>
      <c r="M60" s="12" t="n">
        <v>6.54</v>
      </c>
      <c r="N60" s="22" t="inlineStr">
        <is>
          <t>10/2026</t>
        </is>
      </c>
      <c r="O60" s="11">
        <f>IFERROR(INDEX(Tariffe!$D$2:$D$200,MATCH(E60,Tariffe!$A$2:$A$200,0))*1,0)</f>
        <v/>
      </c>
      <c r="P60" s="11">
        <f>H60*O60</f>
        <v/>
      </c>
    </row>
    <row r="61">
      <c r="A61" s="23" t="inlineStr">
        <is>
          <t>20261029_2115</t>
        </is>
      </c>
      <c r="B61" s="13" t="n">
        <v>46324</v>
      </c>
      <c r="C61" s="14" t="n">
        <v>0.8854166666666666</v>
      </c>
      <c r="D61" s="23" t="inlineStr">
        <is>
          <t>UN Unico</t>
        </is>
      </c>
      <c r="E61" s="23" t="inlineStr">
        <is>
          <t>I1</t>
        </is>
      </c>
      <c r="F61" s="23">
        <f>IFERROR(INDEX(Tariffe!$B$2:$B$200,MATCH(E61,Tariffe!$A$2:$A$200,0)),"DA DEFINIRE")</f>
        <v/>
      </c>
      <c r="G61" s="16" t="n">
        <v>48</v>
      </c>
      <c r="H61" s="15" t="n">
        <v>2</v>
      </c>
      <c r="I61" s="15" t="n">
        <v>0</v>
      </c>
      <c r="J61" s="16" t="n">
        <v>96</v>
      </c>
      <c r="K61" s="16" t="n">
        <v>0</v>
      </c>
      <c r="L61" s="16" t="n">
        <v>87.28</v>
      </c>
      <c r="M61" s="16" t="n">
        <v>8.720000000000001</v>
      </c>
      <c r="N61" s="23" t="inlineStr">
        <is>
          <t>10/2026</t>
        </is>
      </c>
      <c r="O61" s="15">
        <f>IFERROR(INDEX(Tariffe!$D$2:$D$200,MATCH(E61,Tariffe!$A$2:$A$200,0))*1,0)</f>
        <v/>
      </c>
      <c r="P61" s="15">
        <f>H61*O61</f>
        <v/>
      </c>
    </row>
    <row r="62">
      <c r="A62" s="22" t="inlineStr">
        <is>
          <t>20261029_2115</t>
        </is>
      </c>
      <c r="B62" s="9" t="n">
        <v>46324</v>
      </c>
      <c r="C62" s="10" t="n">
        <v>0.8854166666666666</v>
      </c>
      <c r="D62" s="22" t="inlineStr">
        <is>
          <t>UN Unico</t>
        </is>
      </c>
      <c r="E62" s="22" t="inlineStr">
        <is>
          <t>I5</t>
        </is>
      </c>
      <c r="F62" s="22">
        <f>IFERROR(INDEX(Tariffe!$B$2:$B$200,MATCH(E62,Tariffe!$A$2:$A$200,0)),"DA DEFINIRE")</f>
        <v/>
      </c>
      <c r="G62" s="12" t="n">
        <v>60</v>
      </c>
      <c r="H62" s="11" t="n">
        <v>2</v>
      </c>
      <c r="I62" s="11" t="n">
        <v>0</v>
      </c>
      <c r="J62" s="12" t="n">
        <v>120</v>
      </c>
      <c r="K62" s="12" t="n">
        <v>0</v>
      </c>
      <c r="L62" s="12" t="n">
        <v>109.1</v>
      </c>
      <c r="M62" s="12" t="n">
        <v>10.9</v>
      </c>
      <c r="N62" s="22" t="inlineStr">
        <is>
          <t>10/2026</t>
        </is>
      </c>
      <c r="O62" s="11">
        <f>IFERROR(INDEX(Tariffe!$D$2:$D$200,MATCH(E62,Tariffe!$A$2:$A$200,0))*1,0)</f>
        <v/>
      </c>
      <c r="P62" s="11">
        <f>H62*O62</f>
        <v/>
      </c>
    </row>
    <row r="63">
      <c r="A63" s="23" t="inlineStr">
        <is>
          <t>20261029_2115</t>
        </is>
      </c>
      <c r="B63" s="13" t="n">
        <v>46324</v>
      </c>
      <c r="C63" s="14" t="n">
        <v>0.8854166666666666</v>
      </c>
      <c r="D63" s="23" t="inlineStr">
        <is>
          <t>UN Unico</t>
        </is>
      </c>
      <c r="E63" s="23" t="inlineStr">
        <is>
          <t>I8</t>
        </is>
      </c>
      <c r="F63" s="23">
        <f>IFERROR(INDEX(Tariffe!$B$2:$B$200,MATCH(E63,Tariffe!$A$2:$A$200,0)),"DA DEFINIRE")</f>
        <v/>
      </c>
      <c r="G63" s="16" t="n">
        <v>24</v>
      </c>
      <c r="H63" s="15" t="n">
        <v>4</v>
      </c>
      <c r="I63" s="15" t="n">
        <v>0</v>
      </c>
      <c r="J63" s="16" t="n">
        <v>96</v>
      </c>
      <c r="K63" s="16" t="n">
        <v>0</v>
      </c>
      <c r="L63" s="16" t="n">
        <v>87.28</v>
      </c>
      <c r="M63" s="16" t="n">
        <v>8.720000000000001</v>
      </c>
      <c r="N63" s="23" t="inlineStr">
        <is>
          <t>10/2026</t>
        </is>
      </c>
      <c r="O63" s="15">
        <f>IFERROR(INDEX(Tariffe!$D$2:$D$200,MATCH(E63,Tariffe!$A$2:$A$200,0))*1,0)</f>
        <v/>
      </c>
      <c r="P63" s="15">
        <f>H63*O63</f>
        <v/>
      </c>
    </row>
    <row r="64">
      <c r="A64" s="22" t="inlineStr">
        <is>
          <t>20261029_2215</t>
        </is>
      </c>
      <c r="B64" s="9" t="n">
        <v>46324</v>
      </c>
      <c r="C64" s="10" t="n">
        <v>0.9270833333333334</v>
      </c>
      <c r="D64" s="22" t="inlineStr">
        <is>
          <t>UN Unico</t>
        </is>
      </c>
      <c r="E64" s="22" t="inlineStr">
        <is>
          <t>I1</t>
        </is>
      </c>
      <c r="F64" s="22">
        <f>IFERROR(INDEX(Tariffe!$B$2:$B$200,MATCH(E64,Tariffe!$A$2:$A$200,0)),"DA DEFINIRE")</f>
        <v/>
      </c>
      <c r="G64" s="12" t="n">
        <v>48</v>
      </c>
      <c r="H64" s="11" t="n">
        <v>6</v>
      </c>
      <c r="I64" s="11" t="n">
        <v>0</v>
      </c>
      <c r="J64" s="12" t="n">
        <v>288</v>
      </c>
      <c r="K64" s="12" t="n">
        <v>0</v>
      </c>
      <c r="L64" s="12" t="n">
        <v>261.84</v>
      </c>
      <c r="M64" s="12" t="n">
        <v>26.16</v>
      </c>
      <c r="N64" s="22" t="inlineStr">
        <is>
          <t>10/2026</t>
        </is>
      </c>
      <c r="O64" s="11">
        <f>IFERROR(INDEX(Tariffe!$D$2:$D$200,MATCH(E64,Tariffe!$A$2:$A$200,0))*1,0)</f>
        <v/>
      </c>
      <c r="P64" s="11">
        <f>H64*O64</f>
        <v/>
      </c>
    </row>
    <row r="65">
      <c r="A65" s="23" t="inlineStr">
        <is>
          <t>20261029_2215</t>
        </is>
      </c>
      <c r="B65" s="13" t="n">
        <v>46324</v>
      </c>
      <c r="C65" s="14" t="n">
        <v>0.9270833333333334</v>
      </c>
      <c r="D65" s="23" t="inlineStr">
        <is>
          <t>UN Unico</t>
        </is>
      </c>
      <c r="E65" s="23" t="inlineStr">
        <is>
          <t>I2</t>
        </is>
      </c>
      <c r="F65" s="23">
        <f>IFERROR(INDEX(Tariffe!$B$2:$B$200,MATCH(E65,Tariffe!$A$2:$A$200,0)),"DA DEFINIRE")</f>
        <v/>
      </c>
      <c r="G65" s="16" t="n">
        <v>36</v>
      </c>
      <c r="H65" s="15" t="n">
        <v>4</v>
      </c>
      <c r="I65" s="15" t="n">
        <v>0</v>
      </c>
      <c r="J65" s="16" t="n">
        <v>144</v>
      </c>
      <c r="K65" s="16" t="n">
        <v>0</v>
      </c>
      <c r="L65" s="16" t="n">
        <v>130.92</v>
      </c>
      <c r="M65" s="16" t="n">
        <v>13.08</v>
      </c>
      <c r="N65" s="23" t="inlineStr">
        <is>
          <t>10/2026</t>
        </is>
      </c>
      <c r="O65" s="15">
        <f>IFERROR(INDEX(Tariffe!$D$2:$D$200,MATCH(E65,Tariffe!$A$2:$A$200,0))*1,0)</f>
        <v/>
      </c>
      <c r="P65" s="15">
        <f>H65*O65</f>
        <v/>
      </c>
    </row>
    <row r="66">
      <c r="A66" s="22" t="inlineStr">
        <is>
          <t>20261029_2215</t>
        </is>
      </c>
      <c r="B66" s="9" t="n">
        <v>46324</v>
      </c>
      <c r="C66" s="10" t="n">
        <v>0.9270833333333334</v>
      </c>
      <c r="D66" s="22" t="inlineStr">
        <is>
          <t>UN Unico</t>
        </is>
      </c>
      <c r="E66" s="22" t="inlineStr">
        <is>
          <t>I8</t>
        </is>
      </c>
      <c r="F66" s="22">
        <f>IFERROR(INDEX(Tariffe!$B$2:$B$200,MATCH(E66,Tariffe!$A$2:$A$200,0)),"DA DEFINIRE")</f>
        <v/>
      </c>
      <c r="G66" s="12" t="n">
        <v>24</v>
      </c>
      <c r="H66" s="11" t="n">
        <v>12</v>
      </c>
      <c r="I66" s="11" t="n">
        <v>0</v>
      </c>
      <c r="J66" s="12" t="n">
        <v>288</v>
      </c>
      <c r="K66" s="12" t="n">
        <v>0</v>
      </c>
      <c r="L66" s="12" t="n">
        <v>261.84</v>
      </c>
      <c r="M66" s="12" t="n">
        <v>26.16</v>
      </c>
      <c r="N66" s="22" t="inlineStr">
        <is>
          <t>10/2026</t>
        </is>
      </c>
      <c r="O66" s="11">
        <f>IFERROR(INDEX(Tariffe!$D$2:$D$200,MATCH(E66,Tariffe!$A$2:$A$200,0))*1,0)</f>
        <v/>
      </c>
      <c r="P66" s="11">
        <f>H66*O66</f>
        <v/>
      </c>
    </row>
    <row r="67">
      <c r="A67" s="23" t="inlineStr">
        <is>
          <t>20261029_2315</t>
        </is>
      </c>
      <c r="B67" s="13" t="n">
        <v>46324</v>
      </c>
      <c r="C67" s="14" t="n">
        <v>0.96875</v>
      </c>
      <c r="D67" s="23" t="inlineStr">
        <is>
          <t>UN Unico</t>
        </is>
      </c>
      <c r="E67" s="23" t="inlineStr">
        <is>
          <t>I1</t>
        </is>
      </c>
      <c r="F67" s="23">
        <f>IFERROR(INDEX(Tariffe!$B$2:$B$200,MATCH(E67,Tariffe!$A$2:$A$200,0)),"DA DEFINIRE")</f>
        <v/>
      </c>
      <c r="G67" s="16" t="n">
        <v>48</v>
      </c>
      <c r="H67" s="15" t="n">
        <v>6</v>
      </c>
      <c r="I67" s="15" t="n">
        <v>0</v>
      </c>
      <c r="J67" s="16" t="n">
        <v>288</v>
      </c>
      <c r="K67" s="16" t="n">
        <v>0</v>
      </c>
      <c r="L67" s="16" t="n">
        <v>261.84</v>
      </c>
      <c r="M67" s="16" t="n">
        <v>26.16</v>
      </c>
      <c r="N67" s="23" t="inlineStr">
        <is>
          <t>10/2026</t>
        </is>
      </c>
      <c r="O67" s="15">
        <f>IFERROR(INDEX(Tariffe!$D$2:$D$200,MATCH(E67,Tariffe!$A$2:$A$200,0))*1,0)</f>
        <v/>
      </c>
      <c r="P67" s="15">
        <f>H67*O67</f>
        <v/>
      </c>
    </row>
    <row r="68">
      <c r="A68" s="22" t="inlineStr">
        <is>
          <t>20261029_2315</t>
        </is>
      </c>
      <c r="B68" s="9" t="n">
        <v>46324</v>
      </c>
      <c r="C68" s="10" t="n">
        <v>0.96875</v>
      </c>
      <c r="D68" s="22" t="inlineStr">
        <is>
          <t>UN Unico</t>
        </is>
      </c>
      <c r="E68" s="22" t="inlineStr">
        <is>
          <t>I2</t>
        </is>
      </c>
      <c r="F68" s="22">
        <f>IFERROR(INDEX(Tariffe!$B$2:$B$200,MATCH(E68,Tariffe!$A$2:$A$200,0)),"DA DEFINIRE")</f>
        <v/>
      </c>
      <c r="G68" s="12" t="n">
        <v>36</v>
      </c>
      <c r="H68" s="11" t="n">
        <v>1</v>
      </c>
      <c r="I68" s="11" t="n">
        <v>0</v>
      </c>
      <c r="J68" s="12" t="n">
        <v>36</v>
      </c>
      <c r="K68" s="12" t="n">
        <v>0</v>
      </c>
      <c r="L68" s="12" t="n">
        <v>32.73</v>
      </c>
      <c r="M68" s="12" t="n">
        <v>3.27</v>
      </c>
      <c r="N68" s="22" t="inlineStr">
        <is>
          <t>10/2026</t>
        </is>
      </c>
      <c r="O68" s="11">
        <f>IFERROR(INDEX(Tariffe!$D$2:$D$200,MATCH(E68,Tariffe!$A$2:$A$200,0))*1,0)</f>
        <v/>
      </c>
      <c r="P68" s="11">
        <f>H68*O68</f>
        <v/>
      </c>
    </row>
    <row r="69">
      <c r="A69" s="23" t="inlineStr">
        <is>
          <t>20261029_2315</t>
        </is>
      </c>
      <c r="B69" s="13" t="n">
        <v>46324</v>
      </c>
      <c r="C69" s="14" t="n">
        <v>0.96875</v>
      </c>
      <c r="D69" s="23" t="inlineStr">
        <is>
          <t>UN Unico</t>
        </is>
      </c>
      <c r="E69" s="23" t="inlineStr">
        <is>
          <t>I5</t>
        </is>
      </c>
      <c r="F69" s="23">
        <f>IFERROR(INDEX(Tariffe!$B$2:$B$200,MATCH(E69,Tariffe!$A$2:$A$200,0)),"DA DEFINIRE")</f>
        <v/>
      </c>
      <c r="G69" s="16" t="n">
        <v>60</v>
      </c>
      <c r="H69" s="15" t="n">
        <v>4</v>
      </c>
      <c r="I69" s="15" t="n">
        <v>0</v>
      </c>
      <c r="J69" s="16" t="n">
        <v>240</v>
      </c>
      <c r="K69" s="16" t="n">
        <v>0</v>
      </c>
      <c r="L69" s="16" t="n">
        <v>218.2</v>
      </c>
      <c r="M69" s="16" t="n">
        <v>21.8</v>
      </c>
      <c r="N69" s="23" t="inlineStr">
        <is>
          <t>10/2026</t>
        </is>
      </c>
      <c r="O69" s="15">
        <f>IFERROR(INDEX(Tariffe!$D$2:$D$200,MATCH(E69,Tariffe!$A$2:$A$200,0))*1,0)</f>
        <v/>
      </c>
      <c r="P69" s="15">
        <f>H69*O69</f>
        <v/>
      </c>
    </row>
    <row r="70">
      <c r="A70" s="22" t="inlineStr">
        <is>
          <t>20261029_2315</t>
        </is>
      </c>
      <c r="B70" s="9" t="n">
        <v>46324</v>
      </c>
      <c r="C70" s="10" t="n">
        <v>0.96875</v>
      </c>
      <c r="D70" s="22" t="inlineStr">
        <is>
          <t>UN Unico</t>
        </is>
      </c>
      <c r="E70" s="22" t="inlineStr">
        <is>
          <t>I8</t>
        </is>
      </c>
      <c r="F70" s="22">
        <f>IFERROR(INDEX(Tariffe!$B$2:$B$200,MATCH(E70,Tariffe!$A$2:$A$200,0)),"DA DEFINIRE")</f>
        <v/>
      </c>
      <c r="G70" s="12" t="n">
        <v>24</v>
      </c>
      <c r="H70" s="11" t="n">
        <v>5</v>
      </c>
      <c r="I70" s="11" t="n">
        <v>0</v>
      </c>
      <c r="J70" s="12" t="n">
        <v>120</v>
      </c>
      <c r="K70" s="12" t="n">
        <v>0</v>
      </c>
      <c r="L70" s="12" t="n">
        <v>109.1</v>
      </c>
      <c r="M70" s="12" t="n">
        <v>10.9</v>
      </c>
      <c r="N70" s="22" t="inlineStr">
        <is>
          <t>10/2026</t>
        </is>
      </c>
      <c r="O70" s="11">
        <f>IFERROR(INDEX(Tariffe!$D$2:$D$200,MATCH(E70,Tariffe!$A$2:$A$200,0))*1,0)</f>
        <v/>
      </c>
      <c r="P70" s="11">
        <f>H70*O70</f>
        <v/>
      </c>
    </row>
    <row r="71">
      <c r="A71" s="23" t="inlineStr">
        <is>
          <t>20261029_2359</t>
        </is>
      </c>
      <c r="B71" s="13" t="n">
        <v>46324</v>
      </c>
      <c r="C71" s="14" t="n">
        <v>0.9993055555555556</v>
      </c>
      <c r="D71" s="23" t="inlineStr">
        <is>
          <t>UN Unico</t>
        </is>
      </c>
      <c r="E71" s="23" t="inlineStr">
        <is>
          <t>I1</t>
        </is>
      </c>
      <c r="F71" s="23">
        <f>IFERROR(INDEX(Tariffe!$B$2:$B$200,MATCH(E71,Tariffe!$A$2:$A$200,0)),"DA DEFINIRE")</f>
        <v/>
      </c>
      <c r="G71" s="16" t="n">
        <v>48</v>
      </c>
      <c r="H71" s="15" t="n">
        <v>1</v>
      </c>
      <c r="I71" s="15" t="n">
        <v>0</v>
      </c>
      <c r="J71" s="16" t="n">
        <v>48</v>
      </c>
      <c r="K71" s="16" t="n">
        <v>0</v>
      </c>
      <c r="L71" s="16" t="n">
        <v>43.64</v>
      </c>
      <c r="M71" s="16" t="n">
        <v>4.36</v>
      </c>
      <c r="N71" s="23" t="inlineStr">
        <is>
          <t>10/2026</t>
        </is>
      </c>
      <c r="O71" s="15">
        <f>IFERROR(INDEX(Tariffe!$D$2:$D$200,MATCH(E71,Tariffe!$A$2:$A$200,0))*1,0)</f>
        <v/>
      </c>
      <c r="P71" s="15">
        <f>H71*O71</f>
        <v/>
      </c>
    </row>
    <row r="72">
      <c r="A72" s="22" t="inlineStr">
        <is>
          <t>20261029_2359</t>
        </is>
      </c>
      <c r="B72" s="9" t="n">
        <v>46324</v>
      </c>
      <c r="C72" s="10" t="n">
        <v>0.9993055555555556</v>
      </c>
      <c r="D72" s="22" t="inlineStr">
        <is>
          <t>UN Unico</t>
        </is>
      </c>
      <c r="E72" s="22" t="inlineStr">
        <is>
          <t>I8</t>
        </is>
      </c>
      <c r="F72" s="22">
        <f>IFERROR(INDEX(Tariffe!$B$2:$B$200,MATCH(E72,Tariffe!$A$2:$A$200,0)),"DA DEFINIRE")</f>
        <v/>
      </c>
      <c r="G72" s="12" t="n">
        <v>24</v>
      </c>
      <c r="H72" s="11" t="n">
        <v>3</v>
      </c>
      <c r="I72" s="11" t="n">
        <v>0</v>
      </c>
      <c r="J72" s="12" t="n">
        <v>72</v>
      </c>
      <c r="K72" s="12" t="n">
        <v>0</v>
      </c>
      <c r="L72" s="12" t="n">
        <v>65.45999999999999</v>
      </c>
      <c r="M72" s="12" t="n">
        <v>6.54</v>
      </c>
      <c r="N72" s="22" t="inlineStr">
        <is>
          <t>10/2026</t>
        </is>
      </c>
      <c r="O72" s="11">
        <f>IFERROR(INDEX(Tariffe!$D$2:$D$200,MATCH(E72,Tariffe!$A$2:$A$200,0))*1,0)</f>
        <v/>
      </c>
      <c r="P72" s="11">
        <f>H72*O72</f>
        <v/>
      </c>
    </row>
    <row r="73">
      <c r="A73" s="23" t="inlineStr">
        <is>
          <t>20261030_2015</t>
        </is>
      </c>
      <c r="B73" s="13" t="n">
        <v>46325</v>
      </c>
      <c r="C73" s="14" t="n">
        <v>0.84375</v>
      </c>
      <c r="D73" s="23" t="inlineStr">
        <is>
          <t>UN Unico</t>
        </is>
      </c>
      <c r="E73" s="23" t="inlineStr">
        <is>
          <t>I1</t>
        </is>
      </c>
      <c r="F73" s="23">
        <f>IFERROR(INDEX(Tariffe!$B$2:$B$200,MATCH(E73,Tariffe!$A$2:$A$200,0)),"DA DEFINIRE")</f>
        <v/>
      </c>
      <c r="G73" s="16" t="n">
        <v>48</v>
      </c>
      <c r="H73" s="15" t="n">
        <v>1</v>
      </c>
      <c r="I73" s="15" t="n">
        <v>0</v>
      </c>
      <c r="J73" s="16" t="n">
        <v>48</v>
      </c>
      <c r="K73" s="16" t="n">
        <v>0</v>
      </c>
      <c r="L73" s="16" t="n">
        <v>43.64</v>
      </c>
      <c r="M73" s="16" t="n">
        <v>4.36</v>
      </c>
      <c r="N73" s="23" t="inlineStr">
        <is>
          <t>10/2026</t>
        </is>
      </c>
      <c r="O73" s="15">
        <f>IFERROR(INDEX(Tariffe!$D$2:$D$200,MATCH(E73,Tariffe!$A$2:$A$200,0))*1,0)</f>
        <v/>
      </c>
      <c r="P73" s="15">
        <f>H73*O73</f>
        <v/>
      </c>
    </row>
    <row r="74">
      <c r="A74" s="22" t="inlineStr">
        <is>
          <t>20261030_2015</t>
        </is>
      </c>
      <c r="B74" s="9" t="n">
        <v>46325</v>
      </c>
      <c r="C74" s="10" t="n">
        <v>0.84375</v>
      </c>
      <c r="D74" s="22" t="inlineStr">
        <is>
          <t>UN Unico</t>
        </is>
      </c>
      <c r="E74" s="22" t="inlineStr">
        <is>
          <t>I8</t>
        </is>
      </c>
      <c r="F74" s="22">
        <f>IFERROR(INDEX(Tariffe!$B$2:$B$200,MATCH(E74,Tariffe!$A$2:$A$200,0)),"DA DEFINIRE")</f>
        <v/>
      </c>
      <c r="G74" s="12" t="n">
        <v>24</v>
      </c>
      <c r="H74" s="11" t="n">
        <v>2</v>
      </c>
      <c r="I74" s="11" t="n">
        <v>0</v>
      </c>
      <c r="J74" s="12" t="n">
        <v>48</v>
      </c>
      <c r="K74" s="12" t="n">
        <v>0</v>
      </c>
      <c r="L74" s="12" t="n">
        <v>43.64</v>
      </c>
      <c r="M74" s="12" t="n">
        <v>4.36</v>
      </c>
      <c r="N74" s="22" t="inlineStr">
        <is>
          <t>10/2026</t>
        </is>
      </c>
      <c r="O74" s="11">
        <f>IFERROR(INDEX(Tariffe!$D$2:$D$200,MATCH(E74,Tariffe!$A$2:$A$200,0))*1,0)</f>
        <v/>
      </c>
      <c r="P74" s="11">
        <f>H74*O74</f>
        <v/>
      </c>
    </row>
    <row r="75">
      <c r="A75" s="23" t="inlineStr">
        <is>
          <t>20261030_2115</t>
        </is>
      </c>
      <c r="B75" s="13" t="n">
        <v>46325</v>
      </c>
      <c r="C75" s="14" t="n">
        <v>0.8854166666666666</v>
      </c>
      <c r="D75" s="23" t="inlineStr">
        <is>
          <t>UN Unico</t>
        </is>
      </c>
      <c r="E75" s="23" t="inlineStr">
        <is>
          <t>I1</t>
        </is>
      </c>
      <c r="F75" s="23">
        <f>IFERROR(INDEX(Tariffe!$B$2:$B$200,MATCH(E75,Tariffe!$A$2:$A$200,0)),"DA DEFINIRE")</f>
        <v/>
      </c>
      <c r="G75" s="16" t="n">
        <v>48</v>
      </c>
      <c r="H75" s="15" t="n">
        <v>1</v>
      </c>
      <c r="I75" s="15" t="n">
        <v>0</v>
      </c>
      <c r="J75" s="16" t="n">
        <v>48</v>
      </c>
      <c r="K75" s="16" t="n">
        <v>0</v>
      </c>
      <c r="L75" s="16" t="n">
        <v>43.64</v>
      </c>
      <c r="M75" s="16" t="n">
        <v>4.36</v>
      </c>
      <c r="N75" s="23" t="inlineStr">
        <is>
          <t>10/2026</t>
        </is>
      </c>
      <c r="O75" s="15">
        <f>IFERROR(INDEX(Tariffe!$D$2:$D$200,MATCH(E75,Tariffe!$A$2:$A$200,0))*1,0)</f>
        <v/>
      </c>
      <c r="P75" s="15">
        <f>H75*O75</f>
        <v/>
      </c>
    </row>
    <row r="76">
      <c r="A76" s="22" t="inlineStr">
        <is>
          <t>20261030_2115</t>
        </is>
      </c>
      <c r="B76" s="9" t="n">
        <v>46325</v>
      </c>
      <c r="C76" s="10" t="n">
        <v>0.8854166666666666</v>
      </c>
      <c r="D76" s="22" t="inlineStr">
        <is>
          <t>UN Unico</t>
        </is>
      </c>
      <c r="E76" s="22" t="inlineStr">
        <is>
          <t>I8</t>
        </is>
      </c>
      <c r="F76" s="22">
        <f>IFERROR(INDEX(Tariffe!$B$2:$B$200,MATCH(E76,Tariffe!$A$2:$A$200,0)),"DA DEFINIRE")</f>
        <v/>
      </c>
      <c r="G76" s="12" t="n">
        <v>24</v>
      </c>
      <c r="H76" s="11" t="n">
        <v>4</v>
      </c>
      <c r="I76" s="11" t="n">
        <v>0</v>
      </c>
      <c r="J76" s="12" t="n">
        <v>96</v>
      </c>
      <c r="K76" s="12" t="n">
        <v>0</v>
      </c>
      <c r="L76" s="12" t="n">
        <v>87.28</v>
      </c>
      <c r="M76" s="12" t="n">
        <v>8.720000000000001</v>
      </c>
      <c r="N76" s="22" t="inlineStr">
        <is>
          <t>10/2026</t>
        </is>
      </c>
      <c r="O76" s="11">
        <f>IFERROR(INDEX(Tariffe!$D$2:$D$200,MATCH(E76,Tariffe!$A$2:$A$200,0))*1,0)</f>
        <v/>
      </c>
      <c r="P76" s="11">
        <f>H76*O76</f>
        <v/>
      </c>
    </row>
    <row r="77">
      <c r="A77" s="23" t="inlineStr">
        <is>
          <t>20261030_2215</t>
        </is>
      </c>
      <c r="B77" s="13" t="n">
        <v>46325</v>
      </c>
      <c r="C77" s="14" t="n">
        <v>0.9270833333333334</v>
      </c>
      <c r="D77" s="23" t="inlineStr">
        <is>
          <t>UN Unico</t>
        </is>
      </c>
      <c r="E77" s="23" t="inlineStr">
        <is>
          <t>I1</t>
        </is>
      </c>
      <c r="F77" s="23">
        <f>IFERROR(INDEX(Tariffe!$B$2:$B$200,MATCH(E77,Tariffe!$A$2:$A$200,0)),"DA DEFINIRE")</f>
        <v/>
      </c>
      <c r="G77" s="16" t="n">
        <v>48</v>
      </c>
      <c r="H77" s="15" t="n">
        <v>9</v>
      </c>
      <c r="I77" s="15" t="n">
        <v>0</v>
      </c>
      <c r="J77" s="16" t="n">
        <v>432</v>
      </c>
      <c r="K77" s="16" t="n">
        <v>0</v>
      </c>
      <c r="L77" s="16" t="n">
        <v>392.76</v>
      </c>
      <c r="M77" s="16" t="n">
        <v>39.24</v>
      </c>
      <c r="N77" s="23" t="inlineStr">
        <is>
          <t>10/2026</t>
        </is>
      </c>
      <c r="O77" s="15">
        <f>IFERROR(INDEX(Tariffe!$D$2:$D$200,MATCH(E77,Tariffe!$A$2:$A$200,0))*1,0)</f>
        <v/>
      </c>
      <c r="P77" s="15">
        <f>H77*O77</f>
        <v/>
      </c>
    </row>
    <row r="78">
      <c r="A78" s="22" t="inlineStr">
        <is>
          <t>20261030_2215</t>
        </is>
      </c>
      <c r="B78" s="9" t="n">
        <v>46325</v>
      </c>
      <c r="C78" s="10" t="n">
        <v>0.9270833333333334</v>
      </c>
      <c r="D78" s="22" t="inlineStr">
        <is>
          <t>UN Unico</t>
        </is>
      </c>
      <c r="E78" s="22" t="inlineStr">
        <is>
          <t>I2</t>
        </is>
      </c>
      <c r="F78" s="22">
        <f>IFERROR(INDEX(Tariffe!$B$2:$B$200,MATCH(E78,Tariffe!$A$2:$A$200,0)),"DA DEFINIRE")</f>
        <v/>
      </c>
      <c r="G78" s="12" t="n">
        <v>36</v>
      </c>
      <c r="H78" s="11" t="n">
        <v>2</v>
      </c>
      <c r="I78" s="11" t="n">
        <v>0</v>
      </c>
      <c r="J78" s="12" t="n">
        <v>72</v>
      </c>
      <c r="K78" s="12" t="n">
        <v>0</v>
      </c>
      <c r="L78" s="12" t="n">
        <v>65.45999999999999</v>
      </c>
      <c r="M78" s="12" t="n">
        <v>6.54</v>
      </c>
      <c r="N78" s="22" t="inlineStr">
        <is>
          <t>10/2026</t>
        </is>
      </c>
      <c r="O78" s="11">
        <f>IFERROR(INDEX(Tariffe!$D$2:$D$200,MATCH(E78,Tariffe!$A$2:$A$200,0))*1,0)</f>
        <v/>
      </c>
      <c r="P78" s="11">
        <f>H78*O78</f>
        <v/>
      </c>
    </row>
    <row r="79">
      <c r="A79" s="23" t="inlineStr">
        <is>
          <t>20261030_2215</t>
        </is>
      </c>
      <c r="B79" s="13" t="n">
        <v>46325</v>
      </c>
      <c r="C79" s="14" t="n">
        <v>0.9270833333333334</v>
      </c>
      <c r="D79" s="23" t="inlineStr">
        <is>
          <t>UN Unico</t>
        </is>
      </c>
      <c r="E79" s="23" t="inlineStr">
        <is>
          <t>I8</t>
        </is>
      </c>
      <c r="F79" s="23">
        <f>IFERROR(INDEX(Tariffe!$B$2:$B$200,MATCH(E79,Tariffe!$A$2:$A$200,0)),"DA DEFINIRE")</f>
        <v/>
      </c>
      <c r="G79" s="16" t="n">
        <v>24</v>
      </c>
      <c r="H79" s="15" t="n">
        <v>10</v>
      </c>
      <c r="I79" s="15" t="n">
        <v>3</v>
      </c>
      <c r="J79" s="16" t="n">
        <v>240</v>
      </c>
      <c r="K79" s="16" t="n">
        <v>0</v>
      </c>
      <c r="L79" s="16" t="n">
        <v>218.2</v>
      </c>
      <c r="M79" s="16" t="n">
        <v>21.8</v>
      </c>
      <c r="N79" s="23" t="inlineStr">
        <is>
          <t>10/2026</t>
        </is>
      </c>
      <c r="O79" s="15">
        <f>IFERROR(INDEX(Tariffe!$D$2:$D$200,MATCH(E79,Tariffe!$A$2:$A$200,0))*1,0)</f>
        <v/>
      </c>
      <c r="P79" s="15">
        <f>H79*O79</f>
        <v/>
      </c>
    </row>
    <row r="80">
      <c r="A80" s="22" t="inlineStr">
        <is>
          <t>20261030_2315</t>
        </is>
      </c>
      <c r="B80" s="9" t="n">
        <v>46325</v>
      </c>
      <c r="C80" s="10" t="n">
        <v>0.96875</v>
      </c>
      <c r="D80" s="22" t="inlineStr">
        <is>
          <t>UN Unico</t>
        </is>
      </c>
      <c r="E80" s="22" t="inlineStr">
        <is>
          <t>I1</t>
        </is>
      </c>
      <c r="F80" s="22">
        <f>IFERROR(INDEX(Tariffe!$B$2:$B$200,MATCH(E80,Tariffe!$A$2:$A$200,0)),"DA DEFINIRE")</f>
        <v/>
      </c>
      <c r="G80" s="12" t="n">
        <v>48</v>
      </c>
      <c r="H80" s="11" t="n">
        <v>4</v>
      </c>
      <c r="I80" s="11" t="n">
        <v>0</v>
      </c>
      <c r="J80" s="12" t="n">
        <v>192</v>
      </c>
      <c r="K80" s="12" t="n">
        <v>0</v>
      </c>
      <c r="L80" s="12" t="n">
        <v>174.56</v>
      </c>
      <c r="M80" s="12" t="n">
        <v>17.44</v>
      </c>
      <c r="N80" s="22" t="inlineStr">
        <is>
          <t>10/2026</t>
        </is>
      </c>
      <c r="O80" s="11">
        <f>IFERROR(INDEX(Tariffe!$D$2:$D$200,MATCH(E80,Tariffe!$A$2:$A$200,0))*1,0)</f>
        <v/>
      </c>
      <c r="P80" s="11">
        <f>H80*O80</f>
        <v/>
      </c>
    </row>
    <row r="81">
      <c r="A81" s="23" t="inlineStr">
        <is>
          <t>20261030_2315</t>
        </is>
      </c>
      <c r="B81" s="13" t="n">
        <v>46325</v>
      </c>
      <c r="C81" s="14" t="n">
        <v>0.96875</v>
      </c>
      <c r="D81" s="23" t="inlineStr">
        <is>
          <t>UN Unico</t>
        </is>
      </c>
      <c r="E81" s="23" t="inlineStr">
        <is>
          <t>I2</t>
        </is>
      </c>
      <c r="F81" s="23">
        <f>IFERROR(INDEX(Tariffe!$B$2:$B$200,MATCH(E81,Tariffe!$A$2:$A$200,0)),"DA DEFINIRE")</f>
        <v/>
      </c>
      <c r="G81" s="16" t="n">
        <v>36</v>
      </c>
      <c r="H81" s="15" t="n">
        <v>1</v>
      </c>
      <c r="I81" s="15" t="n">
        <v>0</v>
      </c>
      <c r="J81" s="16" t="n">
        <v>36</v>
      </c>
      <c r="K81" s="16" t="n">
        <v>0</v>
      </c>
      <c r="L81" s="16" t="n">
        <v>32.73</v>
      </c>
      <c r="M81" s="16" t="n">
        <v>3.27</v>
      </c>
      <c r="N81" s="23" t="inlineStr">
        <is>
          <t>10/2026</t>
        </is>
      </c>
      <c r="O81" s="15">
        <f>IFERROR(INDEX(Tariffe!$D$2:$D$200,MATCH(E81,Tariffe!$A$2:$A$200,0))*1,0)</f>
        <v/>
      </c>
      <c r="P81" s="15">
        <f>H81*O81</f>
        <v/>
      </c>
    </row>
    <row r="82">
      <c r="A82" s="22" t="inlineStr">
        <is>
          <t>20261030_2315</t>
        </is>
      </c>
      <c r="B82" s="9" t="n">
        <v>46325</v>
      </c>
      <c r="C82" s="10" t="n">
        <v>0.96875</v>
      </c>
      <c r="D82" s="22" t="inlineStr">
        <is>
          <t>UN Unico</t>
        </is>
      </c>
      <c r="E82" s="22" t="inlineStr">
        <is>
          <t>I5</t>
        </is>
      </c>
      <c r="F82" s="22">
        <f>IFERROR(INDEX(Tariffe!$B$2:$B$200,MATCH(E82,Tariffe!$A$2:$A$200,0)),"DA DEFINIRE")</f>
        <v/>
      </c>
      <c r="G82" s="12" t="n">
        <v>60</v>
      </c>
      <c r="H82" s="11" t="n">
        <v>1</v>
      </c>
      <c r="I82" s="11" t="n">
        <v>0</v>
      </c>
      <c r="J82" s="12" t="n">
        <v>60</v>
      </c>
      <c r="K82" s="12" t="n">
        <v>0</v>
      </c>
      <c r="L82" s="12" t="n">
        <v>54.55</v>
      </c>
      <c r="M82" s="12" t="n">
        <v>5.45</v>
      </c>
      <c r="N82" s="22" t="inlineStr">
        <is>
          <t>10/2026</t>
        </is>
      </c>
      <c r="O82" s="11">
        <f>IFERROR(INDEX(Tariffe!$D$2:$D$200,MATCH(E82,Tariffe!$A$2:$A$200,0))*1,0)</f>
        <v/>
      </c>
      <c r="P82" s="11">
        <f>H82*O82</f>
        <v/>
      </c>
    </row>
    <row r="83">
      <c r="A83" s="23" t="inlineStr">
        <is>
          <t>20261030_2315</t>
        </is>
      </c>
      <c r="B83" s="13" t="n">
        <v>46325</v>
      </c>
      <c r="C83" s="14" t="n">
        <v>0.96875</v>
      </c>
      <c r="D83" s="23" t="inlineStr">
        <is>
          <t>UN Unico</t>
        </is>
      </c>
      <c r="E83" s="23" t="inlineStr">
        <is>
          <t>I8</t>
        </is>
      </c>
      <c r="F83" s="23">
        <f>IFERROR(INDEX(Tariffe!$B$2:$B$200,MATCH(E83,Tariffe!$A$2:$A$200,0)),"DA DEFINIRE")</f>
        <v/>
      </c>
      <c r="G83" s="16" t="n">
        <v>24</v>
      </c>
      <c r="H83" s="15" t="n">
        <v>5</v>
      </c>
      <c r="I83" s="15" t="n">
        <v>0</v>
      </c>
      <c r="J83" s="16" t="n">
        <v>120</v>
      </c>
      <c r="K83" s="16" t="n">
        <v>0</v>
      </c>
      <c r="L83" s="16" t="n">
        <v>109.1</v>
      </c>
      <c r="M83" s="16" t="n">
        <v>10.9</v>
      </c>
      <c r="N83" s="23" t="inlineStr">
        <is>
          <t>10/2026</t>
        </is>
      </c>
      <c r="O83" s="15">
        <f>IFERROR(INDEX(Tariffe!$D$2:$D$200,MATCH(E83,Tariffe!$A$2:$A$200,0))*1,0)</f>
        <v/>
      </c>
      <c r="P83" s="15">
        <f>H83*O83</f>
        <v/>
      </c>
    </row>
    <row r="84">
      <c r="A84" s="22" t="inlineStr">
        <is>
          <t>20261030_2359</t>
        </is>
      </c>
      <c r="B84" s="9" t="n">
        <v>46325</v>
      </c>
      <c r="C84" s="10" t="n">
        <v>0.9993055555555556</v>
      </c>
      <c r="D84" s="22" t="inlineStr">
        <is>
          <t>UN Unico</t>
        </is>
      </c>
      <c r="E84" s="22" t="inlineStr">
        <is>
          <t>I1</t>
        </is>
      </c>
      <c r="F84" s="22">
        <f>IFERROR(INDEX(Tariffe!$B$2:$B$200,MATCH(E84,Tariffe!$A$2:$A$200,0)),"DA DEFINIRE")</f>
        <v/>
      </c>
      <c r="G84" s="12" t="n">
        <v>48</v>
      </c>
      <c r="H84" s="11" t="n">
        <v>1</v>
      </c>
      <c r="I84" s="11" t="n">
        <v>0</v>
      </c>
      <c r="J84" s="12" t="n">
        <v>48</v>
      </c>
      <c r="K84" s="12" t="n">
        <v>0</v>
      </c>
      <c r="L84" s="12" t="n">
        <v>43.64</v>
      </c>
      <c r="M84" s="12" t="n">
        <v>4.36</v>
      </c>
      <c r="N84" s="22" t="inlineStr">
        <is>
          <t>10/2026</t>
        </is>
      </c>
      <c r="O84" s="11">
        <f>IFERROR(INDEX(Tariffe!$D$2:$D$200,MATCH(E84,Tariffe!$A$2:$A$200,0))*1,0)</f>
        <v/>
      </c>
      <c r="P84" s="11">
        <f>H84*O84</f>
        <v/>
      </c>
    </row>
    <row r="85">
      <c r="A85" s="23" t="inlineStr">
        <is>
          <t>20261030_2359</t>
        </is>
      </c>
      <c r="B85" s="13" t="n">
        <v>46325</v>
      </c>
      <c r="C85" s="14" t="n">
        <v>0.9993055555555556</v>
      </c>
      <c r="D85" s="23" t="inlineStr">
        <is>
          <t>UN Unico</t>
        </is>
      </c>
      <c r="E85" s="23" t="inlineStr">
        <is>
          <t>I5</t>
        </is>
      </c>
      <c r="F85" s="23">
        <f>IFERROR(INDEX(Tariffe!$B$2:$B$200,MATCH(E85,Tariffe!$A$2:$A$200,0)),"DA DEFINIRE")</f>
        <v/>
      </c>
      <c r="G85" s="16" t="n">
        <v>60</v>
      </c>
      <c r="H85" s="15" t="n">
        <v>1</v>
      </c>
      <c r="I85" s="15" t="n">
        <v>0</v>
      </c>
      <c r="J85" s="16" t="n">
        <v>60</v>
      </c>
      <c r="K85" s="16" t="n">
        <v>0</v>
      </c>
      <c r="L85" s="16" t="n">
        <v>54.55</v>
      </c>
      <c r="M85" s="16" t="n">
        <v>5.45</v>
      </c>
      <c r="N85" s="23" t="inlineStr">
        <is>
          <t>10/2026</t>
        </is>
      </c>
      <c r="O85" s="15">
        <f>IFERROR(INDEX(Tariffe!$D$2:$D$200,MATCH(E85,Tariffe!$A$2:$A$200,0))*1,0)</f>
        <v/>
      </c>
      <c r="P85" s="15">
        <f>H85*O85</f>
        <v/>
      </c>
    </row>
    <row r="86">
      <c r="A86" s="22" t="inlineStr">
        <is>
          <t>20261030_2359</t>
        </is>
      </c>
      <c r="B86" s="9" t="n">
        <v>46325</v>
      </c>
      <c r="C86" s="10" t="n">
        <v>0.9993055555555556</v>
      </c>
      <c r="D86" s="22" t="inlineStr">
        <is>
          <t>UN Unico</t>
        </is>
      </c>
      <c r="E86" s="22" t="inlineStr">
        <is>
          <t>I8</t>
        </is>
      </c>
      <c r="F86" s="22">
        <f>IFERROR(INDEX(Tariffe!$B$2:$B$200,MATCH(E86,Tariffe!$A$2:$A$200,0)),"DA DEFINIRE")</f>
        <v/>
      </c>
      <c r="G86" s="12" t="n">
        <v>24</v>
      </c>
      <c r="H86" s="11" t="n">
        <v>7</v>
      </c>
      <c r="I86" s="11" t="n">
        <v>0</v>
      </c>
      <c r="J86" s="12" t="n">
        <v>168</v>
      </c>
      <c r="K86" s="12" t="n">
        <v>0</v>
      </c>
      <c r="L86" s="12" t="n">
        <v>152.74</v>
      </c>
      <c r="M86" s="12" t="n">
        <v>15.26</v>
      </c>
      <c r="N86" s="22" t="inlineStr">
        <is>
          <t>10/2026</t>
        </is>
      </c>
      <c r="O86" s="11">
        <f>IFERROR(INDEX(Tariffe!$D$2:$D$200,MATCH(E86,Tariffe!$A$2:$A$200,0))*1,0)</f>
        <v/>
      </c>
      <c r="P86" s="11">
        <f>H86*O86</f>
        <v/>
      </c>
    </row>
    <row r="87">
      <c r="A87" s="23" t="inlineStr">
        <is>
          <t>20261031_2015</t>
        </is>
      </c>
      <c r="B87" s="13" t="n">
        <v>46326</v>
      </c>
      <c r="C87" s="14" t="n">
        <v>0.84375</v>
      </c>
      <c r="D87" s="23" t="inlineStr">
        <is>
          <t>UN Unico</t>
        </is>
      </c>
      <c r="E87" s="23" t="inlineStr">
        <is>
          <t>I1</t>
        </is>
      </c>
      <c r="F87" s="23">
        <f>IFERROR(INDEX(Tariffe!$B$2:$B$200,MATCH(E87,Tariffe!$A$2:$A$200,0)),"DA DEFINIRE")</f>
        <v/>
      </c>
      <c r="G87" s="16" t="n">
        <v>48</v>
      </c>
      <c r="H87" s="15" t="n">
        <v>4</v>
      </c>
      <c r="I87" s="15" t="n">
        <v>0</v>
      </c>
      <c r="J87" s="16" t="n">
        <v>192</v>
      </c>
      <c r="K87" s="16" t="n">
        <v>0</v>
      </c>
      <c r="L87" s="16" t="n">
        <v>174.56</v>
      </c>
      <c r="M87" s="16" t="n">
        <v>17.44</v>
      </c>
      <c r="N87" s="23" t="inlineStr">
        <is>
          <t>10/2026</t>
        </is>
      </c>
      <c r="O87" s="15">
        <f>IFERROR(INDEX(Tariffe!$D$2:$D$200,MATCH(E87,Tariffe!$A$2:$A$200,0))*1,0)</f>
        <v/>
      </c>
      <c r="P87" s="15">
        <f>H87*O87</f>
        <v/>
      </c>
    </row>
    <row r="88">
      <c r="A88" s="22" t="inlineStr">
        <is>
          <t>20261031_2015</t>
        </is>
      </c>
      <c r="B88" s="9" t="n">
        <v>46326</v>
      </c>
      <c r="C88" s="10" t="n">
        <v>0.84375</v>
      </c>
      <c r="D88" s="22" t="inlineStr">
        <is>
          <t>UN Unico</t>
        </is>
      </c>
      <c r="E88" s="22" t="inlineStr">
        <is>
          <t>I2</t>
        </is>
      </c>
      <c r="F88" s="22">
        <f>IFERROR(INDEX(Tariffe!$B$2:$B$200,MATCH(E88,Tariffe!$A$2:$A$200,0)),"DA DEFINIRE")</f>
        <v/>
      </c>
      <c r="G88" s="12" t="n">
        <v>36</v>
      </c>
      <c r="H88" s="11" t="n">
        <v>1</v>
      </c>
      <c r="I88" s="11" t="n">
        <v>0</v>
      </c>
      <c r="J88" s="12" t="n">
        <v>36</v>
      </c>
      <c r="K88" s="12" t="n">
        <v>0</v>
      </c>
      <c r="L88" s="12" t="n">
        <v>32.73</v>
      </c>
      <c r="M88" s="12" t="n">
        <v>3.27</v>
      </c>
      <c r="N88" s="22" t="inlineStr">
        <is>
          <t>10/2026</t>
        </is>
      </c>
      <c r="O88" s="11">
        <f>IFERROR(INDEX(Tariffe!$D$2:$D$200,MATCH(E88,Tariffe!$A$2:$A$200,0))*1,0)</f>
        <v/>
      </c>
      <c r="P88" s="11">
        <f>H88*O88</f>
        <v/>
      </c>
    </row>
    <row r="89">
      <c r="A89" s="23" t="inlineStr">
        <is>
          <t>20261031_2015</t>
        </is>
      </c>
      <c r="B89" s="13" t="n">
        <v>46326</v>
      </c>
      <c r="C89" s="14" t="n">
        <v>0.84375</v>
      </c>
      <c r="D89" s="23" t="inlineStr">
        <is>
          <t>UN Unico</t>
        </is>
      </c>
      <c r="E89" s="23" t="inlineStr">
        <is>
          <t>I5</t>
        </is>
      </c>
      <c r="F89" s="23">
        <f>IFERROR(INDEX(Tariffe!$B$2:$B$200,MATCH(E89,Tariffe!$A$2:$A$200,0)),"DA DEFINIRE")</f>
        <v/>
      </c>
      <c r="G89" s="16" t="n">
        <v>60</v>
      </c>
      <c r="H89" s="15" t="n">
        <v>3</v>
      </c>
      <c r="I89" s="15" t="n">
        <v>2</v>
      </c>
      <c r="J89" s="16" t="n">
        <v>180</v>
      </c>
      <c r="K89" s="16" t="n">
        <v>0</v>
      </c>
      <c r="L89" s="16" t="n">
        <v>163.65</v>
      </c>
      <c r="M89" s="16" t="n">
        <v>16.35</v>
      </c>
      <c r="N89" s="23" t="inlineStr">
        <is>
          <t>10/2026</t>
        </is>
      </c>
      <c r="O89" s="15">
        <f>IFERROR(INDEX(Tariffe!$D$2:$D$200,MATCH(E89,Tariffe!$A$2:$A$200,0))*1,0)</f>
        <v/>
      </c>
      <c r="P89" s="15">
        <f>H89*O89</f>
        <v/>
      </c>
    </row>
    <row r="90">
      <c r="A90" s="22" t="inlineStr">
        <is>
          <t>20261031_2015</t>
        </is>
      </c>
      <c r="B90" s="9" t="n">
        <v>46326</v>
      </c>
      <c r="C90" s="10" t="n">
        <v>0.84375</v>
      </c>
      <c r="D90" s="22" t="inlineStr">
        <is>
          <t>UN Unico</t>
        </is>
      </c>
      <c r="E90" s="22" t="inlineStr">
        <is>
          <t>I8</t>
        </is>
      </c>
      <c r="F90" s="22">
        <f>IFERROR(INDEX(Tariffe!$B$2:$B$200,MATCH(E90,Tariffe!$A$2:$A$200,0)),"DA DEFINIRE")</f>
        <v/>
      </c>
      <c r="G90" s="12" t="n">
        <v>24</v>
      </c>
      <c r="H90" s="11" t="n">
        <v>2</v>
      </c>
      <c r="I90" s="11" t="n">
        <v>0</v>
      </c>
      <c r="J90" s="12" t="n">
        <v>48</v>
      </c>
      <c r="K90" s="12" t="n">
        <v>0</v>
      </c>
      <c r="L90" s="12" t="n">
        <v>43.64</v>
      </c>
      <c r="M90" s="12" t="n">
        <v>4.36</v>
      </c>
      <c r="N90" s="22" t="inlineStr">
        <is>
          <t>10/2026</t>
        </is>
      </c>
      <c r="O90" s="11">
        <f>IFERROR(INDEX(Tariffe!$D$2:$D$200,MATCH(E90,Tariffe!$A$2:$A$200,0))*1,0)</f>
        <v/>
      </c>
      <c r="P90" s="11">
        <f>H90*O90</f>
        <v/>
      </c>
    </row>
    <row r="91">
      <c r="A91" s="23" t="inlineStr">
        <is>
          <t>20261031_2115</t>
        </is>
      </c>
      <c r="B91" s="13" t="n">
        <v>46326</v>
      </c>
      <c r="C91" s="14" t="n">
        <v>0.8854166666666666</v>
      </c>
      <c r="D91" s="23" t="inlineStr">
        <is>
          <t>UN Unico</t>
        </is>
      </c>
      <c r="E91" s="23" t="inlineStr">
        <is>
          <t>I1</t>
        </is>
      </c>
      <c r="F91" s="23">
        <f>IFERROR(INDEX(Tariffe!$B$2:$B$200,MATCH(E91,Tariffe!$A$2:$A$200,0)),"DA DEFINIRE")</f>
        <v/>
      </c>
      <c r="G91" s="16" t="n">
        <v>48</v>
      </c>
      <c r="H91" s="15" t="n">
        <v>9</v>
      </c>
      <c r="I91" s="15" t="n">
        <v>0</v>
      </c>
      <c r="J91" s="16" t="n">
        <v>432</v>
      </c>
      <c r="K91" s="16" t="n">
        <v>0</v>
      </c>
      <c r="L91" s="16" t="n">
        <v>392.76</v>
      </c>
      <c r="M91" s="16" t="n">
        <v>39.24</v>
      </c>
      <c r="N91" s="23" t="inlineStr">
        <is>
          <t>10/2026</t>
        </is>
      </c>
      <c r="O91" s="15">
        <f>IFERROR(INDEX(Tariffe!$D$2:$D$200,MATCH(E91,Tariffe!$A$2:$A$200,0))*1,0)</f>
        <v/>
      </c>
      <c r="P91" s="15">
        <f>H91*O91</f>
        <v/>
      </c>
    </row>
    <row r="92">
      <c r="A92" s="22" t="inlineStr">
        <is>
          <t>20261031_2115</t>
        </is>
      </c>
      <c r="B92" s="9" t="n">
        <v>46326</v>
      </c>
      <c r="C92" s="10" t="n">
        <v>0.8854166666666666</v>
      </c>
      <c r="D92" s="22" t="inlineStr">
        <is>
          <t>UN Unico</t>
        </is>
      </c>
      <c r="E92" s="22" t="inlineStr">
        <is>
          <t>I2</t>
        </is>
      </c>
      <c r="F92" s="22">
        <f>IFERROR(INDEX(Tariffe!$B$2:$B$200,MATCH(E92,Tariffe!$A$2:$A$200,0)),"DA DEFINIRE")</f>
        <v/>
      </c>
      <c r="G92" s="12" t="n">
        <v>36</v>
      </c>
      <c r="H92" s="11" t="n">
        <v>1</v>
      </c>
      <c r="I92" s="11" t="n">
        <v>0</v>
      </c>
      <c r="J92" s="12" t="n">
        <v>36</v>
      </c>
      <c r="K92" s="12" t="n">
        <v>0</v>
      </c>
      <c r="L92" s="12" t="n">
        <v>32.73</v>
      </c>
      <c r="M92" s="12" t="n">
        <v>3.27</v>
      </c>
      <c r="N92" s="22" t="inlineStr">
        <is>
          <t>10/2026</t>
        </is>
      </c>
      <c r="O92" s="11">
        <f>IFERROR(INDEX(Tariffe!$D$2:$D$200,MATCH(E92,Tariffe!$A$2:$A$200,0))*1,0)</f>
        <v/>
      </c>
      <c r="P92" s="11">
        <f>H92*O92</f>
        <v/>
      </c>
    </row>
    <row r="93">
      <c r="A93" s="23" t="inlineStr">
        <is>
          <t>20261031_2115</t>
        </is>
      </c>
      <c r="B93" s="13" t="n">
        <v>46326</v>
      </c>
      <c r="C93" s="14" t="n">
        <v>0.8854166666666666</v>
      </c>
      <c r="D93" s="23" t="inlineStr">
        <is>
          <t>UN Unico</t>
        </is>
      </c>
      <c r="E93" s="23" t="inlineStr">
        <is>
          <t>I5</t>
        </is>
      </c>
      <c r="F93" s="23">
        <f>IFERROR(INDEX(Tariffe!$B$2:$B$200,MATCH(E93,Tariffe!$A$2:$A$200,0)),"DA DEFINIRE")</f>
        <v/>
      </c>
      <c r="G93" s="16" t="n">
        <v>60</v>
      </c>
      <c r="H93" s="15" t="n">
        <v>2</v>
      </c>
      <c r="I93" s="15" t="n">
        <v>0</v>
      </c>
      <c r="J93" s="16" t="n">
        <v>120</v>
      </c>
      <c r="K93" s="16" t="n">
        <v>0</v>
      </c>
      <c r="L93" s="16" t="n">
        <v>109.1</v>
      </c>
      <c r="M93" s="16" t="n">
        <v>10.9</v>
      </c>
      <c r="N93" s="23" t="inlineStr">
        <is>
          <t>10/2026</t>
        </is>
      </c>
      <c r="O93" s="15">
        <f>IFERROR(INDEX(Tariffe!$D$2:$D$200,MATCH(E93,Tariffe!$A$2:$A$200,0))*1,0)</f>
        <v/>
      </c>
      <c r="P93" s="15">
        <f>H93*O93</f>
        <v/>
      </c>
    </row>
    <row r="94">
      <c r="A94" s="22" t="inlineStr">
        <is>
          <t>20261031_2115</t>
        </is>
      </c>
      <c r="B94" s="9" t="n">
        <v>46326</v>
      </c>
      <c r="C94" s="10" t="n">
        <v>0.8854166666666666</v>
      </c>
      <c r="D94" s="22" t="inlineStr">
        <is>
          <t>UN Unico</t>
        </is>
      </c>
      <c r="E94" s="22" t="inlineStr">
        <is>
          <t>I8</t>
        </is>
      </c>
      <c r="F94" s="22">
        <f>IFERROR(INDEX(Tariffe!$B$2:$B$200,MATCH(E94,Tariffe!$A$2:$A$200,0)),"DA DEFINIRE")</f>
        <v/>
      </c>
      <c r="G94" s="12" t="n">
        <v>24</v>
      </c>
      <c r="H94" s="11" t="n">
        <v>6</v>
      </c>
      <c r="I94" s="11" t="n">
        <v>0</v>
      </c>
      <c r="J94" s="12" t="n">
        <v>144</v>
      </c>
      <c r="K94" s="12" t="n">
        <v>0</v>
      </c>
      <c r="L94" s="12" t="n">
        <v>130.92</v>
      </c>
      <c r="M94" s="12" t="n">
        <v>13.08</v>
      </c>
      <c r="N94" s="22" t="inlineStr">
        <is>
          <t>10/2026</t>
        </is>
      </c>
      <c r="O94" s="11">
        <f>IFERROR(INDEX(Tariffe!$D$2:$D$200,MATCH(E94,Tariffe!$A$2:$A$200,0))*1,0)</f>
        <v/>
      </c>
      <c r="P94" s="11">
        <f>H94*O94</f>
        <v/>
      </c>
    </row>
    <row r="95">
      <c r="A95" s="23" t="inlineStr">
        <is>
          <t>20261031_2215</t>
        </is>
      </c>
      <c r="B95" s="13" t="n">
        <v>46326</v>
      </c>
      <c r="C95" s="14" t="n">
        <v>0.9270833333333334</v>
      </c>
      <c r="D95" s="23" t="inlineStr">
        <is>
          <t>UN Unico</t>
        </is>
      </c>
      <c r="E95" s="23" t="inlineStr">
        <is>
          <t>I1</t>
        </is>
      </c>
      <c r="F95" s="23">
        <f>IFERROR(INDEX(Tariffe!$B$2:$B$200,MATCH(E95,Tariffe!$A$2:$A$200,0)),"DA DEFINIRE")</f>
        <v/>
      </c>
      <c r="G95" s="16" t="n">
        <v>48</v>
      </c>
      <c r="H95" s="15" t="n">
        <v>7</v>
      </c>
      <c r="I95" s="15" t="n">
        <v>3</v>
      </c>
      <c r="J95" s="16" t="n">
        <v>336</v>
      </c>
      <c r="K95" s="16" t="n">
        <v>0</v>
      </c>
      <c r="L95" s="16" t="n">
        <v>305.48</v>
      </c>
      <c r="M95" s="16" t="n">
        <v>30.52</v>
      </c>
      <c r="N95" s="23" t="inlineStr">
        <is>
          <t>10/2026</t>
        </is>
      </c>
      <c r="O95" s="15">
        <f>IFERROR(INDEX(Tariffe!$D$2:$D$200,MATCH(E95,Tariffe!$A$2:$A$200,0))*1,0)</f>
        <v/>
      </c>
      <c r="P95" s="15">
        <f>H95*O95</f>
        <v/>
      </c>
    </row>
    <row r="96">
      <c r="A96" s="22" t="inlineStr">
        <is>
          <t>20261031_2215</t>
        </is>
      </c>
      <c r="B96" s="9" t="n">
        <v>46326</v>
      </c>
      <c r="C96" s="10" t="n">
        <v>0.9270833333333334</v>
      </c>
      <c r="D96" s="22" t="inlineStr">
        <is>
          <t>UN Unico</t>
        </is>
      </c>
      <c r="E96" s="22" t="inlineStr">
        <is>
          <t>I2</t>
        </is>
      </c>
      <c r="F96" s="22">
        <f>IFERROR(INDEX(Tariffe!$B$2:$B$200,MATCH(E96,Tariffe!$A$2:$A$200,0)),"DA DEFINIRE")</f>
        <v/>
      </c>
      <c r="G96" s="12" t="n">
        <v>36</v>
      </c>
      <c r="H96" s="11" t="n">
        <v>3</v>
      </c>
      <c r="I96" s="11" t="n">
        <v>0</v>
      </c>
      <c r="J96" s="12" t="n">
        <v>108</v>
      </c>
      <c r="K96" s="12" t="n">
        <v>0</v>
      </c>
      <c r="L96" s="12" t="n">
        <v>98.19</v>
      </c>
      <c r="M96" s="12" t="n">
        <v>9.81</v>
      </c>
      <c r="N96" s="22" t="inlineStr">
        <is>
          <t>10/2026</t>
        </is>
      </c>
      <c r="O96" s="11">
        <f>IFERROR(INDEX(Tariffe!$D$2:$D$200,MATCH(E96,Tariffe!$A$2:$A$200,0))*1,0)</f>
        <v/>
      </c>
      <c r="P96" s="11">
        <f>H96*O96</f>
        <v/>
      </c>
    </row>
    <row r="97">
      <c r="A97" s="23" t="inlineStr">
        <is>
          <t>20261031_2215</t>
        </is>
      </c>
      <c r="B97" s="13" t="n">
        <v>46326</v>
      </c>
      <c r="C97" s="14" t="n">
        <v>0.9270833333333334</v>
      </c>
      <c r="D97" s="23" t="inlineStr">
        <is>
          <t>UN Unico</t>
        </is>
      </c>
      <c r="E97" s="23" t="inlineStr">
        <is>
          <t>I8</t>
        </is>
      </c>
      <c r="F97" s="23">
        <f>IFERROR(INDEX(Tariffe!$B$2:$B$200,MATCH(E97,Tariffe!$A$2:$A$200,0)),"DA DEFINIRE")</f>
        <v/>
      </c>
      <c r="G97" s="16" t="n">
        <v>24</v>
      </c>
      <c r="H97" s="15" t="n">
        <v>20</v>
      </c>
      <c r="I97" s="15" t="n">
        <v>0</v>
      </c>
      <c r="J97" s="16" t="n">
        <v>480</v>
      </c>
      <c r="K97" s="16" t="n">
        <v>0</v>
      </c>
      <c r="L97" s="16" t="n">
        <v>436.4</v>
      </c>
      <c r="M97" s="16" t="n">
        <v>43.6</v>
      </c>
      <c r="N97" s="23" t="inlineStr">
        <is>
          <t>10/2026</t>
        </is>
      </c>
      <c r="O97" s="15">
        <f>IFERROR(INDEX(Tariffe!$D$2:$D$200,MATCH(E97,Tariffe!$A$2:$A$200,0))*1,0)</f>
        <v/>
      </c>
      <c r="P97" s="15">
        <f>H97*O97</f>
        <v/>
      </c>
    </row>
    <row r="98">
      <c r="A98" s="22" t="inlineStr">
        <is>
          <t>20261031_2315</t>
        </is>
      </c>
      <c r="B98" s="9" t="n">
        <v>46326</v>
      </c>
      <c r="C98" s="10" t="n">
        <v>0.96875</v>
      </c>
      <c r="D98" s="22" t="inlineStr">
        <is>
          <t>UN Unico</t>
        </is>
      </c>
      <c r="E98" s="22" t="inlineStr">
        <is>
          <t>I1</t>
        </is>
      </c>
      <c r="F98" s="22">
        <f>IFERROR(INDEX(Tariffe!$B$2:$B$200,MATCH(E98,Tariffe!$A$2:$A$200,0)),"DA DEFINIRE")</f>
        <v/>
      </c>
      <c r="G98" s="12" t="n">
        <v>48</v>
      </c>
      <c r="H98" s="11" t="n">
        <v>17</v>
      </c>
      <c r="I98" s="11" t="n">
        <v>0</v>
      </c>
      <c r="J98" s="12" t="n">
        <v>816</v>
      </c>
      <c r="K98" s="12" t="n">
        <v>0</v>
      </c>
      <c r="L98" s="12" t="n">
        <v>741.88</v>
      </c>
      <c r="M98" s="12" t="n">
        <v>74.12</v>
      </c>
      <c r="N98" s="22" t="inlineStr">
        <is>
          <t>10/2026</t>
        </is>
      </c>
      <c r="O98" s="11">
        <f>IFERROR(INDEX(Tariffe!$D$2:$D$200,MATCH(E98,Tariffe!$A$2:$A$200,0))*1,0)</f>
        <v/>
      </c>
      <c r="P98" s="11">
        <f>H98*O98</f>
        <v/>
      </c>
    </row>
    <row r="99">
      <c r="A99" s="23" t="inlineStr">
        <is>
          <t>20261031_2315</t>
        </is>
      </c>
      <c r="B99" s="13" t="n">
        <v>46326</v>
      </c>
      <c r="C99" s="14" t="n">
        <v>0.96875</v>
      </c>
      <c r="D99" s="23" t="inlineStr">
        <is>
          <t>UN Unico</t>
        </is>
      </c>
      <c r="E99" s="23" t="inlineStr">
        <is>
          <t>I2</t>
        </is>
      </c>
      <c r="F99" s="23">
        <f>IFERROR(INDEX(Tariffe!$B$2:$B$200,MATCH(E99,Tariffe!$A$2:$A$200,0)),"DA DEFINIRE")</f>
        <v/>
      </c>
      <c r="G99" s="16" t="n">
        <v>36</v>
      </c>
      <c r="H99" s="15" t="n">
        <v>2</v>
      </c>
      <c r="I99" s="15" t="n">
        <v>0</v>
      </c>
      <c r="J99" s="16" t="n">
        <v>72</v>
      </c>
      <c r="K99" s="16" t="n">
        <v>0</v>
      </c>
      <c r="L99" s="16" t="n">
        <v>65.45999999999999</v>
      </c>
      <c r="M99" s="16" t="n">
        <v>6.54</v>
      </c>
      <c r="N99" s="23" t="inlineStr">
        <is>
          <t>10/2026</t>
        </is>
      </c>
      <c r="O99" s="15">
        <f>IFERROR(INDEX(Tariffe!$D$2:$D$200,MATCH(E99,Tariffe!$A$2:$A$200,0))*1,0)</f>
        <v/>
      </c>
      <c r="P99" s="15">
        <f>H99*O99</f>
        <v/>
      </c>
    </row>
    <row r="100">
      <c r="A100" s="22" t="inlineStr">
        <is>
          <t>20261031_2315</t>
        </is>
      </c>
      <c r="B100" s="9" t="n">
        <v>46326</v>
      </c>
      <c r="C100" s="10" t="n">
        <v>0.96875</v>
      </c>
      <c r="D100" s="22" t="inlineStr">
        <is>
          <t>UN Unico</t>
        </is>
      </c>
      <c r="E100" s="22" t="inlineStr">
        <is>
          <t>I5</t>
        </is>
      </c>
      <c r="F100" s="22">
        <f>IFERROR(INDEX(Tariffe!$B$2:$B$200,MATCH(E100,Tariffe!$A$2:$A$200,0)),"DA DEFINIRE")</f>
        <v/>
      </c>
      <c r="G100" s="12" t="n">
        <v>60</v>
      </c>
      <c r="H100" s="11" t="n">
        <v>3</v>
      </c>
      <c r="I100" s="11" t="n">
        <v>0</v>
      </c>
      <c r="J100" s="12" t="n">
        <v>180</v>
      </c>
      <c r="K100" s="12" t="n">
        <v>0</v>
      </c>
      <c r="L100" s="12" t="n">
        <v>163.65</v>
      </c>
      <c r="M100" s="12" t="n">
        <v>16.35</v>
      </c>
      <c r="N100" s="22" t="inlineStr">
        <is>
          <t>10/2026</t>
        </is>
      </c>
      <c r="O100" s="11">
        <f>IFERROR(INDEX(Tariffe!$D$2:$D$200,MATCH(E100,Tariffe!$A$2:$A$200,0))*1,0)</f>
        <v/>
      </c>
      <c r="P100" s="11">
        <f>H100*O100</f>
        <v/>
      </c>
    </row>
    <row r="101">
      <c r="A101" s="23" t="inlineStr">
        <is>
          <t>20261031_2315</t>
        </is>
      </c>
      <c r="B101" s="13" t="n">
        <v>46326</v>
      </c>
      <c r="C101" s="14" t="n">
        <v>0.96875</v>
      </c>
      <c r="D101" s="23" t="inlineStr">
        <is>
          <t>UN Unico</t>
        </is>
      </c>
      <c r="E101" s="23" t="inlineStr">
        <is>
          <t>I8</t>
        </is>
      </c>
      <c r="F101" s="23">
        <f>IFERROR(INDEX(Tariffe!$B$2:$B$200,MATCH(E101,Tariffe!$A$2:$A$200,0)),"DA DEFINIRE")</f>
        <v/>
      </c>
      <c r="G101" s="16" t="n">
        <v>24</v>
      </c>
      <c r="H101" s="15" t="n">
        <v>16</v>
      </c>
      <c r="I101" s="15" t="n">
        <v>0</v>
      </c>
      <c r="J101" s="16" t="n">
        <v>384</v>
      </c>
      <c r="K101" s="16" t="n">
        <v>0</v>
      </c>
      <c r="L101" s="16" t="n">
        <v>349.12</v>
      </c>
      <c r="M101" s="16" t="n">
        <v>34.88</v>
      </c>
      <c r="N101" s="23" t="inlineStr">
        <is>
          <t>10/2026</t>
        </is>
      </c>
      <c r="O101" s="15">
        <f>IFERROR(INDEX(Tariffe!$D$2:$D$200,MATCH(E101,Tariffe!$A$2:$A$200,0))*1,0)</f>
        <v/>
      </c>
      <c r="P101" s="15">
        <f>H101*O101</f>
        <v/>
      </c>
    </row>
    <row r="102">
      <c r="A102" s="22" t="inlineStr">
        <is>
          <t>20261031_2359</t>
        </is>
      </c>
      <c r="B102" s="9" t="n">
        <v>46326</v>
      </c>
      <c r="C102" s="10" t="n">
        <v>0.9993055555555556</v>
      </c>
      <c r="D102" s="22" t="inlineStr">
        <is>
          <t>UN Unico</t>
        </is>
      </c>
      <c r="E102" s="22" t="inlineStr">
        <is>
          <t>I1</t>
        </is>
      </c>
      <c r="F102" s="22">
        <f>IFERROR(INDEX(Tariffe!$B$2:$B$200,MATCH(E102,Tariffe!$A$2:$A$200,0)),"DA DEFINIRE")</f>
        <v/>
      </c>
      <c r="G102" s="12" t="n">
        <v>48</v>
      </c>
      <c r="H102" s="11" t="n">
        <v>13</v>
      </c>
      <c r="I102" s="11" t="n">
        <v>0</v>
      </c>
      <c r="J102" s="12" t="n">
        <v>624</v>
      </c>
      <c r="K102" s="12" t="n">
        <v>0</v>
      </c>
      <c r="L102" s="12" t="n">
        <v>567.3200000000001</v>
      </c>
      <c r="M102" s="12" t="n">
        <v>56.68</v>
      </c>
      <c r="N102" s="22" t="inlineStr">
        <is>
          <t>10/2026</t>
        </is>
      </c>
      <c r="O102" s="11">
        <f>IFERROR(INDEX(Tariffe!$D$2:$D$200,MATCH(E102,Tariffe!$A$2:$A$200,0))*1,0)</f>
        <v/>
      </c>
      <c r="P102" s="11">
        <f>H102*O102</f>
        <v/>
      </c>
    </row>
    <row r="103">
      <c r="A103" s="23" t="inlineStr">
        <is>
          <t>20261031_2359</t>
        </is>
      </c>
      <c r="B103" s="13" t="n">
        <v>46326</v>
      </c>
      <c r="C103" s="14" t="n">
        <v>0.9993055555555556</v>
      </c>
      <c r="D103" s="23" t="inlineStr">
        <is>
          <t>UN Unico</t>
        </is>
      </c>
      <c r="E103" s="23" t="inlineStr">
        <is>
          <t>I2</t>
        </is>
      </c>
      <c r="F103" s="23">
        <f>IFERROR(INDEX(Tariffe!$B$2:$B$200,MATCH(E103,Tariffe!$A$2:$A$200,0)),"DA DEFINIRE")</f>
        <v/>
      </c>
      <c r="G103" s="16" t="n">
        <v>36</v>
      </c>
      <c r="H103" s="15" t="n">
        <v>1</v>
      </c>
      <c r="I103" s="15" t="n">
        <v>0</v>
      </c>
      <c r="J103" s="16" t="n">
        <v>36</v>
      </c>
      <c r="K103" s="16" t="n">
        <v>0</v>
      </c>
      <c r="L103" s="16" t="n">
        <v>32.73</v>
      </c>
      <c r="M103" s="16" t="n">
        <v>3.27</v>
      </c>
      <c r="N103" s="23" t="inlineStr">
        <is>
          <t>10/2026</t>
        </is>
      </c>
      <c r="O103" s="15">
        <f>IFERROR(INDEX(Tariffe!$D$2:$D$200,MATCH(E103,Tariffe!$A$2:$A$200,0))*1,0)</f>
        <v/>
      </c>
      <c r="P103" s="15">
        <f>H103*O103</f>
        <v/>
      </c>
    </row>
    <row r="104">
      <c r="A104" s="22" t="inlineStr">
        <is>
          <t>20261031_2359</t>
        </is>
      </c>
      <c r="B104" s="9" t="n">
        <v>46326</v>
      </c>
      <c r="C104" s="10" t="n">
        <v>0.9993055555555556</v>
      </c>
      <c r="D104" s="22" t="inlineStr">
        <is>
          <t>UN Unico</t>
        </is>
      </c>
      <c r="E104" s="22" t="inlineStr">
        <is>
          <t>I5</t>
        </is>
      </c>
      <c r="F104" s="22">
        <f>IFERROR(INDEX(Tariffe!$B$2:$B$200,MATCH(E104,Tariffe!$A$2:$A$200,0)),"DA DEFINIRE")</f>
        <v/>
      </c>
      <c r="G104" s="12" t="n">
        <v>60</v>
      </c>
      <c r="H104" s="11" t="n">
        <v>2</v>
      </c>
      <c r="I104" s="11" t="n">
        <v>0</v>
      </c>
      <c r="J104" s="12" t="n">
        <v>120</v>
      </c>
      <c r="K104" s="12" t="n">
        <v>0</v>
      </c>
      <c r="L104" s="12" t="n">
        <v>109.1</v>
      </c>
      <c r="M104" s="12" t="n">
        <v>10.9</v>
      </c>
      <c r="N104" s="22" t="inlineStr">
        <is>
          <t>10/2026</t>
        </is>
      </c>
      <c r="O104" s="11">
        <f>IFERROR(INDEX(Tariffe!$D$2:$D$200,MATCH(E104,Tariffe!$A$2:$A$200,0))*1,0)</f>
        <v/>
      </c>
      <c r="P104" s="11">
        <f>H104*O104</f>
        <v/>
      </c>
    </row>
    <row r="105">
      <c r="A105" s="23" t="inlineStr">
        <is>
          <t>20261031_2359</t>
        </is>
      </c>
      <c r="B105" s="13" t="n">
        <v>46326</v>
      </c>
      <c r="C105" s="14" t="n">
        <v>0.9993055555555556</v>
      </c>
      <c r="D105" s="23" t="inlineStr">
        <is>
          <t>UN Unico</t>
        </is>
      </c>
      <c r="E105" s="23" t="inlineStr">
        <is>
          <t>I8</t>
        </is>
      </c>
      <c r="F105" s="23">
        <f>IFERROR(INDEX(Tariffe!$B$2:$B$200,MATCH(E105,Tariffe!$A$2:$A$200,0)),"DA DEFINIRE")</f>
        <v/>
      </c>
      <c r="G105" s="16" t="n">
        <v>24</v>
      </c>
      <c r="H105" s="15" t="n">
        <v>7</v>
      </c>
      <c r="I105" s="15" t="n">
        <v>0</v>
      </c>
      <c r="J105" s="16" t="n">
        <v>168</v>
      </c>
      <c r="K105" s="16" t="n">
        <v>0</v>
      </c>
      <c r="L105" s="16" t="n">
        <v>152.74</v>
      </c>
      <c r="M105" s="16" t="n">
        <v>15.26</v>
      </c>
      <c r="N105" s="23" t="inlineStr">
        <is>
          <t>10/2026</t>
        </is>
      </c>
      <c r="O105" s="15">
        <f>IFERROR(INDEX(Tariffe!$D$2:$D$200,MATCH(E105,Tariffe!$A$2:$A$200,0))*1,0)</f>
        <v/>
      </c>
      <c r="P105" s="15">
        <f>H105*O105</f>
        <v/>
      </c>
    </row>
    <row r="106">
      <c r="A106" s="22" t="inlineStr">
        <is>
          <t>20261101_2015</t>
        </is>
      </c>
      <c r="B106" s="9" t="n">
        <v>46327</v>
      </c>
      <c r="C106" s="10" t="n">
        <v>0.84375</v>
      </c>
      <c r="D106" s="22" t="inlineStr">
        <is>
          <t>UN Unico</t>
        </is>
      </c>
      <c r="E106" s="22" t="inlineStr">
        <is>
          <t>I1</t>
        </is>
      </c>
      <c r="F106" s="22">
        <f>IFERROR(INDEX(Tariffe!$B$2:$B$200,MATCH(E106,Tariffe!$A$2:$A$200,0)),"DA DEFINIRE")</f>
        <v/>
      </c>
      <c r="G106" s="12" t="n">
        <v>48</v>
      </c>
      <c r="H106" s="11" t="n">
        <v>2</v>
      </c>
      <c r="I106" s="11" t="n">
        <v>0</v>
      </c>
      <c r="J106" s="12" t="n">
        <v>96</v>
      </c>
      <c r="K106" s="12" t="n">
        <v>0</v>
      </c>
      <c r="L106" s="12" t="n">
        <v>87.28</v>
      </c>
      <c r="M106" s="12" t="n">
        <v>8.720000000000001</v>
      </c>
      <c r="N106" s="22" t="inlineStr">
        <is>
          <t>11/2026</t>
        </is>
      </c>
      <c r="O106" s="11">
        <f>IFERROR(INDEX(Tariffe!$D$2:$D$200,MATCH(E106,Tariffe!$A$2:$A$200,0))*1,0)</f>
        <v/>
      </c>
      <c r="P106" s="11">
        <f>H106*O106</f>
        <v/>
      </c>
    </row>
    <row r="107">
      <c r="A107" s="23" t="inlineStr">
        <is>
          <t>20261101_2015</t>
        </is>
      </c>
      <c r="B107" s="13" t="n">
        <v>46327</v>
      </c>
      <c r="C107" s="14" t="n">
        <v>0.84375</v>
      </c>
      <c r="D107" s="23" t="inlineStr">
        <is>
          <t>UN Unico</t>
        </is>
      </c>
      <c r="E107" s="23" t="inlineStr">
        <is>
          <t>I2</t>
        </is>
      </c>
      <c r="F107" s="23">
        <f>IFERROR(INDEX(Tariffe!$B$2:$B$200,MATCH(E107,Tariffe!$A$2:$A$200,0)),"DA DEFINIRE")</f>
        <v/>
      </c>
      <c r="G107" s="16" t="n">
        <v>36</v>
      </c>
      <c r="H107" s="15" t="n">
        <v>1</v>
      </c>
      <c r="I107" s="15" t="n">
        <v>0</v>
      </c>
      <c r="J107" s="16" t="n">
        <v>36</v>
      </c>
      <c r="K107" s="16" t="n">
        <v>0</v>
      </c>
      <c r="L107" s="16" t="n">
        <v>32.73</v>
      </c>
      <c r="M107" s="16" t="n">
        <v>3.27</v>
      </c>
      <c r="N107" s="23" t="inlineStr">
        <is>
          <t>11/2026</t>
        </is>
      </c>
      <c r="O107" s="15">
        <f>IFERROR(INDEX(Tariffe!$D$2:$D$200,MATCH(E107,Tariffe!$A$2:$A$200,0))*1,0)</f>
        <v/>
      </c>
      <c r="P107" s="15">
        <f>H107*O107</f>
        <v/>
      </c>
    </row>
    <row r="108">
      <c r="A108" s="22" t="inlineStr">
        <is>
          <t>20261101_2015</t>
        </is>
      </c>
      <c r="B108" s="9" t="n">
        <v>46327</v>
      </c>
      <c r="C108" s="10" t="n">
        <v>0.84375</v>
      </c>
      <c r="D108" s="22" t="inlineStr">
        <is>
          <t>UN Unico</t>
        </is>
      </c>
      <c r="E108" s="22" t="inlineStr">
        <is>
          <t>I8</t>
        </is>
      </c>
      <c r="F108" s="22">
        <f>IFERROR(INDEX(Tariffe!$B$2:$B$200,MATCH(E108,Tariffe!$A$2:$A$200,0)),"DA DEFINIRE")</f>
        <v/>
      </c>
      <c r="G108" s="12" t="n">
        <v>24</v>
      </c>
      <c r="H108" s="11" t="n">
        <v>1</v>
      </c>
      <c r="I108" s="11" t="n">
        <v>0</v>
      </c>
      <c r="J108" s="12" t="n">
        <v>24</v>
      </c>
      <c r="K108" s="12" t="n">
        <v>0</v>
      </c>
      <c r="L108" s="12" t="n">
        <v>21.82</v>
      </c>
      <c r="M108" s="12" t="n">
        <v>2.18</v>
      </c>
      <c r="N108" s="22" t="inlineStr">
        <is>
          <t>11/2026</t>
        </is>
      </c>
      <c r="O108" s="11">
        <f>IFERROR(INDEX(Tariffe!$D$2:$D$200,MATCH(E108,Tariffe!$A$2:$A$200,0))*1,0)</f>
        <v/>
      </c>
      <c r="P108" s="11">
        <f>H108*O108</f>
        <v/>
      </c>
    </row>
    <row r="109">
      <c r="A109" s="23" t="inlineStr">
        <is>
          <t>20261101_2115</t>
        </is>
      </c>
      <c r="B109" s="13" t="n">
        <v>46327</v>
      </c>
      <c r="C109" s="14" t="n">
        <v>0.8854166666666666</v>
      </c>
      <c r="D109" s="23" t="inlineStr">
        <is>
          <t>UN Unico</t>
        </is>
      </c>
      <c r="E109" s="23" t="inlineStr">
        <is>
          <t>I1</t>
        </is>
      </c>
      <c r="F109" s="23">
        <f>IFERROR(INDEX(Tariffe!$B$2:$B$200,MATCH(E109,Tariffe!$A$2:$A$200,0)),"DA DEFINIRE")</f>
        <v/>
      </c>
      <c r="G109" s="16" t="n">
        <v>48</v>
      </c>
      <c r="H109" s="15" t="n">
        <v>3</v>
      </c>
      <c r="I109" s="15" t="n">
        <v>0</v>
      </c>
      <c r="J109" s="16" t="n">
        <v>144</v>
      </c>
      <c r="K109" s="16" t="n">
        <v>0</v>
      </c>
      <c r="L109" s="16" t="n">
        <v>130.92</v>
      </c>
      <c r="M109" s="16" t="n">
        <v>13.08</v>
      </c>
      <c r="N109" s="23" t="inlineStr">
        <is>
          <t>11/2026</t>
        </is>
      </c>
      <c r="O109" s="15">
        <f>IFERROR(INDEX(Tariffe!$D$2:$D$200,MATCH(E109,Tariffe!$A$2:$A$200,0))*1,0)</f>
        <v/>
      </c>
      <c r="P109" s="15">
        <f>H109*O109</f>
        <v/>
      </c>
    </row>
    <row r="110">
      <c r="A110" s="22" t="inlineStr">
        <is>
          <t>20261101_2115</t>
        </is>
      </c>
      <c r="B110" s="9" t="n">
        <v>46327</v>
      </c>
      <c r="C110" s="10" t="n">
        <v>0.8854166666666666</v>
      </c>
      <c r="D110" s="22" t="inlineStr">
        <is>
          <t>UN Unico</t>
        </is>
      </c>
      <c r="E110" s="22" t="inlineStr">
        <is>
          <t>I2</t>
        </is>
      </c>
      <c r="F110" s="22">
        <f>IFERROR(INDEX(Tariffe!$B$2:$B$200,MATCH(E110,Tariffe!$A$2:$A$200,0)),"DA DEFINIRE")</f>
        <v/>
      </c>
      <c r="G110" s="12" t="n">
        <v>36</v>
      </c>
      <c r="H110" s="11" t="n">
        <v>2</v>
      </c>
      <c r="I110" s="11" t="n">
        <v>0</v>
      </c>
      <c r="J110" s="12" t="n">
        <v>72</v>
      </c>
      <c r="K110" s="12" t="n">
        <v>0</v>
      </c>
      <c r="L110" s="12" t="n">
        <v>65.45999999999999</v>
      </c>
      <c r="M110" s="12" t="n">
        <v>6.54</v>
      </c>
      <c r="N110" s="22" t="inlineStr">
        <is>
          <t>11/2026</t>
        </is>
      </c>
      <c r="O110" s="11">
        <f>IFERROR(INDEX(Tariffe!$D$2:$D$200,MATCH(E110,Tariffe!$A$2:$A$200,0))*1,0)</f>
        <v/>
      </c>
      <c r="P110" s="11">
        <f>H110*O110</f>
        <v/>
      </c>
    </row>
    <row r="111">
      <c r="A111" s="23" t="inlineStr">
        <is>
          <t>20261101_2115</t>
        </is>
      </c>
      <c r="B111" s="13" t="n">
        <v>46327</v>
      </c>
      <c r="C111" s="14" t="n">
        <v>0.8854166666666666</v>
      </c>
      <c r="D111" s="23" t="inlineStr">
        <is>
          <t>UN Unico</t>
        </is>
      </c>
      <c r="E111" s="23" t="inlineStr">
        <is>
          <t>I8</t>
        </is>
      </c>
      <c r="F111" s="23">
        <f>IFERROR(INDEX(Tariffe!$B$2:$B$200,MATCH(E111,Tariffe!$A$2:$A$200,0)),"DA DEFINIRE")</f>
        <v/>
      </c>
      <c r="G111" s="16" t="n">
        <v>24</v>
      </c>
      <c r="H111" s="15" t="n">
        <v>3</v>
      </c>
      <c r="I111" s="15" t="n">
        <v>0</v>
      </c>
      <c r="J111" s="16" t="n">
        <v>72</v>
      </c>
      <c r="K111" s="16" t="n">
        <v>0</v>
      </c>
      <c r="L111" s="16" t="n">
        <v>65.45999999999999</v>
      </c>
      <c r="M111" s="16" t="n">
        <v>6.54</v>
      </c>
      <c r="N111" s="23" t="inlineStr">
        <is>
          <t>11/2026</t>
        </is>
      </c>
      <c r="O111" s="15">
        <f>IFERROR(INDEX(Tariffe!$D$2:$D$200,MATCH(E111,Tariffe!$A$2:$A$200,0))*1,0)</f>
        <v/>
      </c>
      <c r="P111" s="15">
        <f>H111*O111</f>
        <v/>
      </c>
    </row>
    <row r="112">
      <c r="A112" s="22" t="inlineStr">
        <is>
          <t>20261101_2215</t>
        </is>
      </c>
      <c r="B112" s="9" t="n">
        <v>46327</v>
      </c>
      <c r="C112" s="10" t="n">
        <v>0.9270833333333334</v>
      </c>
      <c r="D112" s="22" t="inlineStr">
        <is>
          <t>UN Unico</t>
        </is>
      </c>
      <c r="E112" s="22" t="inlineStr">
        <is>
          <t>I2</t>
        </is>
      </c>
      <c r="F112" s="22">
        <f>IFERROR(INDEX(Tariffe!$B$2:$B$200,MATCH(E112,Tariffe!$A$2:$A$200,0)),"DA DEFINIRE")</f>
        <v/>
      </c>
      <c r="G112" s="12" t="n">
        <v>36</v>
      </c>
      <c r="H112" s="11" t="n">
        <v>1</v>
      </c>
      <c r="I112" s="11" t="n">
        <v>0</v>
      </c>
      <c r="J112" s="12" t="n">
        <v>36</v>
      </c>
      <c r="K112" s="12" t="n">
        <v>0</v>
      </c>
      <c r="L112" s="12" t="n">
        <v>32.73</v>
      </c>
      <c r="M112" s="12" t="n">
        <v>3.27</v>
      </c>
      <c r="N112" s="22" t="inlineStr">
        <is>
          <t>11/2026</t>
        </is>
      </c>
      <c r="O112" s="11">
        <f>IFERROR(INDEX(Tariffe!$D$2:$D$200,MATCH(E112,Tariffe!$A$2:$A$200,0))*1,0)</f>
        <v/>
      </c>
      <c r="P112" s="11">
        <f>H112*O112</f>
        <v/>
      </c>
    </row>
    <row r="113">
      <c r="A113" s="23" t="inlineStr">
        <is>
          <t>20261101_2215</t>
        </is>
      </c>
      <c r="B113" s="13" t="n">
        <v>46327</v>
      </c>
      <c r="C113" s="14" t="n">
        <v>0.9270833333333334</v>
      </c>
      <c r="D113" s="23" t="inlineStr">
        <is>
          <t>UN Unico</t>
        </is>
      </c>
      <c r="E113" s="23" t="inlineStr">
        <is>
          <t>I5</t>
        </is>
      </c>
      <c r="F113" s="23">
        <f>IFERROR(INDEX(Tariffe!$B$2:$B$200,MATCH(E113,Tariffe!$A$2:$A$200,0)),"DA DEFINIRE")</f>
        <v/>
      </c>
      <c r="G113" s="16" t="n">
        <v>60</v>
      </c>
      <c r="H113" s="15" t="n">
        <v>1</v>
      </c>
      <c r="I113" s="15" t="n">
        <v>0</v>
      </c>
      <c r="J113" s="16" t="n">
        <v>60</v>
      </c>
      <c r="K113" s="16" t="n">
        <v>0</v>
      </c>
      <c r="L113" s="16" t="n">
        <v>54.55</v>
      </c>
      <c r="M113" s="16" t="n">
        <v>5.45</v>
      </c>
      <c r="N113" s="23" t="inlineStr">
        <is>
          <t>11/2026</t>
        </is>
      </c>
      <c r="O113" s="15">
        <f>IFERROR(INDEX(Tariffe!$D$2:$D$200,MATCH(E113,Tariffe!$A$2:$A$200,0))*1,0)</f>
        <v/>
      </c>
      <c r="P113" s="15">
        <f>H113*O113</f>
        <v/>
      </c>
    </row>
    <row r="114">
      <c r="A114" s="22" t="inlineStr">
        <is>
          <t>20261101_2215</t>
        </is>
      </c>
      <c r="B114" s="9" t="n">
        <v>46327</v>
      </c>
      <c r="C114" s="10" t="n">
        <v>0.9270833333333334</v>
      </c>
      <c r="D114" s="22" t="inlineStr">
        <is>
          <t>UN Unico</t>
        </is>
      </c>
      <c r="E114" s="22" t="inlineStr">
        <is>
          <t>I8</t>
        </is>
      </c>
      <c r="F114" s="22">
        <f>IFERROR(INDEX(Tariffe!$B$2:$B$200,MATCH(E114,Tariffe!$A$2:$A$200,0)),"DA DEFINIRE")</f>
        <v/>
      </c>
      <c r="G114" s="12" t="n">
        <v>24</v>
      </c>
      <c r="H114" s="11" t="n">
        <v>4</v>
      </c>
      <c r="I114" s="11" t="n">
        <v>0</v>
      </c>
      <c r="J114" s="12" t="n">
        <v>96</v>
      </c>
      <c r="K114" s="12" t="n">
        <v>0</v>
      </c>
      <c r="L114" s="12" t="n">
        <v>87.28</v>
      </c>
      <c r="M114" s="12" t="n">
        <v>8.720000000000001</v>
      </c>
      <c r="N114" s="22" t="inlineStr">
        <is>
          <t>11/2026</t>
        </is>
      </c>
      <c r="O114" s="11">
        <f>IFERROR(INDEX(Tariffe!$D$2:$D$200,MATCH(E114,Tariffe!$A$2:$A$200,0))*1,0)</f>
        <v/>
      </c>
      <c r="P114" s="11">
        <f>H114*O114</f>
        <v/>
      </c>
    </row>
    <row r="115">
      <c r="A115" s="23" t="inlineStr">
        <is>
          <t>20261101_2315</t>
        </is>
      </c>
      <c r="B115" s="13" t="n">
        <v>46327</v>
      </c>
      <c r="C115" s="14" t="n">
        <v>0.96875</v>
      </c>
      <c r="D115" s="23" t="inlineStr">
        <is>
          <t>UN Unico</t>
        </is>
      </c>
      <c r="E115" s="23" t="inlineStr">
        <is>
          <t>I2</t>
        </is>
      </c>
      <c r="F115" s="23">
        <f>IFERROR(INDEX(Tariffe!$B$2:$B$200,MATCH(E115,Tariffe!$A$2:$A$200,0)),"DA DEFINIRE")</f>
        <v/>
      </c>
      <c r="G115" s="16" t="n">
        <v>36</v>
      </c>
      <c r="H115" s="15" t="n">
        <v>1</v>
      </c>
      <c r="I115" s="15" t="n">
        <v>0</v>
      </c>
      <c r="J115" s="16" t="n">
        <v>36</v>
      </c>
      <c r="K115" s="16" t="n">
        <v>0</v>
      </c>
      <c r="L115" s="16" t="n">
        <v>32.73</v>
      </c>
      <c r="M115" s="16" t="n">
        <v>3.27</v>
      </c>
      <c r="N115" s="23" t="inlineStr">
        <is>
          <t>11/2026</t>
        </is>
      </c>
      <c r="O115" s="15">
        <f>IFERROR(INDEX(Tariffe!$D$2:$D$200,MATCH(E115,Tariffe!$A$2:$A$200,0))*1,0)</f>
        <v/>
      </c>
      <c r="P115" s="15">
        <f>H115*O115</f>
        <v/>
      </c>
    </row>
    <row r="116">
      <c r="A116" s="22" t="inlineStr">
        <is>
          <t>20261101_2315</t>
        </is>
      </c>
      <c r="B116" s="9" t="n">
        <v>46327</v>
      </c>
      <c r="C116" s="10" t="n">
        <v>0.96875</v>
      </c>
      <c r="D116" s="22" t="inlineStr">
        <is>
          <t>UN Unico</t>
        </is>
      </c>
      <c r="E116" s="22" t="inlineStr">
        <is>
          <t>I8</t>
        </is>
      </c>
      <c r="F116" s="22">
        <f>IFERROR(INDEX(Tariffe!$B$2:$B$200,MATCH(E116,Tariffe!$A$2:$A$200,0)),"DA DEFINIRE")</f>
        <v/>
      </c>
      <c r="G116" s="12" t="n">
        <v>24</v>
      </c>
      <c r="H116" s="11" t="n">
        <v>2</v>
      </c>
      <c r="I116" s="11" t="n">
        <v>0</v>
      </c>
      <c r="J116" s="12" t="n">
        <v>48</v>
      </c>
      <c r="K116" s="12" t="n">
        <v>0</v>
      </c>
      <c r="L116" s="12" t="n">
        <v>43.64</v>
      </c>
      <c r="M116" s="12" t="n">
        <v>4.36</v>
      </c>
      <c r="N116" s="22" t="inlineStr">
        <is>
          <t>11/2026</t>
        </is>
      </c>
      <c r="O116" s="11">
        <f>IFERROR(INDEX(Tariffe!$D$2:$D$200,MATCH(E116,Tariffe!$A$2:$A$200,0))*1,0)</f>
        <v/>
      </c>
      <c r="P116" s="11">
        <f>H116*O116</f>
        <v/>
      </c>
    </row>
    <row r="117">
      <c r="A117" s="23" t="inlineStr">
        <is>
          <t>20261101_2359</t>
        </is>
      </c>
      <c r="B117" s="13" t="n">
        <v>46327</v>
      </c>
      <c r="C117" s="14" t="n">
        <v>0.9993055555555556</v>
      </c>
      <c r="D117" s="23" t="inlineStr">
        <is>
          <t>UN Unico</t>
        </is>
      </c>
      <c r="E117" s="23" t="inlineStr">
        <is>
          <t>I5</t>
        </is>
      </c>
      <c r="F117" s="23">
        <f>IFERROR(INDEX(Tariffe!$B$2:$B$200,MATCH(E117,Tariffe!$A$2:$A$200,0)),"DA DEFINIRE")</f>
        <v/>
      </c>
      <c r="G117" s="16" t="n">
        <v>60</v>
      </c>
      <c r="H117" s="15" t="n">
        <v>1</v>
      </c>
      <c r="I117" s="15" t="n">
        <v>0</v>
      </c>
      <c r="J117" s="16" t="n">
        <v>60</v>
      </c>
      <c r="K117" s="16" t="n">
        <v>0</v>
      </c>
      <c r="L117" s="16" t="n">
        <v>54.55</v>
      </c>
      <c r="M117" s="16" t="n">
        <v>5.45</v>
      </c>
      <c r="N117" s="23" t="inlineStr">
        <is>
          <t>11/2026</t>
        </is>
      </c>
      <c r="O117" s="15">
        <f>IFERROR(INDEX(Tariffe!$D$2:$D$200,MATCH(E117,Tariffe!$A$2:$A$200,0))*1,0)</f>
        <v/>
      </c>
      <c r="P117" s="15">
        <f>H117*O117</f>
        <v/>
      </c>
    </row>
    <row r="118">
      <c r="A118" s="22" t="inlineStr">
        <is>
          <t>20261101_2359</t>
        </is>
      </c>
      <c r="B118" s="9" t="n">
        <v>46327</v>
      </c>
      <c r="C118" s="10" t="n">
        <v>0.9993055555555556</v>
      </c>
      <c r="D118" s="22" t="inlineStr">
        <is>
          <t>UN Unico</t>
        </is>
      </c>
      <c r="E118" s="22" t="inlineStr">
        <is>
          <t>I8</t>
        </is>
      </c>
      <c r="F118" s="22">
        <f>IFERROR(INDEX(Tariffe!$B$2:$B$200,MATCH(E118,Tariffe!$A$2:$A$200,0)),"DA DEFINIRE")</f>
        <v/>
      </c>
      <c r="G118" s="12" t="n">
        <v>24</v>
      </c>
      <c r="H118" s="11" t="n">
        <v>1</v>
      </c>
      <c r="I118" s="11" t="n">
        <v>0</v>
      </c>
      <c r="J118" s="12" t="n">
        <v>24</v>
      </c>
      <c r="K118" s="12" t="n">
        <v>0</v>
      </c>
      <c r="L118" s="12" t="n">
        <v>21.82</v>
      </c>
      <c r="M118" s="12" t="n">
        <v>2.18</v>
      </c>
      <c r="N118" s="22" t="inlineStr">
        <is>
          <t>11/2026</t>
        </is>
      </c>
      <c r="O118" s="11">
        <f>IFERROR(INDEX(Tariffe!$D$2:$D$200,MATCH(E118,Tariffe!$A$2:$A$200,0))*1,0)</f>
        <v/>
      </c>
      <c r="P118" s="11">
        <f>H118*O118</f>
        <v/>
      </c>
    </row>
    <row r="119">
      <c r="A119" s="23" t="inlineStr">
        <is>
          <t>20261102_2215</t>
        </is>
      </c>
      <c r="B119" s="13" t="n">
        <v>46328</v>
      </c>
      <c r="C119" s="14" t="n">
        <v>0.9270833333333334</v>
      </c>
      <c r="D119" s="23" t="inlineStr">
        <is>
          <t>UN Unico</t>
        </is>
      </c>
      <c r="E119" s="23" t="inlineStr">
        <is>
          <t>I1</t>
        </is>
      </c>
      <c r="F119" s="23">
        <f>IFERROR(INDEX(Tariffe!$B$2:$B$200,MATCH(E119,Tariffe!$A$2:$A$200,0)),"DA DEFINIRE")</f>
        <v/>
      </c>
      <c r="G119" s="16" t="n">
        <v>15</v>
      </c>
      <c r="H119" s="15" t="n">
        <v>3</v>
      </c>
      <c r="I119" s="15" t="n">
        <v>0</v>
      </c>
      <c r="J119" s="16" t="n">
        <v>45</v>
      </c>
      <c r="K119" s="16" t="n">
        <v>0</v>
      </c>
      <c r="L119" s="16" t="n">
        <v>40.92</v>
      </c>
      <c r="M119" s="16" t="n">
        <v>4.08</v>
      </c>
      <c r="N119" s="23" t="inlineStr">
        <is>
          <t>11/2026</t>
        </is>
      </c>
      <c r="O119" s="15">
        <f>IFERROR(INDEX(Tariffe!$D$2:$D$200,MATCH(E119,Tariffe!$A$2:$A$200,0))*1,0)</f>
        <v/>
      </c>
      <c r="P119" s="15">
        <f>H119*O119</f>
        <v/>
      </c>
    </row>
    <row r="120">
      <c r="A120" s="22" t="inlineStr">
        <is>
          <t>20261102_2315</t>
        </is>
      </c>
      <c r="B120" s="9" t="n">
        <v>46328</v>
      </c>
      <c r="C120" s="10" t="n">
        <v>0.96875</v>
      </c>
      <c r="D120" s="22" t="inlineStr">
        <is>
          <t>UN Unico</t>
        </is>
      </c>
      <c r="E120" s="22" t="inlineStr">
        <is>
          <t>I1</t>
        </is>
      </c>
      <c r="F120" s="22">
        <f>IFERROR(INDEX(Tariffe!$B$2:$B$200,MATCH(E120,Tariffe!$A$2:$A$200,0)),"DA DEFINIRE")</f>
        <v/>
      </c>
      <c r="G120" s="12" t="n">
        <v>15</v>
      </c>
      <c r="H120" s="11" t="n">
        <v>2</v>
      </c>
      <c r="I120" s="11" t="n">
        <v>0</v>
      </c>
      <c r="J120" s="12" t="n">
        <v>30</v>
      </c>
      <c r="K120" s="12" t="n">
        <v>0</v>
      </c>
      <c r="L120" s="12" t="n">
        <v>27.28</v>
      </c>
      <c r="M120" s="12" t="n">
        <v>2.72</v>
      </c>
      <c r="N120" s="22" t="inlineStr">
        <is>
          <t>11/2026</t>
        </is>
      </c>
      <c r="O120" s="11">
        <f>IFERROR(INDEX(Tariffe!$D$2:$D$200,MATCH(E120,Tariffe!$A$2:$A$200,0))*1,0)</f>
        <v/>
      </c>
      <c r="P120" s="11">
        <f>H120*O120</f>
        <v/>
      </c>
    </row>
  </sheetData>
  <autoFilter ref="A1:P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0" customWidth="1" min="4" max="4"/>
    <col width="10" customWidth="1" min="5" max="5"/>
    <col width="14" customWidth="1" min="6" max="6"/>
    <col width="18" customWidth="1" min="7" max="7"/>
  </cols>
  <sheetData>
    <row r="1" ht="30" customHeight="1">
      <c r="A1" s="21" t="inlineStr">
        <is>
          <t>Codice titolo</t>
        </is>
      </c>
      <c r="B1" s="21" t="inlineStr">
        <is>
          <t>Descrizione</t>
        </is>
      </c>
      <c r="C1" s="21" t="inlineStr">
        <is>
          <t>Persone per auto</t>
        </is>
      </c>
      <c r="D1" s="21" t="inlineStr">
        <is>
          <t>N° auto</t>
        </is>
      </c>
      <c r="E1" s="21" t="inlineStr">
        <is>
          <t>Persone</t>
        </is>
      </c>
      <c r="F1" s="21" t="inlineStr">
        <is>
          <t>Incasso</t>
        </is>
      </c>
      <c r="G1" s="21" t="inlineStr">
        <is>
          <t>% sull'incasso totale</t>
        </is>
      </c>
    </row>
    <row r="2">
      <c r="A2" s="22">
        <f>Tariffe!A2</f>
        <v/>
      </c>
      <c r="B2" s="22">
        <f>Tariffe!B2</f>
        <v/>
      </c>
      <c r="C2" s="11">
        <f>Tariffe!D2</f>
        <v/>
      </c>
      <c r="D2" s="11">
        <f>SUMIF(Vendite!$E$2:$E$1000,A2,Vendite!$H$2:$H$1000)</f>
        <v/>
      </c>
      <c r="E2" s="11">
        <f>SUMIF(Vendite!$E$2:$E$1000,A2,Vendite!$P$2:$P$1000)</f>
        <v/>
      </c>
      <c r="F2" s="12">
        <f>SUMIF(Vendite!$E$2:$E$1000,A2,Vendite!$J$2:$J$1000)</f>
        <v/>
      </c>
      <c r="G2" s="24">
        <f>IF(SUM($F$2:$F$5)&gt;0,F2/SUM($F$2:$F$5),0)</f>
        <v/>
      </c>
    </row>
    <row r="3">
      <c r="A3" s="23">
        <f>Tariffe!A3</f>
        <v/>
      </c>
      <c r="B3" s="23">
        <f>Tariffe!B3</f>
        <v/>
      </c>
      <c r="C3" s="15">
        <f>Tariffe!D3</f>
        <v/>
      </c>
      <c r="D3" s="15">
        <f>SUMIF(Vendite!$E$2:$E$1000,A3,Vendite!$H$2:$H$1000)</f>
        <v/>
      </c>
      <c r="E3" s="15">
        <f>SUMIF(Vendite!$E$2:$E$1000,A3,Vendite!$P$2:$P$1000)</f>
        <v/>
      </c>
      <c r="F3" s="16">
        <f>SUMIF(Vendite!$E$2:$E$1000,A3,Vendite!$J$2:$J$1000)</f>
        <v/>
      </c>
      <c r="G3" s="25">
        <f>IF(SUM($F$2:$F$5)&gt;0,F3/SUM($F$2:$F$5),0)</f>
        <v/>
      </c>
    </row>
    <row r="4">
      <c r="A4" s="22">
        <f>Tariffe!A4</f>
        <v/>
      </c>
      <c r="B4" s="22">
        <f>Tariffe!B4</f>
        <v/>
      </c>
      <c r="C4" s="11">
        <f>Tariffe!D4</f>
        <v/>
      </c>
      <c r="D4" s="11">
        <f>SUMIF(Vendite!$E$2:$E$1000,A4,Vendite!$H$2:$H$1000)</f>
        <v/>
      </c>
      <c r="E4" s="11">
        <f>SUMIF(Vendite!$E$2:$E$1000,A4,Vendite!$P$2:$P$1000)</f>
        <v/>
      </c>
      <c r="F4" s="12">
        <f>SUMIF(Vendite!$E$2:$E$1000,A4,Vendite!$J$2:$J$1000)</f>
        <v/>
      </c>
      <c r="G4" s="24">
        <f>IF(SUM($F$2:$F$5)&gt;0,F4/SUM($F$2:$F$5),0)</f>
        <v/>
      </c>
    </row>
    <row r="5">
      <c r="A5" s="23">
        <f>Tariffe!A5</f>
        <v/>
      </c>
      <c r="B5" s="23">
        <f>Tariffe!B5</f>
        <v/>
      </c>
      <c r="C5" s="15">
        <f>Tariffe!D5</f>
        <v/>
      </c>
      <c r="D5" s="15">
        <f>SUMIF(Vendite!$E$2:$E$1000,A5,Vendite!$H$2:$H$1000)</f>
        <v/>
      </c>
      <c r="E5" s="15">
        <f>SUMIF(Vendite!$E$2:$E$1000,A5,Vendite!$P$2:$P$1000)</f>
        <v/>
      </c>
      <c r="F5" s="16">
        <f>SUMIF(Vendite!$E$2:$E$1000,A5,Vendite!$J$2:$J$1000)</f>
        <v/>
      </c>
      <c r="G5" s="25">
        <f>IF(SUM($F$2:$F$5)&gt;0,F5/SUM($F$2:$F$5),0)</f>
        <v/>
      </c>
    </row>
    <row r="6">
      <c r="A6" s="26" t="inlineStr">
        <is>
          <t>Totale</t>
        </is>
      </c>
      <c r="B6" s="26" t="n"/>
      <c r="C6" s="26" t="n"/>
      <c r="D6" s="27">
        <f>SUM(D2:D5)</f>
        <v/>
      </c>
      <c r="E6" s="27">
        <f>SUM(E2:E5)</f>
        <v/>
      </c>
      <c r="F6" s="28">
        <f>SUM(F2:F5)</f>
        <v/>
      </c>
      <c r="G6" s="29">
        <f>SUM(G2:G5)</f>
        <v/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21" t="inlineStr">
        <is>
          <t>Data</t>
        </is>
      </c>
      <c r="B1" s="21" t="inlineStr">
        <is>
          <t>Giorno</t>
        </is>
      </c>
      <c r="C1" s="21" t="inlineStr">
        <is>
          <t>Auto totali</t>
        </is>
      </c>
      <c r="D1" s="21" t="inlineStr">
        <is>
          <t>Persone totali</t>
        </is>
      </c>
      <c r="E1" s="21" t="inlineStr">
        <is>
          <t>Incasso totale</t>
        </is>
      </c>
      <c r="F1" s="21" t="inlineStr">
        <is>
          <t>Auto 20:15</t>
        </is>
      </c>
      <c r="G1" s="21" t="inlineStr">
        <is>
          <t>Auto 21:15</t>
        </is>
      </c>
      <c r="H1" s="21" t="inlineStr">
        <is>
          <t>Auto 22:15</t>
        </is>
      </c>
      <c r="I1" s="21" t="inlineStr">
        <is>
          <t>Auto 23:15</t>
        </is>
      </c>
      <c r="J1" s="21" t="inlineStr">
        <is>
          <t>Auto 23:59</t>
        </is>
      </c>
      <c r="K1" s="21" t="inlineStr">
        <is>
          <t>Persone 20:15</t>
        </is>
      </c>
      <c r="L1" s="21" t="inlineStr">
        <is>
          <t>Persone 21:15</t>
        </is>
      </c>
      <c r="M1" s="21" t="inlineStr">
        <is>
          <t>Persone 22:15</t>
        </is>
      </c>
      <c r="N1" s="21" t="inlineStr">
        <is>
          <t>Persone 23:15</t>
        </is>
      </c>
      <c r="O1" s="21" t="inlineStr">
        <is>
          <t>Persone 23:59</t>
        </is>
      </c>
      <c r="P1" s="21" t="inlineStr">
        <is>
          <t>Auto da 2</t>
        </is>
      </c>
      <c r="Q1" s="21" t="inlineStr">
        <is>
          <t>Auto da 3</t>
        </is>
      </c>
      <c r="R1" s="21" t="inlineStr">
        <is>
          <t>Auto da 4</t>
        </is>
      </c>
      <c r="S1" s="21" t="inlineStr">
        <is>
          <t>Auto da 5</t>
        </is>
      </c>
      <c r="T1" t="inlineStr">
        <is>
          <t>Etichetta grafico</t>
        </is>
      </c>
    </row>
    <row r="2">
      <c r="A2" s="9" t="n">
        <v>46318</v>
      </c>
      <c r="B2" s="22">
        <f>CHOOSE(WEEKDAY(A2,2),"Lunedì","Martedì","Mercoledì","Giovedì","Venerdì","Sabato","Domenica")</f>
        <v/>
      </c>
      <c r="C2" s="11">
        <f>SUM(F2:J2)</f>
        <v/>
      </c>
      <c r="D2" s="11">
        <f>SUM(K2:O2)</f>
        <v/>
      </c>
      <c r="E2" s="12">
        <f>SUMIF(Vendite!$B$2:$B$1000,A2,Vendite!$J$2:$J$1000)</f>
        <v/>
      </c>
      <c r="F2" s="11">
        <f>SUMIFS(Vendite!$H$2:$H$1000,Vendite!$B$2:$B$1000,A2,Vendite!$C$2:$C$1000,"&gt;="&amp;TIMEVALUE("20:00"),Vendite!$C$2:$C$1000,"&lt;"&amp;TIMEVALUE("21:00"))</f>
        <v/>
      </c>
      <c r="G2" s="11">
        <f>SUMIFS(Vendite!$H$2:$H$1000,Vendite!$B$2:$B$1000,A2,Vendite!$C$2:$C$1000,"&gt;="&amp;TIMEVALUE("21:00"),Vendite!$C$2:$C$1000,"&lt;"&amp;TIMEVALUE("22:00"))</f>
        <v/>
      </c>
      <c r="H2" s="11">
        <f>SUMIFS(Vendite!$H$2:$H$1000,Vendite!$B$2:$B$1000,A2,Vendite!$C$2:$C$1000,"&gt;="&amp;TIMEVALUE("22:00"),Vendite!$C$2:$C$1000,"&lt;"&amp;TIMEVALUE("23:00"))</f>
        <v/>
      </c>
      <c r="I2" s="11">
        <f>SUMIFS(Vendite!$H$2:$H$1000,Vendite!$B$2:$B$1000,A2,Vendite!$C$2:$C$1000,"&gt;="&amp;TIMEVALUE("23:00"),Vendite!$C$2:$C$1000,"&lt;"&amp;TIMEVALUE("23:30"))</f>
        <v/>
      </c>
      <c r="J2" s="11">
        <f>SUMIFS(Vendite!$H$2:$H$1000,Vendite!$B$2:$B$1000,A2,Vendite!$C$2:$C$1000,"&gt;="&amp;TIMEVALUE("23:30"))</f>
        <v/>
      </c>
      <c r="K2" s="11">
        <f>SUMIFS(Vendite!$P$2:$P$1000,Vendite!$B$2:$B$1000,A2,Vendite!$C$2:$C$1000,"&gt;="&amp;TIMEVALUE("20:00"),Vendite!$C$2:$C$1000,"&lt;"&amp;TIMEVALUE("21:00"))</f>
        <v/>
      </c>
      <c r="L2" s="11">
        <f>SUMIFS(Vendite!$P$2:$P$1000,Vendite!$B$2:$B$1000,A2,Vendite!$C$2:$C$1000,"&gt;="&amp;TIMEVALUE("21:00"),Vendite!$C$2:$C$1000,"&lt;"&amp;TIMEVALUE("22:00"))</f>
        <v/>
      </c>
      <c r="M2" s="11">
        <f>SUMIFS(Vendite!$P$2:$P$1000,Vendite!$B$2:$B$1000,A2,Vendite!$C$2:$C$1000,"&gt;="&amp;TIMEVALUE("22:00"),Vendite!$C$2:$C$1000,"&lt;"&amp;TIMEVALUE("23:00"))</f>
        <v/>
      </c>
      <c r="N2" s="11">
        <f>SUMIFS(Vendite!$P$2:$P$1000,Vendite!$B$2:$B$1000,A2,Vendite!$C$2:$C$1000,"&gt;="&amp;TIMEVALUE("23:00"),Vendite!$C$2:$C$1000,"&lt;"&amp;TIMEVALUE("23:30"))</f>
        <v/>
      </c>
      <c r="O2" s="11">
        <f>SUMIFS(Vendite!$P$2:$P$1000,Vendite!$B$2:$B$1000,A2,Vendite!$C$2:$C$1000,"&gt;="&amp;TIMEVALUE("23:30"))</f>
        <v/>
      </c>
      <c r="P2" s="11">
        <f>SUMIFS(Vendite!$H$2:$H$1000,Vendite!$B$2:$B$1000,A2,Vendite!$O$2:$O$1000,2)</f>
        <v/>
      </c>
      <c r="Q2" s="11">
        <f>SUMIFS(Vendite!$H$2:$H$1000,Vendite!$B$2:$B$1000,A2,Vendite!$O$2:$O$1000,3)</f>
        <v/>
      </c>
      <c r="R2" s="11">
        <f>SUMIFS(Vendite!$H$2:$H$1000,Vendite!$B$2:$B$1000,A2,Vendite!$O$2:$O$1000,4)</f>
        <v/>
      </c>
      <c r="S2" s="11">
        <f>SUMIFS(Vendite!$H$2:$H$1000,Vendite!$B$2:$B$1000,A2,Vendite!$O$2:$O$1000,5)</f>
        <v/>
      </c>
      <c r="T2">
        <f>TEXT(A2,"DD/MM")</f>
        <v/>
      </c>
    </row>
    <row r="3">
      <c r="A3" s="13" t="n">
        <v>46319</v>
      </c>
      <c r="B3" s="23">
        <f>CHOOSE(WEEKDAY(A3,2),"Lunedì","Martedì","Mercoledì","Giovedì","Venerdì","Sabato","Domenica")</f>
        <v/>
      </c>
      <c r="C3" s="15">
        <f>SUM(F3:J3)</f>
        <v/>
      </c>
      <c r="D3" s="15">
        <f>SUM(K3:O3)</f>
        <v/>
      </c>
      <c r="E3" s="16">
        <f>SUMIF(Vendite!$B$2:$B$1000,A3,Vendite!$J$2:$J$1000)</f>
        <v/>
      </c>
      <c r="F3" s="15">
        <f>SUMIFS(Vendite!$H$2:$H$1000,Vendite!$B$2:$B$1000,A3,Vendite!$C$2:$C$1000,"&gt;="&amp;TIMEVALUE("20:00"),Vendite!$C$2:$C$1000,"&lt;"&amp;TIMEVALUE("21:00"))</f>
        <v/>
      </c>
      <c r="G3" s="15">
        <f>SUMIFS(Vendite!$H$2:$H$1000,Vendite!$B$2:$B$1000,A3,Vendite!$C$2:$C$1000,"&gt;="&amp;TIMEVALUE("21:00"),Vendite!$C$2:$C$1000,"&lt;"&amp;TIMEVALUE("22:00"))</f>
        <v/>
      </c>
      <c r="H3" s="15">
        <f>SUMIFS(Vendite!$H$2:$H$1000,Vendite!$B$2:$B$1000,A3,Vendite!$C$2:$C$1000,"&gt;="&amp;TIMEVALUE("22:00"),Vendite!$C$2:$C$1000,"&lt;"&amp;TIMEVALUE("23:00"))</f>
        <v/>
      </c>
      <c r="I3" s="15">
        <f>SUMIFS(Vendite!$H$2:$H$1000,Vendite!$B$2:$B$1000,A3,Vendite!$C$2:$C$1000,"&gt;="&amp;TIMEVALUE("23:00"),Vendite!$C$2:$C$1000,"&lt;"&amp;TIMEVALUE("23:30"))</f>
        <v/>
      </c>
      <c r="J3" s="15">
        <f>SUMIFS(Vendite!$H$2:$H$1000,Vendite!$B$2:$B$1000,A3,Vendite!$C$2:$C$1000,"&gt;="&amp;TIMEVALUE("23:30"))</f>
        <v/>
      </c>
      <c r="K3" s="15">
        <f>SUMIFS(Vendite!$P$2:$P$1000,Vendite!$B$2:$B$1000,A3,Vendite!$C$2:$C$1000,"&gt;="&amp;TIMEVALUE("20:00"),Vendite!$C$2:$C$1000,"&lt;"&amp;TIMEVALUE("21:00"))</f>
        <v/>
      </c>
      <c r="L3" s="15">
        <f>SUMIFS(Vendite!$P$2:$P$1000,Vendite!$B$2:$B$1000,A3,Vendite!$C$2:$C$1000,"&gt;="&amp;TIMEVALUE("21:00"),Vendite!$C$2:$C$1000,"&lt;"&amp;TIMEVALUE("22:00"))</f>
        <v/>
      </c>
      <c r="M3" s="15">
        <f>SUMIFS(Vendite!$P$2:$P$1000,Vendite!$B$2:$B$1000,A3,Vendite!$C$2:$C$1000,"&gt;="&amp;TIMEVALUE("22:00"),Vendite!$C$2:$C$1000,"&lt;"&amp;TIMEVALUE("23:00"))</f>
        <v/>
      </c>
      <c r="N3" s="15">
        <f>SUMIFS(Vendite!$P$2:$P$1000,Vendite!$B$2:$B$1000,A3,Vendite!$C$2:$C$1000,"&gt;="&amp;TIMEVALUE("23:00"),Vendite!$C$2:$C$1000,"&lt;"&amp;TIMEVALUE("23:30"))</f>
        <v/>
      </c>
      <c r="O3" s="15">
        <f>SUMIFS(Vendite!$P$2:$P$1000,Vendite!$B$2:$B$1000,A3,Vendite!$C$2:$C$1000,"&gt;="&amp;TIMEVALUE("23:30"))</f>
        <v/>
      </c>
      <c r="P3" s="15">
        <f>SUMIFS(Vendite!$H$2:$H$1000,Vendite!$B$2:$B$1000,A3,Vendite!$O$2:$O$1000,2)</f>
        <v/>
      </c>
      <c r="Q3" s="15">
        <f>SUMIFS(Vendite!$H$2:$H$1000,Vendite!$B$2:$B$1000,A3,Vendite!$O$2:$O$1000,3)</f>
        <v/>
      </c>
      <c r="R3" s="15">
        <f>SUMIFS(Vendite!$H$2:$H$1000,Vendite!$B$2:$B$1000,A3,Vendite!$O$2:$O$1000,4)</f>
        <v/>
      </c>
      <c r="S3" s="15">
        <f>SUMIFS(Vendite!$H$2:$H$1000,Vendite!$B$2:$B$1000,A3,Vendite!$O$2:$O$1000,5)</f>
        <v/>
      </c>
      <c r="T3">
        <f>TEXT(A3,"DD/MM")</f>
        <v/>
      </c>
    </row>
    <row r="4">
      <c r="A4" s="9" t="n">
        <v>46320</v>
      </c>
      <c r="B4" s="22">
        <f>CHOOSE(WEEKDAY(A4,2),"Lunedì","Martedì","Mercoledì","Giovedì","Venerdì","Sabato","Domenica")</f>
        <v/>
      </c>
      <c r="C4" s="11">
        <f>SUM(F4:J4)</f>
        <v/>
      </c>
      <c r="D4" s="11">
        <f>SUM(K4:O4)</f>
        <v/>
      </c>
      <c r="E4" s="12">
        <f>SUMIF(Vendite!$B$2:$B$1000,A4,Vendite!$J$2:$J$1000)</f>
        <v/>
      </c>
      <c r="F4" s="11">
        <f>SUMIFS(Vendite!$H$2:$H$1000,Vendite!$B$2:$B$1000,A4,Vendite!$C$2:$C$1000,"&gt;="&amp;TIMEVALUE("20:00"),Vendite!$C$2:$C$1000,"&lt;"&amp;TIMEVALUE("21:00"))</f>
        <v/>
      </c>
      <c r="G4" s="11">
        <f>SUMIFS(Vendite!$H$2:$H$1000,Vendite!$B$2:$B$1000,A4,Vendite!$C$2:$C$1000,"&gt;="&amp;TIMEVALUE("21:00"),Vendite!$C$2:$C$1000,"&lt;"&amp;TIMEVALUE("22:00"))</f>
        <v/>
      </c>
      <c r="H4" s="11">
        <f>SUMIFS(Vendite!$H$2:$H$1000,Vendite!$B$2:$B$1000,A4,Vendite!$C$2:$C$1000,"&gt;="&amp;TIMEVALUE("22:00"),Vendite!$C$2:$C$1000,"&lt;"&amp;TIMEVALUE("23:00"))</f>
        <v/>
      </c>
      <c r="I4" s="11">
        <f>SUMIFS(Vendite!$H$2:$H$1000,Vendite!$B$2:$B$1000,A4,Vendite!$C$2:$C$1000,"&gt;="&amp;TIMEVALUE("23:00"),Vendite!$C$2:$C$1000,"&lt;"&amp;TIMEVALUE("23:30"))</f>
        <v/>
      </c>
      <c r="J4" s="11">
        <f>SUMIFS(Vendite!$H$2:$H$1000,Vendite!$B$2:$B$1000,A4,Vendite!$C$2:$C$1000,"&gt;="&amp;TIMEVALUE("23:30"))</f>
        <v/>
      </c>
      <c r="K4" s="11">
        <f>SUMIFS(Vendite!$P$2:$P$1000,Vendite!$B$2:$B$1000,A4,Vendite!$C$2:$C$1000,"&gt;="&amp;TIMEVALUE("20:00"),Vendite!$C$2:$C$1000,"&lt;"&amp;TIMEVALUE("21:00"))</f>
        <v/>
      </c>
      <c r="L4" s="11">
        <f>SUMIFS(Vendite!$P$2:$P$1000,Vendite!$B$2:$B$1000,A4,Vendite!$C$2:$C$1000,"&gt;="&amp;TIMEVALUE("21:00"),Vendite!$C$2:$C$1000,"&lt;"&amp;TIMEVALUE("22:00"))</f>
        <v/>
      </c>
      <c r="M4" s="11">
        <f>SUMIFS(Vendite!$P$2:$P$1000,Vendite!$B$2:$B$1000,A4,Vendite!$C$2:$C$1000,"&gt;="&amp;TIMEVALUE("22:00"),Vendite!$C$2:$C$1000,"&lt;"&amp;TIMEVALUE("23:00"))</f>
        <v/>
      </c>
      <c r="N4" s="11">
        <f>SUMIFS(Vendite!$P$2:$P$1000,Vendite!$B$2:$B$1000,A4,Vendite!$C$2:$C$1000,"&gt;="&amp;TIMEVALUE("23:00"),Vendite!$C$2:$C$1000,"&lt;"&amp;TIMEVALUE("23:30"))</f>
        <v/>
      </c>
      <c r="O4" s="11">
        <f>SUMIFS(Vendite!$P$2:$P$1000,Vendite!$B$2:$B$1000,A4,Vendite!$C$2:$C$1000,"&gt;="&amp;TIMEVALUE("23:30"))</f>
        <v/>
      </c>
      <c r="P4" s="11">
        <f>SUMIFS(Vendite!$H$2:$H$1000,Vendite!$B$2:$B$1000,A4,Vendite!$O$2:$O$1000,2)</f>
        <v/>
      </c>
      <c r="Q4" s="11">
        <f>SUMIFS(Vendite!$H$2:$H$1000,Vendite!$B$2:$B$1000,A4,Vendite!$O$2:$O$1000,3)</f>
        <v/>
      </c>
      <c r="R4" s="11">
        <f>SUMIFS(Vendite!$H$2:$H$1000,Vendite!$B$2:$B$1000,A4,Vendite!$O$2:$O$1000,4)</f>
        <v/>
      </c>
      <c r="S4" s="11">
        <f>SUMIFS(Vendite!$H$2:$H$1000,Vendite!$B$2:$B$1000,A4,Vendite!$O$2:$O$1000,5)</f>
        <v/>
      </c>
      <c r="T4">
        <f>TEXT(A4,"DD/MM")</f>
        <v/>
      </c>
    </row>
    <row r="5">
      <c r="A5" s="13" t="n">
        <v>46324</v>
      </c>
      <c r="B5" s="23">
        <f>CHOOSE(WEEKDAY(A5,2),"Lunedì","Martedì","Mercoledì","Giovedì","Venerdì","Sabato","Domenica")</f>
        <v/>
      </c>
      <c r="C5" s="15">
        <f>SUM(F5:J5)</f>
        <v/>
      </c>
      <c r="D5" s="15">
        <f>SUM(K5:O5)</f>
        <v/>
      </c>
      <c r="E5" s="16">
        <f>SUMIF(Vendite!$B$2:$B$1000,A5,Vendite!$J$2:$J$1000)</f>
        <v/>
      </c>
      <c r="F5" s="15">
        <f>SUMIFS(Vendite!$H$2:$H$1000,Vendite!$B$2:$B$1000,A5,Vendite!$C$2:$C$1000,"&gt;="&amp;TIMEVALUE("20:00"),Vendite!$C$2:$C$1000,"&lt;"&amp;TIMEVALUE("21:00"))</f>
        <v/>
      </c>
      <c r="G5" s="15">
        <f>SUMIFS(Vendite!$H$2:$H$1000,Vendite!$B$2:$B$1000,A5,Vendite!$C$2:$C$1000,"&gt;="&amp;TIMEVALUE("21:00"),Vendite!$C$2:$C$1000,"&lt;"&amp;TIMEVALUE("22:00"))</f>
        <v/>
      </c>
      <c r="H5" s="15">
        <f>SUMIFS(Vendite!$H$2:$H$1000,Vendite!$B$2:$B$1000,A5,Vendite!$C$2:$C$1000,"&gt;="&amp;TIMEVALUE("22:00"),Vendite!$C$2:$C$1000,"&lt;"&amp;TIMEVALUE("23:00"))</f>
        <v/>
      </c>
      <c r="I5" s="15">
        <f>SUMIFS(Vendite!$H$2:$H$1000,Vendite!$B$2:$B$1000,A5,Vendite!$C$2:$C$1000,"&gt;="&amp;TIMEVALUE("23:00"),Vendite!$C$2:$C$1000,"&lt;"&amp;TIMEVALUE("23:30"))</f>
        <v/>
      </c>
      <c r="J5" s="15">
        <f>SUMIFS(Vendite!$H$2:$H$1000,Vendite!$B$2:$B$1000,A5,Vendite!$C$2:$C$1000,"&gt;="&amp;TIMEVALUE("23:30"))</f>
        <v/>
      </c>
      <c r="K5" s="15">
        <f>SUMIFS(Vendite!$P$2:$P$1000,Vendite!$B$2:$B$1000,A5,Vendite!$C$2:$C$1000,"&gt;="&amp;TIMEVALUE("20:00"),Vendite!$C$2:$C$1000,"&lt;"&amp;TIMEVALUE("21:00"))</f>
        <v/>
      </c>
      <c r="L5" s="15">
        <f>SUMIFS(Vendite!$P$2:$P$1000,Vendite!$B$2:$B$1000,A5,Vendite!$C$2:$C$1000,"&gt;="&amp;TIMEVALUE("21:00"),Vendite!$C$2:$C$1000,"&lt;"&amp;TIMEVALUE("22:00"))</f>
        <v/>
      </c>
      <c r="M5" s="15">
        <f>SUMIFS(Vendite!$P$2:$P$1000,Vendite!$B$2:$B$1000,A5,Vendite!$C$2:$C$1000,"&gt;="&amp;TIMEVALUE("22:00"),Vendite!$C$2:$C$1000,"&lt;"&amp;TIMEVALUE("23:00"))</f>
        <v/>
      </c>
      <c r="N5" s="15">
        <f>SUMIFS(Vendite!$P$2:$P$1000,Vendite!$B$2:$B$1000,A5,Vendite!$C$2:$C$1000,"&gt;="&amp;TIMEVALUE("23:00"),Vendite!$C$2:$C$1000,"&lt;"&amp;TIMEVALUE("23:30"))</f>
        <v/>
      </c>
      <c r="O5" s="15">
        <f>SUMIFS(Vendite!$P$2:$P$1000,Vendite!$B$2:$B$1000,A5,Vendite!$C$2:$C$1000,"&gt;="&amp;TIMEVALUE("23:30"))</f>
        <v/>
      </c>
      <c r="P5" s="15">
        <f>SUMIFS(Vendite!$H$2:$H$1000,Vendite!$B$2:$B$1000,A5,Vendite!$O$2:$O$1000,2)</f>
        <v/>
      </c>
      <c r="Q5" s="15">
        <f>SUMIFS(Vendite!$H$2:$H$1000,Vendite!$B$2:$B$1000,A5,Vendite!$O$2:$O$1000,3)</f>
        <v/>
      </c>
      <c r="R5" s="15">
        <f>SUMIFS(Vendite!$H$2:$H$1000,Vendite!$B$2:$B$1000,A5,Vendite!$O$2:$O$1000,4)</f>
        <v/>
      </c>
      <c r="S5" s="15">
        <f>SUMIFS(Vendite!$H$2:$H$1000,Vendite!$B$2:$B$1000,A5,Vendite!$O$2:$O$1000,5)</f>
        <v/>
      </c>
      <c r="T5">
        <f>TEXT(A5,"DD/MM")</f>
        <v/>
      </c>
    </row>
    <row r="6">
      <c r="A6" s="9" t="n">
        <v>46325</v>
      </c>
      <c r="B6" s="22">
        <f>CHOOSE(WEEKDAY(A6,2),"Lunedì","Martedì","Mercoledì","Giovedì","Venerdì","Sabato","Domenica")</f>
        <v/>
      </c>
      <c r="C6" s="11">
        <f>SUM(F6:J6)</f>
        <v/>
      </c>
      <c r="D6" s="11">
        <f>SUM(K6:O6)</f>
        <v/>
      </c>
      <c r="E6" s="12">
        <f>SUMIF(Vendite!$B$2:$B$1000,A6,Vendite!$J$2:$J$1000)</f>
        <v/>
      </c>
      <c r="F6" s="11">
        <f>SUMIFS(Vendite!$H$2:$H$1000,Vendite!$B$2:$B$1000,A6,Vendite!$C$2:$C$1000,"&gt;="&amp;TIMEVALUE("20:00"),Vendite!$C$2:$C$1000,"&lt;"&amp;TIMEVALUE("21:00"))</f>
        <v/>
      </c>
      <c r="G6" s="11">
        <f>SUMIFS(Vendite!$H$2:$H$1000,Vendite!$B$2:$B$1000,A6,Vendite!$C$2:$C$1000,"&gt;="&amp;TIMEVALUE("21:00"),Vendite!$C$2:$C$1000,"&lt;"&amp;TIMEVALUE("22:00"))</f>
        <v/>
      </c>
      <c r="H6" s="11">
        <f>SUMIFS(Vendite!$H$2:$H$1000,Vendite!$B$2:$B$1000,A6,Vendite!$C$2:$C$1000,"&gt;="&amp;TIMEVALUE("22:00"),Vendite!$C$2:$C$1000,"&lt;"&amp;TIMEVALUE("23:00"))</f>
        <v/>
      </c>
      <c r="I6" s="11">
        <f>SUMIFS(Vendite!$H$2:$H$1000,Vendite!$B$2:$B$1000,A6,Vendite!$C$2:$C$1000,"&gt;="&amp;TIMEVALUE("23:00"),Vendite!$C$2:$C$1000,"&lt;"&amp;TIMEVALUE("23:30"))</f>
        <v/>
      </c>
      <c r="J6" s="11">
        <f>SUMIFS(Vendite!$H$2:$H$1000,Vendite!$B$2:$B$1000,A6,Vendite!$C$2:$C$1000,"&gt;="&amp;TIMEVALUE("23:30"))</f>
        <v/>
      </c>
      <c r="K6" s="11">
        <f>SUMIFS(Vendite!$P$2:$P$1000,Vendite!$B$2:$B$1000,A6,Vendite!$C$2:$C$1000,"&gt;="&amp;TIMEVALUE("20:00"),Vendite!$C$2:$C$1000,"&lt;"&amp;TIMEVALUE("21:00"))</f>
        <v/>
      </c>
      <c r="L6" s="11">
        <f>SUMIFS(Vendite!$P$2:$P$1000,Vendite!$B$2:$B$1000,A6,Vendite!$C$2:$C$1000,"&gt;="&amp;TIMEVALUE("21:00"),Vendite!$C$2:$C$1000,"&lt;"&amp;TIMEVALUE("22:00"))</f>
        <v/>
      </c>
      <c r="M6" s="11">
        <f>SUMIFS(Vendite!$P$2:$P$1000,Vendite!$B$2:$B$1000,A6,Vendite!$C$2:$C$1000,"&gt;="&amp;TIMEVALUE("22:00"),Vendite!$C$2:$C$1000,"&lt;"&amp;TIMEVALUE("23:00"))</f>
        <v/>
      </c>
      <c r="N6" s="11">
        <f>SUMIFS(Vendite!$P$2:$P$1000,Vendite!$B$2:$B$1000,A6,Vendite!$C$2:$C$1000,"&gt;="&amp;TIMEVALUE("23:00"),Vendite!$C$2:$C$1000,"&lt;"&amp;TIMEVALUE("23:30"))</f>
        <v/>
      </c>
      <c r="O6" s="11">
        <f>SUMIFS(Vendite!$P$2:$P$1000,Vendite!$B$2:$B$1000,A6,Vendite!$C$2:$C$1000,"&gt;="&amp;TIMEVALUE("23:30"))</f>
        <v/>
      </c>
      <c r="P6" s="11">
        <f>SUMIFS(Vendite!$H$2:$H$1000,Vendite!$B$2:$B$1000,A6,Vendite!$O$2:$O$1000,2)</f>
        <v/>
      </c>
      <c r="Q6" s="11">
        <f>SUMIFS(Vendite!$H$2:$H$1000,Vendite!$B$2:$B$1000,A6,Vendite!$O$2:$O$1000,3)</f>
        <v/>
      </c>
      <c r="R6" s="11">
        <f>SUMIFS(Vendite!$H$2:$H$1000,Vendite!$B$2:$B$1000,A6,Vendite!$O$2:$O$1000,4)</f>
        <v/>
      </c>
      <c r="S6" s="11">
        <f>SUMIFS(Vendite!$H$2:$H$1000,Vendite!$B$2:$B$1000,A6,Vendite!$O$2:$O$1000,5)</f>
        <v/>
      </c>
      <c r="T6">
        <f>TEXT(A6,"DD/MM")</f>
        <v/>
      </c>
    </row>
    <row r="7">
      <c r="A7" s="13" t="n">
        <v>46326</v>
      </c>
      <c r="B7" s="23">
        <f>CHOOSE(WEEKDAY(A7,2),"Lunedì","Martedì","Mercoledì","Giovedì","Venerdì","Sabato","Domenica")</f>
        <v/>
      </c>
      <c r="C7" s="15">
        <f>SUM(F7:J7)</f>
        <v/>
      </c>
      <c r="D7" s="15">
        <f>SUM(K7:O7)</f>
        <v/>
      </c>
      <c r="E7" s="16">
        <f>SUMIF(Vendite!$B$2:$B$1000,A7,Vendite!$J$2:$J$1000)</f>
        <v/>
      </c>
      <c r="F7" s="15">
        <f>SUMIFS(Vendite!$H$2:$H$1000,Vendite!$B$2:$B$1000,A7,Vendite!$C$2:$C$1000,"&gt;="&amp;TIMEVALUE("20:00"),Vendite!$C$2:$C$1000,"&lt;"&amp;TIMEVALUE("21:00"))</f>
        <v/>
      </c>
      <c r="G7" s="15">
        <f>SUMIFS(Vendite!$H$2:$H$1000,Vendite!$B$2:$B$1000,A7,Vendite!$C$2:$C$1000,"&gt;="&amp;TIMEVALUE("21:00"),Vendite!$C$2:$C$1000,"&lt;"&amp;TIMEVALUE("22:00"))</f>
        <v/>
      </c>
      <c r="H7" s="15">
        <f>SUMIFS(Vendite!$H$2:$H$1000,Vendite!$B$2:$B$1000,A7,Vendite!$C$2:$C$1000,"&gt;="&amp;TIMEVALUE("22:00"),Vendite!$C$2:$C$1000,"&lt;"&amp;TIMEVALUE("23:00"))</f>
        <v/>
      </c>
      <c r="I7" s="15">
        <f>SUMIFS(Vendite!$H$2:$H$1000,Vendite!$B$2:$B$1000,A7,Vendite!$C$2:$C$1000,"&gt;="&amp;TIMEVALUE("23:00"),Vendite!$C$2:$C$1000,"&lt;"&amp;TIMEVALUE("23:30"))</f>
        <v/>
      </c>
      <c r="J7" s="15">
        <f>SUMIFS(Vendite!$H$2:$H$1000,Vendite!$B$2:$B$1000,A7,Vendite!$C$2:$C$1000,"&gt;="&amp;TIMEVALUE("23:30"))</f>
        <v/>
      </c>
      <c r="K7" s="15">
        <f>SUMIFS(Vendite!$P$2:$P$1000,Vendite!$B$2:$B$1000,A7,Vendite!$C$2:$C$1000,"&gt;="&amp;TIMEVALUE("20:00"),Vendite!$C$2:$C$1000,"&lt;"&amp;TIMEVALUE("21:00"))</f>
        <v/>
      </c>
      <c r="L7" s="15">
        <f>SUMIFS(Vendite!$P$2:$P$1000,Vendite!$B$2:$B$1000,A7,Vendite!$C$2:$C$1000,"&gt;="&amp;TIMEVALUE("21:00"),Vendite!$C$2:$C$1000,"&lt;"&amp;TIMEVALUE("22:00"))</f>
        <v/>
      </c>
      <c r="M7" s="15">
        <f>SUMIFS(Vendite!$P$2:$P$1000,Vendite!$B$2:$B$1000,A7,Vendite!$C$2:$C$1000,"&gt;="&amp;TIMEVALUE("22:00"),Vendite!$C$2:$C$1000,"&lt;"&amp;TIMEVALUE("23:00"))</f>
        <v/>
      </c>
      <c r="N7" s="15">
        <f>SUMIFS(Vendite!$P$2:$P$1000,Vendite!$B$2:$B$1000,A7,Vendite!$C$2:$C$1000,"&gt;="&amp;TIMEVALUE("23:00"),Vendite!$C$2:$C$1000,"&lt;"&amp;TIMEVALUE("23:30"))</f>
        <v/>
      </c>
      <c r="O7" s="15">
        <f>SUMIFS(Vendite!$P$2:$P$1000,Vendite!$B$2:$B$1000,A7,Vendite!$C$2:$C$1000,"&gt;="&amp;TIMEVALUE("23:30"))</f>
        <v/>
      </c>
      <c r="P7" s="15">
        <f>SUMIFS(Vendite!$H$2:$H$1000,Vendite!$B$2:$B$1000,A7,Vendite!$O$2:$O$1000,2)</f>
        <v/>
      </c>
      <c r="Q7" s="15">
        <f>SUMIFS(Vendite!$H$2:$H$1000,Vendite!$B$2:$B$1000,A7,Vendite!$O$2:$O$1000,3)</f>
        <v/>
      </c>
      <c r="R7" s="15">
        <f>SUMIFS(Vendite!$H$2:$H$1000,Vendite!$B$2:$B$1000,A7,Vendite!$O$2:$O$1000,4)</f>
        <v/>
      </c>
      <c r="S7" s="15">
        <f>SUMIFS(Vendite!$H$2:$H$1000,Vendite!$B$2:$B$1000,A7,Vendite!$O$2:$O$1000,5)</f>
        <v/>
      </c>
      <c r="T7">
        <f>TEXT(A7,"DD/MM")</f>
        <v/>
      </c>
    </row>
    <row r="8">
      <c r="A8" s="9" t="n">
        <v>46327</v>
      </c>
      <c r="B8" s="22">
        <f>CHOOSE(WEEKDAY(A8,2),"Lunedì","Martedì","Mercoledì","Giovedì","Venerdì","Sabato","Domenica")</f>
        <v/>
      </c>
      <c r="C8" s="11">
        <f>SUM(F8:J8)</f>
        <v/>
      </c>
      <c r="D8" s="11">
        <f>SUM(K8:O8)</f>
        <v/>
      </c>
      <c r="E8" s="12">
        <f>SUMIF(Vendite!$B$2:$B$1000,A8,Vendite!$J$2:$J$1000)</f>
        <v/>
      </c>
      <c r="F8" s="11">
        <f>SUMIFS(Vendite!$H$2:$H$1000,Vendite!$B$2:$B$1000,A8,Vendite!$C$2:$C$1000,"&gt;="&amp;TIMEVALUE("20:00"),Vendite!$C$2:$C$1000,"&lt;"&amp;TIMEVALUE("21:00"))</f>
        <v/>
      </c>
      <c r="G8" s="11">
        <f>SUMIFS(Vendite!$H$2:$H$1000,Vendite!$B$2:$B$1000,A8,Vendite!$C$2:$C$1000,"&gt;="&amp;TIMEVALUE("21:00"),Vendite!$C$2:$C$1000,"&lt;"&amp;TIMEVALUE("22:00"))</f>
        <v/>
      </c>
      <c r="H8" s="11">
        <f>SUMIFS(Vendite!$H$2:$H$1000,Vendite!$B$2:$B$1000,A8,Vendite!$C$2:$C$1000,"&gt;="&amp;TIMEVALUE("22:00"),Vendite!$C$2:$C$1000,"&lt;"&amp;TIMEVALUE("23:00"))</f>
        <v/>
      </c>
      <c r="I8" s="11">
        <f>SUMIFS(Vendite!$H$2:$H$1000,Vendite!$B$2:$B$1000,A8,Vendite!$C$2:$C$1000,"&gt;="&amp;TIMEVALUE("23:00"),Vendite!$C$2:$C$1000,"&lt;"&amp;TIMEVALUE("23:30"))</f>
        <v/>
      </c>
      <c r="J8" s="11">
        <f>SUMIFS(Vendite!$H$2:$H$1000,Vendite!$B$2:$B$1000,A8,Vendite!$C$2:$C$1000,"&gt;="&amp;TIMEVALUE("23:30"))</f>
        <v/>
      </c>
      <c r="K8" s="11">
        <f>SUMIFS(Vendite!$P$2:$P$1000,Vendite!$B$2:$B$1000,A8,Vendite!$C$2:$C$1000,"&gt;="&amp;TIMEVALUE("20:00"),Vendite!$C$2:$C$1000,"&lt;"&amp;TIMEVALUE("21:00"))</f>
        <v/>
      </c>
      <c r="L8" s="11">
        <f>SUMIFS(Vendite!$P$2:$P$1000,Vendite!$B$2:$B$1000,A8,Vendite!$C$2:$C$1000,"&gt;="&amp;TIMEVALUE("21:00"),Vendite!$C$2:$C$1000,"&lt;"&amp;TIMEVALUE("22:00"))</f>
        <v/>
      </c>
      <c r="M8" s="11">
        <f>SUMIFS(Vendite!$P$2:$P$1000,Vendite!$B$2:$B$1000,A8,Vendite!$C$2:$C$1000,"&gt;="&amp;TIMEVALUE("22:00"),Vendite!$C$2:$C$1000,"&lt;"&amp;TIMEVALUE("23:00"))</f>
        <v/>
      </c>
      <c r="N8" s="11">
        <f>SUMIFS(Vendite!$P$2:$P$1000,Vendite!$B$2:$B$1000,A8,Vendite!$C$2:$C$1000,"&gt;="&amp;TIMEVALUE("23:00"),Vendite!$C$2:$C$1000,"&lt;"&amp;TIMEVALUE("23:30"))</f>
        <v/>
      </c>
      <c r="O8" s="11">
        <f>SUMIFS(Vendite!$P$2:$P$1000,Vendite!$B$2:$B$1000,A8,Vendite!$C$2:$C$1000,"&gt;="&amp;TIMEVALUE("23:30"))</f>
        <v/>
      </c>
      <c r="P8" s="11">
        <f>SUMIFS(Vendite!$H$2:$H$1000,Vendite!$B$2:$B$1000,A8,Vendite!$O$2:$O$1000,2)</f>
        <v/>
      </c>
      <c r="Q8" s="11">
        <f>SUMIFS(Vendite!$H$2:$H$1000,Vendite!$B$2:$B$1000,A8,Vendite!$O$2:$O$1000,3)</f>
        <v/>
      </c>
      <c r="R8" s="11">
        <f>SUMIFS(Vendite!$H$2:$H$1000,Vendite!$B$2:$B$1000,A8,Vendite!$O$2:$O$1000,4)</f>
        <v/>
      </c>
      <c r="S8" s="11">
        <f>SUMIFS(Vendite!$H$2:$H$1000,Vendite!$B$2:$B$1000,A8,Vendite!$O$2:$O$1000,5)</f>
        <v/>
      </c>
      <c r="T8">
        <f>TEXT(A8,"DD/MM")</f>
        <v/>
      </c>
    </row>
    <row r="9">
      <c r="A9" s="13" t="n">
        <v>46328</v>
      </c>
      <c r="B9" s="23">
        <f>CHOOSE(WEEKDAY(A9,2),"Lunedì","Martedì","Mercoledì","Giovedì","Venerdì","Sabato","Domenica")</f>
        <v/>
      </c>
      <c r="C9" s="15">
        <f>SUM(F9:J9)</f>
        <v/>
      </c>
      <c r="D9" s="15">
        <f>SUM(K9:O9)</f>
        <v/>
      </c>
      <c r="E9" s="16">
        <f>SUMIF(Vendite!$B$2:$B$1000,A9,Vendite!$J$2:$J$1000)</f>
        <v/>
      </c>
      <c r="F9" s="15">
        <f>SUMIFS(Vendite!$H$2:$H$1000,Vendite!$B$2:$B$1000,A9,Vendite!$C$2:$C$1000,"&gt;="&amp;TIMEVALUE("20:00"),Vendite!$C$2:$C$1000,"&lt;"&amp;TIMEVALUE("21:00"))</f>
        <v/>
      </c>
      <c r="G9" s="15">
        <f>SUMIFS(Vendite!$H$2:$H$1000,Vendite!$B$2:$B$1000,A9,Vendite!$C$2:$C$1000,"&gt;="&amp;TIMEVALUE("21:00"),Vendite!$C$2:$C$1000,"&lt;"&amp;TIMEVALUE("22:00"))</f>
        <v/>
      </c>
      <c r="H9" s="15">
        <f>SUMIFS(Vendite!$H$2:$H$1000,Vendite!$B$2:$B$1000,A9,Vendite!$C$2:$C$1000,"&gt;="&amp;TIMEVALUE("22:00"),Vendite!$C$2:$C$1000,"&lt;"&amp;TIMEVALUE("23:00"))</f>
        <v/>
      </c>
      <c r="I9" s="15">
        <f>SUMIFS(Vendite!$H$2:$H$1000,Vendite!$B$2:$B$1000,A9,Vendite!$C$2:$C$1000,"&gt;="&amp;TIMEVALUE("23:00"),Vendite!$C$2:$C$1000,"&lt;"&amp;TIMEVALUE("23:30"))</f>
        <v/>
      </c>
      <c r="J9" s="15">
        <f>SUMIFS(Vendite!$H$2:$H$1000,Vendite!$B$2:$B$1000,A9,Vendite!$C$2:$C$1000,"&gt;="&amp;TIMEVALUE("23:30"))</f>
        <v/>
      </c>
      <c r="K9" s="15">
        <f>SUMIFS(Vendite!$P$2:$P$1000,Vendite!$B$2:$B$1000,A9,Vendite!$C$2:$C$1000,"&gt;="&amp;TIMEVALUE("20:00"),Vendite!$C$2:$C$1000,"&lt;"&amp;TIMEVALUE("21:00"))</f>
        <v/>
      </c>
      <c r="L9" s="15">
        <f>SUMIFS(Vendite!$P$2:$P$1000,Vendite!$B$2:$B$1000,A9,Vendite!$C$2:$C$1000,"&gt;="&amp;TIMEVALUE("21:00"),Vendite!$C$2:$C$1000,"&lt;"&amp;TIMEVALUE("22:00"))</f>
        <v/>
      </c>
      <c r="M9" s="15">
        <f>SUMIFS(Vendite!$P$2:$P$1000,Vendite!$B$2:$B$1000,A9,Vendite!$C$2:$C$1000,"&gt;="&amp;TIMEVALUE("22:00"),Vendite!$C$2:$C$1000,"&lt;"&amp;TIMEVALUE("23:00"))</f>
        <v/>
      </c>
      <c r="N9" s="15">
        <f>SUMIFS(Vendite!$P$2:$P$1000,Vendite!$B$2:$B$1000,A9,Vendite!$C$2:$C$1000,"&gt;="&amp;TIMEVALUE("23:00"),Vendite!$C$2:$C$1000,"&lt;"&amp;TIMEVALUE("23:30"))</f>
        <v/>
      </c>
      <c r="O9" s="15">
        <f>SUMIFS(Vendite!$P$2:$P$1000,Vendite!$B$2:$B$1000,A9,Vendite!$C$2:$C$1000,"&gt;="&amp;TIMEVALUE("23:30"))</f>
        <v/>
      </c>
      <c r="P9" s="15">
        <f>SUMIFS(Vendite!$H$2:$H$1000,Vendite!$B$2:$B$1000,A9,Vendite!$O$2:$O$1000,2)</f>
        <v/>
      </c>
      <c r="Q9" s="15">
        <f>SUMIFS(Vendite!$H$2:$H$1000,Vendite!$B$2:$B$1000,A9,Vendite!$O$2:$O$1000,3)</f>
        <v/>
      </c>
      <c r="R9" s="15">
        <f>SUMIFS(Vendite!$H$2:$H$1000,Vendite!$B$2:$B$1000,A9,Vendite!$O$2:$O$1000,4)</f>
        <v/>
      </c>
      <c r="S9" s="15">
        <f>SUMIFS(Vendite!$H$2:$H$1000,Vendite!$B$2:$B$1000,A9,Vendite!$O$2:$O$1000,5)</f>
        <v/>
      </c>
      <c r="T9">
        <f>TEXT(A9,"DD/MM")</f>
        <v/>
      </c>
    </row>
  </sheetData>
  <autoFilter ref="A1:S9"/>
  <conditionalFormatting sqref="F2:J9">
    <cfRule type="colorScale" priority="1">
      <colorScale>
        <cfvo type="min"/>
        <cfvo type="percentile" val="50"/>
        <cfvo type="max"/>
        <color rgb="00FFFFFF"/>
        <color rgb="00F4B6A6"/>
        <color rgb="00B3261E"/>
      </colorScale>
    </cfRule>
  </conditionalFormatting>
  <conditionalFormatting sqref="K2:O9">
    <cfRule type="colorScale" priority="2">
      <colorScale>
        <cfvo type="min"/>
        <cfvo type="percentile" val="50"/>
        <cfvo type="max"/>
        <color rgb="00FFFFFF"/>
        <color rgb="00F4B6A6"/>
        <color rgb="00B3261E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  <col width="12" customWidth="1" min="5" max="5"/>
    <col width="14" customWidth="1" min="6" max="6"/>
    <col width="15" customWidth="1" min="7" max="7"/>
  </cols>
  <sheetData>
    <row r="1" ht="30" customHeight="1">
      <c r="A1" s="21" t="inlineStr">
        <is>
          <t>Data estrazione</t>
        </is>
      </c>
      <c r="B1" s="21" t="inlineStr">
        <is>
          <t>Auto totali</t>
        </is>
      </c>
      <c r="C1" s="21" t="inlineStr">
        <is>
          <t>Persone totali</t>
        </is>
      </c>
      <c r="D1" s="21" t="inlineStr">
        <is>
          <t>Incasso totale</t>
        </is>
      </c>
      <c r="E1" s="21" t="inlineStr">
        <is>
          <t>Delta auto</t>
        </is>
      </c>
      <c r="F1" s="21" t="inlineStr">
        <is>
          <t>Delta persone</t>
        </is>
      </c>
      <c r="G1" s="21" t="inlineStr">
        <is>
          <t>Delta incasso</t>
        </is>
      </c>
      <c r="H1" t="inlineStr">
        <is>
          <t>Etichetta grafico</t>
        </is>
      </c>
    </row>
    <row r="2">
      <c r="A2" s="30" t="n">
        <v>46300.66319444445</v>
      </c>
      <c r="B2" s="11" t="n">
        <v>4</v>
      </c>
      <c r="C2" s="11" t="n">
        <v>10</v>
      </c>
      <c r="D2" s="12" t="n">
        <v>120</v>
      </c>
      <c r="E2" s="31" t="inlineStr">
        <is>
          <t>n.d.</t>
        </is>
      </c>
      <c r="F2" s="31" t="inlineStr">
        <is>
          <t>n.d.</t>
        </is>
      </c>
      <c r="G2" s="32" t="inlineStr">
        <is>
          <t>n.d.</t>
        </is>
      </c>
      <c r="H2">
        <f>TEXT(A2,"DD/MM HH:MM")</f>
        <v/>
      </c>
    </row>
    <row r="3">
      <c r="A3" s="33" t="n">
        <v>46300.73819444444</v>
      </c>
      <c r="B3" s="15" t="n">
        <v>10</v>
      </c>
      <c r="C3" s="15" t="n">
        <v>26</v>
      </c>
      <c r="D3" s="16" t="n">
        <v>312</v>
      </c>
      <c r="E3" s="34">
        <f>B3-B2</f>
        <v/>
      </c>
      <c r="F3" s="34">
        <f>C3-C2</f>
        <v/>
      </c>
      <c r="G3" s="35">
        <f>D3-D2</f>
        <v/>
      </c>
      <c r="H3">
        <f>TEXT(A3,"DD/MM HH:MM")</f>
        <v/>
      </c>
    </row>
    <row r="4">
      <c r="A4" s="30" t="n">
        <v>46300.76388888889</v>
      </c>
      <c r="B4" s="11" t="n">
        <v>10</v>
      </c>
      <c r="C4" s="11" t="n">
        <v>26</v>
      </c>
      <c r="D4" s="12" t="n">
        <v>312</v>
      </c>
      <c r="E4" s="31">
        <f>B4-B3</f>
        <v/>
      </c>
      <c r="F4" s="31">
        <f>C4-C3</f>
        <v/>
      </c>
      <c r="G4" s="32">
        <f>D4-D3</f>
        <v/>
      </c>
      <c r="H4">
        <f>TEXT(A4,"DD/MM HH:MM")</f>
        <v/>
      </c>
    </row>
    <row r="5">
      <c r="A5" s="33" t="n">
        <v>46300.76527777778</v>
      </c>
      <c r="B5" s="15" t="n">
        <v>11</v>
      </c>
      <c r="C5" s="15" t="n">
        <v>30</v>
      </c>
      <c r="D5" s="16" t="n">
        <v>360</v>
      </c>
      <c r="E5" s="34">
        <f>B5-B4</f>
        <v/>
      </c>
      <c r="F5" s="34">
        <f>C5-C4</f>
        <v/>
      </c>
      <c r="G5" s="35">
        <f>D5-D4</f>
        <v/>
      </c>
      <c r="H5">
        <f>TEXT(A5,"DD/MM HH:MM")</f>
        <v/>
      </c>
    </row>
    <row r="6">
      <c r="A6" s="30" t="n">
        <v>46300.76666666667</v>
      </c>
      <c r="B6" s="11" t="n">
        <v>11</v>
      </c>
      <c r="C6" s="11" t="n">
        <v>30</v>
      </c>
      <c r="D6" s="12" t="n">
        <v>360</v>
      </c>
      <c r="E6" s="31">
        <f>B6-B5</f>
        <v/>
      </c>
      <c r="F6" s="31">
        <f>C6-C5</f>
        <v/>
      </c>
      <c r="G6" s="32">
        <f>D6-D5</f>
        <v/>
      </c>
      <c r="H6">
        <f>TEXT(A6,"DD/MM HH:MM")</f>
        <v/>
      </c>
    </row>
    <row r="7">
      <c r="A7" s="33" t="n">
        <v>46300.77777777778</v>
      </c>
      <c r="B7" s="15" t="n">
        <v>11</v>
      </c>
      <c r="C7" s="15" t="n">
        <v>30</v>
      </c>
      <c r="D7" s="16" t="n">
        <v>360</v>
      </c>
      <c r="E7" s="34">
        <f>B7-B6</f>
        <v/>
      </c>
      <c r="F7" s="34">
        <f>C7-C6</f>
        <v/>
      </c>
      <c r="G7" s="35">
        <f>D7-D6</f>
        <v/>
      </c>
      <c r="H7">
        <f>TEXT(A7,"DD/MM HH:MM")</f>
        <v/>
      </c>
    </row>
    <row r="8">
      <c r="A8" s="30" t="n">
        <v>46300.78680555556</v>
      </c>
      <c r="B8" s="11" t="n">
        <v>11</v>
      </c>
      <c r="C8" s="11" t="n">
        <v>30</v>
      </c>
      <c r="D8" s="12" t="n">
        <v>360</v>
      </c>
      <c r="E8" s="31">
        <f>B8-B7</f>
        <v/>
      </c>
      <c r="F8" s="31">
        <f>C8-C7</f>
        <v/>
      </c>
      <c r="G8" s="32">
        <f>D8-D7</f>
        <v/>
      </c>
      <c r="H8">
        <f>TEXT(A8,"DD/MM HH:MM")</f>
        <v/>
      </c>
    </row>
    <row r="9">
      <c r="A9" s="33" t="n">
        <v>46300.79166666666</v>
      </c>
      <c r="B9" s="15" t="n">
        <v>11</v>
      </c>
      <c r="C9" s="15" t="n">
        <v>30</v>
      </c>
      <c r="D9" s="16" t="n">
        <v>360</v>
      </c>
      <c r="E9" s="34">
        <f>B9-B8</f>
        <v/>
      </c>
      <c r="F9" s="34">
        <f>C9-C8</f>
        <v/>
      </c>
      <c r="G9" s="35">
        <f>D9-D8</f>
        <v/>
      </c>
      <c r="H9">
        <f>TEXT(A9,"DD/MM HH:MM")</f>
        <v/>
      </c>
    </row>
    <row r="10">
      <c r="A10" s="30" t="n">
        <v>46300.8</v>
      </c>
      <c r="B10" s="11" t="n">
        <v>11</v>
      </c>
      <c r="C10" s="11" t="n">
        <v>30</v>
      </c>
      <c r="D10" s="12" t="n">
        <v>360</v>
      </c>
      <c r="E10" s="31">
        <f>B10-B9</f>
        <v/>
      </c>
      <c r="F10" s="31">
        <f>C10-C9</f>
        <v/>
      </c>
      <c r="G10" s="32">
        <f>D10-D9</f>
        <v/>
      </c>
      <c r="H10">
        <f>TEXT(A10,"DD/MM HH:MM")</f>
        <v/>
      </c>
    </row>
    <row r="11">
      <c r="A11" s="33" t="n">
        <v>46300.80208333334</v>
      </c>
      <c r="B11" s="15" t="n">
        <v>11</v>
      </c>
      <c r="C11" s="15" t="n">
        <v>30</v>
      </c>
      <c r="D11" s="16" t="n">
        <v>360</v>
      </c>
      <c r="E11" s="34">
        <f>B11-B10</f>
        <v/>
      </c>
      <c r="F11" s="34">
        <f>C11-C10</f>
        <v/>
      </c>
      <c r="G11" s="35">
        <f>D11-D10</f>
        <v/>
      </c>
      <c r="H11">
        <f>TEXT(A11,"DD/MM HH:MM")</f>
        <v/>
      </c>
    </row>
    <row r="12">
      <c r="A12" s="30" t="n">
        <v>46300.84652777778</v>
      </c>
      <c r="B12" s="11" t="n">
        <v>12</v>
      </c>
      <c r="C12" s="11" t="n">
        <v>34</v>
      </c>
      <c r="D12" s="12" t="n">
        <v>408</v>
      </c>
      <c r="E12" s="31">
        <f>B12-B11</f>
        <v/>
      </c>
      <c r="F12" s="31">
        <f>C12-C11</f>
        <v/>
      </c>
      <c r="G12" s="32">
        <f>D12-D11</f>
        <v/>
      </c>
      <c r="H12">
        <f>TEXT(A12,"DD/MM HH:MM")</f>
        <v/>
      </c>
    </row>
    <row r="13">
      <c r="A13" s="33" t="n">
        <v>46300.86319444444</v>
      </c>
      <c r="B13" s="15" t="n">
        <v>13</v>
      </c>
      <c r="C13" s="15" t="n">
        <v>36</v>
      </c>
      <c r="D13" s="16" t="n">
        <v>432</v>
      </c>
      <c r="E13" s="34">
        <f>B13-B12</f>
        <v/>
      </c>
      <c r="F13" s="34">
        <f>C13-C12</f>
        <v/>
      </c>
      <c r="G13" s="35">
        <f>D13-D12</f>
        <v/>
      </c>
      <c r="H13">
        <f>TEXT(A13,"DD/MM HH:MM")</f>
        <v/>
      </c>
    </row>
    <row r="14">
      <c r="A14" s="30" t="n">
        <v>46300.86597222222</v>
      </c>
      <c r="B14" s="11" t="n">
        <v>13</v>
      </c>
      <c r="C14" s="11" t="n">
        <v>36</v>
      </c>
      <c r="D14" s="12" t="n">
        <v>432</v>
      </c>
      <c r="E14" s="31">
        <f>B14-B13</f>
        <v/>
      </c>
      <c r="F14" s="31">
        <f>C14-C13</f>
        <v/>
      </c>
      <c r="G14" s="32">
        <f>D14-D13</f>
        <v/>
      </c>
      <c r="H14">
        <f>TEXT(A14,"DD/MM HH:MM")</f>
        <v/>
      </c>
    </row>
    <row r="15">
      <c r="A15" s="33" t="n">
        <v>46300.98125</v>
      </c>
      <c r="B15" s="15" t="n">
        <v>24</v>
      </c>
      <c r="C15" s="15" t="n">
        <v>63</v>
      </c>
      <c r="D15" s="16" t="n">
        <v>756</v>
      </c>
      <c r="E15" s="34">
        <f>B15-B14</f>
        <v/>
      </c>
      <c r="F15" s="34">
        <f>C15-C14</f>
        <v/>
      </c>
      <c r="G15" s="35">
        <f>D15-D14</f>
        <v/>
      </c>
      <c r="H15">
        <f>TEXT(A15,"DD/MM HH:MM")</f>
        <v/>
      </c>
    </row>
    <row r="16">
      <c r="A16" s="30" t="n">
        <v>46301.01319444444</v>
      </c>
      <c r="B16" s="11" t="n">
        <v>26</v>
      </c>
      <c r="C16" s="11" t="n">
        <v>69</v>
      </c>
      <c r="D16" s="12" t="n">
        <v>828</v>
      </c>
      <c r="E16" s="31">
        <f>B16-B15</f>
        <v/>
      </c>
      <c r="F16" s="31">
        <f>C16-C15</f>
        <v/>
      </c>
      <c r="G16" s="32">
        <f>D16-D15</f>
        <v/>
      </c>
      <c r="H16">
        <f>TEXT(A16,"DD/MM HH:MM")</f>
        <v/>
      </c>
    </row>
    <row r="17">
      <c r="A17" s="33" t="n">
        <v>46301.05069444444</v>
      </c>
      <c r="B17" s="15" t="n">
        <v>26</v>
      </c>
      <c r="C17" s="15" t="n">
        <v>69</v>
      </c>
      <c r="D17" s="16" t="n">
        <v>828</v>
      </c>
      <c r="E17" s="34">
        <f>B17-B16</f>
        <v/>
      </c>
      <c r="F17" s="34">
        <f>C17-C16</f>
        <v/>
      </c>
      <c r="G17" s="35">
        <f>D17-D16</f>
        <v/>
      </c>
      <c r="H17">
        <f>TEXT(A17,"DD/MM HH:MM")</f>
        <v/>
      </c>
    </row>
    <row r="18">
      <c r="A18" s="30" t="n">
        <v>46301.1</v>
      </c>
      <c r="B18" s="11" t="n">
        <v>26</v>
      </c>
      <c r="C18" s="11" t="n">
        <v>69</v>
      </c>
      <c r="D18" s="12" t="n">
        <v>828</v>
      </c>
      <c r="E18" s="31">
        <f>B18-B17</f>
        <v/>
      </c>
      <c r="F18" s="31">
        <f>C18-C17</f>
        <v/>
      </c>
      <c r="G18" s="32">
        <f>D18-D17</f>
        <v/>
      </c>
      <c r="H18">
        <f>TEXT(A18,"DD/MM HH:MM")</f>
        <v/>
      </c>
    </row>
    <row r="19">
      <c r="A19" s="33" t="n">
        <v>46301.13611111111</v>
      </c>
      <c r="B19" s="15" t="n">
        <v>26</v>
      </c>
      <c r="C19" s="15" t="n">
        <v>69</v>
      </c>
      <c r="D19" s="16" t="n">
        <v>828</v>
      </c>
      <c r="E19" s="34">
        <f>B19-B18</f>
        <v/>
      </c>
      <c r="F19" s="34">
        <f>C19-C18</f>
        <v/>
      </c>
      <c r="G19" s="35">
        <f>D19-D18</f>
        <v/>
      </c>
      <c r="H19">
        <f>TEXT(A19,"DD/MM HH:MM")</f>
        <v/>
      </c>
    </row>
    <row r="20">
      <c r="A20" s="30" t="n">
        <v>46301.17777777778</v>
      </c>
      <c r="B20" s="11" t="n">
        <v>26</v>
      </c>
      <c r="C20" s="11" t="n">
        <v>69</v>
      </c>
      <c r="D20" s="12" t="n">
        <v>828</v>
      </c>
      <c r="E20" s="31">
        <f>B20-B19</f>
        <v/>
      </c>
      <c r="F20" s="31">
        <f>C20-C19</f>
        <v/>
      </c>
      <c r="G20" s="32">
        <f>D20-D19</f>
        <v/>
      </c>
      <c r="H20">
        <f>TEXT(A20,"DD/MM HH:MM")</f>
        <v/>
      </c>
    </row>
    <row r="21">
      <c r="A21" s="33" t="n">
        <v>46301.21944444445</v>
      </c>
      <c r="B21" s="15" t="n">
        <v>26</v>
      </c>
      <c r="C21" s="15" t="n">
        <v>69</v>
      </c>
      <c r="D21" s="16" t="n">
        <v>828</v>
      </c>
      <c r="E21" s="34">
        <f>B21-B20</f>
        <v/>
      </c>
      <c r="F21" s="34">
        <f>C21-C20</f>
        <v/>
      </c>
      <c r="G21" s="35">
        <f>D21-D20</f>
        <v/>
      </c>
      <c r="H21">
        <f>TEXT(A21,"DD/MM HH:MM")</f>
        <v/>
      </c>
    </row>
    <row r="22">
      <c r="A22" s="30" t="n">
        <v>46301.26180555556</v>
      </c>
      <c r="B22" s="11" t="n">
        <v>26</v>
      </c>
      <c r="C22" s="11" t="n">
        <v>69</v>
      </c>
      <c r="D22" s="12" t="n">
        <v>828</v>
      </c>
      <c r="E22" s="31">
        <f>B22-B21</f>
        <v/>
      </c>
      <c r="F22" s="31">
        <f>C22-C21</f>
        <v/>
      </c>
      <c r="G22" s="32">
        <f>D22-D21</f>
        <v/>
      </c>
      <c r="H22">
        <f>TEXT(A22,"DD/MM HH:MM")</f>
        <v/>
      </c>
    </row>
    <row r="23">
      <c r="A23" s="33" t="n">
        <v>46301.30208333334</v>
      </c>
      <c r="B23" s="15" t="n">
        <v>26</v>
      </c>
      <c r="C23" s="15" t="n">
        <v>69</v>
      </c>
      <c r="D23" s="16" t="n">
        <v>828</v>
      </c>
      <c r="E23" s="34">
        <f>B23-B22</f>
        <v/>
      </c>
      <c r="F23" s="34">
        <f>C23-C22</f>
        <v/>
      </c>
      <c r="G23" s="35">
        <f>D23-D22</f>
        <v/>
      </c>
      <c r="H23">
        <f>TEXT(A23,"DD/MM HH:MM")</f>
        <v/>
      </c>
    </row>
    <row r="24">
      <c r="A24" s="30" t="n">
        <v>46301.34722222222</v>
      </c>
      <c r="B24" s="11" t="n">
        <v>26</v>
      </c>
      <c r="C24" s="11" t="n">
        <v>69</v>
      </c>
      <c r="D24" s="12" t="n">
        <v>828</v>
      </c>
      <c r="E24" s="31">
        <f>B24-B23</f>
        <v/>
      </c>
      <c r="F24" s="31">
        <f>C24-C23</f>
        <v/>
      </c>
      <c r="G24" s="32">
        <f>D24-D23</f>
        <v/>
      </c>
      <c r="H24">
        <f>TEXT(A24,"DD/MM HH:MM")</f>
        <v/>
      </c>
    </row>
    <row r="25">
      <c r="A25" s="33" t="n">
        <v>46301.35625</v>
      </c>
      <c r="B25" s="15" t="n">
        <v>27</v>
      </c>
      <c r="C25" s="15" t="n">
        <v>72</v>
      </c>
      <c r="D25" s="16" t="n">
        <v>864</v>
      </c>
      <c r="E25" s="34">
        <f>B25-B24</f>
        <v/>
      </c>
      <c r="F25" s="34">
        <f>C25-C24</f>
        <v/>
      </c>
      <c r="G25" s="35">
        <f>D25-D24</f>
        <v/>
      </c>
      <c r="H25">
        <f>TEXT(A25,"DD/MM HH:MM")</f>
        <v/>
      </c>
    </row>
    <row r="26">
      <c r="A26" s="30" t="n">
        <v>46301.36319444444</v>
      </c>
      <c r="B26" s="11" t="n">
        <v>27</v>
      </c>
      <c r="C26" s="11" t="n">
        <v>72</v>
      </c>
      <c r="D26" s="12" t="n">
        <v>864</v>
      </c>
      <c r="E26" s="31">
        <f>B26-B25</f>
        <v/>
      </c>
      <c r="F26" s="31">
        <f>C26-C25</f>
        <v/>
      </c>
      <c r="G26" s="32">
        <f>D26-D25</f>
        <v/>
      </c>
      <c r="H26">
        <f>TEXT(A26,"DD/MM HH:MM")</f>
        <v/>
      </c>
    </row>
    <row r="27">
      <c r="A27" s="33" t="n">
        <v>46301.38680555556</v>
      </c>
      <c r="B27" s="15" t="n">
        <v>30</v>
      </c>
      <c r="C27" s="15" t="n">
        <v>79</v>
      </c>
      <c r="D27" s="16" t="n">
        <v>948</v>
      </c>
      <c r="E27" s="34">
        <f>B27-B26</f>
        <v/>
      </c>
      <c r="F27" s="34">
        <f>C27-C26</f>
        <v/>
      </c>
      <c r="G27" s="35">
        <f>D27-D26</f>
        <v/>
      </c>
      <c r="H27">
        <f>TEXT(A27,"DD/MM HH:MM")</f>
        <v/>
      </c>
    </row>
    <row r="28">
      <c r="A28" s="30" t="n">
        <v>46301.42847222222</v>
      </c>
      <c r="B28" s="11" t="n">
        <v>30</v>
      </c>
      <c r="C28" s="11" t="n">
        <v>79</v>
      </c>
      <c r="D28" s="12" t="n">
        <v>948</v>
      </c>
      <c r="E28" s="31">
        <f>B28-B27</f>
        <v/>
      </c>
      <c r="F28" s="31">
        <f>C28-C27</f>
        <v/>
      </c>
      <c r="G28" s="32">
        <f>D28-D27</f>
        <v/>
      </c>
      <c r="H28">
        <f>TEXT(A28,"DD/MM HH:MM")</f>
        <v/>
      </c>
    </row>
    <row r="29">
      <c r="A29" s="33" t="n">
        <v>46301.46319444444</v>
      </c>
      <c r="B29" s="15" t="n">
        <v>31</v>
      </c>
      <c r="C29" s="15" t="n">
        <v>83</v>
      </c>
      <c r="D29" s="16" t="n">
        <v>996</v>
      </c>
      <c r="E29" s="34">
        <f>B29-B28</f>
        <v/>
      </c>
      <c r="F29" s="34">
        <f>C29-C28</f>
        <v/>
      </c>
      <c r="G29" s="35">
        <f>D29-D28</f>
        <v/>
      </c>
      <c r="H29">
        <f>TEXT(A29,"DD/MM HH:MM")</f>
        <v/>
      </c>
    </row>
    <row r="30">
      <c r="A30" s="30" t="n">
        <v>46301.47013888889</v>
      </c>
      <c r="B30" s="11" t="n">
        <v>31</v>
      </c>
      <c r="C30" s="11" t="n">
        <v>83</v>
      </c>
      <c r="D30" s="12" t="n">
        <v>996</v>
      </c>
      <c r="E30" s="31">
        <f>B30-B29</f>
        <v/>
      </c>
      <c r="F30" s="31">
        <f>C30-C29</f>
        <v/>
      </c>
      <c r="G30" s="32">
        <f>D30-D29</f>
        <v/>
      </c>
      <c r="H30">
        <f>TEXT(A30,"DD/MM HH:MM")</f>
        <v/>
      </c>
    </row>
    <row r="31">
      <c r="A31" s="33" t="n">
        <v>46301.47291666667</v>
      </c>
      <c r="B31" s="15" t="n">
        <v>31</v>
      </c>
      <c r="C31" s="15" t="n">
        <v>83</v>
      </c>
      <c r="D31" s="16" t="n">
        <v>996</v>
      </c>
      <c r="E31" s="34">
        <f>B31-B30</f>
        <v/>
      </c>
      <c r="F31" s="34">
        <f>C31-C30</f>
        <v/>
      </c>
      <c r="G31" s="35">
        <f>D31-D30</f>
        <v/>
      </c>
      <c r="H31">
        <f>TEXT(A31,"DD/MM HH:MM")</f>
        <v/>
      </c>
    </row>
    <row r="32">
      <c r="A32" s="30" t="n">
        <v>46301.47986111111</v>
      </c>
      <c r="B32" s="11" t="n">
        <v>32</v>
      </c>
      <c r="C32" s="11" t="n">
        <v>88</v>
      </c>
      <c r="D32" s="12" t="n">
        <v>1056</v>
      </c>
      <c r="E32" s="31">
        <f>B32-B31</f>
        <v/>
      </c>
      <c r="F32" s="31">
        <f>C32-C31</f>
        <v/>
      </c>
      <c r="G32" s="32">
        <f>D32-D31</f>
        <v/>
      </c>
      <c r="H32">
        <f>TEXT(A32,"DD/MM HH:MM")</f>
        <v/>
      </c>
    </row>
    <row r="33">
      <c r="A33" s="33" t="n">
        <v>46301.51111111111</v>
      </c>
      <c r="B33" s="15" t="n">
        <v>33</v>
      </c>
      <c r="C33" s="15" t="n">
        <v>90</v>
      </c>
      <c r="D33" s="16" t="n">
        <v>1080</v>
      </c>
      <c r="E33" s="34">
        <f>B33-B32</f>
        <v/>
      </c>
      <c r="F33" s="34">
        <f>C33-C32</f>
        <v/>
      </c>
      <c r="G33" s="35">
        <f>D33-D32</f>
        <v/>
      </c>
      <c r="H33">
        <f>TEXT(A33,"DD/MM HH:MM")</f>
        <v/>
      </c>
    </row>
    <row r="34">
      <c r="A34" s="30" t="n">
        <v>46301.52430555555</v>
      </c>
      <c r="B34" s="11" t="n">
        <v>33</v>
      </c>
      <c r="C34" s="11" t="n">
        <v>90</v>
      </c>
      <c r="D34" s="12" t="n">
        <v>1080</v>
      </c>
      <c r="E34" s="31">
        <f>B34-B33</f>
        <v/>
      </c>
      <c r="F34" s="31">
        <f>C34-C33</f>
        <v/>
      </c>
      <c r="G34" s="32">
        <f>D34-D33</f>
        <v/>
      </c>
      <c r="H34">
        <f>TEXT(A34,"DD/MM HH:MM")</f>
        <v/>
      </c>
    </row>
    <row r="35">
      <c r="A35" s="33" t="n">
        <v>46301.55208333334</v>
      </c>
      <c r="B35" s="15" t="n">
        <v>33</v>
      </c>
      <c r="C35" s="15" t="n">
        <v>90</v>
      </c>
      <c r="D35" s="16" t="n">
        <v>1080</v>
      </c>
      <c r="E35" s="34">
        <f>B35-B34</f>
        <v/>
      </c>
      <c r="F35" s="34">
        <f>C35-C34</f>
        <v/>
      </c>
      <c r="G35" s="35">
        <f>D35-D34</f>
        <v/>
      </c>
      <c r="H35">
        <f>TEXT(A35,"DD/MM HH:MM")</f>
        <v/>
      </c>
    </row>
    <row r="36">
      <c r="A36" s="30" t="n">
        <v>46301.56180555555</v>
      </c>
      <c r="B36" s="11" t="n">
        <v>34</v>
      </c>
      <c r="C36" s="11" t="n">
        <v>92</v>
      </c>
      <c r="D36" s="12" t="n">
        <v>1104</v>
      </c>
      <c r="E36" s="31">
        <f>B36-B35</f>
        <v/>
      </c>
      <c r="F36" s="31">
        <f>C36-C35</f>
        <v/>
      </c>
      <c r="G36" s="32">
        <f>D36-D35</f>
        <v/>
      </c>
      <c r="H36">
        <f>TEXT(A36,"DD/MM HH:MM")</f>
        <v/>
      </c>
    </row>
    <row r="37">
      <c r="A37" s="33" t="n">
        <v>46301.59652777778</v>
      </c>
      <c r="B37" s="15" t="n">
        <v>36</v>
      </c>
      <c r="C37" s="15" t="n">
        <v>97</v>
      </c>
      <c r="D37" s="16" t="n">
        <v>1164</v>
      </c>
      <c r="E37" s="34">
        <f>B37-B36</f>
        <v/>
      </c>
      <c r="F37" s="34">
        <f>C37-C36</f>
        <v/>
      </c>
      <c r="G37" s="35">
        <f>D37-D36</f>
        <v/>
      </c>
      <c r="H37">
        <f>TEXT(A37,"DD/MM HH:MM")</f>
        <v/>
      </c>
    </row>
    <row r="38">
      <c r="A38" s="30" t="n">
        <v>46301.63611111111</v>
      </c>
      <c r="B38" s="11" t="n">
        <v>37</v>
      </c>
      <c r="C38" s="11" t="n">
        <v>102</v>
      </c>
      <c r="D38" s="12" t="n">
        <v>1224</v>
      </c>
      <c r="E38" s="31">
        <f>B38-B37</f>
        <v/>
      </c>
      <c r="F38" s="31">
        <f>C38-C37</f>
        <v/>
      </c>
      <c r="G38" s="32">
        <f>D38-D37</f>
        <v/>
      </c>
      <c r="H38">
        <f>TEXT(A38,"DD/MM HH:MM")</f>
        <v/>
      </c>
    </row>
    <row r="39">
      <c r="A39" s="33" t="n">
        <v>46301.6375</v>
      </c>
      <c r="B39" s="15" t="n">
        <v>37</v>
      </c>
      <c r="C39" s="15" t="n">
        <v>102</v>
      </c>
      <c r="D39" s="16" t="n">
        <v>1224</v>
      </c>
      <c r="E39" s="34">
        <f>B39-B38</f>
        <v/>
      </c>
      <c r="F39" s="34">
        <f>C39-C38</f>
        <v/>
      </c>
      <c r="G39" s="35">
        <f>D39-D38</f>
        <v/>
      </c>
      <c r="H39">
        <f>TEXT(A39,"DD/MM HH:MM")</f>
        <v/>
      </c>
    </row>
    <row r="40">
      <c r="A40" s="30" t="n">
        <v>46301.67916666667</v>
      </c>
      <c r="B40" s="11" t="n">
        <v>38</v>
      </c>
      <c r="C40" s="11" t="n">
        <v>104</v>
      </c>
      <c r="D40" s="12" t="n">
        <v>1248</v>
      </c>
      <c r="E40" s="31">
        <f>B40-B39</f>
        <v/>
      </c>
      <c r="F40" s="31">
        <f>C40-C39</f>
        <v/>
      </c>
      <c r="G40" s="32">
        <f>D40-D39</f>
        <v/>
      </c>
      <c r="H40">
        <f>TEXT(A40,"DD/MM HH:MM")</f>
        <v/>
      </c>
    </row>
    <row r="41">
      <c r="A41" s="33" t="n">
        <v>46301.69861111111</v>
      </c>
      <c r="B41" s="15" t="n">
        <v>38</v>
      </c>
      <c r="C41" s="15" t="n">
        <v>104</v>
      </c>
      <c r="D41" s="16" t="n">
        <v>1248</v>
      </c>
      <c r="E41" s="34">
        <f>B41-B40</f>
        <v/>
      </c>
      <c r="F41" s="34">
        <f>C41-C40</f>
        <v/>
      </c>
      <c r="G41" s="35">
        <f>D41-D40</f>
        <v/>
      </c>
      <c r="H41">
        <f>TEXT(A41,"DD/MM HH:MM")</f>
        <v/>
      </c>
    </row>
    <row r="42">
      <c r="A42" s="30" t="n">
        <v>46301.71111111111</v>
      </c>
      <c r="B42" s="11" t="n">
        <v>38</v>
      </c>
      <c r="C42" s="11" t="n">
        <v>104</v>
      </c>
      <c r="D42" s="12" t="n">
        <v>1248</v>
      </c>
      <c r="E42" s="31">
        <f>B42-B41</f>
        <v/>
      </c>
      <c r="F42" s="31">
        <f>C42-C41</f>
        <v/>
      </c>
      <c r="G42" s="32">
        <f>D42-D41</f>
        <v/>
      </c>
      <c r="H42">
        <f>TEXT(A42,"DD/MM HH:MM")</f>
        <v/>
      </c>
    </row>
    <row r="43">
      <c r="A43" s="33" t="n">
        <v>46301.72152777778</v>
      </c>
      <c r="B43" s="15" t="n">
        <v>38</v>
      </c>
      <c r="C43" s="15" t="n">
        <v>104</v>
      </c>
      <c r="D43" s="16" t="n">
        <v>1248</v>
      </c>
      <c r="E43" s="34">
        <f>B43-B42</f>
        <v/>
      </c>
      <c r="F43" s="34">
        <f>C43-C42</f>
        <v/>
      </c>
      <c r="G43" s="35">
        <f>D43-D42</f>
        <v/>
      </c>
      <c r="H43">
        <f>TEXT(A43,"DD/MM HH:MM")</f>
        <v/>
      </c>
    </row>
    <row r="44">
      <c r="A44" s="30" t="n">
        <v>46301.76180555556</v>
      </c>
      <c r="B44" s="11" t="n">
        <v>38</v>
      </c>
      <c r="C44" s="11" t="n">
        <v>104</v>
      </c>
      <c r="D44" s="12" t="n">
        <v>1248</v>
      </c>
      <c r="E44" s="31">
        <f>B44-B43</f>
        <v/>
      </c>
      <c r="F44" s="31">
        <f>C44-C43</f>
        <v/>
      </c>
      <c r="G44" s="32">
        <f>D44-D43</f>
        <v/>
      </c>
      <c r="H44">
        <f>TEXT(A44,"DD/MM HH:MM")</f>
        <v/>
      </c>
    </row>
    <row r="45">
      <c r="A45" s="33" t="n">
        <v>46301.77569444444</v>
      </c>
      <c r="B45" s="15" t="n">
        <v>39</v>
      </c>
      <c r="C45" s="15" t="n">
        <v>108</v>
      </c>
      <c r="D45" s="16" t="n">
        <v>1296</v>
      </c>
      <c r="E45" s="34">
        <f>B45-B44</f>
        <v/>
      </c>
      <c r="F45" s="34">
        <f>C45-C44</f>
        <v/>
      </c>
      <c r="G45" s="35">
        <f>D45-D44</f>
        <v/>
      </c>
      <c r="H45">
        <f>TEXT(A45,"DD/MM HH:MM")</f>
        <v/>
      </c>
    </row>
    <row r="46">
      <c r="A46" s="30" t="n">
        <v>46301.80138888889</v>
      </c>
      <c r="B46" s="11" t="n">
        <v>40</v>
      </c>
      <c r="C46" s="11" t="n">
        <v>110</v>
      </c>
      <c r="D46" s="12" t="n">
        <v>1320</v>
      </c>
      <c r="E46" s="31">
        <f>B46-B45</f>
        <v/>
      </c>
      <c r="F46" s="31">
        <f>C46-C45</f>
        <v/>
      </c>
      <c r="G46" s="32">
        <f>D46-D45</f>
        <v/>
      </c>
      <c r="H46">
        <f>TEXT(A46,"DD/MM HH:MM")</f>
        <v/>
      </c>
    </row>
    <row r="47">
      <c r="A47" s="33" t="n">
        <v>46301.81944444445</v>
      </c>
      <c r="B47" s="15" t="n">
        <v>41</v>
      </c>
      <c r="C47" s="15" t="n">
        <v>112</v>
      </c>
      <c r="D47" s="16" t="n">
        <v>1344</v>
      </c>
      <c r="E47" s="34">
        <f>B47-B46</f>
        <v/>
      </c>
      <c r="F47" s="34">
        <f>C47-C46</f>
        <v/>
      </c>
      <c r="G47" s="35">
        <f>D47-D46</f>
        <v/>
      </c>
      <c r="H47">
        <f>TEXT(A47,"DD/MM HH:MM")</f>
        <v/>
      </c>
    </row>
    <row r="48">
      <c r="A48" s="30" t="n">
        <v>46301.83055555556</v>
      </c>
      <c r="B48" s="11" t="n">
        <v>41</v>
      </c>
      <c r="C48" s="11" t="n">
        <v>112</v>
      </c>
      <c r="D48" s="12" t="n">
        <v>1344</v>
      </c>
      <c r="E48" s="31">
        <f>B48-B47</f>
        <v/>
      </c>
      <c r="F48" s="31">
        <f>C48-C47</f>
        <v/>
      </c>
      <c r="G48" s="32">
        <f>D48-D47</f>
        <v/>
      </c>
      <c r="H48">
        <f>TEXT(A48,"DD/MM HH:MM")</f>
        <v/>
      </c>
    </row>
    <row r="49">
      <c r="A49" s="33" t="n">
        <v>46301.84513888889</v>
      </c>
      <c r="B49" s="15" t="n">
        <v>41</v>
      </c>
      <c r="C49" s="15" t="n">
        <v>112</v>
      </c>
      <c r="D49" s="16" t="n">
        <v>1344</v>
      </c>
      <c r="E49" s="34">
        <f>B49-B48</f>
        <v/>
      </c>
      <c r="F49" s="34">
        <f>C49-C48</f>
        <v/>
      </c>
      <c r="G49" s="35">
        <f>D49-D48</f>
        <v/>
      </c>
      <c r="H49">
        <f>TEXT(A49,"DD/MM HH:MM")</f>
        <v/>
      </c>
    </row>
    <row r="50">
      <c r="A50" s="30" t="n">
        <v>46301.84791666667</v>
      </c>
      <c r="B50" s="11" t="n">
        <v>42</v>
      </c>
      <c r="C50" s="11" t="n">
        <v>116</v>
      </c>
      <c r="D50" s="12" t="n">
        <v>1392</v>
      </c>
      <c r="E50" s="31">
        <f>B50-B49</f>
        <v/>
      </c>
      <c r="F50" s="31">
        <f>C50-C49</f>
        <v/>
      </c>
      <c r="G50" s="32">
        <f>D50-D49</f>
        <v/>
      </c>
      <c r="H50">
        <f>TEXT(A50,"DD/MM HH:MM")</f>
        <v/>
      </c>
    </row>
    <row r="51">
      <c r="A51" s="33" t="n">
        <v>46301.87638888889</v>
      </c>
      <c r="B51" s="15" t="n">
        <v>44</v>
      </c>
      <c r="C51" s="15" t="n">
        <v>122</v>
      </c>
      <c r="D51" s="16" t="n">
        <v>1464</v>
      </c>
      <c r="E51" s="34">
        <f>B51-B50</f>
        <v/>
      </c>
      <c r="F51" s="34">
        <f>C51-C50</f>
        <v/>
      </c>
      <c r="G51" s="35">
        <f>D51-D50</f>
        <v/>
      </c>
      <c r="H51">
        <f>TEXT(A51,"DD/MM HH:MM")</f>
        <v/>
      </c>
    </row>
    <row r="52">
      <c r="A52" s="30" t="n">
        <v>46301.88541666666</v>
      </c>
      <c r="B52" s="11" t="n">
        <v>44</v>
      </c>
      <c r="C52" s="11" t="n">
        <v>122</v>
      </c>
      <c r="D52" s="12" t="n">
        <v>1464</v>
      </c>
      <c r="E52" s="31">
        <f>B52-B51</f>
        <v/>
      </c>
      <c r="F52" s="31">
        <f>C52-C51</f>
        <v/>
      </c>
      <c r="G52" s="32">
        <f>D52-D51</f>
        <v/>
      </c>
      <c r="H52">
        <f>TEXT(A52,"DD/MM HH:MM")</f>
        <v/>
      </c>
    </row>
    <row r="53">
      <c r="A53" s="33" t="n">
        <v>46301.92708333334</v>
      </c>
      <c r="B53" s="15" t="n">
        <v>46</v>
      </c>
      <c r="C53" s="15" t="n">
        <v>128</v>
      </c>
      <c r="D53" s="16" t="n">
        <v>1536</v>
      </c>
      <c r="E53" s="34">
        <f>B53-B52</f>
        <v/>
      </c>
      <c r="F53" s="34">
        <f>C53-C52</f>
        <v/>
      </c>
      <c r="G53" s="35">
        <f>D53-D52</f>
        <v/>
      </c>
      <c r="H53">
        <f>TEXT(A53,"DD/MM HH:MM")</f>
        <v/>
      </c>
    </row>
    <row r="54">
      <c r="A54" s="30" t="n">
        <v>46301.92986111111</v>
      </c>
      <c r="B54" s="11" t="n">
        <v>46</v>
      </c>
      <c r="C54" s="11" t="n">
        <v>128</v>
      </c>
      <c r="D54" s="12" t="n">
        <v>1536</v>
      </c>
      <c r="E54" s="31">
        <f>B54-B53</f>
        <v/>
      </c>
      <c r="F54" s="31">
        <f>C54-C53</f>
        <v/>
      </c>
      <c r="G54" s="32">
        <f>D54-D53</f>
        <v/>
      </c>
      <c r="H54">
        <f>TEXT(A54,"DD/MM HH:MM")</f>
        <v/>
      </c>
    </row>
    <row r="55">
      <c r="A55" s="33" t="n">
        <v>46301.96805555555</v>
      </c>
      <c r="B55" s="15" t="n">
        <v>51</v>
      </c>
      <c r="C55" s="15" t="n">
        <v>142</v>
      </c>
      <c r="D55" s="16" t="n">
        <v>1704</v>
      </c>
      <c r="E55" s="34">
        <f>B55-B54</f>
        <v/>
      </c>
      <c r="F55" s="34">
        <f>C55-C54</f>
        <v/>
      </c>
      <c r="G55" s="35">
        <f>D55-D54</f>
        <v/>
      </c>
      <c r="H55">
        <f>TEXT(A55,"DD/MM HH:MM")</f>
        <v/>
      </c>
    </row>
    <row r="56">
      <c r="A56" s="30" t="n">
        <v>46301.97222222222</v>
      </c>
      <c r="B56" s="11" t="n">
        <v>51</v>
      </c>
      <c r="C56" s="11" t="n">
        <v>142</v>
      </c>
      <c r="D56" s="12" t="n">
        <v>1704</v>
      </c>
      <c r="E56" s="31">
        <f>B56-B55</f>
        <v/>
      </c>
      <c r="F56" s="31">
        <f>C56-C55</f>
        <v/>
      </c>
      <c r="G56" s="32">
        <f>D56-D55</f>
        <v/>
      </c>
      <c r="H56">
        <f>TEXT(A56,"DD/MM HH:MM")</f>
        <v/>
      </c>
    </row>
    <row r="57">
      <c r="A57" s="33" t="n">
        <v>46302.01041666666</v>
      </c>
      <c r="B57" s="15" t="n">
        <v>52</v>
      </c>
      <c r="C57" s="15" t="n">
        <v>144</v>
      </c>
      <c r="D57" s="16" t="n">
        <v>1728</v>
      </c>
      <c r="E57" s="34">
        <f>B57-B56</f>
        <v/>
      </c>
      <c r="F57" s="34">
        <f>C57-C56</f>
        <v/>
      </c>
      <c r="G57" s="35">
        <f>D57-D56</f>
        <v/>
      </c>
      <c r="H57">
        <f>TEXT(A57,"DD/MM HH:MM")</f>
        <v/>
      </c>
    </row>
    <row r="58">
      <c r="A58" s="30" t="n">
        <v>46302.05138888889</v>
      </c>
      <c r="B58" s="11" t="n">
        <v>53</v>
      </c>
      <c r="C58" s="11" t="n">
        <v>146</v>
      </c>
      <c r="D58" s="12" t="n">
        <v>1752</v>
      </c>
      <c r="E58" s="31">
        <f>B58-B57</f>
        <v/>
      </c>
      <c r="F58" s="31">
        <f>C58-C57</f>
        <v/>
      </c>
      <c r="G58" s="32">
        <f>D58-D57</f>
        <v/>
      </c>
      <c r="H58">
        <f>TEXT(A58,"DD/MM HH:MM")</f>
        <v/>
      </c>
    </row>
    <row r="59">
      <c r="A59" s="33" t="n">
        <v>46302.1</v>
      </c>
      <c r="B59" s="15" t="n">
        <v>53</v>
      </c>
      <c r="C59" s="15" t="n">
        <v>146</v>
      </c>
      <c r="D59" s="16" t="n">
        <v>1752</v>
      </c>
      <c r="E59" s="34">
        <f>B59-B58</f>
        <v/>
      </c>
      <c r="F59" s="34">
        <f>C59-C58</f>
        <v/>
      </c>
      <c r="G59" s="35">
        <f>D59-D58</f>
        <v/>
      </c>
      <c r="H59">
        <f>TEXT(A59,"DD/MM HH:MM")</f>
        <v/>
      </c>
    </row>
    <row r="60">
      <c r="A60" s="30" t="n">
        <v>46302.13680555556</v>
      </c>
      <c r="B60" s="11" t="n">
        <v>53</v>
      </c>
      <c r="C60" s="11" t="n">
        <v>146</v>
      </c>
      <c r="D60" s="12" t="n">
        <v>1752</v>
      </c>
      <c r="E60" s="31">
        <f>B60-B59</f>
        <v/>
      </c>
      <c r="F60" s="31">
        <f>C60-C59</f>
        <v/>
      </c>
      <c r="G60" s="32">
        <f>D60-D59</f>
        <v/>
      </c>
      <c r="H60">
        <f>TEXT(A60,"DD/MM HH:MM")</f>
        <v/>
      </c>
    </row>
    <row r="61">
      <c r="A61" s="33" t="n">
        <v>46302.17777777778</v>
      </c>
      <c r="B61" s="15" t="n">
        <v>53</v>
      </c>
      <c r="C61" s="15" t="n">
        <v>146</v>
      </c>
      <c r="D61" s="16" t="n">
        <v>1752</v>
      </c>
      <c r="E61" s="34">
        <f>B61-B60</f>
        <v/>
      </c>
      <c r="F61" s="34">
        <f>C61-C60</f>
        <v/>
      </c>
      <c r="G61" s="35">
        <f>D61-D60</f>
        <v/>
      </c>
      <c r="H61">
        <f>TEXT(A61,"DD/MM HH:MM")</f>
        <v/>
      </c>
    </row>
    <row r="62">
      <c r="A62" s="30" t="n">
        <v>46302.21944444445</v>
      </c>
      <c r="B62" s="11" t="n">
        <v>53</v>
      </c>
      <c r="C62" s="11" t="n">
        <v>146</v>
      </c>
      <c r="D62" s="12" t="n">
        <v>1752</v>
      </c>
      <c r="E62" s="31">
        <f>B62-B61</f>
        <v/>
      </c>
      <c r="F62" s="31">
        <f>C62-C61</f>
        <v/>
      </c>
      <c r="G62" s="32">
        <f>D62-D61</f>
        <v/>
      </c>
      <c r="H62">
        <f>TEXT(A62,"DD/MM HH:MM")</f>
        <v/>
      </c>
    </row>
    <row r="63">
      <c r="A63" s="33" t="n">
        <v>46302.26111111111</v>
      </c>
      <c r="B63" s="15" t="n">
        <v>53</v>
      </c>
      <c r="C63" s="15" t="n">
        <v>146</v>
      </c>
      <c r="D63" s="16" t="n">
        <v>1752</v>
      </c>
      <c r="E63" s="34">
        <f>B63-B62</f>
        <v/>
      </c>
      <c r="F63" s="34">
        <f>C63-C62</f>
        <v/>
      </c>
      <c r="G63" s="35">
        <f>D63-D62</f>
        <v/>
      </c>
      <c r="H63">
        <f>TEXT(A63,"DD/MM HH:MM")</f>
        <v/>
      </c>
    </row>
    <row r="64">
      <c r="A64" s="30" t="n">
        <v>46302.30277777778</v>
      </c>
      <c r="B64" s="11" t="n">
        <v>53</v>
      </c>
      <c r="C64" s="11" t="n">
        <v>146</v>
      </c>
      <c r="D64" s="12" t="n">
        <v>1752</v>
      </c>
      <c r="E64" s="31">
        <f>B64-B63</f>
        <v/>
      </c>
      <c r="F64" s="31">
        <f>C64-C63</f>
        <v/>
      </c>
      <c r="G64" s="32">
        <f>D64-D63</f>
        <v/>
      </c>
      <c r="H64">
        <f>TEXT(A64,"DD/MM HH:MM")</f>
        <v/>
      </c>
    </row>
    <row r="65">
      <c r="A65" s="33" t="n">
        <v>46302.34652777778</v>
      </c>
      <c r="B65" s="15" t="n">
        <v>53</v>
      </c>
      <c r="C65" s="15" t="n">
        <v>146</v>
      </c>
      <c r="D65" s="16" t="n">
        <v>1752</v>
      </c>
      <c r="E65" s="34">
        <f>B65-B64</f>
        <v/>
      </c>
      <c r="F65" s="34">
        <f>C65-C64</f>
        <v/>
      </c>
      <c r="G65" s="35">
        <f>D65-D64</f>
        <v/>
      </c>
      <c r="H65">
        <f>TEXT(A65,"DD/MM HH:MM")</f>
        <v/>
      </c>
    </row>
    <row r="66">
      <c r="A66" s="30" t="n">
        <v>46302.3875</v>
      </c>
      <c r="B66" s="11" t="n">
        <v>54</v>
      </c>
      <c r="C66" s="11" t="n">
        <v>150</v>
      </c>
      <c r="D66" s="12" t="n">
        <v>1800</v>
      </c>
      <c r="E66" s="31">
        <f>B66-B65</f>
        <v/>
      </c>
      <c r="F66" s="31">
        <f>C66-C65</f>
        <v/>
      </c>
      <c r="G66" s="32">
        <f>D66-D65</f>
        <v/>
      </c>
      <c r="H66">
        <f>TEXT(A66,"DD/MM HH:MM")</f>
        <v/>
      </c>
    </row>
    <row r="67">
      <c r="A67" s="33" t="n">
        <v>46302.40902777778</v>
      </c>
      <c r="B67" s="15" t="n">
        <v>54</v>
      </c>
      <c r="C67" s="15" t="n">
        <v>150</v>
      </c>
      <c r="D67" s="16" t="n">
        <v>1800</v>
      </c>
      <c r="E67" s="34">
        <f>B67-B66</f>
        <v/>
      </c>
      <c r="F67" s="34">
        <f>C67-C66</f>
        <v/>
      </c>
      <c r="G67" s="35">
        <f>D67-D66</f>
        <v/>
      </c>
      <c r="H67">
        <f>TEXT(A67,"DD/MM HH:MM")</f>
        <v/>
      </c>
    </row>
    <row r="68">
      <c r="A68" s="30" t="n">
        <v>46302.42916666667</v>
      </c>
      <c r="B68" s="11" t="n">
        <v>54</v>
      </c>
      <c r="C68" s="11" t="n">
        <v>150</v>
      </c>
      <c r="D68" s="12" t="n">
        <v>1800</v>
      </c>
      <c r="E68" s="31">
        <f>B68-B67</f>
        <v/>
      </c>
      <c r="F68" s="31">
        <f>C68-C67</f>
        <v/>
      </c>
      <c r="G68" s="32">
        <f>D68-D67</f>
        <v/>
      </c>
      <c r="H68">
        <f>TEXT(A68,"DD/MM HH:MM")</f>
        <v/>
      </c>
    </row>
    <row r="69">
      <c r="A69" s="33" t="n">
        <v>46302.47013888889</v>
      </c>
      <c r="B69" s="15" t="n">
        <v>54</v>
      </c>
      <c r="C69" s="15" t="n">
        <v>150</v>
      </c>
      <c r="D69" s="16" t="n">
        <v>1800</v>
      </c>
      <c r="E69" s="34">
        <f>B69-B68</f>
        <v/>
      </c>
      <c r="F69" s="34">
        <f>C69-C68</f>
        <v/>
      </c>
      <c r="G69" s="35">
        <f>D69-D68</f>
        <v/>
      </c>
      <c r="H69">
        <f>TEXT(A69,"DD/MM HH:MM")</f>
        <v/>
      </c>
    </row>
    <row r="70">
      <c r="A70" s="30" t="n">
        <v>46302.48333333333</v>
      </c>
      <c r="B70" s="11" t="n">
        <v>54</v>
      </c>
      <c r="C70" s="11" t="n">
        <v>150</v>
      </c>
      <c r="D70" s="12" t="n">
        <v>1800</v>
      </c>
      <c r="E70" s="31">
        <f>B70-B69</f>
        <v/>
      </c>
      <c r="F70" s="31">
        <f>C70-C69</f>
        <v/>
      </c>
      <c r="G70" s="32">
        <f>D70-D69</f>
        <v/>
      </c>
      <c r="H70">
        <f>TEXT(A70,"DD/MM HH:MM")</f>
        <v/>
      </c>
    </row>
    <row r="71">
      <c r="A71" s="33" t="n">
        <v>46302.49375</v>
      </c>
      <c r="B71" s="15" t="n">
        <v>54</v>
      </c>
      <c r="C71" s="15" t="n">
        <v>150</v>
      </c>
      <c r="D71" s="16" t="n">
        <v>1800</v>
      </c>
      <c r="E71" s="34">
        <f>B71-B70</f>
        <v/>
      </c>
      <c r="F71" s="34">
        <f>C71-C70</f>
        <v/>
      </c>
      <c r="G71" s="35">
        <f>D71-D70</f>
        <v/>
      </c>
      <c r="H71">
        <f>TEXT(A71,"DD/MM HH:MM")</f>
        <v/>
      </c>
    </row>
    <row r="72">
      <c r="A72" s="30" t="n">
        <v>46302.51111111111</v>
      </c>
      <c r="B72" s="11" t="n">
        <v>54</v>
      </c>
      <c r="C72" s="11" t="n">
        <v>150</v>
      </c>
      <c r="D72" s="12" t="n">
        <v>1800</v>
      </c>
      <c r="E72" s="31">
        <f>B72-B71</f>
        <v/>
      </c>
      <c r="F72" s="31">
        <f>C72-C71</f>
        <v/>
      </c>
      <c r="G72" s="32">
        <f>D72-D71</f>
        <v/>
      </c>
      <c r="H72">
        <f>TEXT(A72,"DD/MM HH:MM")</f>
        <v/>
      </c>
    </row>
    <row r="73">
      <c r="A73" s="33" t="n">
        <v>46302.55277777778</v>
      </c>
      <c r="B73" s="15" t="n">
        <v>58</v>
      </c>
      <c r="C73" s="15" t="n">
        <v>162</v>
      </c>
      <c r="D73" s="16" t="n">
        <v>1944</v>
      </c>
      <c r="E73" s="34">
        <f>B73-B72</f>
        <v/>
      </c>
      <c r="F73" s="34">
        <f>C73-C72</f>
        <v/>
      </c>
      <c r="G73" s="35">
        <f>D73-D72</f>
        <v/>
      </c>
      <c r="H73">
        <f>TEXT(A73,"DD/MM HH:MM")</f>
        <v/>
      </c>
    </row>
    <row r="74">
      <c r="A74" s="30" t="n">
        <v>46302.59791666667</v>
      </c>
      <c r="B74" s="11" t="n">
        <v>59</v>
      </c>
      <c r="C74" s="11" t="n">
        <v>164</v>
      </c>
      <c r="D74" s="12" t="n">
        <v>1968</v>
      </c>
      <c r="E74" s="31">
        <f>B74-B73</f>
        <v/>
      </c>
      <c r="F74" s="31">
        <f>C74-C73</f>
        <v/>
      </c>
      <c r="G74" s="32">
        <f>D74-D73</f>
        <v/>
      </c>
      <c r="H74">
        <f>TEXT(A74,"DD/MM HH:MM")</f>
        <v/>
      </c>
    </row>
    <row r="75">
      <c r="A75" s="33" t="n">
        <v>46302.63819444444</v>
      </c>
      <c r="B75" s="15" t="n">
        <v>59</v>
      </c>
      <c r="C75" s="15" t="n">
        <v>164</v>
      </c>
      <c r="D75" s="16" t="n">
        <v>1968</v>
      </c>
      <c r="E75" s="34">
        <f>B75-B74</f>
        <v/>
      </c>
      <c r="F75" s="34">
        <f>C75-C74</f>
        <v/>
      </c>
      <c r="G75" s="35">
        <f>D75-D74</f>
        <v/>
      </c>
      <c r="H75">
        <f>TEXT(A75,"DD/MM HH:MM")</f>
        <v/>
      </c>
    </row>
    <row r="76">
      <c r="A76" s="30" t="n">
        <v>46302.65416666667</v>
      </c>
      <c r="B76" s="11" t="n">
        <v>59</v>
      </c>
      <c r="C76" s="11" t="n">
        <v>164</v>
      </c>
      <c r="D76" s="12" t="n">
        <v>1968</v>
      </c>
      <c r="E76" s="31">
        <f>B76-B75</f>
        <v/>
      </c>
      <c r="F76" s="31">
        <f>C76-C75</f>
        <v/>
      </c>
      <c r="G76" s="32">
        <f>D76-D75</f>
        <v/>
      </c>
      <c r="H76">
        <f>TEXT(A76,"DD/MM HH:MM")</f>
        <v/>
      </c>
    </row>
    <row r="77">
      <c r="A77" s="33" t="n">
        <v>46302.67847222222</v>
      </c>
      <c r="B77" s="15" t="n">
        <v>59</v>
      </c>
      <c r="C77" s="15" t="n">
        <v>164</v>
      </c>
      <c r="D77" s="16" t="n">
        <v>1968</v>
      </c>
      <c r="E77" s="34">
        <f>B77-B76</f>
        <v/>
      </c>
      <c r="F77" s="34">
        <f>C77-C76</f>
        <v/>
      </c>
      <c r="G77" s="35">
        <f>D77-D76</f>
        <v/>
      </c>
      <c r="H77">
        <f>TEXT(A77,"DD/MM HH:MM")</f>
        <v/>
      </c>
    </row>
    <row r="78">
      <c r="A78" s="30" t="n">
        <v>46302.68333333333</v>
      </c>
      <c r="B78" s="11" t="n">
        <v>59</v>
      </c>
      <c r="C78" s="11" t="n">
        <v>164</v>
      </c>
      <c r="D78" s="12" t="n">
        <v>1968</v>
      </c>
      <c r="E78" s="31">
        <f>B78-B77</f>
        <v/>
      </c>
      <c r="F78" s="31">
        <f>C78-C77</f>
        <v/>
      </c>
      <c r="G78" s="32">
        <f>D78-D77</f>
        <v/>
      </c>
      <c r="H78">
        <f>TEXT(A78,"DD/MM HH:MM")</f>
        <v/>
      </c>
    </row>
    <row r="79">
      <c r="A79" s="33" t="n">
        <v>46302.72708333333</v>
      </c>
      <c r="B79" s="15" t="n">
        <v>60</v>
      </c>
      <c r="C79" s="15" t="n">
        <v>168</v>
      </c>
      <c r="D79" s="16" t="n">
        <v>2016</v>
      </c>
      <c r="E79" s="34">
        <f>B79-B78</f>
        <v/>
      </c>
      <c r="F79" s="34">
        <f>C79-C78</f>
        <v/>
      </c>
      <c r="G79" s="35">
        <f>D79-D78</f>
        <v/>
      </c>
      <c r="H79">
        <f>TEXT(A79,"DD/MM HH:MM")</f>
        <v/>
      </c>
    </row>
    <row r="80">
      <c r="A80" s="30" t="n">
        <v>46302.75138888889</v>
      </c>
      <c r="B80" s="11" t="n">
        <v>61</v>
      </c>
      <c r="C80" s="11" t="n">
        <v>170</v>
      </c>
      <c r="D80" s="12" t="n">
        <v>2040</v>
      </c>
      <c r="E80" s="31">
        <f>B80-B79</f>
        <v/>
      </c>
      <c r="F80" s="31">
        <f>C80-C79</f>
        <v/>
      </c>
      <c r="G80" s="32">
        <f>D80-D79</f>
        <v/>
      </c>
      <c r="H80">
        <f>TEXT(A80,"DD/MM HH:MM")</f>
        <v/>
      </c>
    </row>
    <row r="81">
      <c r="A81" s="33" t="n">
        <v>46302.76319444444</v>
      </c>
      <c r="B81" s="15" t="n">
        <v>61</v>
      </c>
      <c r="C81" s="15" t="n">
        <v>170</v>
      </c>
      <c r="D81" s="16" t="n">
        <v>2040</v>
      </c>
      <c r="E81" s="34">
        <f>B81-B80</f>
        <v/>
      </c>
      <c r="F81" s="34">
        <f>C81-C80</f>
        <v/>
      </c>
      <c r="G81" s="35">
        <f>D81-D80</f>
        <v/>
      </c>
      <c r="H81">
        <f>TEXT(A81,"DD/MM HH:MM")</f>
        <v/>
      </c>
    </row>
    <row r="82">
      <c r="A82" s="30" t="n">
        <v>46302.76458333333</v>
      </c>
      <c r="B82" s="11" t="n">
        <v>61</v>
      </c>
      <c r="C82" s="11" t="n">
        <v>170</v>
      </c>
      <c r="D82" s="12" t="n">
        <v>2040</v>
      </c>
      <c r="E82" s="31">
        <f>B82-B81</f>
        <v/>
      </c>
      <c r="F82" s="31">
        <f>C82-C81</f>
        <v/>
      </c>
      <c r="G82" s="32">
        <f>D82-D81</f>
        <v/>
      </c>
      <c r="H82">
        <f>TEXT(A82,"DD/MM HH:MM")</f>
        <v/>
      </c>
    </row>
    <row r="83">
      <c r="A83" s="33" t="n">
        <v>46302.79375</v>
      </c>
      <c r="B83" s="15" t="n">
        <v>62</v>
      </c>
      <c r="C83" s="15" t="n">
        <v>172</v>
      </c>
      <c r="D83" s="16" t="n">
        <v>2064</v>
      </c>
      <c r="E83" s="34">
        <f>B83-B82</f>
        <v/>
      </c>
      <c r="F83" s="34">
        <f>C83-C82</f>
        <v/>
      </c>
      <c r="G83" s="35">
        <f>D83-D82</f>
        <v/>
      </c>
      <c r="H83">
        <f>TEXT(A83,"DD/MM HH:MM")</f>
        <v/>
      </c>
    </row>
    <row r="84">
      <c r="A84" s="30" t="n">
        <v>46302.81041666667</v>
      </c>
      <c r="B84" s="11" t="n">
        <v>63</v>
      </c>
      <c r="C84" s="11" t="n">
        <v>176</v>
      </c>
      <c r="D84" s="12" t="n">
        <v>2112</v>
      </c>
      <c r="E84" s="31">
        <f>B84-B83</f>
        <v/>
      </c>
      <c r="F84" s="31">
        <f>C84-C83</f>
        <v/>
      </c>
      <c r="G84" s="32">
        <f>D84-D83</f>
        <v/>
      </c>
      <c r="H84">
        <f>TEXT(A84,"DD/MM HH:MM")</f>
        <v/>
      </c>
    </row>
    <row r="85">
      <c r="A85" s="33" t="n">
        <v>46302.81597222222</v>
      </c>
      <c r="B85" s="15" t="n">
        <v>63</v>
      </c>
      <c r="C85" s="15" t="n">
        <v>176</v>
      </c>
      <c r="D85" s="16" t="n">
        <v>2112</v>
      </c>
      <c r="E85" s="34">
        <f>B85-B84</f>
        <v/>
      </c>
      <c r="F85" s="34">
        <f>C85-C84</f>
        <v/>
      </c>
      <c r="G85" s="35">
        <f>D85-D84</f>
        <v/>
      </c>
      <c r="H85">
        <f>TEXT(A85,"DD/MM HH:MM")</f>
        <v/>
      </c>
    </row>
    <row r="86">
      <c r="A86" s="30" t="n">
        <v>46302.82847222222</v>
      </c>
      <c r="B86" s="11" t="n">
        <v>63</v>
      </c>
      <c r="C86" s="11" t="n">
        <v>176</v>
      </c>
      <c r="D86" s="12" t="n">
        <v>2112</v>
      </c>
      <c r="E86" s="31">
        <f>B86-B85</f>
        <v/>
      </c>
      <c r="F86" s="31">
        <f>C86-C85</f>
        <v/>
      </c>
      <c r="G86" s="32">
        <f>D86-D85</f>
        <v/>
      </c>
      <c r="H86">
        <f>TEXT(A86,"DD/MM HH:MM")</f>
        <v/>
      </c>
    </row>
    <row r="87">
      <c r="A87" s="33" t="n">
        <v>46302.83958333333</v>
      </c>
      <c r="B87" s="15" t="n">
        <v>63</v>
      </c>
      <c r="C87" s="15" t="n">
        <v>176</v>
      </c>
      <c r="D87" s="16" t="n">
        <v>2112</v>
      </c>
      <c r="E87" s="34">
        <f>B87-B86</f>
        <v/>
      </c>
      <c r="F87" s="34">
        <f>C87-C86</f>
        <v/>
      </c>
      <c r="G87" s="35">
        <f>D87-D86</f>
        <v/>
      </c>
      <c r="H87">
        <f>TEXT(A87,"DD/MM HH:MM")</f>
        <v/>
      </c>
    </row>
    <row r="88">
      <c r="A88" s="30" t="n">
        <v>46302.84861111111</v>
      </c>
      <c r="B88" s="11" t="n">
        <v>64</v>
      </c>
      <c r="C88" s="11" t="n">
        <v>178</v>
      </c>
      <c r="D88" s="12" t="n">
        <v>2136</v>
      </c>
      <c r="E88" s="31">
        <f>B88-B87</f>
        <v/>
      </c>
      <c r="F88" s="31">
        <f>C88-C87</f>
        <v/>
      </c>
      <c r="G88" s="32">
        <f>D88-D87</f>
        <v/>
      </c>
      <c r="H88">
        <f>TEXT(A88,"DD/MM HH:MM")</f>
        <v/>
      </c>
    </row>
    <row r="89">
      <c r="A89" s="33" t="n">
        <v>46302.88680555556</v>
      </c>
      <c r="B89" s="15" t="n">
        <v>67</v>
      </c>
      <c r="C89" s="15" t="n">
        <v>186</v>
      </c>
      <c r="D89" s="16" t="n">
        <v>2232</v>
      </c>
      <c r="E89" s="34">
        <f>B89-B88</f>
        <v/>
      </c>
      <c r="F89" s="34">
        <f>C89-C88</f>
        <v/>
      </c>
      <c r="G89" s="35">
        <f>D89-D88</f>
        <v/>
      </c>
      <c r="H89">
        <f>TEXT(A89,"DD/MM HH:MM")</f>
        <v/>
      </c>
    </row>
    <row r="90">
      <c r="A90" s="30" t="n">
        <v>46302.9</v>
      </c>
      <c r="B90" s="11" t="n">
        <v>71</v>
      </c>
      <c r="C90" s="11" t="n">
        <v>197</v>
      </c>
      <c r="D90" s="12" t="n">
        <v>2364</v>
      </c>
      <c r="E90" s="31">
        <f>B90-B89</f>
        <v/>
      </c>
      <c r="F90" s="31">
        <f>C90-C89</f>
        <v/>
      </c>
      <c r="G90" s="32">
        <f>D90-D89</f>
        <v/>
      </c>
      <c r="H90">
        <f>TEXT(A90,"DD/MM HH:MM")</f>
        <v/>
      </c>
    </row>
    <row r="91">
      <c r="A91" s="33" t="n">
        <v>46302.91319444445</v>
      </c>
      <c r="B91" s="15" t="n">
        <v>71</v>
      </c>
      <c r="C91" s="15" t="n">
        <v>197</v>
      </c>
      <c r="D91" s="16" t="n">
        <v>2364</v>
      </c>
      <c r="E91" s="34">
        <f>B91-B90</f>
        <v/>
      </c>
      <c r="F91" s="34">
        <f>C91-C90</f>
        <v/>
      </c>
      <c r="G91" s="35">
        <f>D91-D90</f>
        <v/>
      </c>
      <c r="H91">
        <f>TEXT(A91,"DD/MM HH:MM")</f>
        <v/>
      </c>
    </row>
    <row r="92">
      <c r="A92" s="30" t="n">
        <v>46302.92777777778</v>
      </c>
      <c r="B92" s="11" t="n">
        <v>72</v>
      </c>
      <c r="C92" s="11" t="n">
        <v>201</v>
      </c>
      <c r="D92" s="12" t="n">
        <v>2412</v>
      </c>
      <c r="E92" s="31">
        <f>B92-B91</f>
        <v/>
      </c>
      <c r="F92" s="31">
        <f>C92-C91</f>
        <v/>
      </c>
      <c r="G92" s="32">
        <f>D92-D91</f>
        <v/>
      </c>
      <c r="H92">
        <f>TEXT(A92,"DD/MM HH:MM")</f>
        <v/>
      </c>
    </row>
    <row r="93">
      <c r="A93" s="33" t="n">
        <v>46302.94652777778</v>
      </c>
      <c r="B93" s="15" t="n">
        <v>72</v>
      </c>
      <c r="C93" s="15" t="n">
        <v>201</v>
      </c>
      <c r="D93" s="16" t="n">
        <v>2412</v>
      </c>
      <c r="E93" s="34">
        <f>B93-B92</f>
        <v/>
      </c>
      <c r="F93" s="34">
        <f>C93-C92</f>
        <v/>
      </c>
      <c r="G93" s="35">
        <f>D93-D92</f>
        <v/>
      </c>
      <c r="H93">
        <f>TEXT(A93,"DD/MM HH:MM")</f>
        <v/>
      </c>
    </row>
    <row r="94">
      <c r="A94" s="30" t="n">
        <v>46302.97083333333</v>
      </c>
      <c r="B94" s="11" t="n">
        <v>74</v>
      </c>
      <c r="C94" s="11" t="n">
        <v>210</v>
      </c>
      <c r="D94" s="12" t="n">
        <v>2520</v>
      </c>
      <c r="E94" s="31">
        <f>B94-B93</f>
        <v/>
      </c>
      <c r="F94" s="31">
        <f>C94-C93</f>
        <v/>
      </c>
      <c r="G94" s="32">
        <f>D94-D93</f>
        <v/>
      </c>
      <c r="H94">
        <f>TEXT(A94,"DD/MM HH:MM")</f>
        <v/>
      </c>
    </row>
    <row r="95">
      <c r="A95" s="33" t="n">
        <v>46303.01180555556</v>
      </c>
      <c r="B95" s="15" t="n">
        <v>75</v>
      </c>
      <c r="C95" s="15" t="n">
        <v>212</v>
      </c>
      <c r="D95" s="16" t="n">
        <v>2544</v>
      </c>
      <c r="E95" s="34">
        <f>B95-B94</f>
        <v/>
      </c>
      <c r="F95" s="34">
        <f>C95-C94</f>
        <v/>
      </c>
      <c r="G95" s="35">
        <f>D95-D94</f>
        <v/>
      </c>
      <c r="H95">
        <f>TEXT(A95,"DD/MM HH:MM")</f>
        <v/>
      </c>
    </row>
    <row r="96">
      <c r="A96" s="30" t="n">
        <v>46303.01875</v>
      </c>
      <c r="B96" s="11" t="n">
        <v>75</v>
      </c>
      <c r="C96" s="11" t="n">
        <v>212</v>
      </c>
      <c r="D96" s="12" t="n">
        <v>2544</v>
      </c>
      <c r="E96" s="31">
        <f>B96-B95</f>
        <v/>
      </c>
      <c r="F96" s="31">
        <f>C96-C95</f>
        <v/>
      </c>
      <c r="G96" s="32">
        <f>D96-D95</f>
        <v/>
      </c>
      <c r="H96">
        <f>TEXT(A96,"DD/MM HH:MM")</f>
        <v/>
      </c>
    </row>
    <row r="97">
      <c r="A97" s="33" t="n">
        <v>46303.04166666666</v>
      </c>
      <c r="B97" s="15" t="n">
        <v>75</v>
      </c>
      <c r="C97" s="15" t="n">
        <v>212</v>
      </c>
      <c r="D97" s="16" t="n">
        <v>2544</v>
      </c>
      <c r="E97" s="34">
        <f>B97-B96</f>
        <v/>
      </c>
      <c r="F97" s="34">
        <f>C97-C96</f>
        <v/>
      </c>
      <c r="G97" s="35">
        <f>D97-D96</f>
        <v/>
      </c>
      <c r="H97">
        <f>TEXT(A97,"DD/MM HH:MM")</f>
        <v/>
      </c>
    </row>
    <row r="98">
      <c r="A98" s="30" t="n">
        <v>46303.05069444444</v>
      </c>
      <c r="B98" s="11" t="n">
        <v>75</v>
      </c>
      <c r="C98" s="11" t="n">
        <v>212</v>
      </c>
      <c r="D98" s="12" t="n">
        <v>2544</v>
      </c>
      <c r="E98" s="31">
        <f>B98-B97</f>
        <v/>
      </c>
      <c r="F98" s="31">
        <f>C98-C97</f>
        <v/>
      </c>
      <c r="G98" s="32">
        <f>D98-D97</f>
        <v/>
      </c>
      <c r="H98">
        <f>TEXT(A98,"DD/MM HH:MM")</f>
        <v/>
      </c>
    </row>
    <row r="99">
      <c r="A99" s="33" t="n">
        <v>46303.09930555556</v>
      </c>
      <c r="B99" s="15" t="n">
        <v>75</v>
      </c>
      <c r="C99" s="15" t="n">
        <v>212</v>
      </c>
      <c r="D99" s="16" t="n">
        <v>2544</v>
      </c>
      <c r="E99" s="34">
        <f>B99-B98</f>
        <v/>
      </c>
      <c r="F99" s="34">
        <f>C99-C98</f>
        <v/>
      </c>
      <c r="G99" s="35">
        <f>D99-D98</f>
        <v/>
      </c>
      <c r="H99">
        <f>TEXT(A99,"DD/MM HH:MM")</f>
        <v/>
      </c>
    </row>
    <row r="100">
      <c r="A100" s="30" t="n">
        <v>46303.13680555556</v>
      </c>
      <c r="B100" s="11" t="n">
        <v>75</v>
      </c>
      <c r="C100" s="11" t="n">
        <v>212</v>
      </c>
      <c r="D100" s="12" t="n">
        <v>2544</v>
      </c>
      <c r="E100" s="31">
        <f>B100-B99</f>
        <v/>
      </c>
      <c r="F100" s="31">
        <f>C100-C99</f>
        <v/>
      </c>
      <c r="G100" s="32">
        <f>D100-D99</f>
        <v/>
      </c>
      <c r="H100">
        <f>TEXT(A100,"DD/MM HH:MM")</f>
        <v/>
      </c>
    </row>
    <row r="101">
      <c r="A101" s="33" t="n">
        <v>46303.17708333334</v>
      </c>
      <c r="B101" s="15" t="n">
        <v>75</v>
      </c>
      <c r="C101" s="15" t="n">
        <v>212</v>
      </c>
      <c r="D101" s="16" t="n">
        <v>2544</v>
      </c>
      <c r="E101" s="34">
        <f>B101-B100</f>
        <v/>
      </c>
      <c r="F101" s="34">
        <f>C101-C100</f>
        <v/>
      </c>
      <c r="G101" s="35">
        <f>D101-D100</f>
        <v/>
      </c>
      <c r="H101">
        <f>TEXT(A101,"DD/MM HH:MM")</f>
        <v/>
      </c>
    </row>
    <row r="102">
      <c r="A102" s="30" t="n">
        <v>46303.21944444445</v>
      </c>
      <c r="B102" s="11" t="n">
        <v>75</v>
      </c>
      <c r="C102" s="11" t="n">
        <v>212</v>
      </c>
      <c r="D102" s="12" t="n">
        <v>2544</v>
      </c>
      <c r="E102" s="31">
        <f>B102-B101</f>
        <v/>
      </c>
      <c r="F102" s="31">
        <f>C102-C101</f>
        <v/>
      </c>
      <c r="G102" s="32">
        <f>D102-D101</f>
        <v/>
      </c>
      <c r="H102">
        <f>TEXT(A102,"DD/MM HH:MM")</f>
        <v/>
      </c>
    </row>
    <row r="103">
      <c r="A103" s="33" t="n">
        <v>46303.26111111111</v>
      </c>
      <c r="B103" s="15" t="n">
        <v>75</v>
      </c>
      <c r="C103" s="15" t="n">
        <v>212</v>
      </c>
      <c r="D103" s="16" t="n">
        <v>2544</v>
      </c>
      <c r="E103" s="34">
        <f>B103-B102</f>
        <v/>
      </c>
      <c r="F103" s="34">
        <f>C103-C102</f>
        <v/>
      </c>
      <c r="G103" s="35">
        <f>D103-D102</f>
        <v/>
      </c>
      <c r="H103">
        <f>TEXT(A103,"DD/MM HH:MM")</f>
        <v/>
      </c>
    </row>
    <row r="104">
      <c r="A104" s="30" t="n">
        <v>46303.30277777778</v>
      </c>
      <c r="B104" s="11" t="n">
        <v>76</v>
      </c>
      <c r="C104" s="11" t="n">
        <v>214</v>
      </c>
      <c r="D104" s="12" t="n">
        <v>2568</v>
      </c>
      <c r="E104" s="31">
        <f>B104-B103</f>
        <v/>
      </c>
      <c r="F104" s="31">
        <f>C104-C103</f>
        <v/>
      </c>
      <c r="G104" s="32">
        <f>D104-D103</f>
        <v/>
      </c>
      <c r="H104">
        <f>TEXT(A104,"DD/MM HH:MM")</f>
        <v/>
      </c>
    </row>
    <row r="105">
      <c r="A105" s="33" t="n">
        <v>46303.34861111111</v>
      </c>
      <c r="B105" s="15" t="n">
        <v>77</v>
      </c>
      <c r="C105" s="15" t="n">
        <v>216</v>
      </c>
      <c r="D105" s="16" t="n">
        <v>2592</v>
      </c>
      <c r="E105" s="34">
        <f>B105-B104</f>
        <v/>
      </c>
      <c r="F105" s="34">
        <f>C105-C104</f>
        <v/>
      </c>
      <c r="G105" s="35">
        <f>D105-D104</f>
        <v/>
      </c>
      <c r="H105">
        <f>TEXT(A105,"DD/MM HH:MM")</f>
        <v/>
      </c>
    </row>
    <row r="106">
      <c r="A106" s="30" t="n">
        <v>46303.35416666666</v>
      </c>
      <c r="B106" s="11" t="n">
        <v>77</v>
      </c>
      <c r="C106" s="11" t="n">
        <v>216</v>
      </c>
      <c r="D106" s="12" t="n">
        <v>2592</v>
      </c>
      <c r="E106" s="31">
        <f>B106-B105</f>
        <v/>
      </c>
      <c r="F106" s="31">
        <f>C106-C105</f>
        <v/>
      </c>
      <c r="G106" s="32">
        <f>D106-D105</f>
        <v/>
      </c>
      <c r="H106">
        <f>TEXT(A106,"DD/MM HH:MM")</f>
        <v/>
      </c>
    </row>
    <row r="107">
      <c r="A107" s="33" t="n">
        <v>46303.38819444444</v>
      </c>
      <c r="B107" s="15" t="n">
        <v>77</v>
      </c>
      <c r="C107" s="15" t="n">
        <v>216</v>
      </c>
      <c r="D107" s="16" t="n">
        <v>2592</v>
      </c>
      <c r="E107" s="34">
        <f>B107-B106</f>
        <v/>
      </c>
      <c r="F107" s="34">
        <f>C107-C106</f>
        <v/>
      </c>
      <c r="G107" s="35">
        <f>D107-D106</f>
        <v/>
      </c>
      <c r="H107">
        <f>TEXT(A107,"DD/MM HH:MM")</f>
        <v/>
      </c>
    </row>
    <row r="108">
      <c r="A108" s="30" t="n">
        <v>46303.42222222222</v>
      </c>
      <c r="B108" s="11" t="n">
        <v>79</v>
      </c>
      <c r="C108" s="11" t="n">
        <v>225</v>
      </c>
      <c r="D108" s="12" t="n">
        <v>2700</v>
      </c>
      <c r="E108" s="31">
        <f>B108-B107</f>
        <v/>
      </c>
      <c r="F108" s="31">
        <f>C108-C107</f>
        <v/>
      </c>
      <c r="G108" s="32">
        <f>D108-D107</f>
        <v/>
      </c>
      <c r="H108">
        <f>TEXT(A108,"DD/MM HH:MM")</f>
        <v/>
      </c>
    </row>
    <row r="109">
      <c r="A109" s="33" t="n">
        <v>46303.42361111111</v>
      </c>
      <c r="B109" s="15" t="n">
        <v>79</v>
      </c>
      <c r="C109" s="15" t="n">
        <v>225</v>
      </c>
      <c r="D109" s="16" t="n">
        <v>2700</v>
      </c>
      <c r="E109" s="34">
        <f>B109-B108</f>
        <v/>
      </c>
      <c r="F109" s="34">
        <f>C109-C108</f>
        <v/>
      </c>
      <c r="G109" s="35">
        <f>D109-D108</f>
        <v/>
      </c>
      <c r="H109">
        <f>TEXT(A109,"DD/MM HH:MM")</f>
        <v/>
      </c>
    </row>
    <row r="110">
      <c r="A110" s="30" t="n">
        <v>46303.42916666667</v>
      </c>
      <c r="B110" s="11" t="n">
        <v>79</v>
      </c>
      <c r="C110" s="11" t="n">
        <v>225</v>
      </c>
      <c r="D110" s="12" t="n">
        <v>2700</v>
      </c>
      <c r="E110" s="31">
        <f>B110-B109</f>
        <v/>
      </c>
      <c r="F110" s="31">
        <f>C110-C109</f>
        <v/>
      </c>
      <c r="G110" s="32">
        <f>D110-D109</f>
        <v/>
      </c>
      <c r="H110">
        <f>TEXT(A110,"DD/MM HH:MM")</f>
        <v/>
      </c>
    </row>
    <row r="111">
      <c r="A111" s="33" t="n">
        <v>46303.47013888889</v>
      </c>
      <c r="B111" s="15" t="n">
        <v>81</v>
      </c>
      <c r="C111" s="15" t="n">
        <v>234</v>
      </c>
      <c r="D111" s="16" t="n">
        <v>2808</v>
      </c>
      <c r="E111" s="34">
        <f>B111-B110</f>
        <v/>
      </c>
      <c r="F111" s="34">
        <f>C111-C110</f>
        <v/>
      </c>
      <c r="G111" s="35">
        <f>D111-D110</f>
        <v/>
      </c>
      <c r="H111">
        <f>TEXT(A111,"DD/MM HH:MM")</f>
        <v/>
      </c>
    </row>
    <row r="112">
      <c r="A112" s="30" t="n">
        <v>46303.51527777778</v>
      </c>
      <c r="B112" s="11" t="n">
        <v>84</v>
      </c>
      <c r="C112" s="11" t="n">
        <v>244</v>
      </c>
      <c r="D112" s="12" t="n">
        <v>2928</v>
      </c>
      <c r="E112" s="31">
        <f>B112-B111</f>
        <v/>
      </c>
      <c r="F112" s="31">
        <f>C112-C111</f>
        <v/>
      </c>
      <c r="G112" s="32">
        <f>D112-D111</f>
        <v/>
      </c>
      <c r="H112">
        <f>TEXT(A112,"DD/MM HH:MM")</f>
        <v/>
      </c>
    </row>
    <row r="113">
      <c r="A113" s="33" t="n">
        <v>46303.55277777778</v>
      </c>
      <c r="B113" s="15" t="n">
        <v>87</v>
      </c>
      <c r="C113" s="15" t="n">
        <v>251</v>
      </c>
      <c r="D113" s="16" t="n">
        <v>3012</v>
      </c>
      <c r="E113" s="34">
        <f>B113-B112</f>
        <v/>
      </c>
      <c r="F113" s="34">
        <f>C113-C112</f>
        <v/>
      </c>
      <c r="G113" s="35">
        <f>D113-D112</f>
        <v/>
      </c>
      <c r="H113">
        <f>TEXT(A113,"DD/MM HH:MM")</f>
        <v/>
      </c>
    </row>
    <row r="114">
      <c r="A114" s="30" t="n">
        <v>46303.59791666667</v>
      </c>
      <c r="B114" s="11" t="n">
        <v>87</v>
      </c>
      <c r="C114" s="11" t="n">
        <v>251</v>
      </c>
      <c r="D114" s="12" t="n">
        <v>3012</v>
      </c>
      <c r="E114" s="31">
        <f>B114-B113</f>
        <v/>
      </c>
      <c r="F114" s="31">
        <f>C114-C113</f>
        <v/>
      </c>
      <c r="G114" s="32">
        <f>D114-D113</f>
        <v/>
      </c>
      <c r="H114">
        <f>TEXT(A114,"DD/MM HH:MM")</f>
        <v/>
      </c>
    </row>
    <row r="115">
      <c r="A115" s="33" t="n">
        <v>46303.62291666667</v>
      </c>
      <c r="B115" s="15" t="n">
        <v>88</v>
      </c>
      <c r="C115" s="15" t="n">
        <v>253</v>
      </c>
      <c r="D115" s="16" t="n">
        <v>3036</v>
      </c>
      <c r="E115" s="34">
        <f>B115-B114</f>
        <v/>
      </c>
      <c r="F115" s="34">
        <f>C115-C114</f>
        <v/>
      </c>
      <c r="G115" s="35">
        <f>D115-D114</f>
        <v/>
      </c>
      <c r="H115">
        <f>TEXT(A115,"DD/MM HH:MM")</f>
        <v/>
      </c>
    </row>
    <row r="116">
      <c r="A116" s="30" t="n">
        <v>46303.63888888889</v>
      </c>
      <c r="B116" s="11" t="n">
        <v>88</v>
      </c>
      <c r="C116" s="11" t="n">
        <v>253</v>
      </c>
      <c r="D116" s="12" t="n">
        <v>3036</v>
      </c>
      <c r="E116" s="31">
        <f>B116-B115</f>
        <v/>
      </c>
      <c r="F116" s="31">
        <f>C116-C115</f>
        <v/>
      </c>
      <c r="G116" s="32">
        <f>D116-D115</f>
        <v/>
      </c>
      <c r="H116">
        <f>TEXT(A116,"DD/MM HH:MM")</f>
        <v/>
      </c>
    </row>
    <row r="117">
      <c r="A117" s="33" t="n">
        <v>46303.65763888889</v>
      </c>
      <c r="B117" s="15" t="n">
        <v>88</v>
      </c>
      <c r="C117" s="15" t="n">
        <v>253</v>
      </c>
      <c r="D117" s="16" t="n">
        <v>3036</v>
      </c>
      <c r="E117" s="34">
        <f>B117-B116</f>
        <v/>
      </c>
      <c r="F117" s="34">
        <f>C117-C116</f>
        <v/>
      </c>
      <c r="G117" s="35">
        <f>D117-D116</f>
        <v/>
      </c>
      <c r="H117">
        <f>TEXT(A117,"DD/MM HH:MM")</f>
        <v/>
      </c>
    </row>
    <row r="118">
      <c r="A118" s="30" t="n">
        <v>46303.67986111111</v>
      </c>
      <c r="B118" s="11" t="n">
        <v>88</v>
      </c>
      <c r="C118" s="11" t="n">
        <v>253</v>
      </c>
      <c r="D118" s="12" t="n">
        <v>3036</v>
      </c>
      <c r="E118" s="31">
        <f>B118-B117</f>
        <v/>
      </c>
      <c r="F118" s="31">
        <f>C118-C117</f>
        <v/>
      </c>
      <c r="G118" s="32">
        <f>D118-D117</f>
        <v/>
      </c>
      <c r="H118">
        <f>TEXT(A118,"DD/MM HH:MM")</f>
        <v/>
      </c>
    </row>
    <row r="119">
      <c r="A119" s="33" t="n">
        <v>46303.69097222222</v>
      </c>
      <c r="B119" s="15" t="n">
        <v>88</v>
      </c>
      <c r="C119" s="15" t="n">
        <v>253</v>
      </c>
      <c r="D119" s="16" t="n">
        <v>3036</v>
      </c>
      <c r="E119" s="34">
        <f>B119-B118</f>
        <v/>
      </c>
      <c r="F119" s="34">
        <f>C119-C118</f>
        <v/>
      </c>
      <c r="G119" s="35">
        <f>D119-D118</f>
        <v/>
      </c>
      <c r="H119">
        <f>TEXT(A119,"DD/MM HH:MM")</f>
        <v/>
      </c>
    </row>
    <row r="120">
      <c r="A120" s="30" t="n">
        <v>46303.69722222222</v>
      </c>
      <c r="B120" s="11" t="n">
        <v>88</v>
      </c>
      <c r="C120" s="11" t="n">
        <v>253</v>
      </c>
      <c r="D120" s="12" t="n">
        <v>3036</v>
      </c>
      <c r="E120" s="31">
        <f>B120-B119</f>
        <v/>
      </c>
      <c r="F120" s="31">
        <f>C120-C119</f>
        <v/>
      </c>
      <c r="G120" s="32">
        <f>D120-D119</f>
        <v/>
      </c>
      <c r="H120">
        <f>TEXT(A120,"DD/MM HH:MM")</f>
        <v/>
      </c>
    </row>
    <row r="121">
      <c r="A121" s="33" t="n">
        <v>46303.72013888889</v>
      </c>
      <c r="B121" s="15" t="n">
        <v>89</v>
      </c>
      <c r="C121" s="15" t="n">
        <v>255</v>
      </c>
      <c r="D121" s="16" t="n">
        <v>3060</v>
      </c>
      <c r="E121" s="34">
        <f>B121-B120</f>
        <v/>
      </c>
      <c r="F121" s="34">
        <f>C121-C120</f>
        <v/>
      </c>
      <c r="G121" s="35">
        <f>D121-D120</f>
        <v/>
      </c>
      <c r="H121">
        <f>TEXT(A121,"DD/MM HH:MM")</f>
        <v/>
      </c>
    </row>
    <row r="122">
      <c r="A122" s="30" t="n">
        <v>46303.75416666667</v>
      </c>
      <c r="B122" s="11" t="n">
        <v>92</v>
      </c>
      <c r="C122" s="11" t="n">
        <v>268</v>
      </c>
      <c r="D122" s="12" t="n">
        <v>3216</v>
      </c>
      <c r="E122" s="31">
        <f>B122-B121</f>
        <v/>
      </c>
      <c r="F122" s="31">
        <f>C122-C121</f>
        <v/>
      </c>
      <c r="G122" s="32">
        <f>D122-D121</f>
        <v/>
      </c>
      <c r="H122">
        <f>TEXT(A122,"DD/MM HH:MM")</f>
        <v/>
      </c>
    </row>
    <row r="123">
      <c r="A123" s="33" t="n">
        <v>46303.76319444444</v>
      </c>
      <c r="B123" s="15" t="n">
        <v>92</v>
      </c>
      <c r="C123" s="15" t="n">
        <v>268</v>
      </c>
      <c r="D123" s="16" t="n">
        <v>3216</v>
      </c>
      <c r="E123" s="34">
        <f>B123-B122</f>
        <v/>
      </c>
      <c r="F123" s="34">
        <f>C123-C122</f>
        <v/>
      </c>
      <c r="G123" s="35">
        <f>D123-D122</f>
        <v/>
      </c>
      <c r="H123">
        <f>TEXT(A123,"DD/MM HH:MM")</f>
        <v/>
      </c>
    </row>
    <row r="124">
      <c r="A124" s="30" t="n">
        <v>46303.78680555556</v>
      </c>
      <c r="B124" s="11" t="n">
        <v>92</v>
      </c>
      <c r="C124" s="11" t="n">
        <v>268</v>
      </c>
      <c r="D124" s="12" t="n">
        <v>3216</v>
      </c>
      <c r="E124" s="31">
        <f>B124-B123</f>
        <v/>
      </c>
      <c r="F124" s="31">
        <f>C124-C123</f>
        <v/>
      </c>
      <c r="G124" s="32">
        <f>D124-D123</f>
        <v/>
      </c>
      <c r="H124">
        <f>TEXT(A124,"DD/MM HH:MM")</f>
        <v/>
      </c>
    </row>
    <row r="125">
      <c r="A125" s="33" t="n">
        <v>46303.80277777778</v>
      </c>
      <c r="B125" s="15" t="n">
        <v>94</v>
      </c>
      <c r="C125" s="15" t="n">
        <v>275</v>
      </c>
      <c r="D125" s="16" t="n">
        <v>3300</v>
      </c>
      <c r="E125" s="34">
        <f>B125-B124</f>
        <v/>
      </c>
      <c r="F125" s="34">
        <f>C125-C124</f>
        <v/>
      </c>
      <c r="G125" s="35">
        <f>D125-D124</f>
        <v/>
      </c>
      <c r="H125">
        <f>TEXT(A125,"DD/MM HH:MM")</f>
        <v/>
      </c>
    </row>
    <row r="126">
      <c r="A126" s="30" t="n">
        <v>46303.81805555556</v>
      </c>
      <c r="B126" s="11" t="n">
        <v>94</v>
      </c>
      <c r="C126" s="11" t="n">
        <v>275</v>
      </c>
      <c r="D126" s="12" t="n">
        <v>3300</v>
      </c>
      <c r="E126" s="31">
        <f>B126-B125</f>
        <v/>
      </c>
      <c r="F126" s="31">
        <f>C126-C125</f>
        <v/>
      </c>
      <c r="G126" s="32">
        <f>D126-D125</f>
        <v/>
      </c>
      <c r="H126">
        <f>TEXT(A126,"DD/MM HH:MM")</f>
        <v/>
      </c>
    </row>
    <row r="127">
      <c r="A127" s="33" t="n">
        <v>46303.84583333333</v>
      </c>
      <c r="B127" s="15" t="n">
        <v>95</v>
      </c>
      <c r="C127" s="15" t="n">
        <v>280</v>
      </c>
      <c r="D127" s="16" t="n">
        <v>3360</v>
      </c>
      <c r="E127" s="34">
        <f>B127-B126</f>
        <v/>
      </c>
      <c r="F127" s="34">
        <f>C127-C126</f>
        <v/>
      </c>
      <c r="G127" s="35">
        <f>D127-D126</f>
        <v/>
      </c>
      <c r="H127">
        <f>TEXT(A127,"DD/MM HH:MM")</f>
        <v/>
      </c>
    </row>
    <row r="128">
      <c r="A128" s="30" t="n">
        <v>46303.85694444444</v>
      </c>
      <c r="B128" s="11" t="n">
        <v>96</v>
      </c>
      <c r="C128" s="11" t="n">
        <v>284</v>
      </c>
      <c r="D128" s="12" t="n">
        <v>3408</v>
      </c>
      <c r="E128" s="31">
        <f>B128-B127</f>
        <v/>
      </c>
      <c r="F128" s="31">
        <f>C128-C127</f>
        <v/>
      </c>
      <c r="G128" s="32">
        <f>D128-D127</f>
        <v/>
      </c>
      <c r="H128">
        <f>TEXT(A128,"DD/MM HH:MM")</f>
        <v/>
      </c>
    </row>
    <row r="129">
      <c r="A129" s="33" t="n">
        <v>46303.88611111111</v>
      </c>
      <c r="B129" s="15" t="n">
        <v>98</v>
      </c>
      <c r="C129" s="15" t="n">
        <v>288</v>
      </c>
      <c r="D129" s="16" t="n">
        <v>3456</v>
      </c>
      <c r="E129" s="34">
        <f>B129-B128</f>
        <v/>
      </c>
      <c r="F129" s="34">
        <f>C129-C128</f>
        <v/>
      </c>
      <c r="G129" s="35">
        <f>D129-D128</f>
        <v/>
      </c>
      <c r="H129">
        <f>TEXT(A129,"DD/MM HH:MM")</f>
        <v/>
      </c>
    </row>
    <row r="130">
      <c r="A130" s="30" t="n">
        <v>46303.90555555555</v>
      </c>
      <c r="B130" s="11" t="n">
        <v>104</v>
      </c>
      <c r="C130" s="11" t="n">
        <v>309</v>
      </c>
      <c r="D130" s="12" t="n">
        <v>3708</v>
      </c>
      <c r="E130" s="31">
        <f>B130-B129</f>
        <v/>
      </c>
      <c r="F130" s="31">
        <f>C130-C129</f>
        <v/>
      </c>
      <c r="G130" s="32">
        <f>D130-D129</f>
        <v/>
      </c>
      <c r="H130">
        <f>TEXT(A130,"DD/MM HH:MM")</f>
        <v/>
      </c>
    </row>
    <row r="131">
      <c r="A131" s="33" t="n">
        <v>46303.92847222222</v>
      </c>
      <c r="B131" s="15" t="n">
        <v>107</v>
      </c>
      <c r="C131" s="15" t="n">
        <v>317</v>
      </c>
      <c r="D131" s="16" t="n">
        <v>3804</v>
      </c>
      <c r="E131" s="34">
        <f>B131-B130</f>
        <v/>
      </c>
      <c r="F131" s="34">
        <f>C131-C130</f>
        <v/>
      </c>
      <c r="G131" s="35">
        <f>D131-D130</f>
        <v/>
      </c>
      <c r="H131">
        <f>TEXT(A131,"DD/MM HH:MM")</f>
        <v/>
      </c>
    </row>
    <row r="132">
      <c r="A132" s="30" t="n">
        <v>46303.95555555556</v>
      </c>
      <c r="B132" s="11" t="n">
        <v>109</v>
      </c>
      <c r="C132" s="11" t="n">
        <v>323</v>
      </c>
      <c r="D132" s="12" t="n">
        <v>3876</v>
      </c>
      <c r="E132" s="31">
        <f>B132-B131</f>
        <v/>
      </c>
      <c r="F132" s="31">
        <f>C132-C131</f>
        <v/>
      </c>
      <c r="G132" s="32">
        <f>D132-D131</f>
        <v/>
      </c>
      <c r="H132">
        <f>TEXT(A132,"DD/MM HH:MM")</f>
        <v/>
      </c>
    </row>
    <row r="133">
      <c r="A133" s="33" t="n">
        <v>46303.96944444445</v>
      </c>
      <c r="B133" s="15" t="n">
        <v>109</v>
      </c>
      <c r="C133" s="15" t="n">
        <v>323</v>
      </c>
      <c r="D133" s="16" t="n">
        <v>3876</v>
      </c>
      <c r="E133" s="34">
        <f>B133-B132</f>
        <v/>
      </c>
      <c r="F133" s="34">
        <f>C133-C132</f>
        <v/>
      </c>
      <c r="G133" s="35">
        <f>D133-D132</f>
        <v/>
      </c>
      <c r="H133">
        <f>TEXT(A133,"DD/MM HH:MM")</f>
        <v/>
      </c>
    </row>
    <row r="134">
      <c r="A134" s="30" t="n">
        <v>46303.99236111111</v>
      </c>
      <c r="B134" s="11" t="n">
        <v>110</v>
      </c>
      <c r="C134" s="11" t="n">
        <v>325</v>
      </c>
      <c r="D134" s="12" t="n">
        <v>3900</v>
      </c>
      <c r="E134" s="31">
        <f>B134-B133</f>
        <v/>
      </c>
      <c r="F134" s="31">
        <f>C134-C133</f>
        <v/>
      </c>
      <c r="G134" s="32">
        <f>D134-D133</f>
        <v/>
      </c>
      <c r="H134">
        <f>TEXT(A134,"DD/MM HH:MM")</f>
        <v/>
      </c>
    </row>
    <row r="135">
      <c r="A135" s="33" t="n">
        <v>46303.99930555555</v>
      </c>
      <c r="B135" s="15" t="n">
        <v>110</v>
      </c>
      <c r="C135" s="15" t="n">
        <v>325</v>
      </c>
      <c r="D135" s="16" t="n">
        <v>3900</v>
      </c>
      <c r="E135" s="34">
        <f>B135-B134</f>
        <v/>
      </c>
      <c r="F135" s="34">
        <f>C135-C134</f>
        <v/>
      </c>
      <c r="G135" s="35">
        <f>D135-D134</f>
        <v/>
      </c>
      <c r="H135">
        <f>TEXT(A135,"DD/MM HH:MM")</f>
        <v/>
      </c>
    </row>
    <row r="136">
      <c r="A136" s="30" t="n">
        <v>46304.01041666666</v>
      </c>
      <c r="B136" s="11" t="n">
        <v>111</v>
      </c>
      <c r="C136" s="11" t="n">
        <v>329</v>
      </c>
      <c r="D136" s="12" t="n">
        <v>3948</v>
      </c>
      <c r="E136" s="31">
        <f>B136-B135</f>
        <v/>
      </c>
      <c r="F136" s="31">
        <f>C136-C135</f>
        <v/>
      </c>
      <c r="G136" s="32">
        <f>D136-D135</f>
        <v/>
      </c>
      <c r="H136">
        <f>TEXT(A136,"DD/MM HH:MM")</f>
        <v/>
      </c>
    </row>
    <row r="137">
      <c r="A137" s="33" t="n">
        <v>46304.05208333334</v>
      </c>
      <c r="B137" s="15" t="n">
        <v>111</v>
      </c>
      <c r="C137" s="15" t="n">
        <v>329</v>
      </c>
      <c r="D137" s="16" t="n">
        <v>3948</v>
      </c>
      <c r="E137" s="34">
        <f>B137-B136</f>
        <v/>
      </c>
      <c r="F137" s="34">
        <f>C137-C136</f>
        <v/>
      </c>
      <c r="G137" s="35">
        <f>D137-D136</f>
        <v/>
      </c>
      <c r="H137">
        <f>TEXT(A137,"DD/MM HH:MM")</f>
        <v/>
      </c>
    </row>
    <row r="138">
      <c r="A138" s="30" t="n">
        <v>46304.10069444445</v>
      </c>
      <c r="B138" s="11" t="n">
        <v>111</v>
      </c>
      <c r="C138" s="11" t="n">
        <v>329</v>
      </c>
      <c r="D138" s="12" t="n">
        <v>3948</v>
      </c>
      <c r="E138" s="31">
        <f>B138-B137</f>
        <v/>
      </c>
      <c r="F138" s="31">
        <f>C138-C137</f>
        <v/>
      </c>
      <c r="G138" s="32">
        <f>D138-D137</f>
        <v/>
      </c>
      <c r="H138">
        <f>TEXT(A138,"DD/MM HH:MM")</f>
        <v/>
      </c>
    </row>
    <row r="139">
      <c r="A139" s="33" t="n">
        <v>46304.1375</v>
      </c>
      <c r="B139" s="15" t="n">
        <v>111</v>
      </c>
      <c r="C139" s="15" t="n">
        <v>329</v>
      </c>
      <c r="D139" s="16" t="n">
        <v>3948</v>
      </c>
      <c r="E139" s="34">
        <f>B139-B138</f>
        <v/>
      </c>
      <c r="F139" s="34">
        <f>C139-C138</f>
        <v/>
      </c>
      <c r="G139" s="35">
        <f>D139-D138</f>
        <v/>
      </c>
      <c r="H139">
        <f>TEXT(A139,"DD/MM HH:MM")</f>
        <v/>
      </c>
    </row>
    <row r="140">
      <c r="A140" s="30" t="n">
        <v>46304.17708333334</v>
      </c>
      <c r="B140" s="11" t="n">
        <v>111</v>
      </c>
      <c r="C140" s="11" t="n">
        <v>329</v>
      </c>
      <c r="D140" s="12" t="n">
        <v>3948</v>
      </c>
      <c r="E140" s="31">
        <f>B140-B139</f>
        <v/>
      </c>
      <c r="F140" s="31">
        <f>C140-C139</f>
        <v/>
      </c>
      <c r="G140" s="32">
        <f>D140-D139</f>
        <v/>
      </c>
      <c r="H140">
        <f>TEXT(A140,"DD/MM HH:MM")</f>
        <v/>
      </c>
    </row>
    <row r="141">
      <c r="A141" s="33" t="n">
        <v>46304.21944444445</v>
      </c>
      <c r="B141" s="15" t="n">
        <v>111</v>
      </c>
      <c r="C141" s="15" t="n">
        <v>329</v>
      </c>
      <c r="D141" s="16" t="n">
        <v>3948</v>
      </c>
      <c r="E141" s="34">
        <f>B141-B140</f>
        <v/>
      </c>
      <c r="F141" s="34">
        <f>C141-C140</f>
        <v/>
      </c>
      <c r="G141" s="35">
        <f>D141-D140</f>
        <v/>
      </c>
      <c r="H141">
        <f>TEXT(A141,"DD/MM HH:MM")</f>
        <v/>
      </c>
    </row>
    <row r="142">
      <c r="A142" s="30" t="n">
        <v>46304.2625</v>
      </c>
      <c r="B142" s="11" t="n">
        <v>111</v>
      </c>
      <c r="C142" s="11" t="n">
        <v>329</v>
      </c>
      <c r="D142" s="12" t="n">
        <v>3948</v>
      </c>
      <c r="E142" s="31">
        <f>B142-B141</f>
        <v/>
      </c>
      <c r="F142" s="31">
        <f>C142-C141</f>
        <v/>
      </c>
      <c r="G142" s="32">
        <f>D142-D141</f>
        <v/>
      </c>
      <c r="H142">
        <f>TEXT(A142,"DD/MM HH:MM")</f>
        <v/>
      </c>
    </row>
    <row r="143">
      <c r="A143" s="33" t="n">
        <v>46304.30208333334</v>
      </c>
      <c r="B143" s="15" t="n">
        <v>111</v>
      </c>
      <c r="C143" s="15" t="n">
        <v>329</v>
      </c>
      <c r="D143" s="16" t="n">
        <v>3948</v>
      </c>
      <c r="E143" s="34">
        <f>B143-B142</f>
        <v/>
      </c>
      <c r="F143" s="34">
        <f>C143-C142</f>
        <v/>
      </c>
      <c r="G143" s="35">
        <f>D143-D142</f>
        <v/>
      </c>
      <c r="H143">
        <f>TEXT(A143,"DD/MM HH:MM")</f>
        <v/>
      </c>
    </row>
    <row r="144">
      <c r="A144" s="30" t="n">
        <v>46304.34791666667</v>
      </c>
      <c r="B144" s="11" t="n">
        <v>112</v>
      </c>
      <c r="C144" s="11" t="n">
        <v>333</v>
      </c>
      <c r="D144" s="12" t="n">
        <v>3996</v>
      </c>
      <c r="E144" s="31">
        <f>B144-B143</f>
        <v/>
      </c>
      <c r="F144" s="31">
        <f>C144-C143</f>
        <v/>
      </c>
      <c r="G144" s="32">
        <f>D144-D143</f>
        <v/>
      </c>
      <c r="H144">
        <f>TEXT(A144,"DD/MM HH:MM")</f>
        <v/>
      </c>
    </row>
    <row r="145">
      <c r="A145" s="33" t="n">
        <v>46304.36944444444</v>
      </c>
      <c r="B145" s="15" t="n">
        <v>112</v>
      </c>
      <c r="C145" s="15" t="n">
        <v>333</v>
      </c>
      <c r="D145" s="16" t="n">
        <v>3996</v>
      </c>
      <c r="E145" s="34">
        <f>B145-B144</f>
        <v/>
      </c>
      <c r="F145" s="34">
        <f>C145-C144</f>
        <v/>
      </c>
      <c r="G145" s="35">
        <f>D145-D144</f>
        <v/>
      </c>
      <c r="H145">
        <f>TEXT(A145,"DD/MM HH:MM")</f>
        <v/>
      </c>
    </row>
    <row r="146">
      <c r="A146" s="30" t="n">
        <v>46304.3875</v>
      </c>
      <c r="B146" s="11" t="n">
        <v>112</v>
      </c>
      <c r="C146" s="11" t="n">
        <v>333</v>
      </c>
      <c r="D146" s="12" t="n">
        <v>3996</v>
      </c>
      <c r="E146" s="31">
        <f>B146-B145</f>
        <v/>
      </c>
      <c r="F146" s="31">
        <f>C146-C145</f>
        <v/>
      </c>
      <c r="G146" s="32">
        <f>D146-D145</f>
        <v/>
      </c>
      <c r="H146">
        <f>TEXT(A146,"DD/MM HH:MM")</f>
        <v/>
      </c>
    </row>
    <row r="147">
      <c r="A147" s="33" t="n">
        <v>46304.42847222222</v>
      </c>
      <c r="B147" s="15" t="n">
        <v>112</v>
      </c>
      <c r="C147" s="15" t="n">
        <v>333</v>
      </c>
      <c r="D147" s="16" t="n">
        <v>3996</v>
      </c>
      <c r="E147" s="34">
        <f>B147-B146</f>
        <v/>
      </c>
      <c r="F147" s="34">
        <f>C147-C146</f>
        <v/>
      </c>
      <c r="G147" s="35">
        <f>D147-D146</f>
        <v/>
      </c>
      <c r="H147">
        <f>TEXT(A147,"DD/MM HH:MM")</f>
        <v/>
      </c>
    </row>
    <row r="148">
      <c r="A148" s="30" t="n">
        <v>46304.47083333333</v>
      </c>
      <c r="B148" s="11" t="n">
        <v>112</v>
      </c>
      <c r="C148" s="11" t="n">
        <v>333</v>
      </c>
      <c r="D148" s="12" t="n">
        <v>3996</v>
      </c>
      <c r="E148" s="31">
        <f>B148-B147</f>
        <v/>
      </c>
      <c r="F148" s="31">
        <f>C148-C147</f>
        <v/>
      </c>
      <c r="G148" s="32">
        <f>D148-D147</f>
        <v/>
      </c>
      <c r="H148">
        <f>TEXT(A148,"DD/MM HH:MM")</f>
        <v/>
      </c>
    </row>
    <row r="149">
      <c r="A149" s="33" t="n">
        <v>46304.51180555556</v>
      </c>
      <c r="B149" s="15" t="n">
        <v>113</v>
      </c>
      <c r="C149" s="15" t="n">
        <v>335</v>
      </c>
      <c r="D149" s="16" t="n">
        <v>4020</v>
      </c>
      <c r="E149" s="34">
        <f>B149-B148</f>
        <v/>
      </c>
      <c r="F149" s="34">
        <f>C149-C148</f>
        <v/>
      </c>
      <c r="G149" s="35">
        <f>D149-D148</f>
        <v/>
      </c>
      <c r="H149">
        <f>TEXT(A149,"DD/MM HH:MM")</f>
        <v/>
      </c>
    </row>
    <row r="150">
      <c r="A150" s="30" t="n">
        <v>46304.54305555556</v>
      </c>
      <c r="B150" s="11" t="n">
        <v>113</v>
      </c>
      <c r="C150" s="11" t="n">
        <v>335</v>
      </c>
      <c r="D150" s="12" t="n">
        <v>4020</v>
      </c>
      <c r="E150" s="31">
        <f>B150-B149</f>
        <v/>
      </c>
      <c r="F150" s="31">
        <f>C150-C149</f>
        <v/>
      </c>
      <c r="G150" s="32">
        <f>D150-D149</f>
        <v/>
      </c>
      <c r="H150">
        <f>TEXT(A150,"DD/MM HH:MM")</f>
        <v/>
      </c>
    </row>
    <row r="151">
      <c r="A151" s="33" t="n">
        <v>46304.55277777778</v>
      </c>
      <c r="B151" s="15" t="n">
        <v>114</v>
      </c>
      <c r="C151" s="15" t="n">
        <v>339</v>
      </c>
      <c r="D151" s="16" t="n">
        <v>4068</v>
      </c>
      <c r="E151" s="34">
        <f>B151-B150</f>
        <v/>
      </c>
      <c r="F151" s="34">
        <f>C151-C150</f>
        <v/>
      </c>
      <c r="G151" s="35">
        <f>D151-D150</f>
        <v/>
      </c>
      <c r="H151">
        <f>TEXT(A151,"DD/MM HH:MM")</f>
        <v/>
      </c>
    </row>
    <row r="152">
      <c r="A152" s="30" t="n">
        <v>46304.59652777778</v>
      </c>
      <c r="B152" s="11" t="n">
        <v>115</v>
      </c>
      <c r="C152" s="11" t="n">
        <v>341</v>
      </c>
      <c r="D152" s="12" t="n">
        <v>4092</v>
      </c>
      <c r="E152" s="31">
        <f>B152-B151</f>
        <v/>
      </c>
      <c r="F152" s="31">
        <f>C152-C151</f>
        <v/>
      </c>
      <c r="G152" s="32">
        <f>D152-D151</f>
        <v/>
      </c>
      <c r="H152">
        <f>TEXT(A152,"DD/MM HH:MM")</f>
        <v/>
      </c>
    </row>
    <row r="153">
      <c r="A153" s="33" t="n">
        <v>46304.62291666667</v>
      </c>
      <c r="B153" s="15" t="n">
        <v>115</v>
      </c>
      <c r="C153" s="15" t="n">
        <v>340</v>
      </c>
      <c r="D153" s="16" t="n">
        <v>4080</v>
      </c>
      <c r="E153" s="34">
        <f>B153-B152</f>
        <v/>
      </c>
      <c r="F153" s="34">
        <f>C153-C152</f>
        <v/>
      </c>
      <c r="G153" s="35">
        <f>D153-D152</f>
        <v/>
      </c>
      <c r="H153">
        <f>TEXT(A153,"DD/MM HH:MM")</f>
        <v/>
      </c>
    </row>
    <row r="154">
      <c r="A154" s="30" t="n">
        <v>46304.64097222222</v>
      </c>
      <c r="B154" s="11" t="n">
        <v>116</v>
      </c>
      <c r="C154" s="11" t="n">
        <v>342</v>
      </c>
      <c r="D154" s="12" t="n">
        <v>4104</v>
      </c>
      <c r="E154" s="31">
        <f>B154-B153</f>
        <v/>
      </c>
      <c r="F154" s="31">
        <f>C154-C153</f>
        <v/>
      </c>
      <c r="G154" s="32">
        <f>D154-D153</f>
        <v/>
      </c>
      <c r="H154">
        <f>TEXT(A154,"DD/MM HH:MM")</f>
        <v/>
      </c>
    </row>
    <row r="155">
      <c r="A155" s="33" t="n">
        <v>46304.67986111111</v>
      </c>
      <c r="B155" s="15" t="n">
        <v>117</v>
      </c>
      <c r="C155" s="15" t="n">
        <v>346</v>
      </c>
      <c r="D155" s="16" t="n">
        <v>4152</v>
      </c>
      <c r="E155" s="34">
        <f>B155-B154</f>
        <v/>
      </c>
      <c r="F155" s="34">
        <f>C155-C154</f>
        <v/>
      </c>
      <c r="G155" s="35">
        <f>D155-D154</f>
        <v/>
      </c>
      <c r="H155">
        <f>TEXT(A155,"DD/MM HH:MM")</f>
        <v/>
      </c>
    </row>
    <row r="156">
      <c r="A156" s="30" t="n">
        <v>46304.71944444445</v>
      </c>
      <c r="B156" s="11" t="n">
        <v>117</v>
      </c>
      <c r="C156" s="11" t="n">
        <v>346</v>
      </c>
      <c r="D156" s="12" t="n">
        <v>4152</v>
      </c>
      <c r="E156" s="31">
        <f>B156-B155</f>
        <v/>
      </c>
      <c r="F156" s="31">
        <f>C156-C155</f>
        <v/>
      </c>
      <c r="G156" s="32">
        <f>D156-D155</f>
        <v/>
      </c>
      <c r="H156">
        <f>TEXT(A156,"DD/MM HH:MM")</f>
        <v/>
      </c>
    </row>
    <row r="157">
      <c r="A157" s="33" t="n">
        <v>46304.75347222222</v>
      </c>
      <c r="B157" s="15" t="n">
        <v>120</v>
      </c>
      <c r="C157" s="15" t="n">
        <v>353</v>
      </c>
      <c r="D157" s="16" t="n">
        <v>4236</v>
      </c>
      <c r="E157" s="34">
        <f>B157-B156</f>
        <v/>
      </c>
      <c r="F157" s="34">
        <f>C157-C156</f>
        <v/>
      </c>
      <c r="G157" s="35">
        <f>D157-D156</f>
        <v/>
      </c>
      <c r="H157">
        <f>TEXT(A157,"DD/MM HH:MM")</f>
        <v/>
      </c>
    </row>
    <row r="158">
      <c r="A158" s="30" t="n">
        <v>46304.76111111111</v>
      </c>
      <c r="B158" s="11" t="n">
        <v>120</v>
      </c>
      <c r="C158" s="11" t="n">
        <v>353</v>
      </c>
      <c r="D158" s="12" t="n">
        <v>4236</v>
      </c>
      <c r="E158" s="31">
        <f>B158-B157</f>
        <v/>
      </c>
      <c r="F158" s="31">
        <f>C158-C157</f>
        <v/>
      </c>
      <c r="G158" s="32">
        <f>D158-D157</f>
        <v/>
      </c>
      <c r="H158">
        <f>TEXT(A158,"DD/MM HH:MM")</f>
        <v/>
      </c>
    </row>
    <row r="159">
      <c r="A159" s="33" t="n">
        <v>46304.79513888889</v>
      </c>
      <c r="B159" s="15" t="n">
        <v>120</v>
      </c>
      <c r="C159" s="15" t="n">
        <v>353</v>
      </c>
      <c r="D159" s="16" t="n">
        <v>4236</v>
      </c>
      <c r="E159" s="34">
        <f>B159-B158</f>
        <v/>
      </c>
      <c r="F159" s="34">
        <f>C159-C158</f>
        <v/>
      </c>
      <c r="G159" s="35">
        <f>D159-D158</f>
        <v/>
      </c>
      <c r="H159">
        <f>TEXT(A159,"DD/MM HH:MM")</f>
        <v/>
      </c>
    </row>
    <row r="160">
      <c r="A160" s="30" t="n">
        <v>46304.80138888889</v>
      </c>
      <c r="B160" s="11" t="n">
        <v>121</v>
      </c>
      <c r="C160" s="11" t="n">
        <v>355</v>
      </c>
      <c r="D160" s="12" t="n">
        <v>4260</v>
      </c>
      <c r="E160" s="31">
        <f>B160-B159</f>
        <v/>
      </c>
      <c r="F160" s="31">
        <f>C160-C159</f>
        <v/>
      </c>
      <c r="G160" s="32">
        <f>D160-D159</f>
        <v/>
      </c>
      <c r="H160">
        <f>TEXT(A160,"DD/MM HH:MM")</f>
        <v/>
      </c>
    </row>
    <row r="161">
      <c r="A161" s="33" t="n">
        <v>46304.81944444445</v>
      </c>
      <c r="B161" s="15" t="n">
        <v>123</v>
      </c>
      <c r="C161" s="15" t="n">
        <v>361</v>
      </c>
      <c r="D161" s="16" t="n">
        <v>4332</v>
      </c>
      <c r="E161" s="34">
        <f>B161-B160</f>
        <v/>
      </c>
      <c r="F161" s="34">
        <f>C161-C160</f>
        <v/>
      </c>
      <c r="G161" s="35">
        <f>D161-D160</f>
        <v/>
      </c>
      <c r="H161">
        <f>TEXT(A161,"DD/MM HH:MM")</f>
        <v/>
      </c>
    </row>
    <row r="162">
      <c r="A162" s="30" t="n">
        <v>46304.84513888889</v>
      </c>
      <c r="B162" s="11" t="n">
        <v>123</v>
      </c>
      <c r="C162" s="11" t="n">
        <v>361</v>
      </c>
      <c r="D162" s="12" t="n">
        <v>4332</v>
      </c>
      <c r="E162" s="31">
        <f>B162-B161</f>
        <v/>
      </c>
      <c r="F162" s="31">
        <f>C162-C161</f>
        <v/>
      </c>
      <c r="G162" s="32">
        <f>D162-D161</f>
        <v/>
      </c>
      <c r="H162">
        <f>TEXT(A162,"DD/MM HH:MM")</f>
        <v/>
      </c>
    </row>
    <row r="163">
      <c r="A163" s="33" t="n">
        <v>46304.86111111111</v>
      </c>
      <c r="B163" s="15" t="n">
        <v>123</v>
      </c>
      <c r="C163" s="15" t="n">
        <v>361</v>
      </c>
      <c r="D163" s="16" t="n">
        <v>4332</v>
      </c>
      <c r="E163" s="34">
        <f>B163-B162</f>
        <v/>
      </c>
      <c r="F163" s="34">
        <f>C163-C162</f>
        <v/>
      </c>
      <c r="G163" s="35">
        <f>D163-D162</f>
        <v/>
      </c>
      <c r="H163">
        <f>TEXT(A163,"DD/MM HH:MM")</f>
        <v/>
      </c>
    </row>
    <row r="164">
      <c r="A164" s="30" t="n">
        <v>46304.86458333334</v>
      </c>
      <c r="B164" s="11" t="n">
        <v>123</v>
      </c>
      <c r="C164" s="11" t="n">
        <v>361</v>
      </c>
      <c r="D164" s="12" t="n">
        <v>4332</v>
      </c>
      <c r="E164" s="31">
        <f>B164-B163</f>
        <v/>
      </c>
      <c r="F164" s="31">
        <f>C164-C163</f>
        <v/>
      </c>
      <c r="G164" s="32">
        <f>D164-D163</f>
        <v/>
      </c>
      <c r="H164">
        <f>TEXT(A164,"DD/MM HH:MM")</f>
        <v/>
      </c>
    </row>
    <row r="165">
      <c r="A165" s="33" t="n">
        <v>46304.88472222222</v>
      </c>
      <c r="B165" s="15" t="n">
        <v>123</v>
      </c>
      <c r="C165" s="15" t="n">
        <v>361</v>
      </c>
      <c r="D165" s="16" t="n">
        <v>4332</v>
      </c>
      <c r="E165" s="34">
        <f>B165-B164</f>
        <v/>
      </c>
      <c r="F165" s="34">
        <f>C165-C164</f>
        <v/>
      </c>
      <c r="G165" s="35">
        <f>D165-D164</f>
        <v/>
      </c>
      <c r="H165">
        <f>TEXT(A165,"DD/MM HH:MM")</f>
        <v/>
      </c>
    </row>
    <row r="166">
      <c r="A166" s="30" t="n">
        <v>46304.90277777778</v>
      </c>
      <c r="B166" s="11" t="n">
        <v>125</v>
      </c>
      <c r="C166" s="11" t="n">
        <v>367</v>
      </c>
      <c r="D166" s="12" t="n">
        <v>4404</v>
      </c>
      <c r="E166" s="31">
        <f>B166-B165</f>
        <v/>
      </c>
      <c r="F166" s="31">
        <f>C166-C165</f>
        <v/>
      </c>
      <c r="G166" s="32">
        <f>D166-D165</f>
        <v/>
      </c>
      <c r="H166">
        <f>TEXT(A166,"DD/MM HH:MM")</f>
        <v/>
      </c>
    </row>
    <row r="167">
      <c r="A167" s="33" t="n">
        <v>46304.92708333334</v>
      </c>
      <c r="B167" s="15" t="n">
        <v>126</v>
      </c>
      <c r="C167" s="15" t="n">
        <v>371</v>
      </c>
      <c r="D167" s="16" t="n">
        <v>4452</v>
      </c>
      <c r="E167" s="34">
        <f>B167-B166</f>
        <v/>
      </c>
      <c r="F167" s="34">
        <f>C167-C166</f>
        <v/>
      </c>
      <c r="G167" s="35">
        <f>D167-D166</f>
        <v/>
      </c>
      <c r="H167">
        <f>TEXT(A167,"DD/MM HH:MM")</f>
        <v/>
      </c>
    </row>
    <row r="168">
      <c r="A168" s="30" t="n">
        <v>46304.97013888889</v>
      </c>
      <c r="B168" s="11" t="n">
        <v>131</v>
      </c>
      <c r="C168" s="11" t="n">
        <v>389</v>
      </c>
      <c r="D168" s="12" t="n">
        <v>4668</v>
      </c>
      <c r="E168" s="31">
        <f>B168-B167</f>
        <v/>
      </c>
      <c r="F168" s="31">
        <f>C168-C167</f>
        <v/>
      </c>
      <c r="G168" s="32">
        <f>D168-D167</f>
        <v/>
      </c>
      <c r="H168">
        <f>TEXT(A168,"DD/MM HH:MM")</f>
        <v/>
      </c>
    </row>
    <row r="169">
      <c r="A169" s="33" t="n">
        <v>46305.01041666666</v>
      </c>
      <c r="B169" s="15" t="n">
        <v>133</v>
      </c>
      <c r="C169" s="15" t="n">
        <v>397</v>
      </c>
      <c r="D169" s="16" t="n">
        <v>4764</v>
      </c>
      <c r="E169" s="34">
        <f>B169-B168</f>
        <v/>
      </c>
      <c r="F169" s="34">
        <f>C169-C168</f>
        <v/>
      </c>
      <c r="G169" s="35">
        <f>D169-D168</f>
        <v/>
      </c>
      <c r="H169">
        <f>TEXT(A169,"DD/MM HH:MM")</f>
        <v/>
      </c>
    </row>
    <row r="170">
      <c r="A170" s="30" t="n">
        <v>46305.05138888889</v>
      </c>
      <c r="B170" s="11" t="n">
        <v>134</v>
      </c>
      <c r="C170" s="11" t="n">
        <v>402</v>
      </c>
      <c r="D170" s="12" t="n">
        <v>4824</v>
      </c>
      <c r="E170" s="31">
        <f>B170-B169</f>
        <v/>
      </c>
      <c r="F170" s="31">
        <f>C170-C169</f>
        <v/>
      </c>
      <c r="G170" s="32">
        <f>D170-D169</f>
        <v/>
      </c>
      <c r="H170">
        <f>TEXT(A170,"DD/MM HH:MM")</f>
        <v/>
      </c>
    </row>
    <row r="171">
      <c r="A171" s="33" t="n">
        <v>46305.1</v>
      </c>
      <c r="B171" s="15" t="n">
        <v>136</v>
      </c>
      <c r="C171" s="15" t="n">
        <v>406</v>
      </c>
      <c r="D171" s="16" t="n">
        <v>4872</v>
      </c>
      <c r="E171" s="34">
        <f>B171-B170</f>
        <v/>
      </c>
      <c r="F171" s="34">
        <f>C171-C170</f>
        <v/>
      </c>
      <c r="G171" s="35">
        <f>D171-D170</f>
        <v/>
      </c>
      <c r="H171">
        <f>TEXT(A171,"DD/MM HH:MM")</f>
        <v/>
      </c>
    </row>
    <row r="172">
      <c r="A172" s="30" t="n">
        <v>46305.12569444445</v>
      </c>
      <c r="B172" s="11" t="n">
        <v>136</v>
      </c>
      <c r="C172" s="11" t="n">
        <v>406</v>
      </c>
      <c r="D172" s="12" t="n">
        <v>4872</v>
      </c>
      <c r="E172" s="31">
        <f>B172-B171</f>
        <v/>
      </c>
      <c r="F172" s="31">
        <f>C172-C171</f>
        <v/>
      </c>
      <c r="G172" s="32">
        <f>D172-D171</f>
        <v/>
      </c>
      <c r="H172">
        <f>TEXT(A172,"DD/MM HH:MM")</f>
        <v/>
      </c>
    </row>
    <row r="173">
      <c r="A173" s="33" t="n">
        <v>46305.13680555556</v>
      </c>
      <c r="B173" s="15" t="n">
        <v>136</v>
      </c>
      <c r="C173" s="15" t="n">
        <v>406</v>
      </c>
      <c r="D173" s="16" t="n">
        <v>4872</v>
      </c>
      <c r="E173" s="34">
        <f>B173-B172</f>
        <v/>
      </c>
      <c r="F173" s="34">
        <f>C173-C172</f>
        <v/>
      </c>
      <c r="G173" s="35">
        <f>D173-D172</f>
        <v/>
      </c>
      <c r="H173">
        <f>TEXT(A173,"DD/MM HH:MM")</f>
        <v/>
      </c>
    </row>
    <row r="174">
      <c r="A174" s="30" t="n">
        <v>46305.17708333334</v>
      </c>
      <c r="B174" s="11" t="n">
        <v>136</v>
      </c>
      <c r="C174" s="11" t="n">
        <v>406</v>
      </c>
      <c r="D174" s="12" t="n">
        <v>4872</v>
      </c>
      <c r="E174" s="31">
        <f>B174-B173</f>
        <v/>
      </c>
      <c r="F174" s="31">
        <f>C174-C173</f>
        <v/>
      </c>
      <c r="G174" s="32">
        <f>D174-D173</f>
        <v/>
      </c>
      <c r="H174">
        <f>TEXT(A174,"DD/MM HH:MM")</f>
        <v/>
      </c>
    </row>
    <row r="175">
      <c r="A175" s="33" t="n">
        <v>46305.21875</v>
      </c>
      <c r="B175" s="15" t="n">
        <v>136</v>
      </c>
      <c r="C175" s="15" t="n">
        <v>406</v>
      </c>
      <c r="D175" s="16" t="n">
        <v>4872</v>
      </c>
      <c r="E175" s="34">
        <f>B175-B174</f>
        <v/>
      </c>
      <c r="F175" s="34">
        <f>C175-C174</f>
        <v/>
      </c>
      <c r="G175" s="35">
        <f>D175-D174</f>
        <v/>
      </c>
      <c r="H175">
        <f>TEXT(A175,"DD/MM HH:MM")</f>
        <v/>
      </c>
    </row>
    <row r="176">
      <c r="A176" s="30" t="n">
        <v>46305.26111111111</v>
      </c>
      <c r="B176" s="11" t="n">
        <v>136</v>
      </c>
      <c r="C176" s="11" t="n">
        <v>406</v>
      </c>
      <c r="D176" s="12" t="n">
        <v>4872</v>
      </c>
      <c r="E176" s="31">
        <f>B176-B175</f>
        <v/>
      </c>
      <c r="F176" s="31">
        <f>C176-C175</f>
        <v/>
      </c>
      <c r="G176" s="32">
        <f>D176-D175</f>
        <v/>
      </c>
      <c r="H176">
        <f>TEXT(A176,"DD/MM HH:MM")</f>
        <v/>
      </c>
    </row>
    <row r="177">
      <c r="A177" s="33" t="n">
        <v>46305.30138888889</v>
      </c>
      <c r="B177" s="15" t="n">
        <v>136</v>
      </c>
      <c r="C177" s="15" t="n">
        <v>406</v>
      </c>
      <c r="D177" s="16" t="n">
        <v>4872</v>
      </c>
      <c r="E177" s="34">
        <f>B177-B176</f>
        <v/>
      </c>
      <c r="F177" s="34">
        <f>C177-C176</f>
        <v/>
      </c>
      <c r="G177" s="35">
        <f>D177-D176</f>
        <v/>
      </c>
      <c r="H177">
        <f>TEXT(A177,"DD/MM HH:MM")</f>
        <v/>
      </c>
    </row>
    <row r="178">
      <c r="A178" s="30" t="n">
        <v>46305.34652777778</v>
      </c>
      <c r="B178" s="11" t="n">
        <v>136</v>
      </c>
      <c r="C178" s="11" t="n">
        <v>406</v>
      </c>
      <c r="D178" s="12" t="n">
        <v>4872</v>
      </c>
      <c r="E178" s="31">
        <f>B178-B177</f>
        <v/>
      </c>
      <c r="F178" s="31">
        <f>C178-C177</f>
        <v/>
      </c>
      <c r="G178" s="32">
        <f>D178-D177</f>
        <v/>
      </c>
      <c r="H178">
        <f>TEXT(A178,"DD/MM HH:MM")</f>
        <v/>
      </c>
    </row>
    <row r="179">
      <c r="A179" s="33" t="n">
        <v>46305.38541666666</v>
      </c>
      <c r="B179" s="15" t="n">
        <v>136</v>
      </c>
      <c r="C179" s="15" t="n">
        <v>406</v>
      </c>
      <c r="D179" s="16" t="n">
        <v>4872</v>
      </c>
      <c r="E179" s="34">
        <f>B179-B178</f>
        <v/>
      </c>
      <c r="F179" s="34">
        <f>C179-C178</f>
        <v/>
      </c>
      <c r="G179" s="35">
        <f>D179-D178</f>
        <v/>
      </c>
      <c r="H179">
        <f>TEXT(A179,"DD/MM HH:MM")</f>
        <v/>
      </c>
    </row>
    <row r="180">
      <c r="A180" s="30" t="n">
        <v>46305.42708333334</v>
      </c>
      <c r="B180" s="11" t="n">
        <v>136</v>
      </c>
      <c r="C180" s="11" t="n">
        <v>406</v>
      </c>
      <c r="D180" s="12" t="n">
        <v>4872</v>
      </c>
      <c r="E180" s="31">
        <f>B180-B179</f>
        <v/>
      </c>
      <c r="F180" s="31">
        <f>C180-C179</f>
        <v/>
      </c>
      <c r="G180" s="32">
        <f>D180-D179</f>
        <v/>
      </c>
      <c r="H180">
        <f>TEXT(A180,"DD/MM HH:MM")</f>
        <v/>
      </c>
    </row>
    <row r="181">
      <c r="A181" s="33" t="n">
        <v>46305.46875</v>
      </c>
      <c r="B181" s="15" t="n">
        <v>137</v>
      </c>
      <c r="C181" s="15" t="n">
        <v>408</v>
      </c>
      <c r="D181" s="16" t="n">
        <v>4896</v>
      </c>
      <c r="E181" s="34">
        <f>B181-B180</f>
        <v/>
      </c>
      <c r="F181" s="34">
        <f>C181-C180</f>
        <v/>
      </c>
      <c r="G181" s="35">
        <f>D181-D180</f>
        <v/>
      </c>
      <c r="H181">
        <f>TEXT(A181,"DD/MM HH:MM")</f>
        <v/>
      </c>
    </row>
    <row r="182">
      <c r="A182" s="30" t="n">
        <v>46305.50972222222</v>
      </c>
      <c r="B182" s="11" t="n">
        <v>137</v>
      </c>
      <c r="C182" s="11" t="n">
        <v>408</v>
      </c>
      <c r="D182" s="12" t="n">
        <v>4896</v>
      </c>
      <c r="E182" s="31">
        <f>B182-B181</f>
        <v/>
      </c>
      <c r="F182" s="31">
        <f>C182-C181</f>
        <v/>
      </c>
      <c r="G182" s="32">
        <f>D182-D181</f>
        <v/>
      </c>
      <c r="H182">
        <f>TEXT(A182,"DD/MM HH:MM")</f>
        <v/>
      </c>
    </row>
    <row r="183">
      <c r="A183" s="33" t="n">
        <v>46305.55138888889</v>
      </c>
      <c r="B183" s="15" t="n">
        <v>139</v>
      </c>
      <c r="C183" s="15" t="n">
        <v>412</v>
      </c>
      <c r="D183" s="16" t="n">
        <v>4944</v>
      </c>
      <c r="E183" s="34">
        <f>B183-B182</f>
        <v/>
      </c>
      <c r="F183" s="34">
        <f>C183-C182</f>
        <v/>
      </c>
      <c r="G183" s="35">
        <f>D183-D182</f>
        <v/>
      </c>
      <c r="H183">
        <f>TEXT(A183,"DD/MM HH:MM")</f>
        <v/>
      </c>
    </row>
    <row r="184">
      <c r="A184" s="30" t="n">
        <v>46305.59583333333</v>
      </c>
      <c r="B184" s="11" t="n">
        <v>139</v>
      </c>
      <c r="C184" s="11" t="n">
        <v>412</v>
      </c>
      <c r="D184" s="12" t="n">
        <v>4944</v>
      </c>
      <c r="E184" s="31">
        <f>B184-B183</f>
        <v/>
      </c>
      <c r="F184" s="31">
        <f>C184-C183</f>
        <v/>
      </c>
      <c r="G184" s="32">
        <f>D184-D183</f>
        <v/>
      </c>
      <c r="H184">
        <f>TEXT(A184,"DD/MM HH:MM")</f>
        <v/>
      </c>
    </row>
    <row r="185">
      <c r="A185" s="33" t="n">
        <v>46305.61111111111</v>
      </c>
      <c r="B185" s="15" t="n">
        <v>139</v>
      </c>
      <c r="C185" s="15" t="n">
        <v>412</v>
      </c>
      <c r="D185" s="16" t="n">
        <v>4944</v>
      </c>
      <c r="E185" s="34">
        <f>B185-B184</f>
        <v/>
      </c>
      <c r="F185" s="34">
        <f>C185-C184</f>
        <v/>
      </c>
      <c r="G185" s="35">
        <f>D185-D184</f>
        <v/>
      </c>
      <c r="H185">
        <f>TEXT(A185,"DD/MM HH:MM")</f>
        <v/>
      </c>
    </row>
    <row r="186">
      <c r="A186" s="30" t="n">
        <v>46305.63541666666</v>
      </c>
      <c r="B186" s="11" t="n">
        <v>139</v>
      </c>
      <c r="C186" s="11" t="n">
        <v>412</v>
      </c>
      <c r="D186" s="12" t="n">
        <v>4944</v>
      </c>
      <c r="E186" s="31">
        <f>B186-B185</f>
        <v/>
      </c>
      <c r="F186" s="31">
        <f>C186-C185</f>
        <v/>
      </c>
      <c r="G186" s="32">
        <f>D186-D185</f>
        <v/>
      </c>
      <c r="H186">
        <f>TEXT(A186,"DD/MM HH:MM")</f>
        <v/>
      </c>
    </row>
    <row r="187">
      <c r="A187" s="33" t="n">
        <v>46305.66736111111</v>
      </c>
      <c r="B187" s="15" t="n">
        <v>139</v>
      </c>
      <c r="C187" s="15" t="n">
        <v>412</v>
      </c>
      <c r="D187" s="16" t="n">
        <v>4944</v>
      </c>
      <c r="E187" s="34">
        <f>B187-B186</f>
        <v/>
      </c>
      <c r="F187" s="34">
        <f>C187-C186</f>
        <v/>
      </c>
      <c r="G187" s="35">
        <f>D187-D186</f>
        <v/>
      </c>
      <c r="H187">
        <f>TEXT(A187,"DD/MM HH:MM")</f>
        <v/>
      </c>
    </row>
    <row r="188">
      <c r="A188" s="30" t="n">
        <v>46305.67569444444</v>
      </c>
      <c r="B188" s="11" t="n">
        <v>139</v>
      </c>
      <c r="C188" s="11" t="n">
        <v>412</v>
      </c>
      <c r="D188" s="12" t="n">
        <v>4944</v>
      </c>
      <c r="E188" s="31">
        <f>B188-B187</f>
        <v/>
      </c>
      <c r="F188" s="31">
        <f>C188-C187</f>
        <v/>
      </c>
      <c r="G188" s="32">
        <f>D188-D187</f>
        <v/>
      </c>
      <c r="H188">
        <f>TEXT(A188,"DD/MM HH:MM")</f>
        <v/>
      </c>
    </row>
    <row r="189">
      <c r="A189" s="33" t="n">
        <v>46305.71458333333</v>
      </c>
      <c r="B189" s="15" t="n">
        <v>144</v>
      </c>
      <c r="C189" s="15" t="n">
        <v>422</v>
      </c>
      <c r="D189" s="16" t="n">
        <v>5064</v>
      </c>
      <c r="E189" s="34">
        <f>B189-B188</f>
        <v/>
      </c>
      <c r="F189" s="34">
        <f>C189-C188</f>
        <v/>
      </c>
      <c r="G189" s="35">
        <f>D189-D188</f>
        <v/>
      </c>
      <c r="H189">
        <f>TEXT(A189,"DD/MM HH:MM")</f>
        <v/>
      </c>
    </row>
    <row r="190">
      <c r="A190" s="30" t="n">
        <v>46305.71805555555</v>
      </c>
      <c r="B190" s="11" t="n">
        <v>144</v>
      </c>
      <c r="C190" s="11" t="n">
        <v>422</v>
      </c>
      <c r="D190" s="12" t="n">
        <v>5064</v>
      </c>
      <c r="E190" s="31">
        <f>B190-B189</f>
        <v/>
      </c>
      <c r="F190" s="31">
        <f>C190-C189</f>
        <v/>
      </c>
      <c r="G190" s="32">
        <f>D190-D189</f>
        <v/>
      </c>
      <c r="H190">
        <f>TEXT(A190,"DD/MM HH:MM")</f>
        <v/>
      </c>
    </row>
    <row r="191">
      <c r="A191" s="33" t="n">
        <v>46305.74236111111</v>
      </c>
      <c r="B191" s="15" t="n">
        <v>144</v>
      </c>
      <c r="C191" s="15" t="n">
        <v>422</v>
      </c>
      <c r="D191" s="16" t="n">
        <v>5064</v>
      </c>
      <c r="E191" s="34">
        <f>B191-B190</f>
        <v/>
      </c>
      <c r="F191" s="34">
        <f>C191-C190</f>
        <v/>
      </c>
      <c r="G191" s="35">
        <f>D191-D190</f>
        <v/>
      </c>
      <c r="H191">
        <f>TEXT(A191,"DD/MM HH:MM")</f>
        <v/>
      </c>
    </row>
    <row r="192">
      <c r="A192" s="30" t="n">
        <v>46305.75972222222</v>
      </c>
      <c r="B192" s="11" t="n">
        <v>145</v>
      </c>
      <c r="C192" s="11" t="n">
        <v>426</v>
      </c>
      <c r="D192" s="12" t="n">
        <v>5112</v>
      </c>
      <c r="E192" s="31">
        <f>B192-B191</f>
        <v/>
      </c>
      <c r="F192" s="31">
        <f>C192-C191</f>
        <v/>
      </c>
      <c r="G192" s="32">
        <f>D192-D191</f>
        <v/>
      </c>
      <c r="H192">
        <f>TEXT(A192,"DD/MM HH:MM")</f>
        <v/>
      </c>
    </row>
    <row r="193">
      <c r="A193" s="33" t="n">
        <v>46305.80069444444</v>
      </c>
      <c r="B193" s="15" t="n">
        <v>146</v>
      </c>
      <c r="C193" s="15" t="n">
        <v>428</v>
      </c>
      <c r="D193" s="16" t="n">
        <v>5136</v>
      </c>
      <c r="E193" s="34">
        <f>B193-B192</f>
        <v/>
      </c>
      <c r="F193" s="34">
        <f>C193-C192</f>
        <v/>
      </c>
      <c r="G193" s="35">
        <f>D193-D192</f>
        <v/>
      </c>
      <c r="H193">
        <f>TEXT(A193,"DD/MM HH:MM")</f>
        <v/>
      </c>
    </row>
    <row r="194">
      <c r="A194" s="30" t="n">
        <v>46305.84444444445</v>
      </c>
      <c r="B194" s="11" t="n">
        <v>144</v>
      </c>
      <c r="C194" s="11" t="n">
        <v>424</v>
      </c>
      <c r="D194" s="12" t="n">
        <v>5088</v>
      </c>
      <c r="E194" s="31">
        <f>B194-B193</f>
        <v/>
      </c>
      <c r="F194" s="31">
        <f>C194-C193</f>
        <v/>
      </c>
      <c r="G194" s="32">
        <f>D194-D193</f>
        <v/>
      </c>
      <c r="H194">
        <f>TEXT(A194,"DD/MM HH:MM")</f>
        <v/>
      </c>
    </row>
    <row r="195">
      <c r="A195" s="33" t="n">
        <v>46305.87013888889</v>
      </c>
      <c r="B195" s="15" t="n">
        <v>148</v>
      </c>
      <c r="C195" s="15" t="n">
        <v>435</v>
      </c>
      <c r="D195" s="16" t="n">
        <v>5220</v>
      </c>
      <c r="E195" s="34">
        <f>B195-B194</f>
        <v/>
      </c>
      <c r="F195" s="34">
        <f>C195-C194</f>
        <v/>
      </c>
      <c r="G195" s="35">
        <f>D195-D194</f>
        <v/>
      </c>
      <c r="H195">
        <f>TEXT(A195,"DD/MM HH:MM")</f>
        <v/>
      </c>
    </row>
    <row r="196">
      <c r="A196" s="30" t="n">
        <v>46305.8875</v>
      </c>
      <c r="B196" s="11" t="n">
        <v>149</v>
      </c>
      <c r="C196" s="11" t="n">
        <v>437</v>
      </c>
      <c r="D196" s="12" t="n">
        <v>5244</v>
      </c>
      <c r="E196" s="31">
        <f>B196-B195</f>
        <v/>
      </c>
      <c r="F196" s="31">
        <f>C196-C195</f>
        <v/>
      </c>
      <c r="G196" s="32">
        <f>D196-D195</f>
        <v/>
      </c>
      <c r="H196">
        <f>TEXT(A196,"DD/MM HH:MM")</f>
        <v/>
      </c>
    </row>
    <row r="197">
      <c r="A197" s="33" t="n">
        <v>46305.9</v>
      </c>
      <c r="B197" s="15" t="n">
        <v>149</v>
      </c>
      <c r="C197" s="15" t="n">
        <v>437</v>
      </c>
      <c r="D197" s="16" t="n">
        <v>5244</v>
      </c>
      <c r="E197" s="34">
        <f>B197-B196</f>
        <v/>
      </c>
      <c r="F197" s="34">
        <f>C197-C196</f>
        <v/>
      </c>
      <c r="G197" s="35">
        <f>D197-D196</f>
        <v/>
      </c>
      <c r="H197">
        <f>TEXT(A197,"DD/MM HH:MM")</f>
        <v/>
      </c>
    </row>
    <row r="198">
      <c r="A198" s="30" t="n">
        <v>46305.92638888889</v>
      </c>
      <c r="B198" s="11" t="n">
        <v>150</v>
      </c>
      <c r="C198" s="11" t="n">
        <v>440</v>
      </c>
      <c r="D198" s="12" t="n">
        <v>5280</v>
      </c>
      <c r="E198" s="31">
        <f>B198-B197</f>
        <v/>
      </c>
      <c r="F198" s="31">
        <f>C198-C197</f>
        <v/>
      </c>
      <c r="G198" s="32">
        <f>D198-D197</f>
        <v/>
      </c>
      <c r="H198">
        <f>TEXT(A198,"DD/MM HH:MM")</f>
        <v/>
      </c>
    </row>
    <row r="199">
      <c r="A199" s="33" t="n">
        <v>46305.96805555555</v>
      </c>
      <c r="B199" s="15" t="n">
        <v>152</v>
      </c>
      <c r="C199" s="15" t="n">
        <v>444</v>
      </c>
      <c r="D199" s="16" t="n">
        <v>5328</v>
      </c>
      <c r="E199" s="34">
        <f>B199-B198</f>
        <v/>
      </c>
      <c r="F199" s="34">
        <f>C199-C198</f>
        <v/>
      </c>
      <c r="G199" s="35">
        <f>D199-D198</f>
        <v/>
      </c>
      <c r="H199">
        <f>TEXT(A199,"DD/MM HH:MM")</f>
        <v/>
      </c>
    </row>
    <row r="200">
      <c r="A200" s="30" t="n">
        <v>46305.96944444445</v>
      </c>
      <c r="B200" s="11" t="n">
        <v>152</v>
      </c>
      <c r="C200" s="11" t="n">
        <v>444</v>
      </c>
      <c r="D200" s="12" t="n">
        <v>5328</v>
      </c>
      <c r="E200" s="31">
        <f>B200-B199</f>
        <v/>
      </c>
      <c r="F200" s="31">
        <f>C200-C199</f>
        <v/>
      </c>
      <c r="G200" s="32">
        <f>D200-D199</f>
        <v/>
      </c>
      <c r="H200">
        <f>TEXT(A200,"DD/MM HH:MM")</f>
        <v/>
      </c>
    </row>
    <row r="201">
      <c r="A201" s="33" t="n">
        <v>46305.98263888889</v>
      </c>
      <c r="B201" s="15" t="n">
        <v>152</v>
      </c>
      <c r="C201" s="15" t="n">
        <v>444</v>
      </c>
      <c r="D201" s="16" t="n">
        <v>5328</v>
      </c>
      <c r="E201" s="34">
        <f>B201-B200</f>
        <v/>
      </c>
      <c r="F201" s="34">
        <f>C201-C200</f>
        <v/>
      </c>
      <c r="G201" s="35">
        <f>D201-D200</f>
        <v/>
      </c>
      <c r="H201">
        <f>TEXT(A201,"DD/MM HH:MM")</f>
        <v/>
      </c>
    </row>
    <row r="202">
      <c r="A202" s="30" t="n">
        <v>46306.00902777778</v>
      </c>
      <c r="B202" s="11" t="n">
        <v>152</v>
      </c>
      <c r="C202" s="11" t="n">
        <v>444</v>
      </c>
      <c r="D202" s="12" t="n">
        <v>5328</v>
      </c>
      <c r="E202" s="31">
        <f>B202-B201</f>
        <v/>
      </c>
      <c r="F202" s="31">
        <f>C202-C201</f>
        <v/>
      </c>
      <c r="G202" s="32">
        <f>D202-D201</f>
        <v/>
      </c>
      <c r="H202">
        <f>TEXT(A202,"DD/MM HH:MM")</f>
        <v/>
      </c>
    </row>
    <row r="203">
      <c r="A203" s="33" t="n">
        <v>46306.05069444444</v>
      </c>
      <c r="B203" s="15" t="n">
        <v>152</v>
      </c>
      <c r="C203" s="15" t="n">
        <v>444</v>
      </c>
      <c r="D203" s="16" t="n">
        <v>5328</v>
      </c>
      <c r="E203" s="34">
        <f>B203-B202</f>
        <v/>
      </c>
      <c r="F203" s="34">
        <f>C203-C202</f>
        <v/>
      </c>
      <c r="G203" s="35">
        <f>D203-D202</f>
        <v/>
      </c>
      <c r="H203">
        <f>TEXT(A203,"DD/MM HH:MM")</f>
        <v/>
      </c>
    </row>
    <row r="204">
      <c r="A204" s="30" t="n">
        <v>46306.05486111111</v>
      </c>
      <c r="B204" s="11" t="n">
        <v>152</v>
      </c>
      <c r="C204" s="11" t="n">
        <v>444</v>
      </c>
      <c r="D204" s="12" t="n">
        <v>5328</v>
      </c>
      <c r="E204" s="31">
        <f>B204-B203</f>
        <v/>
      </c>
      <c r="F204" s="31">
        <f>C204-C203</f>
        <v/>
      </c>
      <c r="G204" s="32">
        <f>D204-D203</f>
        <v/>
      </c>
      <c r="H204">
        <f>TEXT(A204,"DD/MM HH:MM")</f>
        <v/>
      </c>
    </row>
    <row r="205">
      <c r="A205" s="33" t="n">
        <v>46306.09930555556</v>
      </c>
      <c r="B205" s="15" t="n">
        <v>152</v>
      </c>
      <c r="C205" s="15" t="n">
        <v>444</v>
      </c>
      <c r="D205" s="16" t="n">
        <v>5328</v>
      </c>
      <c r="E205" s="34">
        <f>B205-B204</f>
        <v/>
      </c>
      <c r="F205" s="34">
        <f>C205-C204</f>
        <v/>
      </c>
      <c r="G205" s="35">
        <f>D205-D204</f>
        <v/>
      </c>
      <c r="H205">
        <f>TEXT(A205,"DD/MM HH:MM")</f>
        <v/>
      </c>
    </row>
    <row r="206">
      <c r="A206" s="30" t="n">
        <v>46306.13611111111</v>
      </c>
      <c r="B206" s="11" t="n">
        <v>152</v>
      </c>
      <c r="C206" s="11" t="n">
        <v>444</v>
      </c>
      <c r="D206" s="12" t="n">
        <v>5328</v>
      </c>
      <c r="E206" s="31">
        <f>B206-B205</f>
        <v/>
      </c>
      <c r="F206" s="31">
        <f>C206-C205</f>
        <v/>
      </c>
      <c r="G206" s="32">
        <f>D206-D205</f>
        <v/>
      </c>
      <c r="H206">
        <f>TEXT(A206,"DD/MM HH:MM")</f>
        <v/>
      </c>
    </row>
    <row r="207">
      <c r="A207" s="33" t="n">
        <v>46306.17708333334</v>
      </c>
      <c r="B207" s="15" t="n">
        <v>152</v>
      </c>
      <c r="C207" s="15" t="n">
        <v>444</v>
      </c>
      <c r="D207" s="16" t="n">
        <v>5328</v>
      </c>
      <c r="E207" s="34">
        <f>B207-B206</f>
        <v/>
      </c>
      <c r="F207" s="34">
        <f>C207-C206</f>
        <v/>
      </c>
      <c r="G207" s="35">
        <f>D207-D206</f>
        <v/>
      </c>
      <c r="H207">
        <f>TEXT(A207,"DD/MM HH:MM")</f>
        <v/>
      </c>
    </row>
    <row r="208">
      <c r="A208" s="30" t="n">
        <v>46306.21944444445</v>
      </c>
      <c r="B208" s="11" t="n">
        <v>152</v>
      </c>
      <c r="C208" s="11" t="n">
        <v>444</v>
      </c>
      <c r="D208" s="12" t="n">
        <v>5328</v>
      </c>
      <c r="E208" s="31">
        <f>B208-B207</f>
        <v/>
      </c>
      <c r="F208" s="31">
        <f>C208-C207</f>
        <v/>
      </c>
      <c r="G208" s="32">
        <f>D208-D207</f>
        <v/>
      </c>
      <c r="H208">
        <f>TEXT(A208,"DD/MM HH:MM")</f>
        <v/>
      </c>
    </row>
    <row r="209">
      <c r="A209" s="33" t="n">
        <v>46306.26041666666</v>
      </c>
      <c r="B209" s="15" t="n">
        <v>152</v>
      </c>
      <c r="C209" s="15" t="n">
        <v>444</v>
      </c>
      <c r="D209" s="16" t="n">
        <v>5328</v>
      </c>
      <c r="E209" s="34">
        <f>B209-B208</f>
        <v/>
      </c>
      <c r="F209" s="34">
        <f>C209-C208</f>
        <v/>
      </c>
      <c r="G209" s="35">
        <f>D209-D208</f>
        <v/>
      </c>
      <c r="H209">
        <f>TEXT(A209,"DD/MM HH:MM")</f>
        <v/>
      </c>
    </row>
    <row r="210">
      <c r="A210" s="30" t="n">
        <v>46306.30208333334</v>
      </c>
      <c r="B210" s="11" t="n">
        <v>152</v>
      </c>
      <c r="C210" s="11" t="n">
        <v>444</v>
      </c>
      <c r="D210" s="12" t="n">
        <v>5328</v>
      </c>
      <c r="E210" s="31">
        <f>B210-B209</f>
        <v/>
      </c>
      <c r="F210" s="31">
        <f>C210-C209</f>
        <v/>
      </c>
      <c r="G210" s="32">
        <f>D210-D209</f>
        <v/>
      </c>
      <c r="H210">
        <f>TEXT(A210,"DD/MM HH:MM")</f>
        <v/>
      </c>
    </row>
    <row r="211">
      <c r="A211" s="33" t="n">
        <v>46306.34652777778</v>
      </c>
      <c r="B211" s="15" t="n">
        <v>152</v>
      </c>
      <c r="C211" s="15" t="n">
        <v>444</v>
      </c>
      <c r="D211" s="16" t="n">
        <v>5328</v>
      </c>
      <c r="E211" s="34">
        <f>B211-B210</f>
        <v/>
      </c>
      <c r="F211" s="34">
        <f>C211-C210</f>
        <v/>
      </c>
      <c r="G211" s="35">
        <f>D211-D210</f>
        <v/>
      </c>
      <c r="H211">
        <f>TEXT(A211,"DD/MM HH:MM")</f>
        <v/>
      </c>
    </row>
    <row r="212">
      <c r="A212" s="30" t="n">
        <v>46306.38611111111</v>
      </c>
      <c r="B212" s="11" t="n">
        <v>152</v>
      </c>
      <c r="C212" s="11" t="n">
        <v>444</v>
      </c>
      <c r="D212" s="12" t="n">
        <v>5328</v>
      </c>
      <c r="E212" s="31">
        <f>B212-B211</f>
        <v/>
      </c>
      <c r="F212" s="31">
        <f>C212-C211</f>
        <v/>
      </c>
      <c r="G212" s="32">
        <f>D212-D211</f>
        <v/>
      </c>
      <c r="H212">
        <f>TEXT(A212,"DD/MM HH:MM")</f>
        <v/>
      </c>
    </row>
    <row r="213">
      <c r="A213" s="33" t="n">
        <v>46306.42708333334</v>
      </c>
      <c r="B213" s="15" t="n">
        <v>152</v>
      </c>
      <c r="C213" s="15" t="n">
        <v>444</v>
      </c>
      <c r="D213" s="16" t="n">
        <v>5328</v>
      </c>
      <c r="E213" s="34">
        <f>B213-B212</f>
        <v/>
      </c>
      <c r="F213" s="34">
        <f>C213-C212</f>
        <v/>
      </c>
      <c r="G213" s="35">
        <f>D213-D212</f>
        <v/>
      </c>
      <c r="H213">
        <f>TEXT(A213,"DD/MM HH:MM")</f>
        <v/>
      </c>
    </row>
    <row r="214">
      <c r="A214" s="30" t="n">
        <v>46306.46944444445</v>
      </c>
      <c r="B214" s="11" t="n">
        <v>152</v>
      </c>
      <c r="C214" s="11" t="n">
        <v>444</v>
      </c>
      <c r="D214" s="12" t="n">
        <v>5328</v>
      </c>
      <c r="E214" s="31">
        <f>B214-B213</f>
        <v/>
      </c>
      <c r="F214" s="31">
        <f>C214-C213</f>
        <v/>
      </c>
      <c r="G214" s="32">
        <f>D214-D213</f>
        <v/>
      </c>
      <c r="H214">
        <f>TEXT(A214,"DD/MM HH:MM")</f>
        <v/>
      </c>
    </row>
    <row r="215">
      <c r="A215" s="33" t="n">
        <v>46306.51041666666</v>
      </c>
      <c r="B215" s="15" t="n">
        <v>153</v>
      </c>
      <c r="C215" s="15" t="n">
        <v>446</v>
      </c>
      <c r="D215" s="16" t="n">
        <v>5352</v>
      </c>
      <c r="E215" s="34">
        <f>B215-B214</f>
        <v/>
      </c>
      <c r="F215" s="34">
        <f>C215-C214</f>
        <v/>
      </c>
      <c r="G215" s="35">
        <f>D215-D214</f>
        <v/>
      </c>
      <c r="H215">
        <f>TEXT(A215,"DD/MM HH:MM")</f>
        <v/>
      </c>
    </row>
    <row r="216">
      <c r="A216" s="30" t="n">
        <v>46306.55138888889</v>
      </c>
      <c r="B216" s="11" t="n">
        <v>156</v>
      </c>
      <c r="C216" s="11" t="n">
        <v>452</v>
      </c>
      <c r="D216" s="12" t="n">
        <v>5424</v>
      </c>
      <c r="E216" s="31">
        <f>B216-B215</f>
        <v/>
      </c>
      <c r="F216" s="31">
        <f>C216-C215</f>
        <v/>
      </c>
      <c r="G216" s="32">
        <f>D216-D215</f>
        <v/>
      </c>
      <c r="H216">
        <f>TEXT(A216,"DD/MM HH:MM")</f>
        <v/>
      </c>
    </row>
    <row r="217">
      <c r="A217" s="33" t="n">
        <v>46306.59513888889</v>
      </c>
      <c r="B217" s="15" t="n">
        <v>160</v>
      </c>
      <c r="C217" s="15" t="n">
        <v>460</v>
      </c>
      <c r="D217" s="16" t="n">
        <v>5520</v>
      </c>
      <c r="E217" s="34">
        <f>B217-B216</f>
        <v/>
      </c>
      <c r="F217" s="34">
        <f>C217-C216</f>
        <v/>
      </c>
      <c r="G217" s="35">
        <f>D217-D216</f>
        <v/>
      </c>
      <c r="H217">
        <f>TEXT(A217,"DD/MM HH:MM")</f>
        <v/>
      </c>
    </row>
    <row r="218">
      <c r="A218" s="30" t="n">
        <v>46306.59652777778</v>
      </c>
      <c r="B218" s="11" t="n">
        <v>160</v>
      </c>
      <c r="C218" s="11" t="n">
        <v>460</v>
      </c>
      <c r="D218" s="12" t="n">
        <v>5520</v>
      </c>
      <c r="E218" s="31">
        <f>B218-B217</f>
        <v/>
      </c>
      <c r="F218" s="31">
        <f>C218-C217</f>
        <v/>
      </c>
      <c r="G218" s="32">
        <f>D218-D217</f>
        <v/>
      </c>
      <c r="H218">
        <f>TEXT(A218,"DD/MM HH:MM")</f>
        <v/>
      </c>
    </row>
    <row r="219">
      <c r="A219" s="33" t="n">
        <v>46306.63611111111</v>
      </c>
      <c r="B219" s="15" t="n">
        <v>161</v>
      </c>
      <c r="C219" s="15" t="n">
        <v>464</v>
      </c>
      <c r="D219" s="16" t="n">
        <v>5568</v>
      </c>
      <c r="E219" s="34">
        <f>B219-B218</f>
        <v/>
      </c>
      <c r="F219" s="34">
        <f>C219-C218</f>
        <v/>
      </c>
      <c r="G219" s="35">
        <f>D219-D218</f>
        <v/>
      </c>
      <c r="H219">
        <f>TEXT(A219,"DD/MM HH:MM")</f>
        <v/>
      </c>
    </row>
    <row r="220">
      <c r="A220" s="30" t="n">
        <v>46306.66666666666</v>
      </c>
      <c r="B220" s="11" t="n">
        <v>161</v>
      </c>
      <c r="C220" s="11" t="n">
        <v>464</v>
      </c>
      <c r="D220" s="12" t="n">
        <v>5568</v>
      </c>
      <c r="E220" s="31">
        <f>B220-B219</f>
        <v/>
      </c>
      <c r="F220" s="31">
        <f>C220-C219</f>
        <v/>
      </c>
      <c r="G220" s="32">
        <f>D220-D219</f>
        <v/>
      </c>
      <c r="H220">
        <f>TEXT(A220,"DD/MM HH:MM")</f>
        <v/>
      </c>
    </row>
    <row r="221">
      <c r="A221" s="33" t="n">
        <v>46306.67638888889</v>
      </c>
      <c r="B221" s="15" t="n">
        <v>163</v>
      </c>
      <c r="C221" s="15" t="n">
        <v>471</v>
      </c>
      <c r="D221" s="16" t="n">
        <v>5652</v>
      </c>
      <c r="E221" s="34">
        <f>B221-B220</f>
        <v/>
      </c>
      <c r="F221" s="34">
        <f>C221-C220</f>
        <v/>
      </c>
      <c r="G221" s="35">
        <f>D221-D220</f>
        <v/>
      </c>
      <c r="H221">
        <f>TEXT(A221,"DD/MM HH:MM")</f>
        <v/>
      </c>
    </row>
    <row r="222">
      <c r="A222" s="30" t="n">
        <v>46306.71805555555</v>
      </c>
      <c r="B222" s="11" t="n">
        <v>163</v>
      </c>
      <c r="C222" s="11" t="n">
        <v>471</v>
      </c>
      <c r="D222" s="12" t="n">
        <v>5652</v>
      </c>
      <c r="E222" s="31">
        <f>B222-B221</f>
        <v/>
      </c>
      <c r="F222" s="31">
        <f>C222-C221</f>
        <v/>
      </c>
      <c r="G222" s="32">
        <f>D222-D221</f>
        <v/>
      </c>
      <c r="H222">
        <f>TEXT(A222,"DD/MM HH:MM")</f>
        <v/>
      </c>
    </row>
    <row r="223">
      <c r="A223" s="33" t="n">
        <v>46306.74583333333</v>
      </c>
      <c r="B223" s="15" t="n">
        <v>164</v>
      </c>
      <c r="C223" s="15" t="n">
        <v>476</v>
      </c>
      <c r="D223" s="16" t="n">
        <v>5712</v>
      </c>
      <c r="E223" s="34">
        <f>B223-B222</f>
        <v/>
      </c>
      <c r="F223" s="34">
        <f>C223-C222</f>
        <v/>
      </c>
      <c r="G223" s="35">
        <f>D223-D222</f>
        <v/>
      </c>
      <c r="H223">
        <f>TEXT(A223,"DD/MM HH:MM")</f>
        <v/>
      </c>
    </row>
    <row r="224">
      <c r="A224" s="30" t="n">
        <v>46306.75972222222</v>
      </c>
      <c r="B224" s="11" t="n">
        <v>164</v>
      </c>
      <c r="C224" s="11" t="n">
        <v>476</v>
      </c>
      <c r="D224" s="12" t="n">
        <v>5712</v>
      </c>
      <c r="E224" s="31">
        <f>B224-B223</f>
        <v/>
      </c>
      <c r="F224" s="31">
        <f>C224-C223</f>
        <v/>
      </c>
      <c r="G224" s="32">
        <f>D224-D223</f>
        <v/>
      </c>
      <c r="H224">
        <f>TEXT(A224,"DD/MM HH:MM")</f>
        <v/>
      </c>
    </row>
    <row r="225">
      <c r="A225" s="33" t="n">
        <v>46306.79791666667</v>
      </c>
      <c r="B225" s="15" t="n">
        <v>165</v>
      </c>
      <c r="C225" s="15" t="n">
        <v>481</v>
      </c>
      <c r="D225" s="16" t="n">
        <v>5772</v>
      </c>
      <c r="E225" s="34">
        <f>B225-B224</f>
        <v/>
      </c>
      <c r="F225" s="34">
        <f>C225-C224</f>
        <v/>
      </c>
      <c r="G225" s="35">
        <f>D225-D224</f>
        <v/>
      </c>
      <c r="H225">
        <f>TEXT(A225,"DD/MM HH:MM")</f>
        <v/>
      </c>
    </row>
    <row r="226">
      <c r="A226" s="30" t="n">
        <v>46306.80138888889</v>
      </c>
      <c r="B226" s="11" t="n">
        <v>165</v>
      </c>
      <c r="C226" s="11" t="n">
        <v>481</v>
      </c>
      <c r="D226" s="12" t="n">
        <v>5772</v>
      </c>
      <c r="E226" s="31">
        <f>B226-B225</f>
        <v/>
      </c>
      <c r="F226" s="31">
        <f>C226-C225</f>
        <v/>
      </c>
      <c r="G226" s="32">
        <f>D226-D225</f>
        <v/>
      </c>
      <c r="H226">
        <f>TEXT(A226,"DD/MM HH:MM")</f>
        <v/>
      </c>
    </row>
    <row r="227">
      <c r="A227" s="33" t="n">
        <v>46306.84444444445</v>
      </c>
      <c r="B227" s="15" t="n">
        <v>167</v>
      </c>
      <c r="C227" s="15" t="n">
        <v>488</v>
      </c>
      <c r="D227" s="16" t="n">
        <v>5856</v>
      </c>
      <c r="E227" s="34">
        <f>B227-B226</f>
        <v/>
      </c>
      <c r="F227" s="34">
        <f>C227-C226</f>
        <v/>
      </c>
      <c r="G227" s="35">
        <f>D227-D226</f>
        <v/>
      </c>
      <c r="H227">
        <f>TEXT(A227,"DD/MM HH:MM")</f>
        <v/>
      </c>
    </row>
    <row r="228">
      <c r="A228" s="30" t="n">
        <v>46306.875</v>
      </c>
      <c r="B228" s="11" t="n">
        <v>169</v>
      </c>
      <c r="C228" s="11" t="n">
        <v>494</v>
      </c>
      <c r="D228" s="12" t="n">
        <v>5928</v>
      </c>
      <c r="E228" s="31">
        <f>B228-B227</f>
        <v/>
      </c>
      <c r="F228" s="31">
        <f>C228-C227</f>
        <v/>
      </c>
      <c r="G228" s="32">
        <f>D228-D227</f>
        <v/>
      </c>
      <c r="H228">
        <f>TEXT(A228,"DD/MM HH:MM")</f>
        <v/>
      </c>
    </row>
    <row r="229">
      <c r="A229" s="33" t="n">
        <v>46306.88472222222</v>
      </c>
      <c r="B229" s="15" t="n">
        <v>169</v>
      </c>
      <c r="C229" s="15" t="n">
        <v>494</v>
      </c>
      <c r="D229" s="16" t="n">
        <v>5928</v>
      </c>
      <c r="E229" s="34">
        <f>B229-B228</f>
        <v/>
      </c>
      <c r="F229" s="34">
        <f>C229-C228</f>
        <v/>
      </c>
      <c r="G229" s="35">
        <f>D229-D228</f>
        <v/>
      </c>
      <c r="H229">
        <f>TEXT(A229,"DD/MM HH:MM")</f>
        <v/>
      </c>
    </row>
    <row r="230">
      <c r="A230" s="30" t="n">
        <v>46306.91527777778</v>
      </c>
      <c r="B230" s="11" t="n">
        <v>171</v>
      </c>
      <c r="C230" s="11" t="n">
        <v>499</v>
      </c>
      <c r="D230" s="12" t="n">
        <v>5988</v>
      </c>
      <c r="E230" s="31">
        <f>B230-B229</f>
        <v/>
      </c>
      <c r="F230" s="31">
        <f>C230-C229</f>
        <v/>
      </c>
      <c r="G230" s="32">
        <f>D230-D229</f>
        <v/>
      </c>
      <c r="H230">
        <f>TEXT(A230,"DD/MM HH:MM")</f>
        <v/>
      </c>
    </row>
    <row r="231">
      <c r="A231" s="33" t="n">
        <v>46306.92638888889</v>
      </c>
      <c r="B231" s="15" t="n">
        <v>171</v>
      </c>
      <c r="C231" s="15" t="n">
        <v>499</v>
      </c>
      <c r="D231" s="16" t="n">
        <v>5988</v>
      </c>
      <c r="E231" s="34">
        <f>B231-B230</f>
        <v/>
      </c>
      <c r="F231" s="34">
        <f>C231-C230</f>
        <v/>
      </c>
      <c r="G231" s="35">
        <f>D231-D230</f>
        <v/>
      </c>
      <c r="H231">
        <f>TEXT(A231,"DD/MM HH:MM")</f>
        <v/>
      </c>
    </row>
    <row r="232">
      <c r="A232" s="30" t="n">
        <v>46306.9375</v>
      </c>
      <c r="B232" s="11" t="n">
        <v>171</v>
      </c>
      <c r="C232" s="11" t="n">
        <v>499</v>
      </c>
      <c r="D232" s="12" t="n">
        <v>5988</v>
      </c>
      <c r="E232" s="31">
        <f>B232-B231</f>
        <v/>
      </c>
      <c r="F232" s="31">
        <f>C232-C231</f>
        <v/>
      </c>
      <c r="G232" s="32">
        <f>D232-D231</f>
        <v/>
      </c>
      <c r="H232">
        <f>TEXT(A232,"DD/MM HH:MM")</f>
        <v/>
      </c>
    </row>
    <row r="233">
      <c r="A233" s="33" t="n">
        <v>46306.96805555555</v>
      </c>
      <c r="B233" s="15" t="n">
        <v>171</v>
      </c>
      <c r="C233" s="15" t="n">
        <v>499</v>
      </c>
      <c r="D233" s="16" t="n">
        <v>5988</v>
      </c>
      <c r="E233" s="34">
        <f>B233-B232</f>
        <v/>
      </c>
      <c r="F233" s="34">
        <f>C233-C232</f>
        <v/>
      </c>
      <c r="G233" s="35">
        <f>D233-D232</f>
        <v/>
      </c>
      <c r="H233">
        <f>TEXT(A233,"DD/MM HH:MM")</f>
        <v/>
      </c>
    </row>
    <row r="234">
      <c r="A234" s="30" t="n">
        <v>46307.01041666666</v>
      </c>
      <c r="B234" s="11" t="n">
        <v>173</v>
      </c>
      <c r="C234" s="11" t="n">
        <v>507</v>
      </c>
      <c r="D234" s="12" t="n">
        <v>6084</v>
      </c>
      <c r="E234" s="31">
        <f>B234-B233</f>
        <v/>
      </c>
      <c r="F234" s="31">
        <f>C234-C233</f>
        <v/>
      </c>
      <c r="G234" s="32">
        <f>D234-D233</f>
        <v/>
      </c>
      <c r="H234">
        <f>TEXT(A234,"DD/MM HH:MM")</f>
        <v/>
      </c>
    </row>
    <row r="235">
      <c r="A235" s="33" t="n">
        <v>46307.05138888889</v>
      </c>
      <c r="B235" s="15" t="n">
        <v>174</v>
      </c>
      <c r="C235" s="15" t="n">
        <v>509</v>
      </c>
      <c r="D235" s="16" t="n">
        <v>6108</v>
      </c>
      <c r="E235" s="34">
        <f>B235-B234</f>
        <v/>
      </c>
      <c r="F235" s="34">
        <f>C235-C234</f>
        <v/>
      </c>
      <c r="G235" s="35">
        <f>D235-D234</f>
        <v/>
      </c>
      <c r="H235">
        <f>TEXT(A235,"DD/MM HH:MM")</f>
        <v/>
      </c>
    </row>
    <row r="236">
      <c r="A236" s="30" t="n">
        <v>46307.10069444445</v>
      </c>
      <c r="B236" s="11" t="n">
        <v>174</v>
      </c>
      <c r="C236" s="11" t="n">
        <v>509</v>
      </c>
      <c r="D236" s="12" t="n">
        <v>6108</v>
      </c>
      <c r="E236" s="31">
        <f>B236-B235</f>
        <v/>
      </c>
      <c r="F236" s="31">
        <f>C236-C235</f>
        <v/>
      </c>
      <c r="G236" s="32">
        <f>D236-D235</f>
        <v/>
      </c>
      <c r="H236">
        <f>TEXT(A236,"DD/MM HH:MM")</f>
        <v/>
      </c>
    </row>
    <row r="237">
      <c r="A237" s="33" t="n">
        <v>46307.13888888889</v>
      </c>
      <c r="B237" s="15" t="n">
        <v>174</v>
      </c>
      <c r="C237" s="15" t="n">
        <v>509</v>
      </c>
      <c r="D237" s="16" t="n">
        <v>6108</v>
      </c>
      <c r="E237" s="34">
        <f>B237-B236</f>
        <v/>
      </c>
      <c r="F237" s="34">
        <f>C237-C236</f>
        <v/>
      </c>
      <c r="G237" s="35">
        <f>D237-D236</f>
        <v/>
      </c>
      <c r="H237">
        <f>TEXT(A237,"DD/MM HH:MM")</f>
        <v/>
      </c>
    </row>
    <row r="238">
      <c r="A238" s="30" t="n">
        <v>46307.17847222222</v>
      </c>
      <c r="B238" s="11" t="n">
        <v>174</v>
      </c>
      <c r="C238" s="11" t="n">
        <v>509</v>
      </c>
      <c r="D238" s="12" t="n">
        <v>6108</v>
      </c>
      <c r="E238" s="31">
        <f>B238-B237</f>
        <v/>
      </c>
      <c r="F238" s="31">
        <f>C238-C237</f>
        <v/>
      </c>
      <c r="G238" s="32">
        <f>D238-D237</f>
        <v/>
      </c>
      <c r="H238">
        <f>TEXT(A238,"DD/MM HH:MM")</f>
        <v/>
      </c>
    </row>
    <row r="239">
      <c r="A239" s="33" t="n">
        <v>46307.22083333333</v>
      </c>
      <c r="B239" s="15" t="n">
        <v>174</v>
      </c>
      <c r="C239" s="15" t="n">
        <v>509</v>
      </c>
      <c r="D239" s="16" t="n">
        <v>6108</v>
      </c>
      <c r="E239" s="34">
        <f>B239-B238</f>
        <v/>
      </c>
      <c r="F239" s="34">
        <f>C239-C238</f>
        <v/>
      </c>
      <c r="G239" s="35">
        <f>D239-D238</f>
        <v/>
      </c>
      <c r="H239">
        <f>TEXT(A239,"DD/MM HH:MM")</f>
        <v/>
      </c>
    </row>
    <row r="240">
      <c r="A240" s="30" t="n">
        <v>46307.2625</v>
      </c>
      <c r="B240" s="11" t="n">
        <v>174</v>
      </c>
      <c r="C240" s="11" t="n">
        <v>509</v>
      </c>
      <c r="D240" s="12" t="n">
        <v>6108</v>
      </c>
      <c r="E240" s="31">
        <f>B240-B239</f>
        <v/>
      </c>
      <c r="F240" s="31">
        <f>C240-C239</f>
        <v/>
      </c>
      <c r="G240" s="32">
        <f>D240-D239</f>
        <v/>
      </c>
      <c r="H240">
        <f>TEXT(A240,"DD/MM HH:MM")</f>
        <v/>
      </c>
    </row>
    <row r="241">
      <c r="A241" s="33" t="n">
        <v>46307.30347222222</v>
      </c>
      <c r="B241" s="15" t="n">
        <v>174</v>
      </c>
      <c r="C241" s="15" t="n">
        <v>509</v>
      </c>
      <c r="D241" s="16" t="n">
        <v>6108</v>
      </c>
      <c r="E241" s="34">
        <f>B241-B240</f>
        <v/>
      </c>
      <c r="F241" s="34">
        <f>C241-C240</f>
        <v/>
      </c>
      <c r="G241" s="35">
        <f>D241-D240</f>
        <v/>
      </c>
      <c r="H241">
        <f>TEXT(A241,"DD/MM HH:MM")</f>
        <v/>
      </c>
    </row>
    <row r="242">
      <c r="A242" s="30" t="n">
        <v>46307.35</v>
      </c>
      <c r="B242" s="11" t="n">
        <v>174</v>
      </c>
      <c r="C242" s="11" t="n">
        <v>509</v>
      </c>
      <c r="D242" s="12" t="n">
        <v>6108</v>
      </c>
      <c r="E242" s="31">
        <f>B242-B241</f>
        <v/>
      </c>
      <c r="F242" s="31">
        <f>C242-C241</f>
        <v/>
      </c>
      <c r="G242" s="32">
        <f>D242-D241</f>
        <v/>
      </c>
      <c r="H242">
        <f>TEXT(A242,"DD/MM HH:MM")</f>
        <v/>
      </c>
    </row>
    <row r="243">
      <c r="A243" s="33" t="n">
        <v>46307.39027777778</v>
      </c>
      <c r="B243" s="15" t="n">
        <v>174</v>
      </c>
      <c r="C243" s="15" t="n">
        <v>509</v>
      </c>
      <c r="D243" s="16" t="n">
        <v>6108</v>
      </c>
      <c r="E243" s="34">
        <f>B243-B242</f>
        <v/>
      </c>
      <c r="F243" s="34">
        <f>C243-C242</f>
        <v/>
      </c>
      <c r="G243" s="35">
        <f>D243-D242</f>
        <v/>
      </c>
      <c r="H243">
        <f>TEXT(A243,"DD/MM HH:MM")</f>
        <v/>
      </c>
    </row>
    <row r="244">
      <c r="A244" s="30" t="n">
        <v>46307.43055555555</v>
      </c>
      <c r="B244" s="11" t="n">
        <v>174</v>
      </c>
      <c r="C244" s="11" t="n">
        <v>509</v>
      </c>
      <c r="D244" s="12" t="n">
        <v>6108</v>
      </c>
      <c r="E244" s="31">
        <f>B244-B243</f>
        <v/>
      </c>
      <c r="F244" s="31">
        <f>C244-C243</f>
        <v/>
      </c>
      <c r="G244" s="32">
        <f>D244-D243</f>
        <v/>
      </c>
      <c r="H244">
        <f>TEXT(A244,"DD/MM HH:MM")</f>
        <v/>
      </c>
    </row>
    <row r="245">
      <c r="A245" s="33" t="n">
        <v>46307.47152777778</v>
      </c>
      <c r="B245" s="15" t="n">
        <v>174</v>
      </c>
      <c r="C245" s="15" t="n">
        <v>509</v>
      </c>
      <c r="D245" s="16" t="n">
        <v>6108</v>
      </c>
      <c r="E245" s="34">
        <f>B245-B244</f>
        <v/>
      </c>
      <c r="F245" s="34">
        <f>C245-C244</f>
        <v/>
      </c>
      <c r="G245" s="35">
        <f>D245-D244</f>
        <v/>
      </c>
      <c r="H245">
        <f>TEXT(A245,"DD/MM HH:MM")</f>
        <v/>
      </c>
    </row>
    <row r="246">
      <c r="A246" s="30" t="n">
        <v>46307.51805555556</v>
      </c>
      <c r="B246" s="11" t="n">
        <v>175</v>
      </c>
      <c r="C246" s="11" t="n">
        <v>511</v>
      </c>
      <c r="D246" s="12" t="n">
        <v>6132</v>
      </c>
      <c r="E246" s="31">
        <f>B246-B245</f>
        <v/>
      </c>
      <c r="F246" s="31">
        <f>C246-C245</f>
        <v/>
      </c>
      <c r="G246" s="32">
        <f>D246-D245</f>
        <v/>
      </c>
      <c r="H246">
        <f>TEXT(A246,"DD/MM HH:MM")</f>
        <v/>
      </c>
    </row>
    <row r="247">
      <c r="A247" s="33" t="n">
        <v>46307.55416666667</v>
      </c>
      <c r="B247" s="15" t="n">
        <v>176</v>
      </c>
      <c r="C247" s="15" t="n">
        <v>515</v>
      </c>
      <c r="D247" s="16" t="n">
        <v>6180</v>
      </c>
      <c r="E247" s="34">
        <f>B247-B246</f>
        <v/>
      </c>
      <c r="F247" s="34">
        <f>C247-C246</f>
        <v/>
      </c>
      <c r="G247" s="35">
        <f>D247-D246</f>
        <v/>
      </c>
      <c r="H247">
        <f>TEXT(A247,"DD/MM HH:MM")</f>
        <v/>
      </c>
    </row>
    <row r="248">
      <c r="A248" s="30" t="n">
        <v>46307.59652777778</v>
      </c>
      <c r="B248" s="11" t="n">
        <v>175</v>
      </c>
      <c r="C248" s="11" t="n">
        <v>511</v>
      </c>
      <c r="D248" s="12" t="n">
        <v>6132</v>
      </c>
      <c r="E248" s="31">
        <f>B248-B247</f>
        <v/>
      </c>
      <c r="F248" s="31">
        <f>C248-C247</f>
        <v/>
      </c>
      <c r="G248" s="32">
        <f>D248-D247</f>
        <v/>
      </c>
      <c r="H248">
        <f>TEXT(A248,"DD/MM HH:MM")</f>
        <v/>
      </c>
    </row>
    <row r="249">
      <c r="A249" s="33" t="n">
        <v>46307.61111111111</v>
      </c>
      <c r="B249" s="15" t="n">
        <v>178</v>
      </c>
      <c r="C249" s="15" t="n">
        <v>519</v>
      </c>
      <c r="D249" s="16" t="n">
        <v>6228</v>
      </c>
      <c r="E249" s="34">
        <f>B249-B248</f>
        <v/>
      </c>
      <c r="F249" s="34">
        <f>C249-C248</f>
        <v/>
      </c>
      <c r="G249" s="35">
        <f>D249-D248</f>
        <v/>
      </c>
      <c r="H249">
        <f>TEXT(A249,"DD/MM HH:MM")</f>
        <v/>
      </c>
    </row>
    <row r="250">
      <c r="A250" s="30" t="n">
        <v>46307.64791666667</v>
      </c>
      <c r="B250" s="11" t="n">
        <v>180</v>
      </c>
      <c r="C250" s="11" t="n">
        <v>525</v>
      </c>
      <c r="D250" s="12" t="n">
        <v>6300</v>
      </c>
      <c r="E250" s="31">
        <f>B250-B249</f>
        <v/>
      </c>
      <c r="F250" s="31">
        <f>C250-C249</f>
        <v/>
      </c>
      <c r="G250" s="32">
        <f>D250-D249</f>
        <v/>
      </c>
      <c r="H250">
        <f>TEXT(A250,"DD/MM HH:MM")</f>
        <v/>
      </c>
    </row>
    <row r="251">
      <c r="A251" s="33" t="n">
        <v>46307.67708333334</v>
      </c>
      <c r="B251" s="15" t="n">
        <v>182</v>
      </c>
      <c r="C251" s="15" t="n">
        <v>529</v>
      </c>
      <c r="D251" s="16" t="n">
        <v>6348</v>
      </c>
      <c r="E251" s="34">
        <f>B251-B250</f>
        <v/>
      </c>
      <c r="F251" s="34">
        <f>C251-C250</f>
        <v/>
      </c>
      <c r="G251" s="35">
        <f>D251-D250</f>
        <v/>
      </c>
      <c r="H251">
        <f>TEXT(A251,"DD/MM HH:MM")</f>
        <v/>
      </c>
    </row>
    <row r="252">
      <c r="A252" s="30" t="n">
        <v>46307.68194444444</v>
      </c>
      <c r="B252" s="11" t="n">
        <v>182</v>
      </c>
      <c r="C252" s="11" t="n">
        <v>529</v>
      </c>
      <c r="D252" s="12" t="n">
        <v>6348</v>
      </c>
      <c r="E252" s="31">
        <f>B252-B251</f>
        <v/>
      </c>
      <c r="F252" s="31">
        <f>C252-C251</f>
        <v/>
      </c>
      <c r="G252" s="32">
        <f>D252-D251</f>
        <v/>
      </c>
      <c r="H252">
        <f>TEXT(A252,"DD/MM HH:MM")</f>
        <v/>
      </c>
    </row>
    <row r="253">
      <c r="A253" s="33" t="n">
        <v>46307.71944444445</v>
      </c>
      <c r="B253" s="15" t="n">
        <v>182</v>
      </c>
      <c r="C253" s="15" t="n">
        <v>529</v>
      </c>
      <c r="D253" s="16" t="n">
        <v>6348</v>
      </c>
      <c r="E253" s="34">
        <f>B253-B252</f>
        <v/>
      </c>
      <c r="F253" s="34">
        <f>C253-C252</f>
        <v/>
      </c>
      <c r="G253" s="35">
        <f>D253-D252</f>
        <v/>
      </c>
      <c r="H253">
        <f>TEXT(A253,"DD/MM HH:MM")</f>
        <v/>
      </c>
    </row>
    <row r="254">
      <c r="A254" s="30" t="n">
        <v>46307.72152777778</v>
      </c>
      <c r="B254" s="11" t="n">
        <v>182</v>
      </c>
      <c r="C254" s="11" t="n">
        <v>529</v>
      </c>
      <c r="D254" s="12" t="n">
        <v>6348</v>
      </c>
      <c r="E254" s="31">
        <f>B254-B253</f>
        <v/>
      </c>
      <c r="F254" s="31">
        <f>C254-C253</f>
        <v/>
      </c>
      <c r="G254" s="32">
        <f>D254-D253</f>
        <v/>
      </c>
      <c r="H254">
        <f>TEXT(A254,"DD/MM HH:MM")</f>
        <v/>
      </c>
    </row>
    <row r="255">
      <c r="A255" s="33" t="n">
        <v>46307.76180555556</v>
      </c>
      <c r="B255" s="15" t="n">
        <v>182</v>
      </c>
      <c r="C255" s="15" t="n">
        <v>529</v>
      </c>
      <c r="D255" s="16" t="n">
        <v>6348</v>
      </c>
      <c r="E255" s="34">
        <f>B255-B254</f>
        <v/>
      </c>
      <c r="F255" s="34">
        <f>C255-C254</f>
        <v/>
      </c>
      <c r="G255" s="35">
        <f>D255-D254</f>
        <v/>
      </c>
      <c r="H255">
        <f>TEXT(A255,"DD/MM HH:MM")</f>
        <v/>
      </c>
    </row>
    <row r="256">
      <c r="A256" s="30" t="n">
        <v>46307.77430555555</v>
      </c>
      <c r="B256" s="11" t="n">
        <v>182</v>
      </c>
      <c r="C256" s="11" t="n">
        <v>529</v>
      </c>
      <c r="D256" s="12" t="n">
        <v>6348</v>
      </c>
      <c r="E256" s="31">
        <f>B256-B255</f>
        <v/>
      </c>
      <c r="F256" s="31">
        <f>C256-C255</f>
        <v/>
      </c>
      <c r="G256" s="32">
        <f>D256-D255</f>
        <v/>
      </c>
      <c r="H256">
        <f>TEXT(A256,"DD/MM HH:MM")</f>
        <v/>
      </c>
    </row>
    <row r="257">
      <c r="A257" s="33" t="n">
        <v>46307.80277777778</v>
      </c>
      <c r="B257" s="15" t="n">
        <v>183</v>
      </c>
      <c r="C257" s="15" t="n">
        <v>531</v>
      </c>
      <c r="D257" s="16" t="n">
        <v>6372</v>
      </c>
      <c r="E257" s="34">
        <f>B257-B256</f>
        <v/>
      </c>
      <c r="F257" s="34">
        <f>C257-C256</f>
        <v/>
      </c>
      <c r="G257" s="35">
        <f>D257-D256</f>
        <v/>
      </c>
      <c r="H257">
        <f>TEXT(A257,"DD/MM HH:MM")</f>
        <v/>
      </c>
    </row>
    <row r="258">
      <c r="A258" s="30" t="n">
        <v>46307.84513888889</v>
      </c>
      <c r="B258" s="11" t="n">
        <v>188</v>
      </c>
      <c r="C258" s="11" t="n">
        <v>545</v>
      </c>
      <c r="D258" s="12" t="n">
        <v>6540</v>
      </c>
      <c r="E258" s="31">
        <f>B258-B257</f>
        <v/>
      </c>
      <c r="F258" s="31">
        <f>C258-C257</f>
        <v/>
      </c>
      <c r="G258" s="32">
        <f>D258-D257</f>
        <v/>
      </c>
      <c r="H258">
        <f>TEXT(A258,"DD/MM HH:MM")</f>
        <v/>
      </c>
    </row>
    <row r="259">
      <c r="A259" s="33" t="n">
        <v>46307.88611111111</v>
      </c>
      <c r="B259" s="15" t="n">
        <v>196</v>
      </c>
      <c r="C259" s="15" t="n">
        <v>575</v>
      </c>
      <c r="D259" s="16" t="n">
        <v>6900</v>
      </c>
      <c r="E259" s="34">
        <f>B259-B258</f>
        <v/>
      </c>
      <c r="F259" s="34">
        <f>C259-C258</f>
        <v/>
      </c>
      <c r="G259" s="35">
        <f>D259-D258</f>
        <v/>
      </c>
      <c r="H259">
        <f>TEXT(A259,"DD/MM HH:MM")</f>
        <v/>
      </c>
    </row>
    <row r="260">
      <c r="A260" s="30" t="n">
        <v>46307.92777777778</v>
      </c>
      <c r="B260" s="11" t="n">
        <v>200</v>
      </c>
      <c r="C260" s="11" t="n">
        <v>583</v>
      </c>
      <c r="D260" s="12" t="n">
        <v>6996</v>
      </c>
      <c r="E260" s="31">
        <f>B260-B259</f>
        <v/>
      </c>
      <c r="F260" s="31">
        <f>C260-C259</f>
        <v/>
      </c>
      <c r="G260" s="32">
        <f>D260-D259</f>
        <v/>
      </c>
      <c r="H260">
        <f>TEXT(A260,"DD/MM HH:MM")</f>
        <v/>
      </c>
    </row>
    <row r="261">
      <c r="A261" s="33" t="n">
        <v>46307.96875</v>
      </c>
      <c r="B261" s="15" t="n">
        <v>200</v>
      </c>
      <c r="C261" s="15" t="n">
        <v>583</v>
      </c>
      <c r="D261" s="16" t="n">
        <v>6996</v>
      </c>
      <c r="E261" s="34">
        <f>B261-B260</f>
        <v/>
      </c>
      <c r="F261" s="34">
        <f>C261-C260</f>
        <v/>
      </c>
      <c r="G261" s="35">
        <f>D261-D260</f>
        <v/>
      </c>
      <c r="H261">
        <f>TEXT(A261,"DD/MM HH:MM")</f>
        <v/>
      </c>
    </row>
    <row r="262">
      <c r="A262" s="30" t="n">
        <v>46308.00972222222</v>
      </c>
      <c r="B262" s="11" t="n">
        <v>200</v>
      </c>
      <c r="C262" s="11" t="n">
        <v>583</v>
      </c>
      <c r="D262" s="12" t="n">
        <v>6996</v>
      </c>
      <c r="E262" s="31">
        <f>B262-B261</f>
        <v/>
      </c>
      <c r="F262" s="31">
        <f>C262-C261</f>
        <v/>
      </c>
      <c r="G262" s="32">
        <f>D262-D261</f>
        <v/>
      </c>
      <c r="H262">
        <f>TEXT(A262,"DD/MM HH:MM")</f>
        <v/>
      </c>
    </row>
    <row r="263">
      <c r="A263" s="33" t="n">
        <v>46308.05486111111</v>
      </c>
      <c r="B263" s="15" t="n">
        <v>200</v>
      </c>
      <c r="C263" s="15" t="n">
        <v>583</v>
      </c>
      <c r="D263" s="16" t="n">
        <v>6996</v>
      </c>
      <c r="E263" s="34">
        <f>B263-B262</f>
        <v/>
      </c>
      <c r="F263" s="34">
        <f>C263-C262</f>
        <v/>
      </c>
      <c r="G263" s="35">
        <f>D263-D262</f>
        <v/>
      </c>
      <c r="H263">
        <f>TEXT(A263,"DD/MM HH:MM")</f>
        <v/>
      </c>
    </row>
    <row r="264">
      <c r="A264" s="30" t="n">
        <v>46308.10138888889</v>
      </c>
      <c r="B264" s="11" t="n">
        <v>200</v>
      </c>
      <c r="C264" s="11" t="n">
        <v>583</v>
      </c>
      <c r="D264" s="12" t="n">
        <v>6996</v>
      </c>
      <c r="E264" s="31">
        <f>B264-B263</f>
        <v/>
      </c>
      <c r="F264" s="31">
        <f>C264-C263</f>
        <v/>
      </c>
      <c r="G264" s="32">
        <f>D264-D263</f>
        <v/>
      </c>
      <c r="H264">
        <f>TEXT(A264,"DD/MM HH:MM")</f>
        <v/>
      </c>
    </row>
    <row r="265">
      <c r="A265" s="33" t="n">
        <v>46308.13819444444</v>
      </c>
      <c r="B265" s="15" t="n">
        <v>200</v>
      </c>
      <c r="C265" s="15" t="n">
        <v>583</v>
      </c>
      <c r="D265" s="16" t="n">
        <v>6996</v>
      </c>
      <c r="E265" s="34">
        <f>B265-B264</f>
        <v/>
      </c>
      <c r="F265" s="34">
        <f>C265-C264</f>
        <v/>
      </c>
      <c r="G265" s="35">
        <f>D265-D264</f>
        <v/>
      </c>
      <c r="H265">
        <f>TEXT(A265,"DD/MM HH:MM")</f>
        <v/>
      </c>
    </row>
    <row r="266">
      <c r="A266" s="30" t="n">
        <v>46308.17847222222</v>
      </c>
      <c r="B266" s="11" t="n">
        <v>200</v>
      </c>
      <c r="C266" s="11" t="n">
        <v>583</v>
      </c>
      <c r="D266" s="12" t="n">
        <v>6996</v>
      </c>
      <c r="E266" s="31">
        <f>B266-B265</f>
        <v/>
      </c>
      <c r="F266" s="31">
        <f>C266-C265</f>
        <v/>
      </c>
      <c r="G266" s="32">
        <f>D266-D265</f>
        <v/>
      </c>
      <c r="H266">
        <f>TEXT(A266,"DD/MM HH:MM")</f>
        <v/>
      </c>
    </row>
    <row r="267">
      <c r="A267" s="33" t="n">
        <v>46308.20347222222</v>
      </c>
      <c r="B267" s="15" t="n">
        <v>200</v>
      </c>
      <c r="C267" s="15" t="n">
        <v>583</v>
      </c>
      <c r="D267" s="16" t="n">
        <v>6996</v>
      </c>
      <c r="E267" s="34">
        <f>B267-B266</f>
        <v/>
      </c>
      <c r="F267" s="34">
        <f>C267-C266</f>
        <v/>
      </c>
      <c r="G267" s="35">
        <f>D267-D266</f>
        <v/>
      </c>
      <c r="H267">
        <f>TEXT(A267,"DD/MM HH:MM")</f>
        <v/>
      </c>
    </row>
    <row r="268">
      <c r="A268" s="30" t="n">
        <v>46308.22013888889</v>
      </c>
      <c r="B268" s="11" t="n">
        <v>200</v>
      </c>
      <c r="C268" s="11" t="n">
        <v>583</v>
      </c>
      <c r="D268" s="12" t="n">
        <v>6996</v>
      </c>
      <c r="E268" s="31">
        <f>B268-B267</f>
        <v/>
      </c>
      <c r="F268" s="31">
        <f>C268-C267</f>
        <v/>
      </c>
      <c r="G268" s="32">
        <f>D268-D267</f>
        <v/>
      </c>
      <c r="H268">
        <f>TEXT(A268,"DD/MM HH:MM")</f>
        <v/>
      </c>
    </row>
    <row r="269">
      <c r="A269" s="33" t="n">
        <v>46308.26319444444</v>
      </c>
      <c r="B269" s="15" t="n">
        <v>200</v>
      </c>
      <c r="C269" s="15" t="n">
        <v>583</v>
      </c>
      <c r="D269" s="16" t="n">
        <v>6996</v>
      </c>
      <c r="E269" s="34">
        <f>B269-B268</f>
        <v/>
      </c>
      <c r="F269" s="34">
        <f>C269-C268</f>
        <v/>
      </c>
      <c r="G269" s="35">
        <f>D269-D268</f>
        <v/>
      </c>
      <c r="H269">
        <f>TEXT(A269,"DD/MM HH:MM")</f>
        <v/>
      </c>
    </row>
    <row r="270">
      <c r="A270" s="30" t="n">
        <v>46308.30416666667</v>
      </c>
      <c r="B270" s="11" t="n">
        <v>200</v>
      </c>
      <c r="C270" s="11" t="n">
        <v>583</v>
      </c>
      <c r="D270" s="12" t="n">
        <v>6996</v>
      </c>
      <c r="E270" s="31">
        <f>B270-B269</f>
        <v/>
      </c>
      <c r="F270" s="31">
        <f>C270-C269</f>
        <v/>
      </c>
      <c r="G270" s="32">
        <f>D270-D269</f>
        <v/>
      </c>
      <c r="H270">
        <f>TEXT(A270,"DD/MM HH:MM")</f>
        <v/>
      </c>
    </row>
    <row r="271">
      <c r="A271" s="33" t="n">
        <v>46308.34930555556</v>
      </c>
      <c r="B271" s="15" t="n">
        <v>200</v>
      </c>
      <c r="C271" s="15" t="n">
        <v>583</v>
      </c>
      <c r="D271" s="16" t="n">
        <v>6996</v>
      </c>
      <c r="E271" s="34">
        <f>B271-B270</f>
        <v/>
      </c>
      <c r="F271" s="34">
        <f>C271-C270</f>
        <v/>
      </c>
      <c r="G271" s="35">
        <f>D271-D270</f>
        <v/>
      </c>
      <c r="H271">
        <f>TEXT(A271,"DD/MM HH:MM")</f>
        <v/>
      </c>
    </row>
    <row r="272">
      <c r="A272" s="30" t="n">
        <v>46308.39027777778</v>
      </c>
      <c r="B272" s="11" t="n">
        <v>200</v>
      </c>
      <c r="C272" s="11" t="n">
        <v>583</v>
      </c>
      <c r="D272" s="12" t="n">
        <v>6996</v>
      </c>
      <c r="E272" s="31">
        <f>B272-B271</f>
        <v/>
      </c>
      <c r="F272" s="31">
        <f>C272-C271</f>
        <v/>
      </c>
      <c r="G272" s="32">
        <f>D272-D271</f>
        <v/>
      </c>
      <c r="H272">
        <f>TEXT(A272,"DD/MM HH:MM")</f>
        <v/>
      </c>
    </row>
    <row r="273">
      <c r="A273" s="33" t="n">
        <v>46308.42569444444</v>
      </c>
      <c r="B273" s="15" t="n">
        <v>200</v>
      </c>
      <c r="C273" s="15" t="n">
        <v>583</v>
      </c>
      <c r="D273" s="16" t="n">
        <v>6996</v>
      </c>
      <c r="E273" s="34">
        <f>B273-B272</f>
        <v/>
      </c>
      <c r="F273" s="34">
        <f>C273-C272</f>
        <v/>
      </c>
      <c r="G273" s="35">
        <f>D273-D272</f>
        <v/>
      </c>
      <c r="H273">
        <f>TEXT(A273,"DD/MM HH:MM")</f>
        <v/>
      </c>
    </row>
    <row r="274">
      <c r="A274" s="30" t="n">
        <v>46308.43055555555</v>
      </c>
      <c r="B274" s="11" t="n">
        <v>200</v>
      </c>
      <c r="C274" s="11" t="n">
        <v>583</v>
      </c>
      <c r="D274" s="12" t="n">
        <v>6996</v>
      </c>
      <c r="E274" s="31">
        <f>B274-B273</f>
        <v/>
      </c>
      <c r="F274" s="31">
        <f>C274-C273</f>
        <v/>
      </c>
      <c r="G274" s="32">
        <f>D274-D273</f>
        <v/>
      </c>
      <c r="H274">
        <f>TEXT(A274,"DD/MM HH:MM")</f>
        <v/>
      </c>
    </row>
    <row r="275">
      <c r="A275" s="33" t="n">
        <v>46308.47083333333</v>
      </c>
      <c r="B275" s="15" t="n">
        <v>201</v>
      </c>
      <c r="C275" s="15" t="n">
        <v>588</v>
      </c>
      <c r="D275" s="16" t="n">
        <v>7056</v>
      </c>
      <c r="E275" s="34">
        <f>B275-B274</f>
        <v/>
      </c>
      <c r="F275" s="34">
        <f>C275-C274</f>
        <v/>
      </c>
      <c r="G275" s="35">
        <f>D275-D274</f>
        <v/>
      </c>
      <c r="H275">
        <f>TEXT(A275,"DD/MM HH:MM")</f>
        <v/>
      </c>
    </row>
    <row r="276">
      <c r="A276" s="30" t="n">
        <v>46308.51319444444</v>
      </c>
      <c r="B276" s="11" t="n">
        <v>201</v>
      </c>
      <c r="C276" s="11" t="n">
        <v>588</v>
      </c>
      <c r="D276" s="12" t="n">
        <v>7056</v>
      </c>
      <c r="E276" s="31">
        <f>B276-B275</f>
        <v/>
      </c>
      <c r="F276" s="31">
        <f>C276-C275</f>
        <v/>
      </c>
      <c r="G276" s="32">
        <f>D276-D275</f>
        <v/>
      </c>
      <c r="H276">
        <f>TEXT(A276,"DD/MM HH:MM")</f>
        <v/>
      </c>
    </row>
    <row r="277">
      <c r="A277" s="33" t="n">
        <v>46308.55416666667</v>
      </c>
      <c r="B277" s="15" t="n">
        <v>203</v>
      </c>
      <c r="C277" s="15" t="n">
        <v>594</v>
      </c>
      <c r="D277" s="16" t="n">
        <v>7128</v>
      </c>
      <c r="E277" s="34">
        <f>B277-B276</f>
        <v/>
      </c>
      <c r="F277" s="34">
        <f>C277-C276</f>
        <v/>
      </c>
      <c r="G277" s="35">
        <f>D277-D276</f>
        <v/>
      </c>
      <c r="H277">
        <f>TEXT(A277,"DD/MM HH:MM")</f>
        <v/>
      </c>
    </row>
    <row r="278">
      <c r="A278" s="30" t="n">
        <v>46308.59930555556</v>
      </c>
      <c r="B278" s="11" t="n">
        <v>203</v>
      </c>
      <c r="C278" s="11" t="n">
        <v>594</v>
      </c>
      <c r="D278" s="12" t="n">
        <v>7128</v>
      </c>
      <c r="E278" s="31">
        <f>B278-B277</f>
        <v/>
      </c>
      <c r="F278" s="31">
        <f>C278-C277</f>
        <v/>
      </c>
      <c r="G278" s="32">
        <f>D278-D277</f>
        <v/>
      </c>
      <c r="H278">
        <f>TEXT(A278,"DD/MM HH:MM")</f>
        <v/>
      </c>
    </row>
    <row r="279">
      <c r="A279" s="33" t="n">
        <v>46308.64166666667</v>
      </c>
      <c r="B279" s="15" t="n">
        <v>204</v>
      </c>
      <c r="C279" s="15" t="n">
        <v>597</v>
      </c>
      <c r="D279" s="16" t="n">
        <v>7164</v>
      </c>
      <c r="E279" s="34">
        <f>B279-B278</f>
        <v/>
      </c>
      <c r="F279" s="34">
        <f>C279-C278</f>
        <v/>
      </c>
      <c r="G279" s="35">
        <f>D279-D278</f>
        <v/>
      </c>
      <c r="H279">
        <f>TEXT(A279,"DD/MM HH:MM")</f>
        <v/>
      </c>
    </row>
    <row r="280">
      <c r="A280" s="30" t="n">
        <v>46308.68055555555</v>
      </c>
      <c r="B280" s="11" t="n">
        <v>205</v>
      </c>
      <c r="C280" s="11" t="n">
        <v>599</v>
      </c>
      <c r="D280" s="12" t="n">
        <v>7188</v>
      </c>
      <c r="E280" s="31">
        <f>B280-B279</f>
        <v/>
      </c>
      <c r="F280" s="31">
        <f>C280-C279</f>
        <v/>
      </c>
      <c r="G280" s="32">
        <f>D280-D279</f>
        <v/>
      </c>
      <c r="H280">
        <f>TEXT(A280,"DD/MM HH:MM")</f>
        <v/>
      </c>
    </row>
    <row r="281">
      <c r="A281" s="33" t="n">
        <v>46308.72222222222</v>
      </c>
      <c r="B281" s="15" t="n">
        <v>207</v>
      </c>
      <c r="C281" s="15" t="n">
        <v>606</v>
      </c>
      <c r="D281" s="16" t="n">
        <v>7272</v>
      </c>
      <c r="E281" s="34">
        <f>B281-B280</f>
        <v/>
      </c>
      <c r="F281" s="34">
        <f>C281-C280</f>
        <v/>
      </c>
      <c r="G281" s="35">
        <f>D281-D280</f>
        <v/>
      </c>
      <c r="H281">
        <f>TEXT(A281,"DD/MM HH:MM")</f>
        <v/>
      </c>
    </row>
    <row r="282">
      <c r="A282" s="30" t="n">
        <v>46308.7625</v>
      </c>
      <c r="B282" s="11" t="n">
        <v>208</v>
      </c>
      <c r="C282" s="11" t="n">
        <v>608</v>
      </c>
      <c r="D282" s="12" t="n">
        <v>7296</v>
      </c>
      <c r="E282" s="31">
        <f>B282-B281</f>
        <v/>
      </c>
      <c r="F282" s="31">
        <f>C282-C281</f>
        <v/>
      </c>
      <c r="G282" s="32">
        <f>D282-D281</f>
        <v/>
      </c>
      <c r="H282">
        <f>TEXT(A282,"DD/MM HH:MM")</f>
        <v/>
      </c>
    </row>
    <row r="283">
      <c r="A283" s="33" t="n">
        <v>46308.77708333333</v>
      </c>
      <c r="B283" s="15" t="n">
        <v>208</v>
      </c>
      <c r="C283" s="15" t="n">
        <v>608</v>
      </c>
      <c r="D283" s="16" t="n">
        <v>7296</v>
      </c>
      <c r="E283" s="34">
        <f>B283-B282</f>
        <v/>
      </c>
      <c r="F283" s="34">
        <f>C283-C282</f>
        <v/>
      </c>
      <c r="G283" s="35">
        <f>D283-D282</f>
        <v/>
      </c>
      <c r="H283">
        <f>TEXT(A283,"DD/MM HH:MM")</f>
        <v/>
      </c>
    </row>
    <row r="284">
      <c r="A284" s="30" t="n">
        <v>46308.80347222222</v>
      </c>
      <c r="B284" s="11" t="n">
        <v>210</v>
      </c>
      <c r="C284" s="11" t="n">
        <v>612</v>
      </c>
      <c r="D284" s="12" t="n">
        <v>7344</v>
      </c>
      <c r="E284" s="31">
        <f>B284-B283</f>
        <v/>
      </c>
      <c r="F284" s="31">
        <f>C284-C283</f>
        <v/>
      </c>
      <c r="G284" s="32">
        <f>D284-D283</f>
        <v/>
      </c>
      <c r="H284">
        <f>TEXT(A284,"DD/MM HH:MM")</f>
        <v/>
      </c>
    </row>
    <row r="285">
      <c r="A285" s="33" t="n">
        <v>46308.82916666667</v>
      </c>
      <c r="B285" s="15" t="n">
        <v>211</v>
      </c>
      <c r="C285" s="15" t="n">
        <v>617</v>
      </c>
      <c r="D285" s="16" t="n">
        <v>7404</v>
      </c>
      <c r="E285" s="34">
        <f>B285-B284</f>
        <v/>
      </c>
      <c r="F285" s="34">
        <f>C285-C284</f>
        <v/>
      </c>
      <c r="G285" s="35">
        <f>D285-D284</f>
        <v/>
      </c>
      <c r="H285">
        <f>TEXT(A285,"DD/MM HH:MM")</f>
        <v/>
      </c>
    </row>
    <row r="286">
      <c r="A286" s="30" t="n">
        <v>46308.84861111111</v>
      </c>
      <c r="B286" s="11" t="n">
        <v>213</v>
      </c>
      <c r="C286" s="11" t="n">
        <v>621</v>
      </c>
      <c r="D286" s="12" t="n">
        <v>7452</v>
      </c>
      <c r="E286" s="31">
        <f>B286-B285</f>
        <v/>
      </c>
      <c r="F286" s="31">
        <f>C286-C285</f>
        <v/>
      </c>
      <c r="G286" s="32">
        <f>D286-D285</f>
        <v/>
      </c>
      <c r="H286">
        <f>TEXT(A286,"DD/MM HH:MM")</f>
        <v/>
      </c>
    </row>
    <row r="287">
      <c r="A287" s="33" t="n">
        <v>46308.89444444444</v>
      </c>
      <c r="B287" s="15" t="n">
        <v>217</v>
      </c>
      <c r="C287" s="15" t="n">
        <v>635</v>
      </c>
      <c r="D287" s="16" t="n">
        <v>7620</v>
      </c>
      <c r="E287" s="34">
        <f>B287-B286</f>
        <v/>
      </c>
      <c r="F287" s="34">
        <f>C287-C286</f>
        <v/>
      </c>
      <c r="G287" s="35">
        <f>D287-D286</f>
        <v/>
      </c>
      <c r="H287">
        <f>TEXT(A287,"DD/MM HH:MM")</f>
        <v/>
      </c>
    </row>
    <row r="288">
      <c r="A288" s="30" t="n">
        <v>46308.94097222222</v>
      </c>
      <c r="B288" s="11" t="n">
        <v>221</v>
      </c>
      <c r="C288" s="11" t="n">
        <v>645</v>
      </c>
      <c r="D288" s="12" t="n">
        <v>7740</v>
      </c>
      <c r="E288" s="31">
        <f>B288-B287</f>
        <v/>
      </c>
      <c r="F288" s="31">
        <f>C288-C287</f>
        <v/>
      </c>
      <c r="G288" s="32">
        <f>D288-D287</f>
        <v/>
      </c>
      <c r="H288">
        <f>TEXT(A288,"DD/MM HH:MM")</f>
        <v/>
      </c>
    </row>
    <row r="289">
      <c r="A289" s="33" t="n">
        <v>46308.96388888889</v>
      </c>
      <c r="B289" s="15" t="n">
        <v>224</v>
      </c>
      <c r="C289" s="15" t="n">
        <v>654</v>
      </c>
      <c r="D289" s="16" t="n">
        <v>7848</v>
      </c>
      <c r="E289" s="34">
        <f>B289-B288</f>
        <v/>
      </c>
      <c r="F289" s="34">
        <f>C289-C288</f>
        <v/>
      </c>
      <c r="G289" s="35">
        <f>D289-D288</f>
        <v/>
      </c>
      <c r="H289">
        <f>TEXT(A289,"DD/MM HH:MM")</f>
        <v/>
      </c>
    </row>
    <row r="290">
      <c r="A290" s="30" t="n">
        <v>46308.97569444445</v>
      </c>
      <c r="B290" s="11" t="n">
        <v>225</v>
      </c>
      <c r="C290" s="11" t="n">
        <v>658</v>
      </c>
      <c r="D290" s="12" t="n">
        <v>7896</v>
      </c>
      <c r="E290" s="31">
        <f>B290-B289</f>
        <v/>
      </c>
      <c r="F290" s="31">
        <f>C290-C289</f>
        <v/>
      </c>
      <c r="G290" s="32">
        <f>D290-D289</f>
        <v/>
      </c>
      <c r="H290">
        <f>TEXT(A290,"DD/MM HH:MM")</f>
        <v/>
      </c>
    </row>
    <row r="291">
      <c r="A291" s="33" t="n">
        <v>46308.99444444444</v>
      </c>
      <c r="B291" s="15" t="n">
        <v>225</v>
      </c>
      <c r="C291" s="15" t="n">
        <v>658</v>
      </c>
      <c r="D291" s="16" t="n">
        <v>7896</v>
      </c>
      <c r="E291" s="34">
        <f>B291-B290</f>
        <v/>
      </c>
      <c r="F291" s="34">
        <f>C291-C290</f>
        <v/>
      </c>
      <c r="G291" s="35">
        <f>D291-D290</f>
        <v/>
      </c>
      <c r="H291">
        <f>TEXT(A291,"DD/MM HH:MM")</f>
        <v/>
      </c>
    </row>
    <row r="292">
      <c r="A292" s="30" t="n">
        <v>46309.01597222222</v>
      </c>
      <c r="B292" s="11" t="n">
        <v>226</v>
      </c>
      <c r="C292" s="11" t="n">
        <v>661</v>
      </c>
      <c r="D292" s="12" t="n">
        <v>7932</v>
      </c>
      <c r="E292" s="31">
        <f>B292-B291</f>
        <v/>
      </c>
      <c r="F292" s="31">
        <f>C292-C291</f>
        <v/>
      </c>
      <c r="G292" s="32">
        <f>D292-D291</f>
        <v/>
      </c>
      <c r="H292">
        <f>TEXT(A292,"DD/MM HH:MM")</f>
        <v/>
      </c>
    </row>
    <row r="293">
      <c r="A293" s="33" t="n">
        <v>46309.04513888889</v>
      </c>
      <c r="B293" s="15" t="n">
        <v>226</v>
      </c>
      <c r="C293" s="15" t="n">
        <v>661</v>
      </c>
      <c r="D293" s="16" t="n">
        <v>7932</v>
      </c>
      <c r="E293" s="34">
        <f>B293-B292</f>
        <v/>
      </c>
      <c r="F293" s="34">
        <f>C293-C292</f>
        <v/>
      </c>
      <c r="G293" s="35">
        <f>D293-D292</f>
        <v/>
      </c>
      <c r="H293">
        <f>TEXT(A293,"DD/MM HH:MM")</f>
        <v/>
      </c>
    </row>
    <row r="294">
      <c r="A294" s="30" t="n">
        <v>46309.05694444444</v>
      </c>
      <c r="B294" s="11" t="n">
        <v>226</v>
      </c>
      <c r="C294" s="11" t="n">
        <v>661</v>
      </c>
      <c r="D294" s="12" t="n">
        <v>7932</v>
      </c>
      <c r="E294" s="31">
        <f>B294-B293</f>
        <v/>
      </c>
      <c r="F294" s="31">
        <f>C294-C293</f>
        <v/>
      </c>
      <c r="G294" s="32">
        <f>D294-D293</f>
        <v/>
      </c>
      <c r="H294">
        <f>TEXT(A294,"DD/MM HH:MM")</f>
        <v/>
      </c>
    </row>
    <row r="295">
      <c r="A295" s="33" t="n">
        <v>46309.10625</v>
      </c>
      <c r="B295" s="15" t="n">
        <v>226</v>
      </c>
      <c r="C295" s="15" t="n">
        <v>661</v>
      </c>
      <c r="D295" s="16" t="n">
        <v>7932</v>
      </c>
      <c r="E295" s="34">
        <f>B295-B294</f>
        <v/>
      </c>
      <c r="F295" s="34">
        <f>C295-C294</f>
        <v/>
      </c>
      <c r="G295" s="35">
        <f>D295-D294</f>
        <v/>
      </c>
      <c r="H295">
        <f>TEXT(A295,"DD/MM HH:MM")</f>
        <v/>
      </c>
    </row>
    <row r="296">
      <c r="A296" s="30" t="n">
        <v>46309.14513888889</v>
      </c>
      <c r="B296" s="11" t="n">
        <v>226</v>
      </c>
      <c r="C296" s="11" t="n">
        <v>661</v>
      </c>
      <c r="D296" s="12" t="n">
        <v>7932</v>
      </c>
      <c r="E296" s="31">
        <f>B296-B295</f>
        <v/>
      </c>
      <c r="F296" s="31">
        <f>C296-C295</f>
        <v/>
      </c>
      <c r="G296" s="32">
        <f>D296-D295</f>
        <v/>
      </c>
      <c r="H296">
        <f>TEXT(A296,"DD/MM HH:MM")</f>
        <v/>
      </c>
    </row>
    <row r="297">
      <c r="A297" s="33" t="n">
        <v>46309.18402777778</v>
      </c>
      <c r="B297" s="15" t="n">
        <v>226</v>
      </c>
      <c r="C297" s="15" t="n">
        <v>661</v>
      </c>
      <c r="D297" s="16" t="n">
        <v>7932</v>
      </c>
      <c r="E297" s="34">
        <f>B297-B296</f>
        <v/>
      </c>
      <c r="F297" s="34">
        <f>C297-C296</f>
        <v/>
      </c>
      <c r="G297" s="35">
        <f>D297-D296</f>
        <v/>
      </c>
      <c r="H297">
        <f>TEXT(A297,"DD/MM HH:MM")</f>
        <v/>
      </c>
    </row>
    <row r="298">
      <c r="A298" s="30" t="n">
        <v>46309.22638888889</v>
      </c>
      <c r="B298" s="11" t="n">
        <v>226</v>
      </c>
      <c r="C298" s="11" t="n">
        <v>661</v>
      </c>
      <c r="D298" s="12" t="n">
        <v>7932</v>
      </c>
      <c r="E298" s="31">
        <f>B298-B297</f>
        <v/>
      </c>
      <c r="F298" s="31">
        <f>C298-C297</f>
        <v/>
      </c>
      <c r="G298" s="32">
        <f>D298-D297</f>
        <v/>
      </c>
      <c r="H298">
        <f>TEXT(A298,"DD/MM HH:MM")</f>
        <v/>
      </c>
    </row>
    <row r="299">
      <c r="A299" s="33" t="n">
        <v>46309.26944444444</v>
      </c>
      <c r="B299" s="15" t="n">
        <v>226</v>
      </c>
      <c r="C299" s="15" t="n">
        <v>661</v>
      </c>
      <c r="D299" s="16" t="n">
        <v>7932</v>
      </c>
      <c r="E299" s="34">
        <f>B299-B298</f>
        <v/>
      </c>
      <c r="F299" s="34">
        <f>C299-C298</f>
        <v/>
      </c>
      <c r="G299" s="35">
        <f>D299-D298</f>
        <v/>
      </c>
      <c r="H299">
        <f>TEXT(A299,"DD/MM HH:MM")</f>
        <v/>
      </c>
    </row>
    <row r="300">
      <c r="A300" s="30" t="n">
        <v>46309.31041666667</v>
      </c>
      <c r="B300" s="11" t="n">
        <v>226</v>
      </c>
      <c r="C300" s="11" t="n">
        <v>661</v>
      </c>
      <c r="D300" s="12" t="n">
        <v>7932</v>
      </c>
      <c r="E300" s="31">
        <f>B300-B299</f>
        <v/>
      </c>
      <c r="F300" s="31">
        <f>C300-C299</f>
        <v/>
      </c>
      <c r="G300" s="32">
        <f>D300-D299</f>
        <v/>
      </c>
      <c r="H300">
        <f>TEXT(A300,"DD/MM HH:MM")</f>
        <v/>
      </c>
    </row>
    <row r="301">
      <c r="A301" s="33" t="n">
        <v>46309.35555555556</v>
      </c>
      <c r="B301" s="15" t="n">
        <v>226</v>
      </c>
      <c r="C301" s="15" t="n">
        <v>661</v>
      </c>
      <c r="D301" s="16" t="n">
        <v>7932</v>
      </c>
      <c r="E301" s="34">
        <f>B301-B300</f>
        <v/>
      </c>
      <c r="F301" s="34">
        <f>C301-C300</f>
        <v/>
      </c>
      <c r="G301" s="35">
        <f>D301-D300</f>
        <v/>
      </c>
      <c r="H301">
        <f>TEXT(A301,"DD/MM HH:MM")</f>
        <v/>
      </c>
    </row>
    <row r="302">
      <c r="A302" s="30" t="n">
        <v>46309.40069444444</v>
      </c>
      <c r="B302" s="11" t="n">
        <v>227</v>
      </c>
      <c r="C302" s="11" t="n">
        <v>666</v>
      </c>
      <c r="D302" s="12" t="n">
        <v>7992</v>
      </c>
      <c r="E302" s="31">
        <f>B302-B301</f>
        <v/>
      </c>
      <c r="F302" s="31">
        <f>C302-C301</f>
        <v/>
      </c>
      <c r="G302" s="32">
        <f>D302-D301</f>
        <v/>
      </c>
      <c r="H302">
        <f>TEXT(A302,"DD/MM HH:MM")</f>
        <v/>
      </c>
    </row>
    <row r="303">
      <c r="A303" s="33" t="n">
        <v>46309.4375</v>
      </c>
      <c r="B303" s="15" t="n">
        <v>228</v>
      </c>
      <c r="C303" s="15" t="n">
        <v>670</v>
      </c>
      <c r="D303" s="16" t="n">
        <v>8040</v>
      </c>
      <c r="E303" s="34">
        <f>B303-B302</f>
        <v/>
      </c>
      <c r="F303" s="34">
        <f>C303-C302</f>
        <v/>
      </c>
      <c r="G303" s="35">
        <f>D303-D302</f>
        <v/>
      </c>
      <c r="H303">
        <f>TEXT(A303,"DD/MM HH:MM")</f>
        <v/>
      </c>
    </row>
    <row r="304">
      <c r="A304" s="30" t="n">
        <v>46309.47916666666</v>
      </c>
      <c r="B304" s="11" t="n">
        <v>230</v>
      </c>
      <c r="C304" s="11" t="n">
        <v>674</v>
      </c>
      <c r="D304" s="12" t="n">
        <v>8088</v>
      </c>
      <c r="E304" s="31">
        <f>B304-B303</f>
        <v/>
      </c>
      <c r="F304" s="31">
        <f>C304-C303</f>
        <v/>
      </c>
      <c r="G304" s="32">
        <f>D304-D303</f>
        <v/>
      </c>
      <c r="H304">
        <f>TEXT(A304,"DD/MM HH:MM")</f>
        <v/>
      </c>
    </row>
    <row r="305">
      <c r="A305" s="33" t="n">
        <v>46309.52013888889</v>
      </c>
      <c r="B305" s="15" t="n">
        <v>231</v>
      </c>
      <c r="C305" s="15" t="n">
        <v>678</v>
      </c>
      <c r="D305" s="16" t="n">
        <v>8136</v>
      </c>
      <c r="E305" s="34">
        <f>B305-B304</f>
        <v/>
      </c>
      <c r="F305" s="34">
        <f>C305-C304</f>
        <v/>
      </c>
      <c r="G305" s="35">
        <f>D305-D304</f>
        <v/>
      </c>
      <c r="H305">
        <f>TEXT(A305,"DD/MM HH:MM")</f>
        <v/>
      </c>
    </row>
    <row r="306">
      <c r="A306" s="30" t="n">
        <v>46309.56111111111</v>
      </c>
      <c r="B306" s="11" t="n">
        <v>231</v>
      </c>
      <c r="C306" s="11" t="n">
        <v>678</v>
      </c>
      <c r="D306" s="12" t="n">
        <v>8136</v>
      </c>
      <c r="E306" s="31">
        <f>B306-B305</f>
        <v/>
      </c>
      <c r="F306" s="31">
        <f>C306-C305</f>
        <v/>
      </c>
      <c r="G306" s="32">
        <f>D306-D305</f>
        <v/>
      </c>
      <c r="H306">
        <f>TEXT(A306,"DD/MM HH:MM")</f>
        <v/>
      </c>
    </row>
    <row r="307">
      <c r="A307" s="33" t="n">
        <v>46309.60625</v>
      </c>
      <c r="B307" s="15" t="n">
        <v>234</v>
      </c>
      <c r="C307" s="15" t="n">
        <v>686</v>
      </c>
      <c r="D307" s="16" t="n">
        <v>8232</v>
      </c>
      <c r="E307" s="34">
        <f>B307-B306</f>
        <v/>
      </c>
      <c r="F307" s="34">
        <f>C307-C306</f>
        <v/>
      </c>
      <c r="G307" s="35">
        <f>D307-D306</f>
        <v/>
      </c>
      <c r="H307">
        <f>TEXT(A307,"DD/MM HH:MM")</f>
        <v/>
      </c>
    </row>
    <row r="308">
      <c r="A308" s="30" t="n">
        <v>46309.64861111111</v>
      </c>
      <c r="B308" s="11" t="n">
        <v>236</v>
      </c>
      <c r="C308" s="11" t="n">
        <v>694</v>
      </c>
      <c r="D308" s="12" t="n">
        <v>8328</v>
      </c>
      <c r="E308" s="31">
        <f>B308-B307</f>
        <v/>
      </c>
      <c r="F308" s="31">
        <f>C308-C307</f>
        <v/>
      </c>
      <c r="G308" s="32">
        <f>D308-D307</f>
        <v/>
      </c>
      <c r="H308">
        <f>TEXT(A308,"DD/MM HH:MM")</f>
        <v/>
      </c>
    </row>
    <row r="309">
      <c r="A309" s="33" t="n">
        <v>46309.68680555555</v>
      </c>
      <c r="B309" s="15" t="n">
        <v>236</v>
      </c>
      <c r="C309" s="15" t="n">
        <v>694</v>
      </c>
      <c r="D309" s="16" t="n">
        <v>8328</v>
      </c>
      <c r="E309" s="34">
        <f>B309-B308</f>
        <v/>
      </c>
      <c r="F309" s="34">
        <f>C309-C308</f>
        <v/>
      </c>
      <c r="G309" s="35">
        <f>D309-D308</f>
        <v/>
      </c>
      <c r="H309">
        <f>TEXT(A309,"DD/MM HH:MM")</f>
        <v/>
      </c>
    </row>
    <row r="310">
      <c r="A310" s="30" t="n">
        <v>46309.70555555556</v>
      </c>
      <c r="B310" s="11" t="n">
        <v>236</v>
      </c>
      <c r="C310" s="11" t="n">
        <v>694</v>
      </c>
      <c r="D310" s="12" t="n">
        <v>8328</v>
      </c>
      <c r="E310" s="31">
        <f>B310-B309</f>
        <v/>
      </c>
      <c r="F310" s="31">
        <f>C310-C309</f>
        <v/>
      </c>
      <c r="G310" s="32">
        <f>D310-D309</f>
        <v/>
      </c>
      <c r="H310">
        <f>TEXT(A310,"DD/MM HH:MM")</f>
        <v/>
      </c>
    </row>
    <row r="311">
      <c r="A311" s="33" t="n">
        <v>46309.73055555556</v>
      </c>
      <c r="B311" s="15" t="n">
        <v>238</v>
      </c>
      <c r="C311" s="15" t="n">
        <v>700</v>
      </c>
      <c r="D311" s="16" t="n">
        <v>8400</v>
      </c>
      <c r="E311" s="34">
        <f>B311-B310</f>
        <v/>
      </c>
      <c r="F311" s="34">
        <f>C311-C310</f>
        <v/>
      </c>
      <c r="G311" s="35">
        <f>D311-D310</f>
        <v/>
      </c>
      <c r="H311">
        <f>TEXT(A311,"DD/MM HH:MM")</f>
        <v/>
      </c>
    </row>
    <row r="312">
      <c r="A312" s="30" t="n">
        <v>46309.77152777778</v>
      </c>
      <c r="B312" s="11" t="n">
        <v>239</v>
      </c>
      <c r="C312" s="11" t="n">
        <v>704</v>
      </c>
      <c r="D312" s="12" t="n">
        <v>8448</v>
      </c>
      <c r="E312" s="31">
        <f>B312-B311</f>
        <v/>
      </c>
      <c r="F312" s="31">
        <f>C312-C311</f>
        <v/>
      </c>
      <c r="G312" s="32">
        <f>D312-D311</f>
        <v/>
      </c>
      <c r="H312">
        <f>TEXT(A312,"DD/MM HH:MM")</f>
        <v/>
      </c>
    </row>
    <row r="313">
      <c r="A313" s="33" t="n">
        <v>46309.81111111111</v>
      </c>
      <c r="B313" s="15" t="n">
        <v>239</v>
      </c>
      <c r="C313" s="15" t="n">
        <v>704</v>
      </c>
      <c r="D313" s="16" t="n">
        <v>8448</v>
      </c>
      <c r="E313" s="34">
        <f>B313-B312</f>
        <v/>
      </c>
      <c r="F313" s="34">
        <f>C313-C312</f>
        <v/>
      </c>
      <c r="G313" s="35">
        <f>D313-D312</f>
        <v/>
      </c>
      <c r="H313">
        <f>TEXT(A313,"DD/MM HH:MM")</f>
        <v/>
      </c>
    </row>
    <row r="314">
      <c r="A314" s="30" t="n">
        <v>46309.85277777778</v>
      </c>
      <c r="B314" s="11" t="n">
        <v>243</v>
      </c>
      <c r="C314" s="11" t="n">
        <v>717</v>
      </c>
      <c r="D314" s="12" t="n">
        <v>8604</v>
      </c>
      <c r="E314" s="31">
        <f>B314-B313</f>
        <v/>
      </c>
      <c r="F314" s="31">
        <f>C314-C313</f>
        <v/>
      </c>
      <c r="G314" s="32">
        <f>D314-D313</f>
        <v/>
      </c>
      <c r="H314">
        <f>TEXT(A314,"DD/MM HH:MM")</f>
        <v/>
      </c>
    </row>
    <row r="315">
      <c r="A315" s="33" t="n">
        <v>46309.85555555556</v>
      </c>
      <c r="B315" s="15" t="n">
        <v>243</v>
      </c>
      <c r="C315" s="15" t="n">
        <v>717</v>
      </c>
      <c r="D315" s="16" t="n">
        <v>8604</v>
      </c>
      <c r="E315" s="34">
        <f>B315-B314</f>
        <v/>
      </c>
      <c r="F315" s="34">
        <f>C315-C314</f>
        <v/>
      </c>
      <c r="G315" s="35">
        <f>D315-D314</f>
        <v/>
      </c>
      <c r="H315">
        <f>TEXT(A315,"DD/MM HH:MM")</f>
        <v/>
      </c>
    </row>
    <row r="316">
      <c r="A316" s="30" t="n">
        <v>46309.9</v>
      </c>
      <c r="B316" s="11" t="n">
        <v>245</v>
      </c>
      <c r="C316" s="11" t="n">
        <v>726</v>
      </c>
      <c r="D316" s="12" t="n">
        <v>8712</v>
      </c>
      <c r="E316" s="31">
        <f>B316-B315</f>
        <v/>
      </c>
      <c r="F316" s="31">
        <f>C316-C315</f>
        <v/>
      </c>
      <c r="G316" s="32">
        <f>D316-D315</f>
        <v/>
      </c>
      <c r="H316">
        <f>TEXT(A316,"DD/MM HH:MM")</f>
        <v/>
      </c>
    </row>
    <row r="317">
      <c r="A317" s="33" t="n">
        <v>46309.93541666667</v>
      </c>
      <c r="B317" s="15" t="n">
        <v>254</v>
      </c>
      <c r="C317" s="15" t="n">
        <v>747</v>
      </c>
      <c r="D317" s="16" t="n">
        <v>8964</v>
      </c>
      <c r="E317" s="34">
        <f>B317-B316</f>
        <v/>
      </c>
      <c r="F317" s="34">
        <f>C317-C316</f>
        <v/>
      </c>
      <c r="G317" s="35">
        <f>D317-D316</f>
        <v/>
      </c>
      <c r="H317">
        <f>TEXT(A317,"DD/MM HH:MM")</f>
        <v/>
      </c>
    </row>
    <row r="318">
      <c r="A318" s="30" t="n">
        <v>46309.97638888889</v>
      </c>
      <c r="B318" s="11" t="n">
        <v>256</v>
      </c>
      <c r="C318" s="11" t="n">
        <v>753</v>
      </c>
      <c r="D318" s="12" t="n">
        <v>9036</v>
      </c>
      <c r="E318" s="31">
        <f>B318-B317</f>
        <v/>
      </c>
      <c r="F318" s="31">
        <f>C318-C317</f>
        <v/>
      </c>
      <c r="G318" s="32">
        <f>D318-D317</f>
        <v/>
      </c>
      <c r="H318">
        <f>TEXT(A318,"DD/MM HH:MM")</f>
        <v/>
      </c>
    </row>
    <row r="319">
      <c r="A319" s="33" t="n">
        <v>46310.01666666667</v>
      </c>
      <c r="B319" s="15" t="n">
        <v>256</v>
      </c>
      <c r="C319" s="15" t="n">
        <v>753</v>
      </c>
      <c r="D319" s="16" t="n">
        <v>9036</v>
      </c>
      <c r="E319" s="34">
        <f>B319-B318</f>
        <v/>
      </c>
      <c r="F319" s="34">
        <f>C319-C318</f>
        <v/>
      </c>
      <c r="G319" s="35">
        <f>D319-D318</f>
        <v/>
      </c>
      <c r="H319">
        <f>TEXT(A319,"DD/MM HH:MM")</f>
        <v/>
      </c>
    </row>
    <row r="320">
      <c r="A320" s="30" t="n">
        <v>46310.05833333333</v>
      </c>
      <c r="B320" s="11" t="n">
        <v>256</v>
      </c>
      <c r="C320" s="11" t="n">
        <v>753</v>
      </c>
      <c r="D320" s="12" t="n">
        <v>9036</v>
      </c>
      <c r="E320" s="31">
        <f>B320-B319</f>
        <v/>
      </c>
      <c r="F320" s="31">
        <f>C320-C319</f>
        <v/>
      </c>
      <c r="G320" s="32">
        <f>D320-D319</f>
        <v/>
      </c>
      <c r="H320">
        <f>TEXT(A320,"DD/MM HH:MM")</f>
        <v/>
      </c>
    </row>
    <row r="321">
      <c r="A321" s="33" t="n">
        <v>46310.10625</v>
      </c>
      <c r="B321" s="15" t="n">
        <v>256</v>
      </c>
      <c r="C321" s="15" t="n">
        <v>753</v>
      </c>
      <c r="D321" s="16" t="n">
        <v>9036</v>
      </c>
      <c r="E321" s="34">
        <f>B321-B320</f>
        <v/>
      </c>
      <c r="F321" s="34">
        <f>C321-C320</f>
        <v/>
      </c>
      <c r="G321" s="35">
        <f>D321-D320</f>
        <v/>
      </c>
      <c r="H321">
        <f>TEXT(A321,"DD/MM HH:MM")</f>
        <v/>
      </c>
    </row>
    <row r="322">
      <c r="A322" s="30" t="n">
        <v>46310.14513888889</v>
      </c>
      <c r="B322" s="11" t="n">
        <v>256</v>
      </c>
      <c r="C322" s="11" t="n">
        <v>753</v>
      </c>
      <c r="D322" s="12" t="n">
        <v>9036</v>
      </c>
      <c r="E322" s="31">
        <f>B322-B321</f>
        <v/>
      </c>
      <c r="F322" s="31">
        <f>C322-C321</f>
        <v/>
      </c>
      <c r="G322" s="32">
        <f>D322-D321</f>
        <v/>
      </c>
      <c r="H322">
        <f>TEXT(A322,"DD/MM HH:MM")</f>
        <v/>
      </c>
    </row>
    <row r="323">
      <c r="A323" s="33" t="n">
        <v>46310.18541666667</v>
      </c>
      <c r="B323" s="15" t="n">
        <v>256</v>
      </c>
      <c r="C323" s="15" t="n">
        <v>753</v>
      </c>
      <c r="D323" s="16" t="n">
        <v>9036</v>
      </c>
      <c r="E323" s="34">
        <f>B323-B322</f>
        <v/>
      </c>
      <c r="F323" s="34">
        <f>C323-C322</f>
        <v/>
      </c>
      <c r="G323" s="35">
        <f>D323-D322</f>
        <v/>
      </c>
      <c r="H323">
        <f>TEXT(A323,"DD/MM HH:MM")</f>
        <v/>
      </c>
    </row>
    <row r="324">
      <c r="A324" s="30" t="n">
        <v>46310.22638888889</v>
      </c>
      <c r="B324" s="11" t="n">
        <v>256</v>
      </c>
      <c r="C324" s="11" t="n">
        <v>753</v>
      </c>
      <c r="D324" s="12" t="n">
        <v>9036</v>
      </c>
      <c r="E324" s="31">
        <f>B324-B323</f>
        <v/>
      </c>
      <c r="F324" s="31">
        <f>C324-C323</f>
        <v/>
      </c>
      <c r="G324" s="32">
        <f>D324-D323</f>
        <v/>
      </c>
      <c r="H324">
        <f>TEXT(A324,"DD/MM HH:MM")</f>
        <v/>
      </c>
    </row>
    <row r="325">
      <c r="A325" s="33" t="n">
        <v>46310.26805555556</v>
      </c>
      <c r="B325" s="15" t="n">
        <v>256</v>
      </c>
      <c r="C325" s="15" t="n">
        <v>753</v>
      </c>
      <c r="D325" s="16" t="n">
        <v>9036</v>
      </c>
      <c r="E325" s="34">
        <f>B325-B324</f>
        <v/>
      </c>
      <c r="F325" s="34">
        <f>C325-C324</f>
        <v/>
      </c>
      <c r="G325" s="35">
        <f>D325-D324</f>
        <v/>
      </c>
      <c r="H325">
        <f>TEXT(A325,"DD/MM HH:MM")</f>
        <v/>
      </c>
    </row>
    <row r="326">
      <c r="A326" s="30" t="n">
        <v>46310.30972222222</v>
      </c>
      <c r="B326" s="11" t="n">
        <v>256</v>
      </c>
      <c r="C326" s="11" t="n">
        <v>753</v>
      </c>
      <c r="D326" s="12" t="n">
        <v>9036</v>
      </c>
      <c r="E326" s="31">
        <f>B326-B325</f>
        <v/>
      </c>
      <c r="F326" s="31">
        <f>C326-C325</f>
        <v/>
      </c>
      <c r="G326" s="32">
        <f>D326-D325</f>
        <v/>
      </c>
      <c r="H326">
        <f>TEXT(A326,"DD/MM HH:MM")</f>
        <v/>
      </c>
    </row>
    <row r="327">
      <c r="A327" s="33" t="n">
        <v>46310.35625</v>
      </c>
      <c r="B327" s="15" t="n">
        <v>257</v>
      </c>
      <c r="C327" s="15" t="n">
        <v>758</v>
      </c>
      <c r="D327" s="16" t="n">
        <v>9096</v>
      </c>
      <c r="E327" s="34">
        <f>B327-B326</f>
        <v/>
      </c>
      <c r="F327" s="34">
        <f>C327-C326</f>
        <v/>
      </c>
      <c r="G327" s="35">
        <f>D327-D326</f>
        <v/>
      </c>
      <c r="H327">
        <f>TEXT(A327,"DD/MM HH:MM")</f>
        <v/>
      </c>
    </row>
    <row r="328">
      <c r="A328" s="30" t="n">
        <v>46310.38263888889</v>
      </c>
      <c r="B328" s="11" t="n">
        <v>257</v>
      </c>
      <c r="C328" s="11" t="n">
        <v>758</v>
      </c>
      <c r="D328" s="12" t="n">
        <v>9096</v>
      </c>
      <c r="E328" s="31">
        <f>B328-B327</f>
        <v/>
      </c>
      <c r="F328" s="31">
        <f>C328-C327</f>
        <v/>
      </c>
      <c r="G328" s="32">
        <f>D328-D327</f>
        <v/>
      </c>
      <c r="H328">
        <f>TEXT(A328,"DD/MM HH:MM")</f>
        <v/>
      </c>
    </row>
    <row r="329">
      <c r="A329" s="33" t="n">
        <v>46310.40138888889</v>
      </c>
      <c r="B329" s="15" t="n">
        <v>257</v>
      </c>
      <c r="C329" s="15" t="n">
        <v>758</v>
      </c>
      <c r="D329" s="16" t="n">
        <v>9096</v>
      </c>
      <c r="E329" s="34">
        <f>B329-B328</f>
        <v/>
      </c>
      <c r="F329" s="34">
        <f>C329-C328</f>
        <v/>
      </c>
      <c r="G329" s="35">
        <f>D329-D328</f>
        <v/>
      </c>
      <c r="H329">
        <f>TEXT(A329,"DD/MM HH:MM")</f>
        <v/>
      </c>
    </row>
    <row r="330">
      <c r="A330" s="30" t="n">
        <v>46310.43680555555</v>
      </c>
      <c r="B330" s="11" t="n">
        <v>259</v>
      </c>
      <c r="C330" s="11" t="n">
        <v>764</v>
      </c>
      <c r="D330" s="12" t="n">
        <v>9168</v>
      </c>
      <c r="E330" s="31">
        <f>B330-B329</f>
        <v/>
      </c>
      <c r="F330" s="31">
        <f>C330-C329</f>
        <v/>
      </c>
      <c r="G330" s="32">
        <f>D330-D329</f>
        <v/>
      </c>
      <c r="H330">
        <f>TEXT(A330,"DD/MM HH:MM")</f>
        <v/>
      </c>
    </row>
    <row r="331">
      <c r="A331" s="33" t="n">
        <v>46310.47916666666</v>
      </c>
      <c r="B331" s="15" t="n">
        <v>262</v>
      </c>
      <c r="C331" s="15" t="n">
        <v>772</v>
      </c>
      <c r="D331" s="16" t="n">
        <v>9264</v>
      </c>
      <c r="E331" s="34">
        <f>B331-B330</f>
        <v/>
      </c>
      <c r="F331" s="34">
        <f>C331-C330</f>
        <v/>
      </c>
      <c r="G331" s="35">
        <f>D331-D330</f>
        <v/>
      </c>
      <c r="H331">
        <f>TEXT(A331,"DD/MM HH:MM")</f>
        <v/>
      </c>
    </row>
    <row r="332">
      <c r="A332" s="30" t="n">
        <v>46310.51944444444</v>
      </c>
      <c r="B332" s="11" t="n">
        <v>263</v>
      </c>
      <c r="C332" s="11" t="n">
        <v>777</v>
      </c>
      <c r="D332" s="12" t="n">
        <v>9324</v>
      </c>
      <c r="E332" s="31">
        <f>B332-B331</f>
        <v/>
      </c>
      <c r="F332" s="31">
        <f>C332-C331</f>
        <v/>
      </c>
      <c r="G332" s="32">
        <f>D332-D331</f>
        <v/>
      </c>
      <c r="H332">
        <f>TEXT(A332,"DD/MM HH:MM")</f>
        <v/>
      </c>
    </row>
    <row r="333">
      <c r="A333" s="33" t="n">
        <v>46310.56041666667</v>
      </c>
      <c r="B333" s="15" t="n">
        <v>264</v>
      </c>
      <c r="C333" s="15" t="n">
        <v>781</v>
      </c>
      <c r="D333" s="16" t="n">
        <v>9372</v>
      </c>
      <c r="E333" s="34">
        <f>B333-B332</f>
        <v/>
      </c>
      <c r="F333" s="34">
        <f>C333-C332</f>
        <v/>
      </c>
      <c r="G333" s="35">
        <f>D333-D332</f>
        <v/>
      </c>
      <c r="H333">
        <f>TEXT(A333,"DD/MM HH:MM")</f>
        <v/>
      </c>
    </row>
    <row r="334">
      <c r="A334" s="30" t="n">
        <v>46310.56319444445</v>
      </c>
      <c r="B334" s="11" t="n">
        <v>264</v>
      </c>
      <c r="C334" s="11" t="n">
        <v>781</v>
      </c>
      <c r="D334" s="12" t="n">
        <v>9372</v>
      </c>
      <c r="E334" s="31">
        <f>B334-B333</f>
        <v/>
      </c>
      <c r="F334" s="31">
        <f>C334-C333</f>
        <v/>
      </c>
      <c r="G334" s="32">
        <f>D334-D333</f>
        <v/>
      </c>
      <c r="H334">
        <f>TEXT(A334,"DD/MM HH:MM")</f>
        <v/>
      </c>
    </row>
    <row r="335">
      <c r="A335" s="33" t="n">
        <v>46310.60625</v>
      </c>
      <c r="B335" s="15" t="n">
        <v>267</v>
      </c>
      <c r="C335" s="15" t="n">
        <v>792</v>
      </c>
      <c r="D335" s="16" t="n">
        <v>9504</v>
      </c>
      <c r="E335" s="34">
        <f>B335-B334</f>
        <v/>
      </c>
      <c r="F335" s="34">
        <f>C335-C334</f>
        <v/>
      </c>
      <c r="G335" s="35">
        <f>D335-D334</f>
        <v/>
      </c>
      <c r="H335">
        <f>TEXT(A335,"DD/MM HH:MM")</f>
        <v/>
      </c>
    </row>
    <row r="336">
      <c r="A336" s="30" t="n">
        <v>46310.65208333333</v>
      </c>
      <c r="B336" s="11" t="n">
        <v>268</v>
      </c>
      <c r="C336" s="11" t="n">
        <v>794</v>
      </c>
      <c r="D336" s="12" t="n">
        <v>9528</v>
      </c>
      <c r="E336" s="31">
        <f>B336-B335</f>
        <v/>
      </c>
      <c r="F336" s="31">
        <f>C336-C335</f>
        <v/>
      </c>
      <c r="G336" s="32">
        <f>D336-D335</f>
        <v/>
      </c>
      <c r="H336">
        <f>TEXT(A336,"DD/MM HH:MM")</f>
        <v/>
      </c>
    </row>
    <row r="337">
      <c r="A337" s="33" t="n">
        <v>46310.6875</v>
      </c>
      <c r="B337" s="15" t="n">
        <v>269</v>
      </c>
      <c r="C337" s="15" t="n">
        <v>797</v>
      </c>
      <c r="D337" s="16" t="n">
        <v>9564</v>
      </c>
      <c r="E337" s="34">
        <f>B337-B336</f>
        <v/>
      </c>
      <c r="F337" s="34">
        <f>C337-C336</f>
        <v/>
      </c>
      <c r="G337" s="35">
        <f>D337-D336</f>
        <v/>
      </c>
      <c r="H337">
        <f>TEXT(A337,"DD/MM HH:MM")</f>
        <v/>
      </c>
    </row>
    <row r="338">
      <c r="A338" s="30" t="n">
        <v>46310.72916666666</v>
      </c>
      <c r="B338" s="11" t="n">
        <v>269</v>
      </c>
      <c r="C338" s="11" t="n">
        <v>797</v>
      </c>
      <c r="D338" s="12" t="n">
        <v>9564</v>
      </c>
      <c r="E338" s="31">
        <f>B338-B337</f>
        <v/>
      </c>
      <c r="F338" s="31">
        <f>C338-C337</f>
        <v/>
      </c>
      <c r="G338" s="32">
        <f>D338-D337</f>
        <v/>
      </c>
      <c r="H338">
        <f>TEXT(A338,"DD/MM HH:MM")</f>
        <v/>
      </c>
    </row>
    <row r="339">
      <c r="A339" s="33" t="n">
        <v>46310.73055555556</v>
      </c>
      <c r="B339" s="15" t="n">
        <v>269</v>
      </c>
      <c r="C339" s="15" t="n">
        <v>797</v>
      </c>
      <c r="D339" s="16" t="n">
        <v>9564</v>
      </c>
      <c r="E339" s="34">
        <f>B339-B338</f>
        <v/>
      </c>
      <c r="F339" s="34">
        <f>C339-C338</f>
        <v/>
      </c>
      <c r="G339" s="35">
        <f>D339-D338</f>
        <v/>
      </c>
      <c r="H339">
        <f>TEXT(A339,"DD/MM HH:MM")</f>
        <v/>
      </c>
    </row>
    <row r="340">
      <c r="A340" s="30" t="n">
        <v>46310.76944444444</v>
      </c>
      <c r="B340" s="11" t="n">
        <v>269</v>
      </c>
      <c r="C340" s="11" t="n">
        <v>797</v>
      </c>
      <c r="D340" s="12" t="n">
        <v>9564</v>
      </c>
      <c r="E340" s="31">
        <f>B340-B339</f>
        <v/>
      </c>
      <c r="F340" s="31">
        <f>C340-C339</f>
        <v/>
      </c>
      <c r="G340" s="32">
        <f>D340-D339</f>
        <v/>
      </c>
      <c r="H340">
        <f>TEXT(A340,"DD/MM HH:MM")</f>
        <v/>
      </c>
    </row>
    <row r="341">
      <c r="A341" s="33" t="n">
        <v>46310.77361111111</v>
      </c>
      <c r="B341" s="15" t="n">
        <v>270</v>
      </c>
      <c r="C341" s="15" t="n">
        <v>799</v>
      </c>
      <c r="D341" s="16" t="n">
        <v>9588</v>
      </c>
      <c r="E341" s="34">
        <f>B341-B340</f>
        <v/>
      </c>
      <c r="F341" s="34">
        <f>C341-C340</f>
        <v/>
      </c>
      <c r="G341" s="35">
        <f>D341-D340</f>
        <v/>
      </c>
      <c r="H341">
        <f>TEXT(A341,"DD/MM HH:MM")</f>
        <v/>
      </c>
    </row>
    <row r="342">
      <c r="A342" s="30" t="n">
        <v>46310.79236111111</v>
      </c>
      <c r="B342" s="11" t="n">
        <v>275</v>
      </c>
      <c r="C342" s="11" t="n">
        <v>812</v>
      </c>
      <c r="D342" s="12" t="n">
        <v>9744</v>
      </c>
      <c r="E342" s="31">
        <f>B342-B341</f>
        <v/>
      </c>
      <c r="F342" s="31">
        <f>C342-C341</f>
        <v/>
      </c>
      <c r="G342" s="32">
        <f>D342-D341</f>
        <v/>
      </c>
      <c r="H342">
        <f>TEXT(A342,"DD/MM HH:MM")</f>
        <v/>
      </c>
    </row>
    <row r="343">
      <c r="A343" s="33" t="n">
        <v>46310.81111111111</v>
      </c>
      <c r="B343" s="15" t="n">
        <v>278</v>
      </c>
      <c r="C343" s="15" t="n">
        <v>821</v>
      </c>
      <c r="D343" s="16" t="n">
        <v>9852</v>
      </c>
      <c r="E343" s="34">
        <f>B343-B342</f>
        <v/>
      </c>
      <c r="F343" s="34">
        <f>C343-C342</f>
        <v/>
      </c>
      <c r="G343" s="35">
        <f>D343-D342</f>
        <v/>
      </c>
      <c r="H343">
        <f>TEXT(A343,"DD/MM HH:MM")</f>
        <v/>
      </c>
    </row>
    <row r="344">
      <c r="A344" s="30" t="n">
        <v>46310.84930555556</v>
      </c>
      <c r="B344" s="11" t="n">
        <v>281</v>
      </c>
      <c r="C344" s="11" t="n">
        <v>829</v>
      </c>
      <c r="D344" s="12" t="n">
        <v>9948</v>
      </c>
      <c r="E344" s="31">
        <f>B344-B343</f>
        <v/>
      </c>
      <c r="F344" s="31">
        <f>C344-C343</f>
        <v/>
      </c>
      <c r="G344" s="32">
        <f>D344-D343</f>
        <v/>
      </c>
      <c r="H344">
        <f>TEXT(A344,"DD/MM HH:MM")</f>
        <v/>
      </c>
    </row>
    <row r="345">
      <c r="A345" s="33" t="n">
        <v>46310.85277777778</v>
      </c>
      <c r="B345" s="15" t="n">
        <v>281</v>
      </c>
      <c r="C345" s="15" t="n">
        <v>829</v>
      </c>
      <c r="D345" s="16" t="n">
        <v>9948</v>
      </c>
      <c r="E345" s="34">
        <f>B345-B344</f>
        <v/>
      </c>
      <c r="F345" s="34">
        <f>C345-C344</f>
        <v/>
      </c>
      <c r="G345" s="35">
        <f>D345-D344</f>
        <v/>
      </c>
      <c r="H345">
        <f>TEXT(A345,"DD/MM HH:MM")</f>
        <v/>
      </c>
    </row>
    <row r="346">
      <c r="A346" s="30" t="n">
        <v>46310.89444444444</v>
      </c>
      <c r="B346" s="11" t="n">
        <v>284</v>
      </c>
      <c r="C346" s="11" t="n">
        <v>839</v>
      </c>
      <c r="D346" s="12" t="n">
        <v>10068</v>
      </c>
      <c r="E346" s="31">
        <f>B346-B345</f>
        <v/>
      </c>
      <c r="F346" s="31">
        <f>C346-C345</f>
        <v/>
      </c>
      <c r="G346" s="32">
        <f>D346-D345</f>
        <v/>
      </c>
      <c r="H346">
        <f>TEXT(A346,"DD/MM HH:MM")</f>
        <v/>
      </c>
    </row>
    <row r="347">
      <c r="A347" s="33" t="n">
        <v>46310.92430555556</v>
      </c>
      <c r="B347" s="15" t="n">
        <v>288</v>
      </c>
      <c r="C347" s="15" t="n">
        <v>847</v>
      </c>
      <c r="D347" s="16" t="n">
        <v>10164</v>
      </c>
      <c r="E347" s="34">
        <f>B347-B346</f>
        <v/>
      </c>
      <c r="F347" s="34">
        <f>C347-C346</f>
        <v/>
      </c>
      <c r="G347" s="35">
        <f>D347-D346</f>
        <v/>
      </c>
      <c r="H347">
        <f>TEXT(A347,"DD/MM HH:MM")</f>
        <v/>
      </c>
    </row>
    <row r="348">
      <c r="A348" s="30" t="n">
        <v>46310.93333333333</v>
      </c>
      <c r="B348" s="11" t="n">
        <v>288</v>
      </c>
      <c r="C348" s="11" t="n">
        <v>847</v>
      </c>
      <c r="D348" s="12" t="n">
        <v>10164</v>
      </c>
      <c r="E348" s="31">
        <f>B348-B347</f>
        <v/>
      </c>
      <c r="F348" s="31">
        <f>C348-C347</f>
        <v/>
      </c>
      <c r="G348" s="32">
        <f>D348-D347</f>
        <v/>
      </c>
      <c r="H348">
        <f>TEXT(A348,"DD/MM HH:MM")</f>
        <v/>
      </c>
    </row>
    <row r="349">
      <c r="A349" s="33" t="n">
        <v>46310.94513888889</v>
      </c>
      <c r="B349" s="15" t="n">
        <v>290</v>
      </c>
      <c r="C349" s="15" t="n">
        <v>853</v>
      </c>
      <c r="D349" s="16" t="n">
        <v>10236</v>
      </c>
      <c r="E349" s="34">
        <f>B349-B348</f>
        <v/>
      </c>
      <c r="F349" s="34">
        <f>C349-C348</f>
        <v/>
      </c>
      <c r="G349" s="35">
        <f>D349-D348</f>
        <v/>
      </c>
      <c r="H349">
        <f>TEXT(A349,"DD/MM HH:MM")</f>
        <v/>
      </c>
    </row>
    <row r="350">
      <c r="A350" s="30" t="n">
        <v>46310.97777777778</v>
      </c>
      <c r="B350" s="11" t="n">
        <v>292</v>
      </c>
      <c r="C350" s="11" t="n">
        <v>861</v>
      </c>
      <c r="D350" s="12" t="n">
        <v>10332</v>
      </c>
      <c r="E350" s="31">
        <f>B350-B349</f>
        <v/>
      </c>
      <c r="F350" s="31">
        <f>C350-C349</f>
        <v/>
      </c>
      <c r="G350" s="32">
        <f>D350-D349</f>
        <v/>
      </c>
      <c r="H350">
        <f>TEXT(A350,"DD/MM HH:MM")</f>
        <v/>
      </c>
    </row>
    <row r="351">
      <c r="A351" s="33" t="n">
        <v>46310.98680555556</v>
      </c>
      <c r="B351" s="15" t="n">
        <v>292</v>
      </c>
      <c r="C351" s="15" t="n">
        <v>861</v>
      </c>
      <c r="D351" s="16" t="n">
        <v>10332</v>
      </c>
      <c r="E351" s="34">
        <f>B351-B350</f>
        <v/>
      </c>
      <c r="F351" s="34">
        <f>C351-C350</f>
        <v/>
      </c>
      <c r="G351" s="35">
        <f>D351-D350</f>
        <v/>
      </c>
      <c r="H351">
        <f>TEXT(A351,"DD/MM HH:MM")</f>
        <v/>
      </c>
    </row>
    <row r="352">
      <c r="A352" s="30" t="n">
        <v>46311.01736111111</v>
      </c>
      <c r="B352" s="11" t="n">
        <v>294</v>
      </c>
      <c r="C352" s="11" t="n">
        <v>869</v>
      </c>
      <c r="D352" s="12" t="n">
        <v>10428</v>
      </c>
      <c r="E352" s="31">
        <f>B352-B351</f>
        <v/>
      </c>
      <c r="F352" s="31">
        <f>C352-C351</f>
        <v/>
      </c>
      <c r="G352" s="32">
        <f>D352-D351</f>
        <v/>
      </c>
      <c r="H352">
        <f>TEXT(A352,"DD/MM HH:MM")</f>
        <v/>
      </c>
    </row>
    <row r="353">
      <c r="A353" s="33" t="n">
        <v>46311.02013888889</v>
      </c>
      <c r="B353" s="15" t="n">
        <v>294</v>
      </c>
      <c r="C353" s="15" t="n">
        <v>869</v>
      </c>
      <c r="D353" s="16" t="n">
        <v>10428</v>
      </c>
      <c r="E353" s="34">
        <f>B353-B352</f>
        <v/>
      </c>
      <c r="F353" s="34">
        <f>C353-C352</f>
        <v/>
      </c>
      <c r="G353" s="35">
        <f>D353-D352</f>
        <v/>
      </c>
      <c r="H353">
        <f>TEXT(A353,"DD/MM HH:MM")</f>
        <v/>
      </c>
    </row>
    <row r="354">
      <c r="A354" s="30" t="n">
        <v>46311.05625</v>
      </c>
      <c r="B354" s="11" t="n">
        <v>296</v>
      </c>
      <c r="C354" s="11" t="n">
        <v>877</v>
      </c>
      <c r="D354" s="12" t="n">
        <v>10524</v>
      </c>
      <c r="E354" s="31">
        <f>B354-B353</f>
        <v/>
      </c>
      <c r="F354" s="31">
        <f>C354-C353</f>
        <v/>
      </c>
      <c r="G354" s="32">
        <f>D354-D353</f>
        <v/>
      </c>
      <c r="H354">
        <f>TEXT(A354,"DD/MM HH:MM")</f>
        <v/>
      </c>
    </row>
    <row r="355">
      <c r="A355" s="33" t="n">
        <v>46311.10486111111</v>
      </c>
      <c r="B355" s="15" t="n">
        <v>296</v>
      </c>
      <c r="C355" s="15" t="n">
        <v>877</v>
      </c>
      <c r="D355" s="16" t="n">
        <v>10524</v>
      </c>
      <c r="E355" s="34">
        <f>B355-B354</f>
        <v/>
      </c>
      <c r="F355" s="34">
        <f>C355-C354</f>
        <v/>
      </c>
      <c r="G355" s="35">
        <f>D355-D354</f>
        <v/>
      </c>
      <c r="H355">
        <f>TEXT(A355,"DD/MM HH:MM")</f>
        <v/>
      </c>
    </row>
    <row r="356">
      <c r="A356" s="30" t="n">
        <v>46311.14444444444</v>
      </c>
      <c r="B356" s="11" t="n">
        <v>296</v>
      </c>
      <c r="C356" s="11" t="n">
        <v>877</v>
      </c>
      <c r="D356" s="12" t="n">
        <v>10524</v>
      </c>
      <c r="E356" s="31">
        <f>B356-B355</f>
        <v/>
      </c>
      <c r="F356" s="31">
        <f>C356-C355</f>
        <v/>
      </c>
      <c r="G356" s="32">
        <f>D356-D355</f>
        <v/>
      </c>
      <c r="H356">
        <f>TEXT(A356,"DD/MM HH:MM")</f>
        <v/>
      </c>
    </row>
    <row r="357">
      <c r="A357" s="33" t="n">
        <v>46311.18472222222</v>
      </c>
      <c r="B357" s="15" t="n">
        <v>296</v>
      </c>
      <c r="C357" s="15" t="n">
        <v>877</v>
      </c>
      <c r="D357" s="16" t="n">
        <v>10524</v>
      </c>
      <c r="E357" s="34">
        <f>B357-B356</f>
        <v/>
      </c>
      <c r="F357" s="34">
        <f>C357-C356</f>
        <v/>
      </c>
      <c r="G357" s="35">
        <f>D357-D356</f>
        <v/>
      </c>
      <c r="H357">
        <f>TEXT(A357,"DD/MM HH:MM")</f>
        <v/>
      </c>
    </row>
    <row r="358">
      <c r="A358" s="30" t="n">
        <v>46311.22638888889</v>
      </c>
      <c r="B358" s="11" t="n">
        <v>296</v>
      </c>
      <c r="C358" s="11" t="n">
        <v>877</v>
      </c>
      <c r="D358" s="12" t="n">
        <v>10524</v>
      </c>
      <c r="E358" s="31">
        <f>B358-B357</f>
        <v/>
      </c>
      <c r="F358" s="31">
        <f>C358-C357</f>
        <v/>
      </c>
      <c r="G358" s="32">
        <f>D358-D357</f>
        <v/>
      </c>
      <c r="H358">
        <f>TEXT(A358,"DD/MM HH:MM")</f>
        <v/>
      </c>
    </row>
    <row r="359">
      <c r="A359" s="33" t="n">
        <v>46311.26875</v>
      </c>
      <c r="B359" s="15" t="n">
        <v>296</v>
      </c>
      <c r="C359" s="15" t="n">
        <v>877</v>
      </c>
      <c r="D359" s="16" t="n">
        <v>10524</v>
      </c>
      <c r="E359" s="34">
        <f>B359-B358</f>
        <v/>
      </c>
      <c r="F359" s="34">
        <f>C359-C358</f>
        <v/>
      </c>
      <c r="G359" s="35">
        <f>D359-D358</f>
        <v/>
      </c>
      <c r="H359">
        <f>TEXT(A359,"DD/MM HH:MM")</f>
        <v/>
      </c>
    </row>
    <row r="360">
      <c r="A360" s="30" t="n">
        <v>46311.30972222222</v>
      </c>
      <c r="B360" s="11" t="n">
        <v>296</v>
      </c>
      <c r="C360" s="11" t="n">
        <v>877</v>
      </c>
      <c r="D360" s="12" t="n">
        <v>10524</v>
      </c>
      <c r="E360" s="31">
        <f>B360-B359</f>
        <v/>
      </c>
      <c r="F360" s="31">
        <f>C360-C359</f>
        <v/>
      </c>
      <c r="G360" s="32">
        <f>D360-D359</f>
        <v/>
      </c>
      <c r="H360">
        <f>TEXT(A360,"DD/MM HH:MM")</f>
        <v/>
      </c>
    </row>
    <row r="361">
      <c r="A361" s="33" t="n">
        <v>46311.35486111111</v>
      </c>
      <c r="B361" s="15" t="n">
        <v>297</v>
      </c>
      <c r="C361" s="15" t="n">
        <v>881</v>
      </c>
      <c r="D361" s="16" t="n">
        <v>10572</v>
      </c>
      <c r="E361" s="34">
        <f>B361-B360</f>
        <v/>
      </c>
      <c r="F361" s="34">
        <f>C361-C360</f>
        <v/>
      </c>
      <c r="G361" s="35">
        <f>D361-D360</f>
        <v/>
      </c>
      <c r="H361">
        <f>TEXT(A361,"DD/MM HH:MM")</f>
        <v/>
      </c>
    </row>
    <row r="362">
      <c r="A362" s="30" t="n">
        <v>46311.39444444444</v>
      </c>
      <c r="B362" s="11" t="n">
        <v>297</v>
      </c>
      <c r="C362" s="11" t="n">
        <v>881</v>
      </c>
      <c r="D362" s="12" t="n">
        <v>10572</v>
      </c>
      <c r="E362" s="31">
        <f>B362-B361</f>
        <v/>
      </c>
      <c r="F362" s="31">
        <f>C362-C361</f>
        <v/>
      </c>
      <c r="G362" s="32">
        <f>D362-D361</f>
        <v/>
      </c>
      <c r="H362">
        <f>TEXT(A362,"DD/MM HH:MM")</f>
        <v/>
      </c>
    </row>
    <row r="363">
      <c r="A363" s="33" t="n">
        <v>46311.39930555555</v>
      </c>
      <c r="B363" s="15" t="n">
        <v>297</v>
      </c>
      <c r="C363" s="15" t="n">
        <v>881</v>
      </c>
      <c r="D363" s="16" t="n">
        <v>10572</v>
      </c>
      <c r="E363" s="34">
        <f>B363-B362</f>
        <v/>
      </c>
      <c r="F363" s="34">
        <f>C363-C362</f>
        <v/>
      </c>
      <c r="G363" s="35">
        <f>D363-D362</f>
        <v/>
      </c>
      <c r="H363">
        <f>TEXT(A363,"DD/MM HH:MM")</f>
        <v/>
      </c>
    </row>
    <row r="364">
      <c r="A364" s="30" t="n">
        <v>46311.43611111111</v>
      </c>
      <c r="B364" s="11" t="n">
        <v>297</v>
      </c>
      <c r="C364" s="11" t="n">
        <v>881</v>
      </c>
      <c r="D364" s="12" t="n">
        <v>10572</v>
      </c>
      <c r="E364" s="31">
        <f>B364-B363</f>
        <v/>
      </c>
      <c r="F364" s="31">
        <f>C364-C363</f>
        <v/>
      </c>
      <c r="G364" s="32">
        <f>D364-D363</f>
        <v/>
      </c>
      <c r="H364">
        <f>TEXT(A364,"DD/MM HH:MM")</f>
        <v/>
      </c>
    </row>
    <row r="365">
      <c r="A365" s="33" t="n">
        <v>46311.47847222222</v>
      </c>
      <c r="B365" s="15" t="n">
        <v>298</v>
      </c>
      <c r="C365" s="15" t="n">
        <v>886</v>
      </c>
      <c r="D365" s="16" t="n">
        <v>10632</v>
      </c>
      <c r="E365" s="34">
        <f>B365-B364</f>
        <v/>
      </c>
      <c r="F365" s="34">
        <f>C365-C364</f>
        <v/>
      </c>
      <c r="G365" s="35">
        <f>D365-D364</f>
        <v/>
      </c>
      <c r="H365">
        <f>TEXT(A365,"DD/MM HH:MM")</f>
        <v/>
      </c>
    </row>
    <row r="366">
      <c r="A366" s="30" t="n">
        <v>46311.51944444444</v>
      </c>
      <c r="B366" s="11" t="n">
        <v>302</v>
      </c>
      <c r="C366" s="11" t="n">
        <v>898</v>
      </c>
      <c r="D366" s="12" t="n">
        <v>10776</v>
      </c>
      <c r="E366" s="31">
        <f>B366-B365</f>
        <v/>
      </c>
      <c r="F366" s="31">
        <f>C366-C365</f>
        <v/>
      </c>
      <c r="G366" s="32">
        <f>D366-D365</f>
        <v/>
      </c>
      <c r="H366">
        <f>TEXT(A366,"DD/MM HH:MM")</f>
        <v/>
      </c>
    </row>
    <row r="367">
      <c r="A367" s="33" t="n">
        <v>46311.56041666667</v>
      </c>
      <c r="B367" s="15" t="n">
        <v>307</v>
      </c>
      <c r="C367" s="15" t="n">
        <v>911</v>
      </c>
      <c r="D367" s="16" t="n">
        <v>10932</v>
      </c>
      <c r="E367" s="34">
        <f>B367-B366</f>
        <v/>
      </c>
      <c r="F367" s="34">
        <f>C367-C366</f>
        <v/>
      </c>
      <c r="G367" s="35">
        <f>D367-D366</f>
        <v/>
      </c>
      <c r="H367">
        <f>TEXT(A367,"DD/MM HH:MM")</f>
        <v/>
      </c>
    </row>
    <row r="368">
      <c r="A368" s="30" t="n">
        <v>46311.60625</v>
      </c>
      <c r="B368" s="11" t="n">
        <v>312</v>
      </c>
      <c r="C368" s="11" t="n">
        <v>925</v>
      </c>
      <c r="D368" s="12" t="n">
        <v>11100</v>
      </c>
      <c r="E368" s="31">
        <f>B368-B367</f>
        <v/>
      </c>
      <c r="F368" s="31">
        <f>C368-C367</f>
        <v/>
      </c>
      <c r="G368" s="32">
        <f>D368-D367</f>
        <v/>
      </c>
      <c r="H368">
        <f>TEXT(A368,"DD/MM HH:MM")</f>
        <v/>
      </c>
    </row>
    <row r="369">
      <c r="A369" s="33" t="n">
        <v>46311.625</v>
      </c>
      <c r="B369" s="15" t="n">
        <v>313</v>
      </c>
      <c r="C369" s="15" t="n">
        <v>929</v>
      </c>
      <c r="D369" s="16" t="n">
        <v>11148</v>
      </c>
      <c r="E369" s="34">
        <f>B369-B368</f>
        <v/>
      </c>
      <c r="F369" s="34">
        <f>C369-C368</f>
        <v/>
      </c>
      <c r="G369" s="35">
        <f>D369-D368</f>
        <v/>
      </c>
      <c r="H369">
        <f>TEXT(A369,"DD/MM HH:MM")</f>
        <v/>
      </c>
    </row>
    <row r="370">
      <c r="A370" s="30" t="n">
        <v>46311.65</v>
      </c>
      <c r="B370" s="11" t="n">
        <v>314</v>
      </c>
      <c r="C370" s="11" t="n">
        <v>933</v>
      </c>
      <c r="D370" s="12" t="n">
        <v>11196</v>
      </c>
      <c r="E370" s="31">
        <f>B370-B369</f>
        <v/>
      </c>
      <c r="F370" s="31">
        <f>C370-C369</f>
        <v/>
      </c>
      <c r="G370" s="32">
        <f>D370-D369</f>
        <v/>
      </c>
      <c r="H370">
        <f>TEXT(A370,"DD/MM HH:MM")</f>
        <v/>
      </c>
    </row>
    <row r="371">
      <c r="A371" s="33" t="n">
        <v>46311.66805555556</v>
      </c>
      <c r="B371" s="15" t="n">
        <v>314</v>
      </c>
      <c r="C371" s="15" t="n">
        <v>933</v>
      </c>
      <c r="D371" s="16" t="n">
        <v>11196</v>
      </c>
      <c r="E371" s="34">
        <f>B371-B370</f>
        <v/>
      </c>
      <c r="F371" s="34">
        <f>C371-C370</f>
        <v/>
      </c>
      <c r="G371" s="35">
        <f>D371-D370</f>
        <v/>
      </c>
      <c r="H371">
        <f>TEXT(A371,"DD/MM HH:MM")</f>
        <v/>
      </c>
    </row>
    <row r="372">
      <c r="A372" s="30" t="n">
        <v>46311.6875</v>
      </c>
      <c r="B372" s="11" t="n">
        <v>315</v>
      </c>
      <c r="C372" s="11" t="n">
        <v>935</v>
      </c>
      <c r="D372" s="12" t="n">
        <v>11220</v>
      </c>
      <c r="E372" s="31">
        <f>B372-B371</f>
        <v/>
      </c>
      <c r="F372" s="31">
        <f>C372-C371</f>
        <v/>
      </c>
      <c r="G372" s="32">
        <f>D372-D371</f>
        <v/>
      </c>
      <c r="H372">
        <f>TEXT(A372,"DD/MM HH:MM")</f>
        <v/>
      </c>
    </row>
    <row r="373">
      <c r="A373" s="33" t="n">
        <v>46311.70972222222</v>
      </c>
      <c r="B373" s="15" t="n">
        <v>315</v>
      </c>
      <c r="C373" s="15" t="n">
        <v>935</v>
      </c>
      <c r="D373" s="16" t="n">
        <v>11220</v>
      </c>
      <c r="E373" s="34">
        <f>B373-B372</f>
        <v/>
      </c>
      <c r="F373" s="34">
        <f>C373-C372</f>
        <v/>
      </c>
      <c r="G373" s="35">
        <f>D373-D372</f>
        <v/>
      </c>
      <c r="H373">
        <f>TEXT(A373,"DD/MM HH:MM")</f>
        <v/>
      </c>
    </row>
    <row r="374">
      <c r="A374" s="30" t="n">
        <v>46311.72638888889</v>
      </c>
      <c r="B374" s="11" t="n">
        <v>320</v>
      </c>
      <c r="C374" s="11" t="n">
        <v>948</v>
      </c>
      <c r="D374" s="12" t="n">
        <v>11376</v>
      </c>
      <c r="E374" s="31">
        <f>B374-B373</f>
        <v/>
      </c>
      <c r="F374" s="31">
        <f>C374-C373</f>
        <v/>
      </c>
      <c r="G374" s="32">
        <f>D374-D373</f>
        <v/>
      </c>
      <c r="H374">
        <f>TEXT(A374,"DD/MM HH:MM")</f>
        <v/>
      </c>
    </row>
    <row r="375">
      <c r="A375" s="33" t="n">
        <v>46311.76875</v>
      </c>
      <c r="B375" s="15" t="n">
        <v>321</v>
      </c>
      <c r="C375" s="15" t="n">
        <v>952</v>
      </c>
      <c r="D375" s="16" t="n">
        <v>11424</v>
      </c>
      <c r="E375" s="34">
        <f>B375-B374</f>
        <v/>
      </c>
      <c r="F375" s="34">
        <f>C375-C374</f>
        <v/>
      </c>
      <c r="G375" s="35">
        <f>D375-D374</f>
        <v/>
      </c>
      <c r="H375">
        <f>TEXT(A375,"DD/MM HH:MM")</f>
        <v/>
      </c>
    </row>
    <row r="376">
      <c r="A376" s="30" t="n">
        <v>46311.80833333333</v>
      </c>
      <c r="B376" s="11" t="n">
        <v>323</v>
      </c>
      <c r="C376" s="11" t="n">
        <v>956</v>
      </c>
      <c r="D376" s="12" t="n">
        <v>11472</v>
      </c>
      <c r="E376" s="31">
        <f>B376-B375</f>
        <v/>
      </c>
      <c r="F376" s="31">
        <f>C376-C375</f>
        <v/>
      </c>
      <c r="G376" s="32">
        <f>D376-D375</f>
        <v/>
      </c>
      <c r="H376">
        <f>TEXT(A376,"DD/MM HH:MM")</f>
        <v/>
      </c>
    </row>
    <row r="377">
      <c r="A377" s="33" t="n">
        <v>46311.84444444445</v>
      </c>
      <c r="B377" s="15" t="n">
        <v>325</v>
      </c>
      <c r="C377" s="15" t="n">
        <v>964</v>
      </c>
      <c r="D377" s="16" t="n">
        <v>11568</v>
      </c>
      <c r="E377" s="34">
        <f>B377-B376</f>
        <v/>
      </c>
      <c r="F377" s="34">
        <f>C377-C376</f>
        <v/>
      </c>
      <c r="G377" s="35">
        <f>D377-D376</f>
        <v/>
      </c>
      <c r="H377">
        <f>TEXT(A377,"DD/MM HH:MM")</f>
        <v/>
      </c>
    </row>
    <row r="378">
      <c r="A378" s="30" t="n">
        <v>46311.85208333333</v>
      </c>
      <c r="B378" s="11" t="n">
        <v>325</v>
      </c>
      <c r="C378" s="11" t="n">
        <v>964</v>
      </c>
      <c r="D378" s="12" t="n">
        <v>11568</v>
      </c>
      <c r="E378" s="31">
        <f>B378-B377</f>
        <v/>
      </c>
      <c r="F378" s="31">
        <f>C378-C377</f>
        <v/>
      </c>
      <c r="G378" s="32">
        <f>D378-D377</f>
        <v/>
      </c>
      <c r="H378">
        <f>TEXT(A378,"DD/MM HH:MM")</f>
        <v/>
      </c>
    </row>
    <row r="379">
      <c r="A379" s="33" t="n">
        <v>46311.87847222222</v>
      </c>
      <c r="B379" s="15" t="n">
        <v>326</v>
      </c>
      <c r="C379" s="15" t="n">
        <v>968</v>
      </c>
      <c r="D379" s="16" t="n">
        <v>11616</v>
      </c>
      <c r="E379" s="34">
        <f>B379-B378</f>
        <v/>
      </c>
      <c r="F379" s="34">
        <f>C379-C378</f>
        <v/>
      </c>
      <c r="G379" s="35">
        <f>D379-D378</f>
        <v/>
      </c>
      <c r="H379">
        <f>TEXT(A379,"DD/MM HH:MM")</f>
        <v/>
      </c>
    </row>
    <row r="380">
      <c r="A380" s="30" t="n">
        <v>46311.89305555556</v>
      </c>
      <c r="B380" s="11" t="n">
        <v>326</v>
      </c>
      <c r="C380" s="11" t="n">
        <v>968</v>
      </c>
      <c r="D380" s="12" t="n">
        <v>11616</v>
      </c>
      <c r="E380" s="31">
        <f>B380-B379</f>
        <v/>
      </c>
      <c r="F380" s="31">
        <f>C380-C379</f>
        <v/>
      </c>
      <c r="G380" s="32">
        <f>D380-D379</f>
        <v/>
      </c>
      <c r="H380">
        <f>TEXT(A380,"DD/MM HH:MM")</f>
        <v/>
      </c>
    </row>
    <row r="381">
      <c r="A381" s="33" t="n">
        <v>46311.92361111111</v>
      </c>
      <c r="B381" s="15" t="n">
        <v>326</v>
      </c>
      <c r="C381" s="15" t="n">
        <v>968</v>
      </c>
      <c r="D381" s="16" t="n">
        <v>11616</v>
      </c>
      <c r="E381" s="34">
        <f>B381-B380</f>
        <v/>
      </c>
      <c r="F381" s="34">
        <f>C381-C380</f>
        <v/>
      </c>
      <c r="G381" s="35">
        <f>D381-D380</f>
        <v/>
      </c>
      <c r="H381">
        <f>TEXT(A381,"DD/MM HH:MM")</f>
        <v/>
      </c>
    </row>
    <row r="382">
      <c r="A382" s="30" t="n">
        <v>46311.93263888889</v>
      </c>
      <c r="B382" s="11" t="n">
        <v>327</v>
      </c>
      <c r="C382" s="11" t="n">
        <v>972</v>
      </c>
      <c r="D382" s="12" t="n">
        <v>11664</v>
      </c>
      <c r="E382" s="31">
        <f>B382-B381</f>
        <v/>
      </c>
      <c r="F382" s="31">
        <f>C382-C381</f>
        <v/>
      </c>
      <c r="G382" s="32">
        <f>D382-D381</f>
        <v/>
      </c>
      <c r="H382">
        <f>TEXT(A382,"DD/MM HH:MM")</f>
        <v/>
      </c>
    </row>
    <row r="383">
      <c r="A383" s="33" t="n">
        <v>46311.95416666667</v>
      </c>
      <c r="B383" s="15" t="n">
        <v>329</v>
      </c>
      <c r="C383" s="15" t="n">
        <v>979</v>
      </c>
      <c r="D383" s="16" t="n">
        <v>11748</v>
      </c>
      <c r="E383" s="34">
        <f>B383-B382</f>
        <v/>
      </c>
      <c r="F383" s="34">
        <f>C383-C382</f>
        <v/>
      </c>
      <c r="G383" s="35">
        <f>D383-D382</f>
        <v/>
      </c>
      <c r="H383">
        <f>TEXT(A383,"DD/MM HH:MM")</f>
        <v/>
      </c>
    </row>
    <row r="384">
      <c r="A384" s="30" t="n">
        <v>46311.975</v>
      </c>
      <c r="B384" s="11" t="n">
        <v>330</v>
      </c>
      <c r="C384" s="11" t="n">
        <v>983</v>
      </c>
      <c r="D384" s="12" t="n">
        <v>11796</v>
      </c>
      <c r="E384" s="31">
        <f>B384-B383</f>
        <v/>
      </c>
      <c r="F384" s="31">
        <f>C384-C383</f>
        <v/>
      </c>
      <c r="G384" s="32">
        <f>D384-D383</f>
        <v/>
      </c>
      <c r="H384">
        <f>TEXT(A384,"DD/MM HH:MM")</f>
        <v/>
      </c>
    </row>
    <row r="385">
      <c r="A385" s="33" t="n">
        <v>46312.00902777778</v>
      </c>
      <c r="B385" s="15" t="n">
        <v>333</v>
      </c>
      <c r="C385" s="15" t="n">
        <v>991</v>
      </c>
      <c r="D385" s="16" t="n">
        <v>11892</v>
      </c>
      <c r="E385" s="34">
        <f>B385-B384</f>
        <v/>
      </c>
      <c r="F385" s="34">
        <f>C385-C384</f>
        <v/>
      </c>
      <c r="G385" s="35">
        <f>D385-D384</f>
        <v/>
      </c>
      <c r="H385">
        <f>TEXT(A385,"DD/MM HH:MM")</f>
        <v/>
      </c>
    </row>
    <row r="386">
      <c r="A386" s="30" t="n">
        <v>46312.01666666667</v>
      </c>
      <c r="B386" s="11" t="n">
        <v>333</v>
      </c>
      <c r="C386" s="11" t="n">
        <v>991</v>
      </c>
      <c r="D386" s="12" t="n">
        <v>11892</v>
      </c>
      <c r="E386" s="31">
        <f>B386-B385</f>
        <v/>
      </c>
      <c r="F386" s="31">
        <f>C386-C385</f>
        <v/>
      </c>
      <c r="G386" s="32">
        <f>D386-D385</f>
        <v/>
      </c>
      <c r="H386">
        <f>TEXT(A386,"DD/MM HH:MM")</f>
        <v/>
      </c>
    </row>
    <row r="387">
      <c r="A387" s="33" t="n">
        <v>46312.05625</v>
      </c>
      <c r="B387" s="15" t="n">
        <v>334</v>
      </c>
      <c r="C387" s="15" t="n">
        <v>996</v>
      </c>
      <c r="D387" s="16" t="n">
        <v>11952</v>
      </c>
      <c r="E387" s="34">
        <f>B387-B386</f>
        <v/>
      </c>
      <c r="F387" s="34">
        <f>C387-C386</f>
        <v/>
      </c>
      <c r="G387" s="35">
        <f>D387-D386</f>
        <v/>
      </c>
      <c r="H387">
        <f>TEXT(A387,"DD/MM HH:MM")</f>
        <v/>
      </c>
    </row>
    <row r="388">
      <c r="A388" s="30" t="n">
        <v>46312.10555555556</v>
      </c>
      <c r="B388" s="11" t="n">
        <v>335</v>
      </c>
      <c r="C388" s="11" t="n">
        <v>998</v>
      </c>
      <c r="D388" s="12" t="n">
        <v>11976</v>
      </c>
      <c r="E388" s="31">
        <f>B388-B387</f>
        <v/>
      </c>
      <c r="F388" s="31">
        <f>C388-C387</f>
        <v/>
      </c>
      <c r="G388" s="32">
        <f>D388-D387</f>
        <v/>
      </c>
      <c r="H388">
        <f>TEXT(A388,"DD/MM HH:MM")</f>
        <v/>
      </c>
    </row>
    <row r="389">
      <c r="A389" s="33" t="n">
        <v>46312.14444444444</v>
      </c>
      <c r="B389" s="15" t="n">
        <v>335</v>
      </c>
      <c r="C389" s="15" t="n">
        <v>998</v>
      </c>
      <c r="D389" s="16" t="n">
        <v>11976</v>
      </c>
      <c r="E389" s="34">
        <f>B389-B388</f>
        <v/>
      </c>
      <c r="F389" s="34">
        <f>C389-C388</f>
        <v/>
      </c>
      <c r="G389" s="35">
        <f>D389-D388</f>
        <v/>
      </c>
      <c r="H389">
        <f>TEXT(A389,"DD/MM HH:MM")</f>
        <v/>
      </c>
    </row>
    <row r="390">
      <c r="A390" s="30" t="n">
        <v>46312.18402777778</v>
      </c>
      <c r="B390" s="11" t="n">
        <v>335</v>
      </c>
      <c r="C390" s="11" t="n">
        <v>998</v>
      </c>
      <c r="D390" s="12" t="n">
        <v>11976</v>
      </c>
      <c r="E390" s="31">
        <f>B390-B389</f>
        <v/>
      </c>
      <c r="F390" s="31">
        <f>C390-C389</f>
        <v/>
      </c>
      <c r="G390" s="32">
        <f>D390-D389</f>
        <v/>
      </c>
      <c r="H390">
        <f>TEXT(A390,"DD/MM HH:MM")</f>
        <v/>
      </c>
    </row>
    <row r="391">
      <c r="A391" s="33" t="n">
        <v>46312.225</v>
      </c>
      <c r="B391" s="15" t="n">
        <v>335</v>
      </c>
      <c r="C391" s="15" t="n">
        <v>998</v>
      </c>
      <c r="D391" s="16" t="n">
        <v>11976</v>
      </c>
      <c r="E391" s="34">
        <f>B391-B390</f>
        <v/>
      </c>
      <c r="F391" s="34">
        <f>C391-C390</f>
        <v/>
      </c>
      <c r="G391" s="35">
        <f>D391-D390</f>
        <v/>
      </c>
      <c r="H391">
        <f>TEXT(A391,"DD/MM HH:MM")</f>
        <v/>
      </c>
    </row>
    <row r="392">
      <c r="A392" s="30" t="n">
        <v>46312.26666666667</v>
      </c>
      <c r="B392" s="11" t="n">
        <v>335</v>
      </c>
      <c r="C392" s="11" t="n">
        <v>998</v>
      </c>
      <c r="D392" s="12" t="n">
        <v>11976</v>
      </c>
      <c r="E392" s="31">
        <f>B392-B391</f>
        <v/>
      </c>
      <c r="F392" s="31">
        <f>C392-C391</f>
        <v/>
      </c>
      <c r="G392" s="32">
        <f>D392-D391</f>
        <v/>
      </c>
      <c r="H392">
        <f>TEXT(A392,"DD/MM HH:MM")</f>
        <v/>
      </c>
    </row>
    <row r="393">
      <c r="A393" s="33" t="n">
        <v>46312.30763888889</v>
      </c>
      <c r="B393" s="15" t="n">
        <v>335</v>
      </c>
      <c r="C393" s="15" t="n">
        <v>998</v>
      </c>
      <c r="D393" s="16" t="n">
        <v>11976</v>
      </c>
      <c r="E393" s="34">
        <f>B393-B392</f>
        <v/>
      </c>
      <c r="F393" s="34">
        <f>C393-C392</f>
        <v/>
      </c>
      <c r="G393" s="35">
        <f>D393-D392</f>
        <v/>
      </c>
      <c r="H393">
        <f>TEXT(A393,"DD/MM HH:MM")</f>
        <v/>
      </c>
    </row>
    <row r="394">
      <c r="A394" s="30" t="n">
        <v>46312.35138888889</v>
      </c>
      <c r="B394" s="11" t="n">
        <v>335</v>
      </c>
      <c r="C394" s="11" t="n">
        <v>998</v>
      </c>
      <c r="D394" s="12" t="n">
        <v>11976</v>
      </c>
      <c r="E394" s="31">
        <f>B394-B393</f>
        <v/>
      </c>
      <c r="F394" s="31">
        <f>C394-C393</f>
        <v/>
      </c>
      <c r="G394" s="32">
        <f>D394-D393</f>
        <v/>
      </c>
      <c r="H394">
        <f>TEXT(A394,"DD/MM HH:MM")</f>
        <v/>
      </c>
    </row>
    <row r="395">
      <c r="A395" s="33" t="n">
        <v>46312.35277777778</v>
      </c>
      <c r="B395" s="15" t="n">
        <v>335</v>
      </c>
      <c r="C395" s="15" t="n">
        <v>998</v>
      </c>
      <c r="D395" s="16" t="n">
        <v>11976</v>
      </c>
      <c r="E395" s="34">
        <f>B395-B394</f>
        <v/>
      </c>
      <c r="F395" s="34">
        <f>C395-C394</f>
        <v/>
      </c>
      <c r="G395" s="35">
        <f>D395-D394</f>
        <v/>
      </c>
      <c r="H395">
        <f>TEXT(A395,"DD/MM HH:MM")</f>
        <v/>
      </c>
    </row>
    <row r="396">
      <c r="A396" s="30" t="n">
        <v>46312.36388888889</v>
      </c>
      <c r="B396" s="11" t="n">
        <v>335</v>
      </c>
      <c r="C396" s="11" t="n">
        <v>998</v>
      </c>
      <c r="D396" s="12" t="n">
        <v>11976</v>
      </c>
      <c r="E396" s="31">
        <f>B396-B395</f>
        <v/>
      </c>
      <c r="F396" s="31">
        <f>C396-C395</f>
        <v/>
      </c>
      <c r="G396" s="32">
        <f>D396-D395</f>
        <v/>
      </c>
      <c r="H396">
        <f>TEXT(A396,"DD/MM HH:MM")</f>
        <v/>
      </c>
    </row>
    <row r="397">
      <c r="A397" s="33" t="n">
        <v>46312.39583333334</v>
      </c>
      <c r="B397" s="15" t="n">
        <v>336</v>
      </c>
      <c r="C397" s="15" t="n">
        <v>1003</v>
      </c>
      <c r="D397" s="16" t="n">
        <v>12036</v>
      </c>
      <c r="E397" s="34">
        <f>B397-B396</f>
        <v/>
      </c>
      <c r="F397" s="34">
        <f>C397-C396</f>
        <v/>
      </c>
      <c r="G397" s="35">
        <f>D397-D396</f>
        <v/>
      </c>
      <c r="H397">
        <f>TEXT(A397,"DD/MM HH:MM")</f>
        <v/>
      </c>
    </row>
    <row r="398">
      <c r="A398" s="30" t="n">
        <v>46312.43263888889</v>
      </c>
      <c r="B398" s="11" t="n">
        <v>336</v>
      </c>
      <c r="C398" s="11" t="n">
        <v>1003</v>
      </c>
      <c r="D398" s="12" t="n">
        <v>12036</v>
      </c>
      <c r="E398" s="31">
        <f>B398-B397</f>
        <v/>
      </c>
      <c r="F398" s="31">
        <f>C398-C397</f>
        <v/>
      </c>
      <c r="G398" s="32">
        <f>D398-D397</f>
        <v/>
      </c>
      <c r="H398">
        <f>TEXT(A398,"DD/MM HH:MM")</f>
        <v/>
      </c>
    </row>
    <row r="399">
      <c r="A399" s="33" t="n">
        <v>46312.47361111111</v>
      </c>
      <c r="B399" s="15" t="n">
        <v>337</v>
      </c>
      <c r="C399" s="15" t="n">
        <v>1005</v>
      </c>
      <c r="D399" s="16" t="n">
        <v>12060</v>
      </c>
      <c r="E399" s="34">
        <f>B399-B398</f>
        <v/>
      </c>
      <c r="F399" s="34">
        <f>C399-C398</f>
        <v/>
      </c>
      <c r="G399" s="35">
        <f>D399-D398</f>
        <v/>
      </c>
      <c r="H399">
        <f>TEXT(A399,"DD/MM HH:MM")</f>
        <v/>
      </c>
    </row>
    <row r="400">
      <c r="A400" s="30" t="n">
        <v>46312.51527777778</v>
      </c>
      <c r="B400" s="11" t="n">
        <v>338</v>
      </c>
      <c r="C400" s="11" t="n">
        <v>1008</v>
      </c>
      <c r="D400" s="12" t="n">
        <v>12096</v>
      </c>
      <c r="E400" s="31">
        <f>B400-B399</f>
        <v/>
      </c>
      <c r="F400" s="31">
        <f>C400-C399</f>
        <v/>
      </c>
      <c r="G400" s="32">
        <f>D400-D399</f>
        <v/>
      </c>
      <c r="H400">
        <f>TEXT(A400,"DD/MM HH:MM")</f>
        <v/>
      </c>
    </row>
    <row r="401">
      <c r="A401" s="33" t="n">
        <v>46312.55694444444</v>
      </c>
      <c r="B401" s="15" t="n">
        <v>339</v>
      </c>
      <c r="C401" s="15" t="n">
        <v>1010</v>
      </c>
      <c r="D401" s="16" t="n">
        <v>12120</v>
      </c>
      <c r="E401" s="34">
        <f>B401-B400</f>
        <v/>
      </c>
      <c r="F401" s="34">
        <f>C401-C400</f>
        <v/>
      </c>
      <c r="G401" s="35">
        <f>D401-D400</f>
        <v/>
      </c>
      <c r="H401">
        <f>TEXT(A401,"DD/MM HH:MM")</f>
        <v/>
      </c>
    </row>
    <row r="402">
      <c r="A402" s="30" t="n">
        <v>46312.60069444445</v>
      </c>
      <c r="B402" s="11" t="n">
        <v>344</v>
      </c>
      <c r="C402" s="11" t="n">
        <v>1026</v>
      </c>
      <c r="D402" s="12" t="n">
        <v>12312</v>
      </c>
      <c r="E402" s="31">
        <f>B402-B401</f>
        <v/>
      </c>
      <c r="F402" s="31">
        <f>C402-C401</f>
        <v/>
      </c>
      <c r="G402" s="32">
        <f>D402-D401</f>
        <v/>
      </c>
      <c r="H402">
        <f>TEXT(A402,"DD/MM HH:MM")</f>
        <v/>
      </c>
    </row>
    <row r="403">
      <c r="A403" s="33" t="n">
        <v>46312.62986111111</v>
      </c>
      <c r="B403" s="15" t="n">
        <v>345</v>
      </c>
      <c r="C403" s="15" t="n">
        <v>1030</v>
      </c>
      <c r="D403" s="16" t="n">
        <v>12360</v>
      </c>
      <c r="E403" s="34">
        <f>B403-B402</f>
        <v/>
      </c>
      <c r="F403" s="34">
        <f>C403-C402</f>
        <v/>
      </c>
      <c r="G403" s="35">
        <f>D403-D402</f>
        <v/>
      </c>
      <c r="H403">
        <f>TEXT(A403,"DD/MM HH:MM")</f>
        <v/>
      </c>
    </row>
    <row r="404">
      <c r="A404" s="30" t="n">
        <v>46312.64305555556</v>
      </c>
      <c r="B404" s="11" t="n">
        <v>345</v>
      </c>
      <c r="C404" s="11" t="n">
        <v>1030</v>
      </c>
      <c r="D404" s="12" t="n">
        <v>12360</v>
      </c>
      <c r="E404" s="31">
        <f>B404-B403</f>
        <v/>
      </c>
      <c r="F404" s="31">
        <f>C404-C403</f>
        <v/>
      </c>
      <c r="G404" s="32">
        <f>D404-D403</f>
        <v/>
      </c>
      <c r="H404">
        <f>TEXT(A404,"DD/MM HH:MM")</f>
        <v/>
      </c>
    </row>
    <row r="405">
      <c r="A405" s="33" t="n">
        <v>46312.68194444444</v>
      </c>
      <c r="B405" s="15" t="n">
        <v>350</v>
      </c>
      <c r="C405" s="15" t="n">
        <v>1045</v>
      </c>
      <c r="D405" s="16" t="n">
        <v>12540</v>
      </c>
      <c r="E405" s="34">
        <f>B405-B404</f>
        <v/>
      </c>
      <c r="F405" s="34">
        <f>C405-C404</f>
        <v/>
      </c>
      <c r="G405" s="35">
        <f>D405-D404</f>
        <v/>
      </c>
      <c r="H405">
        <f>TEXT(A405,"DD/MM HH:MM")</f>
        <v/>
      </c>
    </row>
    <row r="406">
      <c r="A406" s="30" t="n">
        <v>46312.68263888889</v>
      </c>
      <c r="B406" s="11" t="n">
        <v>350</v>
      </c>
      <c r="C406" s="11" t="n">
        <v>1045</v>
      </c>
      <c r="D406" s="12" t="n">
        <v>12540</v>
      </c>
      <c r="E406" s="31">
        <f>B406-B405</f>
        <v/>
      </c>
      <c r="F406" s="31">
        <f>C406-C405</f>
        <v/>
      </c>
      <c r="G406" s="32">
        <f>D406-D405</f>
        <v/>
      </c>
      <c r="H406">
        <f>TEXT(A406,"DD/MM HH:MM")</f>
        <v/>
      </c>
    </row>
    <row r="407">
      <c r="A407" s="33" t="n">
        <v>46312.71388888889</v>
      </c>
      <c r="B407" s="15" t="n">
        <v>351</v>
      </c>
      <c r="C407" s="15" t="n">
        <v>1047</v>
      </c>
      <c r="D407" s="16" t="n">
        <v>12564</v>
      </c>
      <c r="E407" s="34">
        <f>B407-B406</f>
        <v/>
      </c>
      <c r="F407" s="34">
        <f>C407-C406</f>
        <v/>
      </c>
      <c r="G407" s="35">
        <f>D407-D406</f>
        <v/>
      </c>
      <c r="H407">
        <f>TEXT(A407,"DD/MM HH:MM")</f>
        <v/>
      </c>
    </row>
    <row r="408">
      <c r="A408" s="30" t="n">
        <v>46312.72291666667</v>
      </c>
      <c r="B408" s="11" t="n">
        <v>351</v>
      </c>
      <c r="C408" s="11" t="n">
        <v>1047</v>
      </c>
      <c r="D408" s="12" t="n">
        <v>12564</v>
      </c>
      <c r="E408" s="31">
        <f>B408-B407</f>
        <v/>
      </c>
      <c r="F408" s="31">
        <f>C408-C407</f>
        <v/>
      </c>
      <c r="G408" s="32">
        <f>D408-D407</f>
        <v/>
      </c>
      <c r="H408">
        <f>TEXT(A408,"DD/MM HH:MM")</f>
        <v/>
      </c>
    </row>
    <row r="409">
      <c r="A409" s="33" t="n">
        <v>46312.76527777778</v>
      </c>
      <c r="B409" s="15" t="n">
        <v>352</v>
      </c>
      <c r="C409" s="15" t="n">
        <v>1049</v>
      </c>
      <c r="D409" s="16" t="n">
        <v>12588</v>
      </c>
      <c r="E409" s="34">
        <f>B409-B408</f>
        <v/>
      </c>
      <c r="F409" s="34">
        <f>C409-C408</f>
        <v/>
      </c>
      <c r="G409" s="35">
        <f>D409-D408</f>
        <v/>
      </c>
      <c r="H409">
        <f>TEXT(A409,"DD/MM HH:MM")</f>
        <v/>
      </c>
    </row>
    <row r="410">
      <c r="A410" s="30" t="n">
        <v>46312.80625</v>
      </c>
      <c r="B410" s="11" t="n">
        <v>355</v>
      </c>
      <c r="C410" s="11" t="n">
        <v>1056</v>
      </c>
      <c r="D410" s="12" t="n">
        <v>12672</v>
      </c>
      <c r="E410" s="31">
        <f>B410-B409</f>
        <v/>
      </c>
      <c r="F410" s="31">
        <f>C410-C409</f>
        <v/>
      </c>
      <c r="G410" s="32">
        <f>D410-D409</f>
        <v/>
      </c>
      <c r="H410">
        <f>TEXT(A410,"DD/MM HH:MM")</f>
        <v/>
      </c>
    </row>
    <row r="411">
      <c r="A411" s="33" t="n">
        <v>46312.84861111111</v>
      </c>
      <c r="B411" s="15" t="n">
        <v>361</v>
      </c>
      <c r="C411" s="15" t="n">
        <v>1081</v>
      </c>
      <c r="D411" s="16" t="n">
        <v>12972</v>
      </c>
      <c r="E411" s="34">
        <f>B411-B410</f>
        <v/>
      </c>
      <c r="F411" s="34">
        <f>C411-C410</f>
        <v/>
      </c>
      <c r="G411" s="35">
        <f>D411-D410</f>
        <v/>
      </c>
      <c r="H411">
        <f>TEXT(A411,"DD/MM HH:MM")</f>
        <v/>
      </c>
    </row>
    <row r="412">
      <c r="A412" s="30" t="n">
        <v>46312.86458333334</v>
      </c>
      <c r="B412" s="11" t="n">
        <v>362</v>
      </c>
      <c r="C412" s="11" t="n">
        <v>1083</v>
      </c>
      <c r="D412" s="12" t="n">
        <v>12996</v>
      </c>
      <c r="E412" s="31">
        <f>B412-B411</f>
        <v/>
      </c>
      <c r="F412" s="31">
        <f>C412-C411</f>
        <v/>
      </c>
      <c r="G412" s="32">
        <f>D412-D411</f>
        <v/>
      </c>
      <c r="H412">
        <f>TEXT(A412,"DD/MM HH:MM")</f>
        <v/>
      </c>
    </row>
    <row r="413">
      <c r="A413" s="33" t="n">
        <v>46312.88888888889</v>
      </c>
      <c r="B413" s="15" t="n">
        <v>368</v>
      </c>
      <c r="C413" s="15" t="n">
        <v>1101</v>
      </c>
      <c r="D413" s="16" t="n">
        <v>13212</v>
      </c>
      <c r="E413" s="34">
        <f>B413-B412</f>
        <v/>
      </c>
      <c r="F413" s="34">
        <f>C413-C412</f>
        <v/>
      </c>
      <c r="G413" s="35">
        <f>D413-D412</f>
        <v/>
      </c>
      <c r="H413">
        <f>TEXT(A413,"DD/MM HH:MM")</f>
        <v/>
      </c>
    </row>
    <row r="414">
      <c r="A414" s="30" t="n">
        <v>46312.90555555555</v>
      </c>
      <c r="B414" s="11" t="n">
        <v>368</v>
      </c>
      <c r="C414" s="11" t="n">
        <v>1100</v>
      </c>
      <c r="D414" s="12" t="n">
        <v>13200</v>
      </c>
      <c r="E414" s="31">
        <f>B414-B413</f>
        <v/>
      </c>
      <c r="F414" s="31">
        <f>C414-C413</f>
        <v/>
      </c>
      <c r="G414" s="32">
        <f>D414-D413</f>
        <v/>
      </c>
      <c r="H414">
        <f>TEXT(A414,"DD/MM HH:MM")</f>
        <v/>
      </c>
    </row>
    <row r="415">
      <c r="A415" s="33" t="n">
        <v>46312.93055555555</v>
      </c>
      <c r="B415" s="15" t="n">
        <v>371</v>
      </c>
      <c r="C415" s="15" t="n">
        <v>1111</v>
      </c>
      <c r="D415" s="16" t="n">
        <v>13332</v>
      </c>
      <c r="E415" s="34">
        <f>B415-B414</f>
        <v/>
      </c>
      <c r="F415" s="34">
        <f>C415-C414</f>
        <v/>
      </c>
      <c r="G415" s="35">
        <f>D415-D414</f>
        <v/>
      </c>
      <c r="H415">
        <f>TEXT(A415,"DD/MM HH:MM")</f>
        <v/>
      </c>
    </row>
    <row r="416">
      <c r="A416" s="30" t="n">
        <v>46312.97291666667</v>
      </c>
      <c r="B416" s="11" t="n">
        <v>371</v>
      </c>
      <c r="C416" s="11" t="n">
        <v>1111</v>
      </c>
      <c r="D416" s="12" t="n">
        <v>13332</v>
      </c>
      <c r="E416" s="31">
        <f>B416-B415</f>
        <v/>
      </c>
      <c r="F416" s="31">
        <f>C416-C415</f>
        <v/>
      </c>
      <c r="G416" s="32">
        <f>D416-D415</f>
        <v/>
      </c>
      <c r="H416">
        <f>TEXT(A416,"DD/MM HH:MM")</f>
        <v/>
      </c>
    </row>
    <row r="417">
      <c r="A417" s="33" t="n">
        <v>46312.99236111111</v>
      </c>
      <c r="B417" s="15" t="n">
        <v>371</v>
      </c>
      <c r="C417" s="15" t="n">
        <v>1111</v>
      </c>
      <c r="D417" s="16" t="n">
        <v>13332</v>
      </c>
      <c r="E417" s="34">
        <f>B417-B416</f>
        <v/>
      </c>
      <c r="F417" s="34">
        <f>C417-C416</f>
        <v/>
      </c>
      <c r="G417" s="35">
        <f>D417-D416</f>
        <v/>
      </c>
      <c r="H417">
        <f>TEXT(A417,"DD/MM HH:MM")</f>
        <v/>
      </c>
    </row>
    <row r="418">
      <c r="A418" s="30" t="n">
        <v>46313.01388888889</v>
      </c>
      <c r="B418" s="11" t="n">
        <v>376</v>
      </c>
      <c r="C418" s="11" t="n">
        <v>1134</v>
      </c>
      <c r="D418" s="12" t="n">
        <v>13608</v>
      </c>
      <c r="E418" s="31">
        <f>B418-B417</f>
        <v/>
      </c>
      <c r="F418" s="31">
        <f>C418-C417</f>
        <v/>
      </c>
      <c r="G418" s="32">
        <f>D418-D417</f>
        <v/>
      </c>
      <c r="H418">
        <f>TEXT(A418,"DD/MM HH:MM")</f>
        <v/>
      </c>
    </row>
    <row r="419">
      <c r="A419" s="33" t="n">
        <v>46313.05347222222</v>
      </c>
      <c r="B419" s="15" t="n">
        <v>375</v>
      </c>
      <c r="C419" s="15" t="n">
        <v>1128</v>
      </c>
      <c r="D419" s="16" t="n">
        <v>13536</v>
      </c>
      <c r="E419" s="34">
        <f>B419-B418</f>
        <v/>
      </c>
      <c r="F419" s="34">
        <f>C419-C418</f>
        <v/>
      </c>
      <c r="G419" s="35">
        <f>D419-D418</f>
        <v/>
      </c>
      <c r="H419">
        <f>TEXT(A419,"DD/MM HH:MM")</f>
        <v/>
      </c>
    </row>
    <row r="420">
      <c r="A420" s="30" t="n">
        <v>46313.10486111111</v>
      </c>
      <c r="B420" s="11" t="n">
        <v>376</v>
      </c>
      <c r="C420" s="11" t="n">
        <v>1132</v>
      </c>
      <c r="D420" s="12" t="n">
        <v>13584</v>
      </c>
      <c r="E420" s="31">
        <f>B420-B419</f>
        <v/>
      </c>
      <c r="F420" s="31">
        <f>C420-C419</f>
        <v/>
      </c>
      <c r="G420" s="32">
        <f>D420-D419</f>
        <v/>
      </c>
      <c r="H420">
        <f>TEXT(A420,"DD/MM HH:MM")</f>
        <v/>
      </c>
    </row>
    <row r="421">
      <c r="A421" s="33" t="n">
        <v>46313.14513888889</v>
      </c>
      <c r="B421" s="15" t="n">
        <v>378</v>
      </c>
      <c r="C421" s="15" t="n">
        <v>1141</v>
      </c>
      <c r="D421" s="16" t="n">
        <v>13692</v>
      </c>
      <c r="E421" s="34">
        <f>B421-B420</f>
        <v/>
      </c>
      <c r="F421" s="34">
        <f>C421-C420</f>
        <v/>
      </c>
      <c r="G421" s="35">
        <f>D421-D420</f>
        <v/>
      </c>
      <c r="H421">
        <f>TEXT(A421,"DD/MM HH:MM")</f>
        <v/>
      </c>
    </row>
    <row r="422">
      <c r="A422" s="30" t="n">
        <v>46313.18333333333</v>
      </c>
      <c r="B422" s="11" t="n">
        <v>380</v>
      </c>
      <c r="C422" s="11" t="n">
        <v>1145</v>
      </c>
      <c r="D422" s="12" t="n">
        <v>13740</v>
      </c>
      <c r="E422" s="31">
        <f>B422-B421</f>
        <v/>
      </c>
      <c r="F422" s="31">
        <f>C422-C421</f>
        <v/>
      </c>
      <c r="G422" s="32">
        <f>D422-D421</f>
        <v/>
      </c>
      <c r="H422">
        <f>TEXT(A422,"DD/MM HH:MM")</f>
        <v/>
      </c>
    </row>
    <row r="423">
      <c r="A423" s="33" t="n">
        <v>46313.225</v>
      </c>
      <c r="B423" s="15" t="n">
        <v>380</v>
      </c>
      <c r="C423" s="15" t="n">
        <v>1145</v>
      </c>
      <c r="D423" s="16" t="n">
        <v>13740</v>
      </c>
      <c r="E423" s="34">
        <f>B423-B422</f>
        <v/>
      </c>
      <c r="F423" s="34">
        <f>C423-C422</f>
        <v/>
      </c>
      <c r="G423" s="35">
        <f>D423-D422</f>
        <v/>
      </c>
      <c r="H423">
        <f>TEXT(A423,"DD/MM HH:MM")</f>
        <v/>
      </c>
    </row>
    <row r="424">
      <c r="A424" s="30" t="n">
        <v>46313.26736111111</v>
      </c>
      <c r="B424" s="11" t="n">
        <v>380</v>
      </c>
      <c r="C424" s="11" t="n">
        <v>1145</v>
      </c>
      <c r="D424" s="12" t="n">
        <v>13740</v>
      </c>
      <c r="E424" s="31">
        <f>B424-B423</f>
        <v/>
      </c>
      <c r="F424" s="31">
        <f>C424-C423</f>
        <v/>
      </c>
      <c r="G424" s="32">
        <f>D424-D423</f>
        <v/>
      </c>
      <c r="H424">
        <f>TEXT(A424,"DD/MM HH:MM")</f>
        <v/>
      </c>
    </row>
    <row r="425">
      <c r="A425" s="33" t="n">
        <v>46313.30763888889</v>
      </c>
      <c r="B425" s="15" t="n">
        <v>380</v>
      </c>
      <c r="C425" s="15" t="n">
        <v>1145</v>
      </c>
      <c r="D425" s="16" t="n">
        <v>13740</v>
      </c>
      <c r="E425" s="34">
        <f>B425-B424</f>
        <v/>
      </c>
      <c r="F425" s="34">
        <f>C425-C424</f>
        <v/>
      </c>
      <c r="G425" s="35">
        <f>D425-D424</f>
        <v/>
      </c>
      <c r="H425">
        <f>TEXT(A425,"DD/MM HH:MM")</f>
        <v/>
      </c>
    </row>
    <row r="426">
      <c r="A426" s="30" t="n">
        <v>46313.33958333333</v>
      </c>
      <c r="B426" s="11" t="n">
        <v>380</v>
      </c>
      <c r="C426" s="11" t="n">
        <v>1145</v>
      </c>
      <c r="D426" s="12" t="n">
        <v>13740</v>
      </c>
      <c r="E426" s="31">
        <f>B426-B425</f>
        <v/>
      </c>
      <c r="F426" s="31">
        <f>C426-C425</f>
        <v/>
      </c>
      <c r="G426" s="32">
        <f>D426-D425</f>
        <v/>
      </c>
      <c r="H426">
        <f>TEXT(A426,"DD/MM HH:MM")</f>
        <v/>
      </c>
    </row>
    <row r="427">
      <c r="A427" s="33" t="n">
        <v>46313.35208333333</v>
      </c>
      <c r="B427" s="15" t="n">
        <v>380</v>
      </c>
      <c r="C427" s="15" t="n">
        <v>1145</v>
      </c>
      <c r="D427" s="16" t="n">
        <v>13740</v>
      </c>
      <c r="E427" s="34">
        <f>B427-B426</f>
        <v/>
      </c>
      <c r="F427" s="34">
        <f>C427-C426</f>
        <v/>
      </c>
      <c r="G427" s="35">
        <f>D427-D426</f>
        <v/>
      </c>
      <c r="H427">
        <f>TEXT(A427,"DD/MM HH:MM")</f>
        <v/>
      </c>
    </row>
    <row r="428">
      <c r="A428" s="30" t="n">
        <v>46313.39513888889</v>
      </c>
      <c r="B428" s="11" t="n">
        <v>380</v>
      </c>
      <c r="C428" s="11" t="n">
        <v>1145</v>
      </c>
      <c r="D428" s="12" t="n">
        <v>13740</v>
      </c>
      <c r="E428" s="31">
        <f>B428-B427</f>
        <v/>
      </c>
      <c r="F428" s="31">
        <f>C428-C427</f>
        <v/>
      </c>
      <c r="G428" s="32">
        <f>D428-D427</f>
        <v/>
      </c>
      <c r="H428">
        <f>TEXT(A428,"DD/MM HH:MM")</f>
        <v/>
      </c>
    </row>
    <row r="429">
      <c r="A429" s="33" t="n">
        <v>46313.42222222222</v>
      </c>
      <c r="B429" s="15" t="n">
        <v>380</v>
      </c>
      <c r="C429" s="15" t="n">
        <v>1145</v>
      </c>
      <c r="D429" s="16" t="n">
        <v>13740</v>
      </c>
      <c r="E429" s="34">
        <f>B429-B428</f>
        <v/>
      </c>
      <c r="F429" s="34">
        <f>C429-C428</f>
        <v/>
      </c>
      <c r="G429" s="35">
        <f>D429-D428</f>
        <v/>
      </c>
      <c r="H429">
        <f>TEXT(A429,"DD/MM HH:MM")</f>
        <v/>
      </c>
    </row>
    <row r="430">
      <c r="A430" s="30" t="n">
        <v>46313.43263888889</v>
      </c>
      <c r="B430" s="11" t="n">
        <v>380</v>
      </c>
      <c r="C430" s="11" t="n">
        <v>1145</v>
      </c>
      <c r="D430" s="12" t="n">
        <v>13740</v>
      </c>
      <c r="E430" s="31">
        <f>B430-B429</f>
        <v/>
      </c>
      <c r="F430" s="31">
        <f>C430-C429</f>
        <v/>
      </c>
      <c r="G430" s="32">
        <f>D430-D429</f>
        <v/>
      </c>
      <c r="H430">
        <f>TEXT(A430,"DD/MM HH:MM")</f>
        <v/>
      </c>
    </row>
    <row r="431">
      <c r="A431" s="33" t="n">
        <v>46313.47430555556</v>
      </c>
      <c r="B431" s="15" t="n">
        <v>383</v>
      </c>
      <c r="C431" s="15" t="n">
        <v>1154</v>
      </c>
      <c r="D431" s="16" t="n">
        <v>13848</v>
      </c>
      <c r="E431" s="34">
        <f>B431-B430</f>
        <v/>
      </c>
      <c r="F431" s="34">
        <f>C431-C430</f>
        <v/>
      </c>
      <c r="G431" s="35">
        <f>D431-D430</f>
        <v/>
      </c>
      <c r="H431">
        <f>TEXT(A431,"DD/MM HH:MM")</f>
        <v/>
      </c>
    </row>
    <row r="432">
      <c r="A432" s="30" t="n">
        <v>46313.47777777778</v>
      </c>
      <c r="B432" s="11" t="n">
        <v>383</v>
      </c>
      <c r="C432" s="11" t="n">
        <v>1154</v>
      </c>
      <c r="D432" s="12" t="n">
        <v>13848</v>
      </c>
      <c r="E432" s="31">
        <f>B432-B431</f>
        <v/>
      </c>
      <c r="F432" s="31">
        <f>C432-C431</f>
        <v/>
      </c>
      <c r="G432" s="32">
        <f>D432-D431</f>
        <v/>
      </c>
      <c r="H432">
        <f>TEXT(A432,"DD/MM HH:MM")</f>
        <v/>
      </c>
    </row>
    <row r="433">
      <c r="A433" s="33" t="n">
        <v>46313.51527777778</v>
      </c>
      <c r="B433" s="15" t="n">
        <v>384</v>
      </c>
      <c r="C433" s="15" t="n">
        <v>1159</v>
      </c>
      <c r="D433" s="16" t="n">
        <v>13908</v>
      </c>
      <c r="E433" s="34">
        <f>B433-B432</f>
        <v/>
      </c>
      <c r="F433" s="34">
        <f>C433-C432</f>
        <v/>
      </c>
      <c r="G433" s="35">
        <f>D433-D432</f>
        <v/>
      </c>
      <c r="H433">
        <f>TEXT(A433,"DD/MM HH:MM")</f>
        <v/>
      </c>
    </row>
    <row r="434">
      <c r="A434" s="30" t="n">
        <v>46313.55625</v>
      </c>
      <c r="B434" s="11" t="n">
        <v>385</v>
      </c>
      <c r="C434" s="11" t="n">
        <v>1162</v>
      </c>
      <c r="D434" s="12" t="n">
        <v>13944</v>
      </c>
      <c r="E434" s="31">
        <f>B434-B433</f>
        <v/>
      </c>
      <c r="F434" s="31">
        <f>C434-C433</f>
        <v/>
      </c>
      <c r="G434" s="32">
        <f>D434-D433</f>
        <v/>
      </c>
      <c r="H434">
        <f>TEXT(A434,"DD/MM HH:MM")</f>
        <v/>
      </c>
    </row>
    <row r="435">
      <c r="A435" s="33" t="n">
        <v>46313.59513888889</v>
      </c>
      <c r="B435" s="15" t="n">
        <v>388</v>
      </c>
      <c r="C435" s="15" t="n">
        <v>1172</v>
      </c>
      <c r="D435" s="16" t="n">
        <v>14064</v>
      </c>
      <c r="E435" s="34">
        <f>B435-B434</f>
        <v/>
      </c>
      <c r="F435" s="34">
        <f>C435-C434</f>
        <v/>
      </c>
      <c r="G435" s="35">
        <f>D435-D434</f>
        <v/>
      </c>
      <c r="H435">
        <f>TEXT(A435,"DD/MM HH:MM")</f>
        <v/>
      </c>
    </row>
    <row r="436">
      <c r="A436" s="30" t="n">
        <v>46313.60069444445</v>
      </c>
      <c r="B436" s="11" t="n">
        <v>388</v>
      </c>
      <c r="C436" s="11" t="n">
        <v>1172</v>
      </c>
      <c r="D436" s="12" t="n">
        <v>14064</v>
      </c>
      <c r="E436" s="31">
        <f>B436-B435</f>
        <v/>
      </c>
      <c r="F436" s="31">
        <f>C436-C435</f>
        <v/>
      </c>
      <c r="G436" s="32">
        <f>D436-D435</f>
        <v/>
      </c>
      <c r="H436">
        <f>TEXT(A436,"DD/MM HH:MM")</f>
        <v/>
      </c>
    </row>
    <row r="437">
      <c r="A437" s="33" t="n">
        <v>46313.64305555556</v>
      </c>
      <c r="B437" s="15" t="n">
        <v>392</v>
      </c>
      <c r="C437" s="15" t="n">
        <v>1185</v>
      </c>
      <c r="D437" s="16" t="n">
        <v>14220</v>
      </c>
      <c r="E437" s="34">
        <f>B437-B436</f>
        <v/>
      </c>
      <c r="F437" s="34">
        <f>C437-C436</f>
        <v/>
      </c>
      <c r="G437" s="35">
        <f>D437-D436</f>
        <v/>
      </c>
      <c r="H437">
        <f>TEXT(A437,"DD/MM HH:MM")</f>
        <v/>
      </c>
    </row>
    <row r="438">
      <c r="A438" s="30" t="n">
        <v>46313.67291666667</v>
      </c>
      <c r="B438" s="11" t="n">
        <v>394</v>
      </c>
      <c r="C438" s="11" t="n">
        <v>1189</v>
      </c>
      <c r="D438" s="12" t="n">
        <v>14268</v>
      </c>
      <c r="E438" s="31">
        <f>B438-B437</f>
        <v/>
      </c>
      <c r="F438" s="31">
        <f>C438-C437</f>
        <v/>
      </c>
      <c r="G438" s="32">
        <f>D438-D437</f>
        <v/>
      </c>
      <c r="H438">
        <f>TEXT(A438,"DD/MM HH:MM")</f>
        <v/>
      </c>
    </row>
    <row r="439">
      <c r="A439" s="33" t="n">
        <v>46313.68194444444</v>
      </c>
      <c r="B439" s="15" t="n">
        <v>395</v>
      </c>
      <c r="C439" s="15" t="n">
        <v>1193</v>
      </c>
      <c r="D439" s="16" t="n">
        <v>14316</v>
      </c>
      <c r="E439" s="34">
        <f>B439-B438</f>
        <v/>
      </c>
      <c r="F439" s="34">
        <f>C439-C438</f>
        <v/>
      </c>
      <c r="G439" s="35">
        <f>D439-D438</f>
        <v/>
      </c>
      <c r="H439">
        <f>TEXT(A439,"DD/MM HH:MM")</f>
        <v/>
      </c>
    </row>
    <row r="440">
      <c r="A440" s="30" t="n">
        <v>46313.72361111111</v>
      </c>
      <c r="B440" s="11" t="n">
        <v>399</v>
      </c>
      <c r="C440" s="11" t="n">
        <v>1209</v>
      </c>
      <c r="D440" s="12" t="n">
        <v>14508</v>
      </c>
      <c r="E440" s="31">
        <f>B440-B439</f>
        <v/>
      </c>
      <c r="F440" s="31">
        <f>C440-C439</f>
        <v/>
      </c>
      <c r="G440" s="32">
        <f>D440-D439</f>
        <v/>
      </c>
      <c r="H440">
        <f>TEXT(A440,"DD/MM HH:MM")</f>
        <v/>
      </c>
    </row>
    <row r="441">
      <c r="A441" s="33" t="n">
        <v>46313.76597222222</v>
      </c>
      <c r="B441" s="15" t="n">
        <v>402</v>
      </c>
      <c r="C441" s="15" t="n">
        <v>1219</v>
      </c>
      <c r="D441" s="16" t="n">
        <v>14628</v>
      </c>
      <c r="E441" s="34">
        <f>B441-B440</f>
        <v/>
      </c>
      <c r="F441" s="34">
        <f>C441-C440</f>
        <v/>
      </c>
      <c r="G441" s="35">
        <f>D441-D440</f>
        <v/>
      </c>
      <c r="H441">
        <f>TEXT(A441,"DD/MM HH:MM")</f>
        <v/>
      </c>
    </row>
    <row r="442">
      <c r="A442" s="30" t="n">
        <v>46313.80625</v>
      </c>
      <c r="B442" s="11" t="n">
        <v>408</v>
      </c>
      <c r="C442" s="11" t="n">
        <v>1239</v>
      </c>
      <c r="D442" s="12" t="n">
        <v>14868</v>
      </c>
      <c r="E442" s="31">
        <f>B442-B441</f>
        <v/>
      </c>
      <c r="F442" s="31">
        <f>C442-C441</f>
        <v/>
      </c>
      <c r="G442" s="32">
        <f>D442-D441</f>
        <v/>
      </c>
      <c r="H442">
        <f>TEXT(A442,"DD/MM HH:MM")</f>
        <v/>
      </c>
    </row>
    <row r="443">
      <c r="A443" s="33" t="n">
        <v>46313.83819444444</v>
      </c>
      <c r="B443" s="15" t="n">
        <v>409</v>
      </c>
      <c r="C443" s="15" t="n">
        <v>1241</v>
      </c>
      <c r="D443" s="16" t="n">
        <v>14892</v>
      </c>
      <c r="E443" s="34">
        <f>B443-B442</f>
        <v/>
      </c>
      <c r="F443" s="34">
        <f>C443-C442</f>
        <v/>
      </c>
      <c r="G443" s="35">
        <f>D443-D442</f>
        <v/>
      </c>
      <c r="H443">
        <f>TEXT(A443,"DD/MM HH:MM")</f>
        <v/>
      </c>
    </row>
    <row r="444">
      <c r="A444" s="30" t="n">
        <v>46313.84930555556</v>
      </c>
      <c r="B444" s="11" t="n">
        <v>409</v>
      </c>
      <c r="C444" s="11" t="n">
        <v>1241</v>
      </c>
      <c r="D444" s="12" t="n">
        <v>14892</v>
      </c>
      <c r="E444" s="31">
        <f>B444-B443</f>
        <v/>
      </c>
      <c r="F444" s="31">
        <f>C444-C443</f>
        <v/>
      </c>
      <c r="G444" s="32">
        <f>D444-D443</f>
        <v/>
      </c>
      <c r="H444">
        <f>TEXT(A444,"DD/MM HH:MM")</f>
        <v/>
      </c>
    </row>
    <row r="445">
      <c r="A445" s="33" t="n">
        <v>46313.88125</v>
      </c>
      <c r="B445" s="15" t="n">
        <v>412</v>
      </c>
      <c r="C445" s="15" t="n">
        <v>1247</v>
      </c>
      <c r="D445" s="16" t="n">
        <v>14964</v>
      </c>
      <c r="E445" s="34">
        <f>B445-B444</f>
        <v/>
      </c>
      <c r="F445" s="34">
        <f>C445-C444</f>
        <v/>
      </c>
      <c r="G445" s="35">
        <f>D445-D444</f>
        <v/>
      </c>
      <c r="H445">
        <f>TEXT(A445,"DD/MM HH:MM")</f>
        <v/>
      </c>
    </row>
    <row r="446">
      <c r="A446" s="30" t="n">
        <v>46313.88888888889</v>
      </c>
      <c r="B446" s="11" t="n">
        <v>416</v>
      </c>
      <c r="C446" s="11" t="n">
        <v>1262</v>
      </c>
      <c r="D446" s="12" t="n">
        <v>15144</v>
      </c>
      <c r="E446" s="31">
        <f>B446-B445</f>
        <v/>
      </c>
      <c r="F446" s="31">
        <f>C446-C445</f>
        <v/>
      </c>
      <c r="G446" s="32">
        <f>D446-D445</f>
        <v/>
      </c>
      <c r="H446">
        <f>TEXT(A446,"DD/MM HH:MM")</f>
        <v/>
      </c>
    </row>
    <row r="447">
      <c r="A447" s="33" t="n">
        <v>46313.92986111111</v>
      </c>
      <c r="B447" s="15" t="n">
        <v>419</v>
      </c>
      <c r="C447" s="15" t="n">
        <v>1271</v>
      </c>
      <c r="D447" s="16" t="n">
        <v>15252</v>
      </c>
      <c r="E447" s="34">
        <f>B447-B446</f>
        <v/>
      </c>
      <c r="F447" s="34">
        <f>C447-C446</f>
        <v/>
      </c>
      <c r="G447" s="35">
        <f>D447-D446</f>
        <v/>
      </c>
      <c r="H447">
        <f>TEXT(A447,"DD/MM HH:MM")</f>
        <v/>
      </c>
    </row>
    <row r="448">
      <c r="A448" s="30" t="n">
        <v>46313.97291666667</v>
      </c>
      <c r="B448" s="11" t="n">
        <v>426</v>
      </c>
      <c r="C448" s="11" t="n">
        <v>1295</v>
      </c>
      <c r="D448" s="12" t="n">
        <v>15540</v>
      </c>
      <c r="E448" s="31">
        <f>B448-B447</f>
        <v/>
      </c>
      <c r="F448" s="31">
        <f>C448-C447</f>
        <v/>
      </c>
      <c r="G448" s="32">
        <f>D448-D447</f>
        <v/>
      </c>
      <c r="H448">
        <f>TEXT(A448,"DD/MM HH:MM")</f>
        <v/>
      </c>
    </row>
    <row r="449">
      <c r="A449" s="33" t="n">
        <v>46314.00347222222</v>
      </c>
      <c r="B449" s="15" t="n">
        <v>427</v>
      </c>
      <c r="C449" s="15" t="n">
        <v>1297</v>
      </c>
      <c r="D449" s="16" t="n">
        <v>15564</v>
      </c>
      <c r="E449" s="34">
        <f>B449-B448</f>
        <v/>
      </c>
      <c r="F449" s="34">
        <f>C449-C448</f>
        <v/>
      </c>
      <c r="G449" s="35">
        <f>D449-D448</f>
        <v/>
      </c>
      <c r="H449">
        <f>TEXT(A449,"DD/MM HH:MM")</f>
        <v/>
      </c>
    </row>
    <row r="450">
      <c r="A450" s="30" t="n">
        <v>46314.01388888889</v>
      </c>
      <c r="B450" s="11" t="n">
        <v>427</v>
      </c>
      <c r="C450" s="11" t="n">
        <v>1297</v>
      </c>
      <c r="D450" s="12" t="n">
        <v>15564</v>
      </c>
      <c r="E450" s="31">
        <f>B450-B449</f>
        <v/>
      </c>
      <c r="F450" s="31">
        <f>C450-C449</f>
        <v/>
      </c>
      <c r="G450" s="32">
        <f>D450-D449</f>
        <v/>
      </c>
      <c r="H450">
        <f>TEXT(A450,"DD/MM HH:MM")</f>
        <v/>
      </c>
    </row>
    <row r="451">
      <c r="A451" s="33" t="n">
        <v>46314.02222222222</v>
      </c>
      <c r="B451" s="15" t="n">
        <v>427</v>
      </c>
      <c r="C451" s="15" t="n">
        <v>1297</v>
      </c>
      <c r="D451" s="16" t="n">
        <v>15564</v>
      </c>
      <c r="E451" s="34">
        <f>B451-B450</f>
        <v/>
      </c>
      <c r="F451" s="34">
        <f>C451-C450</f>
        <v/>
      </c>
      <c r="G451" s="35">
        <f>D451-D450</f>
        <v/>
      </c>
      <c r="H451">
        <f>TEXT(A451,"DD/MM HH:MM")</f>
        <v/>
      </c>
    </row>
    <row r="452">
      <c r="A452" s="30" t="n">
        <v>46314.05416666667</v>
      </c>
      <c r="B452" s="11" t="n">
        <v>427</v>
      </c>
      <c r="C452" s="11" t="n">
        <v>1297</v>
      </c>
      <c r="D452" s="12" t="n">
        <v>15564</v>
      </c>
      <c r="E452" s="31">
        <f>B452-B451</f>
        <v/>
      </c>
      <c r="F452" s="31">
        <f>C452-C451</f>
        <v/>
      </c>
      <c r="G452" s="32">
        <f>D452-D451</f>
        <v/>
      </c>
      <c r="H452">
        <f>TEXT(A452,"DD/MM HH:MM")</f>
        <v/>
      </c>
    </row>
    <row r="453">
      <c r="A453" s="33" t="n">
        <v>46314.10486111111</v>
      </c>
      <c r="B453" s="15" t="n">
        <v>427</v>
      </c>
      <c r="C453" s="15" t="n">
        <v>1297</v>
      </c>
      <c r="D453" s="16" t="n">
        <v>15564</v>
      </c>
      <c r="E453" s="34">
        <f>B453-B452</f>
        <v/>
      </c>
      <c r="F453" s="34">
        <f>C453-C452</f>
        <v/>
      </c>
      <c r="G453" s="35">
        <f>D453-D452</f>
        <v/>
      </c>
      <c r="H453">
        <f>TEXT(A453,"DD/MM HH:MM")</f>
        <v/>
      </c>
    </row>
    <row r="454">
      <c r="A454" s="30" t="n">
        <v>46314.14722222222</v>
      </c>
      <c r="B454" s="11" t="n">
        <v>427</v>
      </c>
      <c r="C454" s="11" t="n">
        <v>1297</v>
      </c>
      <c r="D454" s="12" t="n">
        <v>15564</v>
      </c>
      <c r="E454" s="31">
        <f>B454-B453</f>
        <v/>
      </c>
      <c r="F454" s="31">
        <f>C454-C453</f>
        <v/>
      </c>
      <c r="G454" s="32">
        <f>D454-D453</f>
        <v/>
      </c>
      <c r="H454">
        <f>TEXT(A454,"DD/MM HH:MM")</f>
        <v/>
      </c>
    </row>
    <row r="455">
      <c r="A455" s="33" t="n">
        <v>46314.18541666667</v>
      </c>
      <c r="B455" s="15" t="n">
        <v>427</v>
      </c>
      <c r="C455" s="15" t="n">
        <v>1297</v>
      </c>
      <c r="D455" s="16" t="n">
        <v>15564</v>
      </c>
      <c r="E455" s="34">
        <f>B455-B454</f>
        <v/>
      </c>
      <c r="F455" s="34">
        <f>C455-C454</f>
        <v/>
      </c>
      <c r="G455" s="35">
        <f>D455-D454</f>
        <v/>
      </c>
      <c r="H455">
        <f>TEXT(A455,"DD/MM HH:MM")</f>
        <v/>
      </c>
    </row>
    <row r="456">
      <c r="A456" s="30" t="n">
        <v>46314.22777777778</v>
      </c>
      <c r="B456" s="11" t="n">
        <v>427</v>
      </c>
      <c r="C456" s="11" t="n">
        <v>1297</v>
      </c>
      <c r="D456" s="12" t="n">
        <v>15564</v>
      </c>
      <c r="E456" s="31">
        <f>B456-B455</f>
        <v/>
      </c>
      <c r="F456" s="31">
        <f>C456-C455</f>
        <v/>
      </c>
      <c r="G456" s="32">
        <f>D456-D455</f>
        <v/>
      </c>
      <c r="H456">
        <f>TEXT(A456,"DD/MM HH:MM")</f>
        <v/>
      </c>
    </row>
    <row r="457">
      <c r="A457" s="33" t="n">
        <v>46314.27152777778</v>
      </c>
      <c r="B457" s="15" t="n">
        <v>427</v>
      </c>
      <c r="C457" s="15" t="n">
        <v>1297</v>
      </c>
      <c r="D457" s="16" t="n">
        <v>15564</v>
      </c>
      <c r="E457" s="34">
        <f>B457-B456</f>
        <v/>
      </c>
      <c r="F457" s="34">
        <f>C457-C456</f>
        <v/>
      </c>
      <c r="G457" s="35">
        <f>D457-D456</f>
        <v/>
      </c>
      <c r="H457">
        <f>TEXT(A457,"DD/MM HH:MM")</f>
        <v/>
      </c>
    </row>
    <row r="458">
      <c r="A458" s="30" t="n">
        <v>46314.31180555555</v>
      </c>
      <c r="B458" s="11" t="n">
        <v>427</v>
      </c>
      <c r="C458" s="11" t="n">
        <v>1297</v>
      </c>
      <c r="D458" s="12" t="n">
        <v>15564</v>
      </c>
      <c r="E458" s="31">
        <f>B458-B457</f>
        <v/>
      </c>
      <c r="F458" s="31">
        <f>C458-C457</f>
        <v/>
      </c>
      <c r="G458" s="32">
        <f>D458-D457</f>
        <v/>
      </c>
      <c r="H458">
        <f>TEXT(A458,"DD/MM HH:MM")</f>
        <v/>
      </c>
    </row>
    <row r="459">
      <c r="A459" s="33" t="n">
        <v>46314.35972222222</v>
      </c>
      <c r="B459" s="15" t="n">
        <v>429</v>
      </c>
      <c r="C459" s="15" t="n">
        <v>1301</v>
      </c>
      <c r="D459" s="16" t="n">
        <v>15612</v>
      </c>
      <c r="E459" s="34">
        <f>B459-B458</f>
        <v/>
      </c>
      <c r="F459" s="34">
        <f>C459-C458</f>
        <v/>
      </c>
      <c r="G459" s="35">
        <f>D459-D458</f>
        <v/>
      </c>
      <c r="H459">
        <f>TEXT(A459,"DD/MM HH:MM")</f>
        <v/>
      </c>
    </row>
    <row r="460">
      <c r="A460" s="30" t="n">
        <v>46314.39375</v>
      </c>
      <c r="B460" s="11" t="n">
        <v>430</v>
      </c>
      <c r="C460" s="11" t="n">
        <v>1303</v>
      </c>
      <c r="D460" s="12" t="n">
        <v>15636</v>
      </c>
      <c r="E460" s="31">
        <f>B460-B459</f>
        <v/>
      </c>
      <c r="F460" s="31">
        <f>C460-C459</f>
        <v/>
      </c>
      <c r="G460" s="32">
        <f>D460-D459</f>
        <v/>
      </c>
      <c r="H460">
        <f>TEXT(A460,"DD/MM HH:MM")</f>
        <v/>
      </c>
    </row>
    <row r="461">
      <c r="A461" s="33" t="n">
        <v>46314.40694444445</v>
      </c>
      <c r="B461" s="15" t="n">
        <v>431</v>
      </c>
      <c r="C461" s="15" t="n">
        <v>1307</v>
      </c>
      <c r="D461" s="16" t="n">
        <v>15684</v>
      </c>
      <c r="E461" s="34">
        <f>B461-B460</f>
        <v/>
      </c>
      <c r="F461" s="34">
        <f>C461-C460</f>
        <v/>
      </c>
      <c r="G461" s="35">
        <f>D461-D460</f>
        <v/>
      </c>
      <c r="H461">
        <f>TEXT(A461,"DD/MM HH:MM")</f>
        <v/>
      </c>
    </row>
    <row r="462">
      <c r="A462" s="30" t="n">
        <v>46314.44166666667</v>
      </c>
      <c r="B462" s="11" t="n">
        <v>436</v>
      </c>
      <c r="C462" s="11" t="n">
        <v>1319</v>
      </c>
      <c r="D462" s="12" t="n">
        <v>15828</v>
      </c>
      <c r="E462" s="31">
        <f>B462-B461</f>
        <v/>
      </c>
      <c r="F462" s="31">
        <f>C462-C461</f>
        <v/>
      </c>
      <c r="G462" s="32">
        <f>D462-D461</f>
        <v/>
      </c>
      <c r="H462">
        <f>TEXT(A462,"DD/MM HH:MM")</f>
        <v/>
      </c>
    </row>
    <row r="463">
      <c r="A463" s="33" t="n">
        <v>46314.48125</v>
      </c>
      <c r="B463" s="15" t="n">
        <v>436</v>
      </c>
      <c r="C463" s="15" t="n">
        <v>1319</v>
      </c>
      <c r="D463" s="16" t="n">
        <v>15828</v>
      </c>
      <c r="E463" s="34">
        <f>B463-B462</f>
        <v/>
      </c>
      <c r="F463" s="34">
        <f>C463-C462</f>
        <v/>
      </c>
      <c r="G463" s="35">
        <f>D463-D462</f>
        <v/>
      </c>
      <c r="H463">
        <f>TEXT(A463,"DD/MM HH:MM")</f>
        <v/>
      </c>
    </row>
    <row r="464">
      <c r="A464" s="30" t="n">
        <v>46314.52083333334</v>
      </c>
      <c r="B464" s="11" t="n">
        <v>440</v>
      </c>
      <c r="C464" s="11" t="n">
        <v>1329</v>
      </c>
      <c r="D464" s="12" t="n">
        <v>15948</v>
      </c>
      <c r="E464" s="31">
        <f>B464-B463</f>
        <v/>
      </c>
      <c r="F464" s="31">
        <f>C464-C463</f>
        <v/>
      </c>
      <c r="G464" s="32">
        <f>D464-D463</f>
        <v/>
      </c>
      <c r="H464">
        <f>TEXT(A464,"DD/MM HH:MM")</f>
        <v/>
      </c>
    </row>
    <row r="465">
      <c r="A465" s="33" t="n">
        <v>46314.53819444445</v>
      </c>
      <c r="B465" s="15" t="n">
        <v>441</v>
      </c>
      <c r="C465" s="15" t="n">
        <v>1334</v>
      </c>
      <c r="D465" s="16" t="n">
        <v>16008</v>
      </c>
      <c r="E465" s="34">
        <f>B465-B464</f>
        <v/>
      </c>
      <c r="F465" s="34">
        <f>C465-C464</f>
        <v/>
      </c>
      <c r="G465" s="35">
        <f>D465-D464</f>
        <v/>
      </c>
      <c r="H465">
        <f>TEXT(A465,"DD/MM HH:MM")</f>
        <v/>
      </c>
    </row>
    <row r="466">
      <c r="A466" s="30" t="n">
        <v>46314.56180555555</v>
      </c>
      <c r="B466" s="11" t="n">
        <v>445</v>
      </c>
      <c r="C466" s="11" t="n">
        <v>1349</v>
      </c>
      <c r="D466" s="12" t="n">
        <v>16188</v>
      </c>
      <c r="E466" s="31">
        <f>B466-B465</f>
        <v/>
      </c>
      <c r="F466" s="31">
        <f>C466-C465</f>
        <v/>
      </c>
      <c r="G466" s="32">
        <f>D466-D465</f>
        <v/>
      </c>
      <c r="H466">
        <f>TEXT(A466,"DD/MM HH:MM")</f>
        <v/>
      </c>
    </row>
    <row r="467">
      <c r="A467" s="33" t="n">
        <v>46314.60833333333</v>
      </c>
      <c r="B467" s="15" t="n">
        <v>452</v>
      </c>
      <c r="C467" s="15" t="n">
        <v>1370</v>
      </c>
      <c r="D467" s="16" t="n">
        <v>16440</v>
      </c>
      <c r="E467" s="34">
        <f>B467-B466</f>
        <v/>
      </c>
      <c r="F467" s="34">
        <f>C467-C466</f>
        <v/>
      </c>
      <c r="G467" s="35">
        <f>D467-D466</f>
        <v/>
      </c>
      <c r="H467">
        <f>TEXT(A467,"DD/MM HH:MM")</f>
        <v/>
      </c>
    </row>
    <row r="468">
      <c r="A468" s="30" t="n">
        <v>46314.61041666667</v>
      </c>
      <c r="B468" s="11" t="n">
        <v>452</v>
      </c>
      <c r="C468" s="11" t="n">
        <v>1370</v>
      </c>
      <c r="D468" s="12" t="n">
        <v>16440</v>
      </c>
      <c r="E468" s="31">
        <f>B468-B467</f>
        <v/>
      </c>
      <c r="F468" s="31">
        <f>C468-C467</f>
        <v/>
      </c>
      <c r="G468" s="32">
        <f>D468-D467</f>
        <v/>
      </c>
      <c r="H468">
        <f>TEXT(A468,"DD/MM HH:MM")</f>
        <v/>
      </c>
    </row>
    <row r="469">
      <c r="A469" s="33" t="n">
        <v>46314.65486111111</v>
      </c>
      <c r="B469" s="15" t="n">
        <v>456</v>
      </c>
      <c r="C469" s="15" t="n">
        <v>1383</v>
      </c>
      <c r="D469" s="16" t="n">
        <v>16596</v>
      </c>
      <c r="E469" s="34">
        <f>B469-B468</f>
        <v/>
      </c>
      <c r="F469" s="34">
        <f>C469-C468</f>
        <v/>
      </c>
      <c r="G469" s="35">
        <f>D469-D468</f>
        <v/>
      </c>
      <c r="H469">
        <f>TEXT(A469,"DD/MM HH:MM")</f>
        <v/>
      </c>
    </row>
    <row r="470">
      <c r="A470" s="30" t="n">
        <v>46314.69027777778</v>
      </c>
      <c r="B470" s="11" t="n">
        <v>463</v>
      </c>
      <c r="C470" s="11" t="n">
        <v>1407</v>
      </c>
      <c r="D470" s="12" t="n">
        <v>16884</v>
      </c>
      <c r="E470" s="31">
        <f>B470-B469</f>
        <v/>
      </c>
      <c r="F470" s="31">
        <f>C470-C469</f>
        <v/>
      </c>
      <c r="G470" s="32">
        <f>D470-D469</f>
        <v/>
      </c>
      <c r="H470">
        <f>TEXT(A470,"DD/MM HH:MM")</f>
        <v/>
      </c>
    </row>
    <row r="471">
      <c r="A471" s="33" t="n">
        <v>46314.72986111111</v>
      </c>
      <c r="B471" s="15" t="n">
        <v>465</v>
      </c>
      <c r="C471" s="15" t="n">
        <v>1411</v>
      </c>
      <c r="D471" s="16" t="n">
        <v>16932</v>
      </c>
      <c r="E471" s="34">
        <f>B471-B470</f>
        <v/>
      </c>
      <c r="F471" s="34">
        <f>C471-C470</f>
        <v/>
      </c>
      <c r="G471" s="35">
        <f>D471-D470</f>
        <v/>
      </c>
      <c r="H471">
        <f>TEXT(A471,"DD/MM HH:MM")</f>
        <v/>
      </c>
    </row>
    <row r="472">
      <c r="A472" s="30" t="n">
        <v>46314.77083333334</v>
      </c>
      <c r="B472" s="11" t="n">
        <v>472</v>
      </c>
      <c r="C472" s="11" t="n">
        <v>1428</v>
      </c>
      <c r="D472" s="12" t="n">
        <v>17136</v>
      </c>
      <c r="E472" s="31">
        <f>B472-B471</f>
        <v/>
      </c>
      <c r="F472" s="31">
        <f>C472-C471</f>
        <v/>
      </c>
      <c r="G472" s="32">
        <f>D472-D471</f>
        <v/>
      </c>
      <c r="H472">
        <f>TEXT(A472,"DD/MM HH:MM")</f>
        <v/>
      </c>
    </row>
    <row r="473">
      <c r="A473" s="33" t="n">
        <v>46314.81041666667</v>
      </c>
      <c r="B473" s="15" t="n">
        <v>476</v>
      </c>
      <c r="C473" s="15" t="n">
        <v>1442</v>
      </c>
      <c r="D473" s="16" t="n">
        <v>17304</v>
      </c>
      <c r="E473" s="34">
        <f>B473-B472</f>
        <v/>
      </c>
      <c r="F473" s="34">
        <f>C473-C472</f>
        <v/>
      </c>
      <c r="G473" s="35">
        <f>D473-D472</f>
        <v/>
      </c>
      <c r="H473">
        <f>TEXT(A473,"DD/MM HH:MM")</f>
        <v/>
      </c>
    </row>
    <row r="474">
      <c r="A474" s="30" t="n">
        <v>46314.85347222222</v>
      </c>
      <c r="B474" s="11" t="n">
        <v>482</v>
      </c>
      <c r="C474" s="11" t="n">
        <v>1461</v>
      </c>
      <c r="D474" s="12" t="n">
        <v>17532</v>
      </c>
      <c r="E474" s="31">
        <f>B474-B473</f>
        <v/>
      </c>
      <c r="F474" s="31">
        <f>C474-C473</f>
        <v/>
      </c>
      <c r="G474" s="32">
        <f>D474-D473</f>
        <v/>
      </c>
      <c r="H474">
        <f>TEXT(A474,"DD/MM HH:MM")</f>
        <v/>
      </c>
    </row>
    <row r="475">
      <c r="A475" s="33" t="n">
        <v>46314.89583333334</v>
      </c>
      <c r="B475" s="15" t="n">
        <v>489</v>
      </c>
      <c r="C475" s="15" t="n">
        <v>1480</v>
      </c>
      <c r="D475" s="16" t="n">
        <v>17760</v>
      </c>
      <c r="E475" s="34">
        <f>B475-B474</f>
        <v/>
      </c>
      <c r="F475" s="34">
        <f>C475-C474</f>
        <v/>
      </c>
      <c r="G475" s="35">
        <f>D475-D474</f>
        <v/>
      </c>
      <c r="H475">
        <f>TEXT(A475,"DD/MM HH:MM")</f>
        <v/>
      </c>
    </row>
    <row r="476">
      <c r="A476" s="30" t="n">
        <v>46314.93611111111</v>
      </c>
      <c r="B476" s="11" t="n">
        <v>496</v>
      </c>
      <c r="C476" s="11" t="n">
        <v>1502</v>
      </c>
      <c r="D476" s="12" t="n">
        <v>18024</v>
      </c>
      <c r="E476" s="31">
        <f>B476-B475</f>
        <v/>
      </c>
      <c r="F476" s="31">
        <f>C476-C475</f>
        <v/>
      </c>
      <c r="G476" s="32">
        <f>D476-D475</f>
        <v/>
      </c>
      <c r="H476">
        <f>TEXT(A476,"DD/MM HH:MM")</f>
        <v/>
      </c>
    </row>
    <row r="477">
      <c r="A477" s="33" t="n">
        <v>46314.97638888889</v>
      </c>
      <c r="B477" s="15" t="n">
        <v>502</v>
      </c>
      <c r="C477" s="15" t="n">
        <v>1525</v>
      </c>
      <c r="D477" s="16" t="n">
        <v>18300</v>
      </c>
      <c r="E477" s="34">
        <f>B477-B476</f>
        <v/>
      </c>
      <c r="F477" s="34">
        <f>C477-C476</f>
        <v/>
      </c>
      <c r="G477" s="35">
        <f>D477-D476</f>
        <v/>
      </c>
      <c r="H477">
        <f>TEXT(A477,"DD/MM HH:MM")</f>
        <v/>
      </c>
    </row>
    <row r="478">
      <c r="A478" s="30" t="n">
        <v>46315.01805555556</v>
      </c>
      <c r="B478" s="11" t="n">
        <v>505</v>
      </c>
      <c r="C478" s="11" t="n">
        <v>1535</v>
      </c>
      <c r="D478" s="12" t="n">
        <v>18420</v>
      </c>
      <c r="E478" s="31">
        <f>B478-B477</f>
        <v/>
      </c>
      <c r="F478" s="31">
        <f>C478-C477</f>
        <v/>
      </c>
      <c r="G478" s="32">
        <f>D478-D477</f>
        <v/>
      </c>
      <c r="H478">
        <f>TEXT(A478,"DD/MM HH:MM")</f>
        <v/>
      </c>
    </row>
    <row r="479">
      <c r="A479" s="33" t="n">
        <v>46315.05902777778</v>
      </c>
      <c r="B479" s="15" t="n">
        <v>505</v>
      </c>
      <c r="C479" s="15" t="n">
        <v>1535</v>
      </c>
      <c r="D479" s="16" t="n">
        <v>18420</v>
      </c>
      <c r="E479" s="34">
        <f>B479-B478</f>
        <v/>
      </c>
      <c r="F479" s="34">
        <f>C479-C478</f>
        <v/>
      </c>
      <c r="G479" s="35">
        <f>D479-D478</f>
        <v/>
      </c>
      <c r="H479">
        <f>TEXT(A479,"DD/MM HH:MM")</f>
        <v/>
      </c>
    </row>
    <row r="480">
      <c r="A480" s="30" t="n">
        <v>46315.10694444444</v>
      </c>
      <c r="B480" s="11" t="n">
        <v>505</v>
      </c>
      <c r="C480" s="11" t="n">
        <v>1535</v>
      </c>
      <c r="D480" s="12" t="n">
        <v>18420</v>
      </c>
      <c r="E480" s="31">
        <f>B480-B479</f>
        <v/>
      </c>
      <c r="F480" s="31">
        <f>C480-C479</f>
        <v/>
      </c>
      <c r="G480" s="32">
        <f>D480-D479</f>
        <v/>
      </c>
      <c r="H480">
        <f>TEXT(A480,"DD/MM HH:MM")</f>
        <v/>
      </c>
    </row>
    <row r="481">
      <c r="A481" s="33" t="n">
        <v>46315.14722222222</v>
      </c>
      <c r="B481" s="15" t="n">
        <v>505</v>
      </c>
      <c r="C481" s="15" t="n">
        <v>1535</v>
      </c>
      <c r="D481" s="16" t="n">
        <v>18420</v>
      </c>
      <c r="E481" s="34">
        <f>B481-B480</f>
        <v/>
      </c>
      <c r="F481" s="34">
        <f>C481-C480</f>
        <v/>
      </c>
      <c r="G481" s="35">
        <f>D481-D480</f>
        <v/>
      </c>
      <c r="H481">
        <f>TEXT(A481,"DD/MM HH:MM")</f>
        <v/>
      </c>
    </row>
    <row r="482">
      <c r="A482" s="30" t="n">
        <v>46315.18472222222</v>
      </c>
      <c r="B482" s="11" t="n">
        <v>505</v>
      </c>
      <c r="C482" s="11" t="n">
        <v>1535</v>
      </c>
      <c r="D482" s="12" t="n">
        <v>18420</v>
      </c>
      <c r="E482" s="31">
        <f>B482-B481</f>
        <v/>
      </c>
      <c r="F482" s="31">
        <f>C482-C481</f>
        <v/>
      </c>
      <c r="G482" s="32">
        <f>D482-D481</f>
        <v/>
      </c>
      <c r="H482">
        <f>TEXT(A482,"DD/MM HH:MM")</f>
        <v/>
      </c>
    </row>
    <row r="483">
      <c r="A483" s="33" t="n">
        <v>46315.22708333333</v>
      </c>
      <c r="B483" s="15" t="n">
        <v>505</v>
      </c>
      <c r="C483" s="15" t="n">
        <v>1535</v>
      </c>
      <c r="D483" s="16" t="n">
        <v>18420</v>
      </c>
      <c r="E483" s="34">
        <f>B483-B482</f>
        <v/>
      </c>
      <c r="F483" s="34">
        <f>C483-C482</f>
        <v/>
      </c>
      <c r="G483" s="35">
        <f>D483-D482</f>
        <v/>
      </c>
      <c r="H483">
        <f>TEXT(A483,"DD/MM HH:MM")</f>
        <v/>
      </c>
    </row>
    <row r="484">
      <c r="A484" s="30" t="n">
        <v>46315.26944444444</v>
      </c>
      <c r="B484" s="11" t="n">
        <v>505</v>
      </c>
      <c r="C484" s="11" t="n">
        <v>1535</v>
      </c>
      <c r="D484" s="12" t="n">
        <v>18420</v>
      </c>
      <c r="E484" s="31">
        <f>B484-B483</f>
        <v/>
      </c>
      <c r="F484" s="31">
        <f>C484-C483</f>
        <v/>
      </c>
      <c r="G484" s="32">
        <f>D484-D483</f>
        <v/>
      </c>
      <c r="H484">
        <f>TEXT(A484,"DD/MM HH:MM")</f>
        <v/>
      </c>
    </row>
    <row r="485">
      <c r="A485" s="33" t="n">
        <v>46315.31041666667</v>
      </c>
      <c r="B485" s="15" t="n">
        <v>506</v>
      </c>
      <c r="C485" s="15" t="n">
        <v>1539</v>
      </c>
      <c r="D485" s="16" t="n">
        <v>18468</v>
      </c>
      <c r="E485" s="34">
        <f>B485-B484</f>
        <v/>
      </c>
      <c r="F485" s="34">
        <f>C485-C484</f>
        <v/>
      </c>
      <c r="G485" s="35">
        <f>D485-D484</f>
        <v/>
      </c>
      <c r="H485">
        <f>TEXT(A485,"DD/MM HH:MM")</f>
        <v/>
      </c>
    </row>
    <row r="486">
      <c r="A486" s="30" t="n">
        <v>46315.35555555556</v>
      </c>
      <c r="B486" s="11" t="n">
        <v>508</v>
      </c>
      <c r="C486" s="11" t="n">
        <v>1546</v>
      </c>
      <c r="D486" s="12" t="n">
        <v>18552</v>
      </c>
      <c r="E486" s="31">
        <f>B486-B485</f>
        <v/>
      </c>
      <c r="F486" s="31">
        <f>C486-C485</f>
        <v/>
      </c>
      <c r="G486" s="32">
        <f>D486-D485</f>
        <v/>
      </c>
      <c r="H486">
        <f>TEXT(A486,"DD/MM HH:MM")</f>
        <v/>
      </c>
    </row>
    <row r="487">
      <c r="A487" s="33" t="n">
        <v>46315.40138888889</v>
      </c>
      <c r="B487" s="15" t="n">
        <v>509</v>
      </c>
      <c r="C487" s="15" t="n">
        <v>1551</v>
      </c>
      <c r="D487" s="16" t="n">
        <v>18612</v>
      </c>
      <c r="E487" s="34">
        <f>B487-B486</f>
        <v/>
      </c>
      <c r="F487" s="34">
        <f>C487-C486</f>
        <v/>
      </c>
      <c r="G487" s="35">
        <f>D487-D486</f>
        <v/>
      </c>
      <c r="H487">
        <f>TEXT(A487,"DD/MM HH:MM")</f>
        <v/>
      </c>
    </row>
    <row r="488">
      <c r="A488" s="30" t="n">
        <v>46315.4375</v>
      </c>
      <c r="B488" s="11" t="n">
        <v>511</v>
      </c>
      <c r="C488" s="11" t="n">
        <v>1555</v>
      </c>
      <c r="D488" s="12" t="n">
        <v>18660</v>
      </c>
      <c r="E488" s="31">
        <f>B488-B487</f>
        <v/>
      </c>
      <c r="F488" s="31">
        <f>C488-C487</f>
        <v/>
      </c>
      <c r="G488" s="32">
        <f>D488-D487</f>
        <v/>
      </c>
      <c r="H488">
        <f>TEXT(A488,"DD/MM HH:MM")</f>
        <v/>
      </c>
    </row>
    <row r="489">
      <c r="A489" s="33" t="n">
        <v>46315.47916666666</v>
      </c>
      <c r="B489" s="15" t="n">
        <v>511</v>
      </c>
      <c r="C489" s="15" t="n">
        <v>1555</v>
      </c>
      <c r="D489" s="16" t="n">
        <v>18660</v>
      </c>
      <c r="E489" s="34">
        <f>B489-B488</f>
        <v/>
      </c>
      <c r="F489" s="34">
        <f>C489-C488</f>
        <v/>
      </c>
      <c r="G489" s="35">
        <f>D489-D488</f>
        <v/>
      </c>
      <c r="H489">
        <f>TEXT(A489,"DD/MM HH:MM")</f>
        <v/>
      </c>
    </row>
    <row r="490">
      <c r="A490" s="30" t="n">
        <v>46315.50277777778</v>
      </c>
      <c r="B490" s="11" t="n">
        <v>514</v>
      </c>
      <c r="C490" s="11" t="n">
        <v>1563</v>
      </c>
      <c r="D490" s="12" t="n">
        <v>18756</v>
      </c>
      <c r="E490" s="31">
        <f>B490-B489</f>
        <v/>
      </c>
      <c r="F490" s="31">
        <f>C490-C489</f>
        <v/>
      </c>
      <c r="G490" s="32">
        <f>D490-D489</f>
        <v/>
      </c>
      <c r="H490">
        <f>TEXT(A490,"DD/MM HH:MM")</f>
        <v/>
      </c>
    </row>
    <row r="491">
      <c r="A491" s="33" t="n">
        <v>46315.51805555556</v>
      </c>
      <c r="B491" s="15" t="n">
        <v>514</v>
      </c>
      <c r="C491" s="15" t="n">
        <v>1563</v>
      </c>
      <c r="D491" s="16" t="n">
        <v>18756</v>
      </c>
      <c r="E491" s="34">
        <f>B491-B490</f>
        <v/>
      </c>
      <c r="F491" s="34">
        <f>C491-C490</f>
        <v/>
      </c>
      <c r="G491" s="35">
        <f>D491-D490</f>
        <v/>
      </c>
      <c r="H491">
        <f>TEXT(A491,"DD/MM HH:MM")</f>
        <v/>
      </c>
    </row>
    <row r="492">
      <c r="A492" s="30" t="n">
        <v>46315.56041666667</v>
      </c>
      <c r="B492" s="11" t="n">
        <v>516</v>
      </c>
      <c r="C492" s="11" t="n">
        <v>1570</v>
      </c>
      <c r="D492" s="12" t="n">
        <v>18840</v>
      </c>
      <c r="E492" s="31">
        <f>B492-B491</f>
        <v/>
      </c>
      <c r="F492" s="31">
        <f>C492-C491</f>
        <v/>
      </c>
      <c r="G492" s="32">
        <f>D492-D491</f>
        <v/>
      </c>
      <c r="H492">
        <f>TEXT(A492,"DD/MM HH:MM")</f>
        <v/>
      </c>
    </row>
    <row r="493">
      <c r="A493" s="33" t="n">
        <v>46315.60625</v>
      </c>
      <c r="B493" s="15" t="n">
        <v>522</v>
      </c>
      <c r="C493" s="15" t="n">
        <v>1586</v>
      </c>
      <c r="D493" s="16" t="n">
        <v>19032</v>
      </c>
      <c r="E493" s="34">
        <f>B493-B492</f>
        <v/>
      </c>
      <c r="F493" s="34">
        <f>C493-C492</f>
        <v/>
      </c>
      <c r="G493" s="35">
        <f>D493-D492</f>
        <v/>
      </c>
      <c r="H493">
        <f>TEXT(A493,"DD/MM HH:MM")</f>
        <v/>
      </c>
    </row>
    <row r="494">
      <c r="A494" s="30" t="n">
        <v>46315.65416666667</v>
      </c>
      <c r="B494" s="11" t="n">
        <v>525</v>
      </c>
      <c r="C494" s="11" t="n">
        <v>1594</v>
      </c>
      <c r="D494" s="12" t="n">
        <v>19128</v>
      </c>
      <c r="E494" s="31">
        <f>B494-B493</f>
        <v/>
      </c>
      <c r="F494" s="31">
        <f>C494-C493</f>
        <v/>
      </c>
      <c r="G494" s="32">
        <f>D494-D493</f>
        <v/>
      </c>
      <c r="H494">
        <f>TEXT(A494,"DD/MM HH:MM")</f>
        <v/>
      </c>
    </row>
    <row r="495">
      <c r="A495" s="33" t="n">
        <v>46315.68680555555</v>
      </c>
      <c r="B495" s="15" t="n">
        <v>527</v>
      </c>
      <c r="C495" s="15" t="n">
        <v>1601</v>
      </c>
      <c r="D495" s="16" t="n">
        <v>19212</v>
      </c>
      <c r="E495" s="34">
        <f>B495-B494</f>
        <v/>
      </c>
      <c r="F495" s="34">
        <f>C495-C494</f>
        <v/>
      </c>
      <c r="G495" s="35">
        <f>D495-D494</f>
        <v/>
      </c>
      <c r="H495">
        <f>TEXT(A495,"DD/MM HH:MM")</f>
        <v/>
      </c>
    </row>
    <row r="496">
      <c r="A496" s="30" t="n">
        <v>46315.72916666666</v>
      </c>
      <c r="B496" s="11" t="n">
        <v>529</v>
      </c>
      <c r="C496" s="11" t="n">
        <v>1605</v>
      </c>
      <c r="D496" s="12" t="n">
        <v>19260</v>
      </c>
      <c r="E496" s="31">
        <f>B496-B495</f>
        <v/>
      </c>
      <c r="F496" s="31">
        <f>C496-C495</f>
        <v/>
      </c>
      <c r="G496" s="32">
        <f>D496-D495</f>
        <v/>
      </c>
      <c r="H496">
        <f>TEXT(A496,"DD/MM HH:MM")</f>
        <v/>
      </c>
    </row>
    <row r="497">
      <c r="A497" s="33" t="n">
        <v>46315.74513888889</v>
      </c>
      <c r="B497" s="15" t="n">
        <v>530</v>
      </c>
      <c r="C497" s="15" t="n">
        <v>1607</v>
      </c>
      <c r="D497" s="16" t="n">
        <v>19284</v>
      </c>
      <c r="E497" s="34">
        <f>B497-B496</f>
        <v/>
      </c>
      <c r="F497" s="34">
        <f>C497-C496</f>
        <v/>
      </c>
      <c r="G497" s="35">
        <f>D497-D496</f>
        <v/>
      </c>
      <c r="H497">
        <f>TEXT(A497,"DD/MM HH:MM")</f>
        <v/>
      </c>
    </row>
    <row r="498">
      <c r="A498" s="30" t="n">
        <v>46315.77083333334</v>
      </c>
      <c r="B498" s="11" t="n">
        <v>530</v>
      </c>
      <c r="C498" s="11" t="n">
        <v>1607</v>
      </c>
      <c r="D498" s="12" t="n">
        <v>19284</v>
      </c>
      <c r="E498" s="31">
        <f>B498-B497</f>
        <v/>
      </c>
      <c r="F498" s="31">
        <f>C498-C497</f>
        <v/>
      </c>
      <c r="G498" s="32">
        <f>D498-D497</f>
        <v/>
      </c>
      <c r="H498">
        <f>TEXT(A498,"DD/MM HH:MM")</f>
        <v/>
      </c>
    </row>
    <row r="499">
      <c r="A499" s="33" t="n">
        <v>46315.81805555556</v>
      </c>
      <c r="B499" s="15" t="n">
        <v>538</v>
      </c>
      <c r="C499" s="15" t="n">
        <v>1631</v>
      </c>
      <c r="D499" s="16" t="n">
        <v>19572</v>
      </c>
      <c r="E499" s="34">
        <f>B499-B498</f>
        <v/>
      </c>
      <c r="F499" s="34">
        <f>C499-C498</f>
        <v/>
      </c>
      <c r="G499" s="35">
        <f>D499-D498</f>
        <v/>
      </c>
      <c r="H499">
        <f>TEXT(A499,"DD/MM HH:MM")</f>
        <v/>
      </c>
    </row>
    <row r="500">
      <c r="A500" s="30" t="n">
        <v>46315.83263888889</v>
      </c>
      <c r="B500" s="11" t="n">
        <v>538</v>
      </c>
      <c r="C500" s="11" t="n">
        <v>1631</v>
      </c>
      <c r="D500" s="12" t="n">
        <v>19572</v>
      </c>
      <c r="E500" s="31">
        <f>B500-B499</f>
        <v/>
      </c>
      <c r="F500" s="31">
        <f>C500-C499</f>
        <v/>
      </c>
      <c r="G500" s="32">
        <f>D500-D499</f>
        <v/>
      </c>
      <c r="H500">
        <f>TEXT(A500,"DD/MM HH:MM")</f>
        <v/>
      </c>
    </row>
    <row r="501">
      <c r="A501" s="33" t="n">
        <v>46315.85416666666</v>
      </c>
      <c r="B501" s="15" t="n">
        <v>539</v>
      </c>
      <c r="C501" s="15" t="n">
        <v>1635</v>
      </c>
      <c r="D501" s="16" t="n">
        <v>19620</v>
      </c>
      <c r="E501" s="34">
        <f>B501-B500</f>
        <v/>
      </c>
      <c r="F501" s="34">
        <f>C501-C500</f>
        <v/>
      </c>
      <c r="G501" s="35">
        <f>D501-D500</f>
        <v/>
      </c>
      <c r="H501">
        <f>TEXT(A501,"DD/MM HH:MM")</f>
        <v/>
      </c>
    </row>
    <row r="502">
      <c r="A502" s="30" t="n">
        <v>46315.89652777778</v>
      </c>
      <c r="B502" s="11" t="n">
        <v>544</v>
      </c>
      <c r="C502" s="11" t="n">
        <v>1651</v>
      </c>
      <c r="D502" s="12" t="n">
        <v>19812</v>
      </c>
      <c r="E502" s="31">
        <f>B502-B501</f>
        <v/>
      </c>
      <c r="F502" s="31">
        <f>C502-C501</f>
        <v/>
      </c>
      <c r="G502" s="32">
        <f>D502-D501</f>
        <v/>
      </c>
      <c r="H502">
        <f>TEXT(A502,"DD/MM HH:MM")</f>
        <v/>
      </c>
    </row>
    <row r="503">
      <c r="A503" s="33" t="n">
        <v>46315.93472222222</v>
      </c>
      <c r="B503" s="15" t="n">
        <v>548</v>
      </c>
      <c r="C503" s="15" t="n">
        <v>1663</v>
      </c>
      <c r="D503" s="16" t="n">
        <v>19956</v>
      </c>
      <c r="E503" s="34">
        <f>B503-B502</f>
        <v/>
      </c>
      <c r="F503" s="34">
        <f>C503-C502</f>
        <v/>
      </c>
      <c r="G503" s="35">
        <f>D503-D502</f>
        <v/>
      </c>
      <c r="H503">
        <f>TEXT(A503,"DD/MM HH:MM")</f>
        <v/>
      </c>
    </row>
    <row r="504">
      <c r="A504" s="30" t="n">
        <v>46315.96388888889</v>
      </c>
      <c r="B504" s="11" t="n">
        <v>548</v>
      </c>
      <c r="C504" s="11" t="n">
        <v>1663</v>
      </c>
      <c r="D504" s="12" t="n">
        <v>19956</v>
      </c>
      <c r="E504" s="31">
        <f>B504-B503</f>
        <v/>
      </c>
      <c r="F504" s="31">
        <f>C504-C503</f>
        <v/>
      </c>
      <c r="G504" s="32">
        <f>D504-D503</f>
        <v/>
      </c>
      <c r="H504">
        <f>TEXT(A504,"DD/MM HH:MM")</f>
        <v/>
      </c>
    </row>
    <row r="505">
      <c r="A505" s="33" t="n">
        <v>46315.97708333333</v>
      </c>
      <c r="B505" s="15" t="n">
        <v>549</v>
      </c>
      <c r="C505" s="15" t="n">
        <v>1665</v>
      </c>
      <c r="D505" s="16" t="n">
        <v>19980</v>
      </c>
      <c r="E505" s="34">
        <f>B505-B504</f>
        <v/>
      </c>
      <c r="F505" s="34">
        <f>C505-C504</f>
        <v/>
      </c>
      <c r="G505" s="35">
        <f>D505-D504</f>
        <v/>
      </c>
      <c r="H505">
        <f>TEXT(A505,"DD/MM HH:MM")</f>
        <v/>
      </c>
    </row>
    <row r="506">
      <c r="A506" s="30" t="n">
        <v>46315.99652777778</v>
      </c>
      <c r="B506" s="11" t="n">
        <v>552</v>
      </c>
      <c r="C506" s="11" t="n">
        <v>1674</v>
      </c>
      <c r="D506" s="12" t="n">
        <v>20088</v>
      </c>
      <c r="E506" s="31">
        <f>B506-B505</f>
        <v/>
      </c>
      <c r="F506" s="31">
        <f>C506-C505</f>
        <v/>
      </c>
      <c r="G506" s="32">
        <f>D506-D505</f>
        <v/>
      </c>
      <c r="H506">
        <f>TEXT(A506,"DD/MM HH:MM")</f>
        <v/>
      </c>
    </row>
    <row r="507">
      <c r="A507" s="33" t="n">
        <v>46316.0125</v>
      </c>
      <c r="B507" s="15" t="n">
        <v>553</v>
      </c>
      <c r="C507" s="15" t="n">
        <v>1676</v>
      </c>
      <c r="D507" s="16" t="n">
        <v>20112</v>
      </c>
      <c r="E507" s="34">
        <f>B507-B506</f>
        <v/>
      </c>
      <c r="F507" s="34">
        <f>C507-C506</f>
        <v/>
      </c>
      <c r="G507" s="35">
        <f>D507-D506</f>
        <v/>
      </c>
      <c r="H507">
        <f>TEXT(A507,"DD/MM HH:MM")</f>
        <v/>
      </c>
    </row>
    <row r="508">
      <c r="A508" s="30" t="n">
        <v>46316.01736111111</v>
      </c>
      <c r="B508" s="11" t="n">
        <v>553</v>
      </c>
      <c r="C508" s="11" t="n">
        <v>1676</v>
      </c>
      <c r="D508" s="12" t="n">
        <v>20112</v>
      </c>
      <c r="E508" s="31">
        <f>B508-B507</f>
        <v/>
      </c>
      <c r="F508" s="31">
        <f>C508-C507</f>
        <v/>
      </c>
      <c r="G508" s="32">
        <f>D508-D507</f>
        <v/>
      </c>
      <c r="H508">
        <f>TEXT(A508,"DD/MM HH:MM")</f>
        <v/>
      </c>
    </row>
    <row r="509">
      <c r="A509" s="33" t="n">
        <v>46316.05763888889</v>
      </c>
      <c r="B509" s="15" t="n">
        <v>554</v>
      </c>
      <c r="C509" s="15" t="n">
        <v>1678</v>
      </c>
      <c r="D509" s="16" t="n">
        <v>20136</v>
      </c>
      <c r="E509" s="34">
        <f>B509-B508</f>
        <v/>
      </c>
      <c r="F509" s="34">
        <f>C509-C508</f>
        <v/>
      </c>
      <c r="G509" s="35">
        <f>D509-D508</f>
        <v/>
      </c>
      <c r="H509">
        <f>TEXT(A509,"DD/MM HH:MM")</f>
        <v/>
      </c>
    </row>
    <row r="510">
      <c r="A510" s="30" t="n">
        <v>46316.10555555556</v>
      </c>
      <c r="B510" s="11" t="n">
        <v>556</v>
      </c>
      <c r="C510" s="11" t="n">
        <v>1682</v>
      </c>
      <c r="D510" s="12" t="n">
        <v>20184</v>
      </c>
      <c r="E510" s="31">
        <f>B510-B509</f>
        <v/>
      </c>
      <c r="F510" s="31">
        <f>C510-C509</f>
        <v/>
      </c>
      <c r="G510" s="32">
        <f>D510-D509</f>
        <v/>
      </c>
      <c r="H510">
        <f>TEXT(A510,"DD/MM HH:MM")</f>
        <v/>
      </c>
    </row>
    <row r="511">
      <c r="A511" s="33" t="n">
        <v>46316.14791666667</v>
      </c>
      <c r="B511" s="15" t="n">
        <v>556</v>
      </c>
      <c r="C511" s="15" t="n">
        <v>1682</v>
      </c>
      <c r="D511" s="16" t="n">
        <v>20184</v>
      </c>
      <c r="E511" s="34">
        <f>B511-B510</f>
        <v/>
      </c>
      <c r="F511" s="34">
        <f>C511-C510</f>
        <v/>
      </c>
      <c r="G511" s="35">
        <f>D511-D510</f>
        <v/>
      </c>
      <c r="H511">
        <f>TEXT(A511,"DD/MM HH:MM")</f>
        <v/>
      </c>
    </row>
    <row r="512">
      <c r="A512" s="30" t="n">
        <v>46316.18541666667</v>
      </c>
      <c r="B512" s="11" t="n">
        <v>556</v>
      </c>
      <c r="C512" s="11" t="n">
        <v>1682</v>
      </c>
      <c r="D512" s="12" t="n">
        <v>20184</v>
      </c>
      <c r="E512" s="31">
        <f>B512-B511</f>
        <v/>
      </c>
      <c r="F512" s="31">
        <f>C512-C511</f>
        <v/>
      </c>
      <c r="G512" s="32">
        <f>D512-D511</f>
        <v/>
      </c>
      <c r="H512">
        <f>TEXT(A512,"DD/MM HH:MM")</f>
        <v/>
      </c>
    </row>
    <row r="513">
      <c r="A513" s="33" t="n">
        <v>46316.22777777778</v>
      </c>
      <c r="B513" s="15" t="n">
        <v>556</v>
      </c>
      <c r="C513" s="15" t="n">
        <v>1682</v>
      </c>
      <c r="D513" s="16" t="n">
        <v>20184</v>
      </c>
      <c r="E513" s="34">
        <f>B513-B512</f>
        <v/>
      </c>
      <c r="F513" s="34">
        <f>C513-C512</f>
        <v/>
      </c>
      <c r="G513" s="35">
        <f>D513-D512</f>
        <v/>
      </c>
      <c r="H513">
        <f>TEXT(A513,"DD/MM HH:MM")</f>
        <v/>
      </c>
    </row>
    <row r="514">
      <c r="A514" s="30" t="n">
        <v>46316.27013888889</v>
      </c>
      <c r="B514" s="11" t="n">
        <v>556</v>
      </c>
      <c r="C514" s="11" t="n">
        <v>1682</v>
      </c>
      <c r="D514" s="12" t="n">
        <v>20184</v>
      </c>
      <c r="E514" s="31">
        <f>B514-B513</f>
        <v/>
      </c>
      <c r="F514" s="31">
        <f>C514-C513</f>
        <v/>
      </c>
      <c r="G514" s="32">
        <f>D514-D513</f>
        <v/>
      </c>
      <c r="H514">
        <f>TEXT(A514,"DD/MM HH:MM")</f>
        <v/>
      </c>
    </row>
    <row r="515">
      <c r="A515" s="33" t="n">
        <v>46316.31111111111</v>
      </c>
      <c r="B515" s="15" t="n">
        <v>556</v>
      </c>
      <c r="C515" s="15" t="n">
        <v>1682</v>
      </c>
      <c r="D515" s="16" t="n">
        <v>20184</v>
      </c>
      <c r="E515" s="34">
        <f>B515-B514</f>
        <v/>
      </c>
      <c r="F515" s="34">
        <f>C515-C514</f>
        <v/>
      </c>
      <c r="G515" s="35">
        <f>D515-D514</f>
        <v/>
      </c>
      <c r="H515">
        <f>TEXT(A515,"DD/MM HH:MM")</f>
        <v/>
      </c>
    </row>
    <row r="516">
      <c r="A516" s="30" t="n">
        <v>46316.35625</v>
      </c>
      <c r="B516" s="11" t="n">
        <v>557</v>
      </c>
      <c r="C516" s="11" t="n">
        <v>1684</v>
      </c>
      <c r="D516" s="12" t="n">
        <v>20208</v>
      </c>
      <c r="E516" s="31">
        <f>B516-B515</f>
        <v/>
      </c>
      <c r="F516" s="31">
        <f>C516-C515</f>
        <v/>
      </c>
      <c r="G516" s="32">
        <f>D516-D515</f>
        <v/>
      </c>
      <c r="H516">
        <f>TEXT(A516,"DD/MM HH:MM")</f>
        <v/>
      </c>
    </row>
    <row r="517">
      <c r="A517" s="33" t="n">
        <v>46316.40277777778</v>
      </c>
      <c r="B517" s="15" t="n">
        <v>560</v>
      </c>
      <c r="C517" s="15" t="n">
        <v>1690</v>
      </c>
      <c r="D517" s="16" t="n">
        <v>20280</v>
      </c>
      <c r="E517" s="34">
        <f>B517-B516</f>
        <v/>
      </c>
      <c r="F517" s="34">
        <f>C517-C516</f>
        <v/>
      </c>
      <c r="G517" s="35">
        <f>D517-D516</f>
        <v/>
      </c>
      <c r="H517">
        <f>TEXT(A517,"DD/MM HH:MM")</f>
        <v/>
      </c>
    </row>
    <row r="518">
      <c r="A518" s="30" t="n">
        <v>46316.43888888889</v>
      </c>
      <c r="B518" s="11" t="n">
        <v>562</v>
      </c>
      <c r="C518" s="11" t="n">
        <v>1694</v>
      </c>
      <c r="D518" s="12" t="n">
        <v>20328</v>
      </c>
      <c r="E518" s="31">
        <f>B518-B517</f>
        <v/>
      </c>
      <c r="F518" s="31">
        <f>C518-C517</f>
        <v/>
      </c>
      <c r="G518" s="32">
        <f>D518-D517</f>
        <v/>
      </c>
      <c r="H518">
        <f>TEXT(A518,"DD/MM HH:MM")</f>
        <v/>
      </c>
    </row>
    <row r="519">
      <c r="A519" s="33" t="n">
        <v>46316.47847222222</v>
      </c>
      <c r="B519" s="15" t="n">
        <v>562</v>
      </c>
      <c r="C519" s="15" t="n">
        <v>1694</v>
      </c>
      <c r="D519" s="16" t="n">
        <v>20328</v>
      </c>
      <c r="E519" s="34">
        <f>B519-B518</f>
        <v/>
      </c>
      <c r="F519" s="34">
        <f>C519-C518</f>
        <v/>
      </c>
      <c r="G519" s="35">
        <f>D519-D518</f>
        <v/>
      </c>
      <c r="H519">
        <f>TEXT(A519,"DD/MM HH:MM")</f>
        <v/>
      </c>
    </row>
    <row r="520">
      <c r="A520" s="30" t="n">
        <v>46316.52083333334</v>
      </c>
      <c r="B520" s="11" t="n">
        <v>565</v>
      </c>
      <c r="C520" s="11" t="n">
        <v>1700</v>
      </c>
      <c r="D520" s="12" t="n">
        <v>20400</v>
      </c>
      <c r="E520" s="31">
        <f>B520-B519</f>
        <v/>
      </c>
      <c r="F520" s="31">
        <f>C520-C519</f>
        <v/>
      </c>
      <c r="G520" s="32">
        <f>D520-D519</f>
        <v/>
      </c>
      <c r="H520">
        <f>TEXT(A520,"DD/MM HH:MM")</f>
        <v/>
      </c>
    </row>
    <row r="521">
      <c r="A521" s="33" t="n">
        <v>46316.56111111111</v>
      </c>
      <c r="B521" s="15" t="n">
        <v>567</v>
      </c>
      <c r="C521" s="15" t="n">
        <v>1704</v>
      </c>
      <c r="D521" s="16" t="n">
        <v>20448</v>
      </c>
      <c r="E521" s="34">
        <f>B521-B520</f>
        <v/>
      </c>
      <c r="F521" s="34">
        <f>C521-C520</f>
        <v/>
      </c>
      <c r="G521" s="35">
        <f>D521-D520</f>
        <v/>
      </c>
      <c r="H521">
        <f>TEXT(A521,"DD/MM HH:MM")</f>
        <v/>
      </c>
    </row>
    <row r="522">
      <c r="A522" s="30" t="n">
        <v>46316.60694444444</v>
      </c>
      <c r="B522" s="11" t="n">
        <v>575</v>
      </c>
      <c r="C522" s="11" t="n">
        <v>1732</v>
      </c>
      <c r="D522" s="12" t="n">
        <v>20784</v>
      </c>
      <c r="E522" s="31">
        <f>B522-B521</f>
        <v/>
      </c>
      <c r="F522" s="31">
        <f>C522-C521</f>
        <v/>
      </c>
      <c r="G522" s="32">
        <f>D522-D521</f>
        <v/>
      </c>
      <c r="H522">
        <f>TEXT(A522,"DD/MM HH:MM")</f>
        <v/>
      </c>
    </row>
    <row r="523">
      <c r="A523" s="33" t="n">
        <v>46316.65069444444</v>
      </c>
      <c r="B523" s="15" t="n">
        <v>577</v>
      </c>
      <c r="C523" s="15" t="n">
        <v>1738</v>
      </c>
      <c r="D523" s="16" t="n">
        <v>20856</v>
      </c>
      <c r="E523" s="34">
        <f>B523-B522</f>
        <v/>
      </c>
      <c r="F523" s="34">
        <f>C523-C522</f>
        <v/>
      </c>
      <c r="G523" s="35">
        <f>D523-D522</f>
        <v/>
      </c>
      <c r="H523">
        <f>TEXT(A523,"DD/MM HH:MM")</f>
        <v/>
      </c>
    </row>
    <row r="524">
      <c r="A524" s="30" t="n">
        <v>46316.67013888889</v>
      </c>
      <c r="B524" s="11" t="n">
        <v>577</v>
      </c>
      <c r="C524" s="11" t="n">
        <v>1738</v>
      </c>
      <c r="D524" s="12" t="n">
        <v>20856</v>
      </c>
      <c r="E524" s="31">
        <f>B524-B523</f>
        <v/>
      </c>
      <c r="F524" s="31">
        <f>C524-C523</f>
        <v/>
      </c>
      <c r="G524" s="32">
        <f>D524-D523</f>
        <v/>
      </c>
      <c r="H524">
        <f>TEXT(A524,"DD/MM HH:MM")</f>
        <v/>
      </c>
    </row>
    <row r="525">
      <c r="A525" s="33" t="n">
        <v>46316.6875</v>
      </c>
      <c r="B525" s="15" t="n">
        <v>578</v>
      </c>
      <c r="C525" s="15" t="n">
        <v>1740</v>
      </c>
      <c r="D525" s="16" t="n">
        <v>20880</v>
      </c>
      <c r="E525" s="34">
        <f>B525-B524</f>
        <v/>
      </c>
      <c r="F525" s="34">
        <f>C525-C524</f>
        <v/>
      </c>
      <c r="G525" s="35">
        <f>D525-D524</f>
        <v/>
      </c>
      <c r="H525">
        <f>TEXT(A525,"DD/MM HH:MM")</f>
        <v/>
      </c>
    </row>
    <row r="526">
      <c r="A526" s="30" t="n">
        <v>46316.72361111111</v>
      </c>
      <c r="B526" s="11" t="n">
        <v>581</v>
      </c>
      <c r="C526" s="11" t="n">
        <v>1748</v>
      </c>
      <c r="D526" s="12" t="n">
        <v>20976</v>
      </c>
      <c r="E526" s="31">
        <f>B526-B525</f>
        <v/>
      </c>
      <c r="F526" s="31">
        <f>C526-C525</f>
        <v/>
      </c>
      <c r="G526" s="32">
        <f>D526-D525</f>
        <v/>
      </c>
      <c r="H526">
        <f>TEXT(A526,"DD/MM HH:MM")</f>
        <v/>
      </c>
    </row>
    <row r="527">
      <c r="A527" s="33" t="n">
        <v>46316.72916666666</v>
      </c>
      <c r="B527" s="15" t="n">
        <v>581</v>
      </c>
      <c r="C527" s="15" t="n">
        <v>1748</v>
      </c>
      <c r="D527" s="16" t="n">
        <v>20976</v>
      </c>
      <c r="E527" s="34">
        <f>B527-B526</f>
        <v/>
      </c>
      <c r="F527" s="34">
        <f>C527-C526</f>
        <v/>
      </c>
      <c r="G527" s="35">
        <f>D527-D526</f>
        <v/>
      </c>
      <c r="H527">
        <f>TEXT(A527,"DD/MM HH:MM")</f>
        <v/>
      </c>
    </row>
    <row r="528">
      <c r="A528" s="30" t="n">
        <v>46316.77013888889</v>
      </c>
      <c r="B528" s="11" t="n">
        <v>581</v>
      </c>
      <c r="C528" s="11" t="n">
        <v>1748</v>
      </c>
      <c r="D528" s="12" t="n">
        <v>20976</v>
      </c>
      <c r="E528" s="31">
        <f>B528-B527</f>
        <v/>
      </c>
      <c r="F528" s="31">
        <f>C528-C527</f>
        <v/>
      </c>
      <c r="G528" s="32">
        <f>D528-D527</f>
        <v/>
      </c>
      <c r="H528">
        <f>TEXT(A528,"DD/MM HH:MM")</f>
        <v/>
      </c>
    </row>
    <row r="529">
      <c r="A529" s="33" t="n">
        <v>46316.81041666667</v>
      </c>
      <c r="B529" s="15" t="n">
        <v>582</v>
      </c>
      <c r="C529" s="15" t="n">
        <v>1750</v>
      </c>
      <c r="D529" s="16" t="n">
        <v>21000</v>
      </c>
      <c r="E529" s="34">
        <f>B529-B528</f>
        <v/>
      </c>
      <c r="F529" s="34">
        <f>C529-C528</f>
        <v/>
      </c>
      <c r="G529" s="35">
        <f>D529-D528</f>
        <v/>
      </c>
      <c r="H529">
        <f>TEXT(A529,"DD/MM HH:MM")</f>
        <v/>
      </c>
    </row>
    <row r="530">
      <c r="A530" s="30" t="n">
        <v>46316.85347222222</v>
      </c>
      <c r="B530" s="11" t="n">
        <v>582</v>
      </c>
      <c r="C530" s="11" t="n">
        <v>1750</v>
      </c>
      <c r="D530" s="12" t="n">
        <v>21000</v>
      </c>
      <c r="E530" s="31">
        <f>B530-B529</f>
        <v/>
      </c>
      <c r="F530" s="31">
        <f>C530-C529</f>
        <v/>
      </c>
      <c r="G530" s="32">
        <f>D530-D529</f>
        <v/>
      </c>
      <c r="H530">
        <f>TEXT(A530,"DD/MM HH:MM")</f>
        <v/>
      </c>
    </row>
    <row r="531">
      <c r="A531" s="33" t="n">
        <v>46316.89583333334</v>
      </c>
      <c r="B531" s="15" t="n">
        <v>582</v>
      </c>
      <c r="C531" s="15" t="n">
        <v>1750</v>
      </c>
      <c r="D531" s="16" t="n">
        <v>21000</v>
      </c>
      <c r="E531" s="34">
        <f>B531-B530</f>
        <v/>
      </c>
      <c r="F531" s="34">
        <f>C531-C530</f>
        <v/>
      </c>
      <c r="G531" s="35">
        <f>D531-D530</f>
        <v/>
      </c>
      <c r="H531">
        <f>TEXT(A531,"DD/MM HH:MM")</f>
        <v/>
      </c>
    </row>
    <row r="532">
      <c r="A532" s="30" t="n">
        <v>46316.93402777778</v>
      </c>
      <c r="B532" s="11" t="n">
        <v>584</v>
      </c>
      <c r="C532" s="11" t="n">
        <v>1754</v>
      </c>
      <c r="D532" s="12" t="n">
        <v>21048</v>
      </c>
      <c r="E532" s="31">
        <f>B532-B531</f>
        <v/>
      </c>
      <c r="F532" s="31">
        <f>C532-C531</f>
        <v/>
      </c>
      <c r="G532" s="32">
        <f>D532-D531</f>
        <v/>
      </c>
      <c r="H532">
        <f>TEXT(A532,"DD/MM HH:MM")</f>
        <v/>
      </c>
    </row>
    <row r="533">
      <c r="A533" s="33" t="n">
        <v>46316.97708333333</v>
      </c>
      <c r="B533" s="15" t="n">
        <v>590</v>
      </c>
      <c r="C533" s="15" t="n">
        <v>1776</v>
      </c>
      <c r="D533" s="16" t="n">
        <v>21312</v>
      </c>
      <c r="E533" s="34">
        <f>B533-B532</f>
        <v/>
      </c>
      <c r="F533" s="34">
        <f>C533-C532</f>
        <v/>
      </c>
      <c r="G533" s="35">
        <f>D533-D532</f>
        <v/>
      </c>
      <c r="H533">
        <f>TEXT(A533,"DD/MM HH:MM")</f>
        <v/>
      </c>
    </row>
    <row r="534">
      <c r="A534" s="30" t="n">
        <v>46317.01805555556</v>
      </c>
      <c r="B534" s="11" t="n">
        <v>590</v>
      </c>
      <c r="C534" s="11" t="n">
        <v>1776</v>
      </c>
      <c r="D534" s="12" t="n">
        <v>21312</v>
      </c>
      <c r="E534" s="31">
        <f>B534-B533</f>
        <v/>
      </c>
      <c r="F534" s="31">
        <f>C534-C533</f>
        <v/>
      </c>
      <c r="G534" s="32">
        <f>D534-D533</f>
        <v/>
      </c>
      <c r="H534">
        <f>TEXT(A534,"DD/MM HH:MM")</f>
        <v/>
      </c>
    </row>
    <row r="535">
      <c r="A535" s="33" t="n">
        <v>46317.05763888889</v>
      </c>
      <c r="B535" s="15" t="n">
        <v>590</v>
      </c>
      <c r="C535" s="15" t="n">
        <v>1776</v>
      </c>
      <c r="D535" s="16" t="n">
        <v>21312</v>
      </c>
      <c r="E535" s="34">
        <f>B535-B534</f>
        <v/>
      </c>
      <c r="F535" s="34">
        <f>C535-C534</f>
        <v/>
      </c>
      <c r="G535" s="35">
        <f>D535-D534</f>
        <v/>
      </c>
      <c r="H535">
        <f>TEXT(A535,"DD/MM HH:MM")</f>
        <v/>
      </c>
    </row>
    <row r="536">
      <c r="A536" s="30" t="n">
        <v>46317.10625</v>
      </c>
      <c r="B536" s="11" t="n">
        <v>590</v>
      </c>
      <c r="C536" s="11" t="n">
        <v>1776</v>
      </c>
      <c r="D536" s="12" t="n">
        <v>21312</v>
      </c>
      <c r="E536" s="31">
        <f>B536-B535</f>
        <v/>
      </c>
      <c r="F536" s="31">
        <f>C536-C535</f>
        <v/>
      </c>
      <c r="G536" s="32">
        <f>D536-D535</f>
        <v/>
      </c>
      <c r="H536">
        <f>TEXT(A536,"DD/MM HH:MM")</f>
        <v/>
      </c>
    </row>
    <row r="537">
      <c r="A537" s="33" t="n">
        <v>46317.14722222222</v>
      </c>
      <c r="B537" s="15" t="n">
        <v>590</v>
      </c>
      <c r="C537" s="15" t="n">
        <v>1776</v>
      </c>
      <c r="D537" s="16" t="n">
        <v>21312</v>
      </c>
      <c r="E537" s="34">
        <f>B537-B536</f>
        <v/>
      </c>
      <c r="F537" s="34">
        <f>C537-C536</f>
        <v/>
      </c>
      <c r="G537" s="35">
        <f>D537-D536</f>
        <v/>
      </c>
      <c r="H537">
        <f>TEXT(A537,"DD/MM HH:MM")</f>
        <v/>
      </c>
    </row>
    <row r="538">
      <c r="A538" s="30" t="n">
        <v>46317.18611111111</v>
      </c>
      <c r="B538" s="11" t="n">
        <v>590</v>
      </c>
      <c r="C538" s="11" t="n">
        <v>1776</v>
      </c>
      <c r="D538" s="12" t="n">
        <v>21312</v>
      </c>
      <c r="E538" s="31">
        <f>B538-B537</f>
        <v/>
      </c>
      <c r="F538" s="31">
        <f>C538-C537</f>
        <v/>
      </c>
      <c r="G538" s="32">
        <f>D538-D537</f>
        <v/>
      </c>
      <c r="H538">
        <f>TEXT(A538,"DD/MM HH:MM")</f>
        <v/>
      </c>
    </row>
    <row r="539">
      <c r="A539" s="33" t="n">
        <v>46317.22777777778</v>
      </c>
      <c r="B539" s="15" t="n">
        <v>591</v>
      </c>
      <c r="C539" s="15" t="n">
        <v>1778</v>
      </c>
      <c r="D539" s="16" t="n">
        <v>21336</v>
      </c>
      <c r="E539" s="34">
        <f>B539-B538</f>
        <v/>
      </c>
      <c r="F539" s="34">
        <f>C539-C538</f>
        <v/>
      </c>
      <c r="G539" s="35">
        <f>D539-D538</f>
        <v/>
      </c>
      <c r="H539">
        <f>TEXT(A539,"DD/MM HH:MM")</f>
        <v/>
      </c>
    </row>
    <row r="540">
      <c r="A540" s="30" t="n">
        <v>46317.27013888889</v>
      </c>
      <c r="B540" s="11" t="n">
        <v>591</v>
      </c>
      <c r="C540" s="11" t="n">
        <v>1778</v>
      </c>
      <c r="D540" s="12" t="n">
        <v>21336</v>
      </c>
      <c r="E540" s="31">
        <f>B540-B539</f>
        <v/>
      </c>
      <c r="F540" s="31">
        <f>C540-C539</f>
        <v/>
      </c>
      <c r="G540" s="32">
        <f>D540-D539</f>
        <v/>
      </c>
      <c r="H540">
        <f>TEXT(A540,"DD/MM HH:MM")</f>
        <v/>
      </c>
    </row>
    <row r="541">
      <c r="A541" s="33" t="n">
        <v>46317.31111111111</v>
      </c>
      <c r="B541" s="15" t="n">
        <v>591</v>
      </c>
      <c r="C541" s="15" t="n">
        <v>1778</v>
      </c>
      <c r="D541" s="16" t="n">
        <v>21336</v>
      </c>
      <c r="E541" s="34">
        <f>B541-B540</f>
        <v/>
      </c>
      <c r="F541" s="34">
        <f>C541-C540</f>
        <v/>
      </c>
      <c r="G541" s="35">
        <f>D541-D540</f>
        <v/>
      </c>
      <c r="H541">
        <f>TEXT(A541,"DD/MM HH:MM")</f>
        <v/>
      </c>
    </row>
    <row r="542">
      <c r="A542" s="30" t="n">
        <v>46317.35694444444</v>
      </c>
      <c r="B542" s="11" t="n">
        <v>591</v>
      </c>
      <c r="C542" s="11" t="n">
        <v>1778</v>
      </c>
      <c r="D542" s="12" t="n">
        <v>21336</v>
      </c>
      <c r="E542" s="31">
        <f>B542-B541</f>
        <v/>
      </c>
      <c r="F542" s="31">
        <f>C542-C541</f>
        <v/>
      </c>
      <c r="G542" s="32">
        <f>D542-D541</f>
        <v/>
      </c>
      <c r="H542">
        <f>TEXT(A542,"DD/MM HH:MM")</f>
        <v/>
      </c>
    </row>
    <row r="543">
      <c r="A543" s="33" t="n">
        <v>46317.40208333333</v>
      </c>
      <c r="B543" s="15" t="n">
        <v>591</v>
      </c>
      <c r="C543" s="15" t="n">
        <v>1778</v>
      </c>
      <c r="D543" s="16" t="n">
        <v>21336</v>
      </c>
      <c r="E543" s="34">
        <f>B543-B542</f>
        <v/>
      </c>
      <c r="F543" s="34">
        <f>C543-C542</f>
        <v/>
      </c>
      <c r="G543" s="35">
        <f>D543-D542</f>
        <v/>
      </c>
      <c r="H543">
        <f>TEXT(A543,"DD/MM HH:MM")</f>
        <v/>
      </c>
    </row>
    <row r="544">
      <c r="A544" s="30" t="n">
        <v>46317.40416666667</v>
      </c>
      <c r="B544" s="11" t="n">
        <v>591</v>
      </c>
      <c r="C544" s="11" t="n">
        <v>1778</v>
      </c>
      <c r="D544" s="12" t="n">
        <v>21336</v>
      </c>
      <c r="E544" s="31">
        <f>B544-B543</f>
        <v/>
      </c>
      <c r="F544" s="31">
        <f>C544-C543</f>
        <v/>
      </c>
      <c r="G544" s="32">
        <f>D544-D543</f>
        <v/>
      </c>
      <c r="H544">
        <f>TEXT(A544,"DD/MM HH:MM")</f>
        <v/>
      </c>
    </row>
    <row r="545">
      <c r="A545" s="33" t="n">
        <v>46317.44027777778</v>
      </c>
      <c r="B545" s="15" t="n">
        <v>591</v>
      </c>
      <c r="C545" s="15" t="n">
        <v>1778</v>
      </c>
      <c r="D545" s="16" t="n">
        <v>21336</v>
      </c>
      <c r="E545" s="34">
        <f>B545-B544</f>
        <v/>
      </c>
      <c r="F545" s="34">
        <f>C545-C544</f>
        <v/>
      </c>
      <c r="G545" s="35">
        <f>D545-D544</f>
        <v/>
      </c>
      <c r="H545">
        <f>TEXT(A545,"DD/MM HH:MM")</f>
        <v/>
      </c>
    </row>
    <row r="546">
      <c r="A546" s="30" t="n">
        <v>46317.48263888889</v>
      </c>
      <c r="B546" s="11" t="n">
        <v>594</v>
      </c>
      <c r="C546" s="11" t="n">
        <v>1786</v>
      </c>
      <c r="D546" s="12" t="n">
        <v>21432</v>
      </c>
      <c r="E546" s="31">
        <f>B546-B545</f>
        <v/>
      </c>
      <c r="F546" s="31">
        <f>C546-C545</f>
        <v/>
      </c>
      <c r="G546" s="32">
        <f>D546-D545</f>
        <v/>
      </c>
      <c r="H546">
        <f>TEXT(A546,"DD/MM HH:MM")</f>
        <v/>
      </c>
    </row>
    <row r="547">
      <c r="A547" s="33" t="n">
        <v>46317.52083333334</v>
      </c>
      <c r="B547" s="15" t="n">
        <v>594</v>
      </c>
      <c r="C547" s="15" t="n">
        <v>1786</v>
      </c>
      <c r="D547" s="16" t="n">
        <v>21432</v>
      </c>
      <c r="E547" s="34">
        <f>B547-B546</f>
        <v/>
      </c>
      <c r="F547" s="34">
        <f>C547-C546</f>
        <v/>
      </c>
      <c r="G547" s="35">
        <f>D547-D546</f>
        <v/>
      </c>
      <c r="H547">
        <f>TEXT(A547,"DD/MM HH:MM")</f>
        <v/>
      </c>
    </row>
    <row r="548">
      <c r="A548" s="30" t="n">
        <v>46317.56180555555</v>
      </c>
      <c r="B548" s="11" t="n">
        <v>594</v>
      </c>
      <c r="C548" s="11" t="n">
        <v>1786</v>
      </c>
      <c r="D548" s="12" t="n">
        <v>21432</v>
      </c>
      <c r="E548" s="31">
        <f>B548-B547</f>
        <v/>
      </c>
      <c r="F548" s="31">
        <f>C548-C547</f>
        <v/>
      </c>
      <c r="G548" s="32">
        <f>D548-D547</f>
        <v/>
      </c>
      <c r="H548">
        <f>TEXT(A548,"DD/MM HH:MM")</f>
        <v/>
      </c>
    </row>
    <row r="549">
      <c r="A549" s="33" t="n">
        <v>46317.61527777778</v>
      </c>
      <c r="B549" s="15" t="n">
        <v>594</v>
      </c>
      <c r="C549" s="15" t="n">
        <v>1786</v>
      </c>
      <c r="D549" s="16" t="n">
        <v>21432</v>
      </c>
      <c r="E549" s="34">
        <f>B549-B548</f>
        <v/>
      </c>
      <c r="F549" s="34">
        <f>C549-C548</f>
        <v/>
      </c>
      <c r="G549" s="35">
        <f>D549-D548</f>
        <v/>
      </c>
      <c r="H549">
        <f>TEXT(A549,"DD/MM HH:MM")</f>
        <v/>
      </c>
    </row>
    <row r="550">
      <c r="A550" s="30" t="n">
        <v>46317.64305555556</v>
      </c>
      <c r="B550" s="11" t="n">
        <v>595</v>
      </c>
      <c r="C550" s="11" t="n">
        <v>1789</v>
      </c>
      <c r="D550" s="12" t="n">
        <v>21468</v>
      </c>
      <c r="E550" s="31">
        <f>B550-B549</f>
        <v/>
      </c>
      <c r="F550" s="31">
        <f>C550-C549</f>
        <v/>
      </c>
      <c r="G550" s="32">
        <f>D550-D549</f>
        <v/>
      </c>
      <c r="H550">
        <f>TEXT(A550,"DD/MM HH:MM")</f>
        <v/>
      </c>
    </row>
    <row r="551">
      <c r="A551" s="33" t="n">
        <v>46317.65347222222</v>
      </c>
      <c r="B551" s="15" t="n">
        <v>595</v>
      </c>
      <c r="C551" s="15" t="n">
        <v>1789</v>
      </c>
      <c r="D551" s="16" t="n">
        <v>21468</v>
      </c>
      <c r="E551" s="34">
        <f>B551-B550</f>
        <v/>
      </c>
      <c r="F551" s="34">
        <f>C551-C550</f>
        <v/>
      </c>
      <c r="G551" s="35">
        <f>D551-D550</f>
        <v/>
      </c>
      <c r="H551">
        <f>TEXT(A551,"DD/MM HH:MM")</f>
        <v/>
      </c>
    </row>
    <row r="552">
      <c r="A552" s="30" t="n">
        <v>46317.66527777778</v>
      </c>
      <c r="B552" s="11" t="n">
        <v>598</v>
      </c>
      <c r="C552" s="11" t="n">
        <v>1798</v>
      </c>
      <c r="D552" s="12" t="n">
        <v>21576</v>
      </c>
      <c r="E552" s="31">
        <f>B552-B551</f>
        <v/>
      </c>
      <c r="F552" s="31">
        <f>C552-C551</f>
        <v/>
      </c>
      <c r="G552" s="32">
        <f>D552-D551</f>
        <v/>
      </c>
      <c r="H552">
        <f>TEXT(A552,"DD/MM HH:MM")</f>
        <v/>
      </c>
    </row>
    <row r="553">
      <c r="A553" s="33" t="n">
        <v>46317.67152777778</v>
      </c>
      <c r="B553" s="15" t="n">
        <v>598</v>
      </c>
      <c r="C553" s="15" t="n">
        <v>1798</v>
      </c>
      <c r="D553" s="16" t="n">
        <v>21576</v>
      </c>
      <c r="E553" s="34">
        <f>B553-B552</f>
        <v/>
      </c>
      <c r="F553" s="34">
        <f>C553-C552</f>
        <v/>
      </c>
      <c r="G553" s="35">
        <f>D553-D552</f>
        <v/>
      </c>
      <c r="H553">
        <f>TEXT(A553,"DD/MM HH:MM")</f>
        <v/>
      </c>
    </row>
    <row r="554">
      <c r="A554" s="30" t="n">
        <v>46317.69791666666</v>
      </c>
      <c r="B554" s="11" t="n">
        <v>598</v>
      </c>
      <c r="C554" s="11" t="n">
        <v>1798</v>
      </c>
      <c r="D554" s="12" t="n">
        <v>21576</v>
      </c>
      <c r="E554" s="31">
        <f>B554-B553</f>
        <v/>
      </c>
      <c r="F554" s="31">
        <f>C554-C553</f>
        <v/>
      </c>
      <c r="G554" s="32">
        <f>D554-D553</f>
        <v/>
      </c>
      <c r="H554">
        <f>TEXT(A554,"DD/MM HH:MM")</f>
        <v/>
      </c>
    </row>
    <row r="555">
      <c r="A555" s="33" t="n">
        <v>46317.73472222222</v>
      </c>
      <c r="B555" s="15" t="n">
        <v>598</v>
      </c>
      <c r="C555" s="15" t="n">
        <v>1798</v>
      </c>
      <c r="D555" s="16" t="n">
        <v>21576</v>
      </c>
      <c r="E555" s="34">
        <f>B555-B554</f>
        <v/>
      </c>
      <c r="F555" s="34">
        <f>C555-C554</f>
        <v/>
      </c>
      <c r="G555" s="35">
        <f>D555-D554</f>
        <v/>
      </c>
      <c r="H555">
        <f>TEXT(A555,"DD/MM HH:MM")</f>
        <v/>
      </c>
    </row>
    <row r="556">
      <c r="A556" s="30" t="n">
        <v>46317.775</v>
      </c>
      <c r="B556" s="11" t="n">
        <v>598</v>
      </c>
      <c r="C556" s="11" t="n">
        <v>1798</v>
      </c>
      <c r="D556" s="12" t="n">
        <v>21576</v>
      </c>
      <c r="E556" s="31">
        <f>B556-B555</f>
        <v/>
      </c>
      <c r="F556" s="31">
        <f>C556-C555</f>
        <v/>
      </c>
      <c r="G556" s="32">
        <f>D556-D555</f>
        <v/>
      </c>
      <c r="H556">
        <f>TEXT(A556,"DD/MM HH:MM")</f>
        <v/>
      </c>
    </row>
    <row r="557">
      <c r="A557" s="33" t="n">
        <v>46317.81041666667</v>
      </c>
      <c r="B557" s="15" t="n">
        <v>599</v>
      </c>
      <c r="C557" s="15" t="n">
        <v>1802</v>
      </c>
      <c r="D557" s="16" t="n">
        <v>21624</v>
      </c>
      <c r="E557" s="34">
        <f>B557-B556</f>
        <v/>
      </c>
      <c r="F557" s="34">
        <f>C557-C556</f>
        <v/>
      </c>
      <c r="G557" s="35">
        <f>D557-D556</f>
        <v/>
      </c>
      <c r="H557">
        <f>TEXT(A557,"DD/MM HH:MM")</f>
        <v/>
      </c>
    </row>
    <row r="558">
      <c r="A558" s="30" t="n">
        <v>46317.85347222222</v>
      </c>
      <c r="B558" s="11" t="n">
        <v>604</v>
      </c>
      <c r="C558" s="11" t="n">
        <v>1817</v>
      </c>
      <c r="D558" s="12" t="n">
        <v>21804</v>
      </c>
      <c r="E558" s="31">
        <f>B558-B557</f>
        <v/>
      </c>
      <c r="F558" s="31">
        <f>C558-C557</f>
        <v/>
      </c>
      <c r="G558" s="32">
        <f>D558-D557</f>
        <v/>
      </c>
      <c r="H558">
        <f>TEXT(A558,"DD/MM HH:MM")</f>
        <v/>
      </c>
    </row>
    <row r="559">
      <c r="A559" s="33" t="n">
        <v>46317.90069444444</v>
      </c>
      <c r="B559" s="15" t="n">
        <v>608</v>
      </c>
      <c r="C559" s="15" t="n">
        <v>1829</v>
      </c>
      <c r="D559" s="16" t="n">
        <v>21948</v>
      </c>
      <c r="E559" s="34">
        <f>B559-B558</f>
        <v/>
      </c>
      <c r="F559" s="34">
        <f>C559-C558</f>
        <v/>
      </c>
      <c r="G559" s="35">
        <f>D559-D558</f>
        <v/>
      </c>
      <c r="H559">
        <f>TEXT(A559,"DD/MM HH:MM")</f>
        <v/>
      </c>
    </row>
    <row r="560">
      <c r="A560" s="30" t="n">
        <v>46317.93472222222</v>
      </c>
      <c r="B560" s="11" t="n">
        <v>611</v>
      </c>
      <c r="C560" s="11" t="n">
        <v>1835</v>
      </c>
      <c r="D560" s="12" t="n">
        <v>22020</v>
      </c>
      <c r="E560" s="31">
        <f>B560-B559</f>
        <v/>
      </c>
      <c r="F560" s="31">
        <f>C560-C559</f>
        <v/>
      </c>
      <c r="G560" s="32">
        <f>D560-D559</f>
        <v/>
      </c>
      <c r="H560">
        <f>TEXT(A560,"DD/MM HH:MM")</f>
        <v/>
      </c>
    </row>
    <row r="561">
      <c r="A561" s="33" t="n">
        <v>46317.97708333333</v>
      </c>
      <c r="B561" s="15" t="n">
        <v>619</v>
      </c>
      <c r="C561" s="15" t="n">
        <v>1860</v>
      </c>
      <c r="D561" s="16" t="n">
        <v>22320</v>
      </c>
      <c r="E561" s="34">
        <f>B561-B560</f>
        <v/>
      </c>
      <c r="F561" s="34">
        <f>C561-C560</f>
        <v/>
      </c>
      <c r="G561" s="35">
        <f>D561-D560</f>
        <v/>
      </c>
      <c r="H561">
        <f>TEXT(A561,"DD/MM HH:MM")</f>
        <v/>
      </c>
    </row>
    <row r="562">
      <c r="A562" s="30" t="n">
        <v>46318.025</v>
      </c>
      <c r="B562" s="11" t="n">
        <v>621</v>
      </c>
      <c r="C562" s="11" t="n">
        <v>1864</v>
      </c>
      <c r="D562" s="12" t="n">
        <v>22368</v>
      </c>
      <c r="E562" s="31">
        <f>B562-B561</f>
        <v/>
      </c>
      <c r="F562" s="31">
        <f>C562-C561</f>
        <v/>
      </c>
      <c r="G562" s="32">
        <f>D562-D561</f>
        <v/>
      </c>
      <c r="H562">
        <f>TEXT(A562,"DD/MM HH:MM")</f>
        <v/>
      </c>
    </row>
    <row r="563">
      <c r="A563" s="33" t="n">
        <v>46318.05902777778</v>
      </c>
      <c r="B563" s="15" t="n">
        <v>621</v>
      </c>
      <c r="C563" s="15" t="n">
        <v>1864</v>
      </c>
      <c r="D563" s="16" t="n">
        <v>22368</v>
      </c>
      <c r="E563" s="34">
        <f>B563-B562</f>
        <v/>
      </c>
      <c r="F563" s="34">
        <f>C563-C562</f>
        <v/>
      </c>
      <c r="G563" s="35">
        <f>D563-D562</f>
        <v/>
      </c>
      <c r="H563">
        <f>TEXT(A563,"DD/MM HH:MM")</f>
        <v/>
      </c>
    </row>
    <row r="564">
      <c r="A564" s="30" t="n">
        <v>46318.10763888889</v>
      </c>
      <c r="B564" s="11" t="n">
        <v>621</v>
      </c>
      <c r="C564" s="11" t="n">
        <v>1864</v>
      </c>
      <c r="D564" s="12" t="n">
        <v>22368</v>
      </c>
      <c r="E564" s="31">
        <f>B564-B563</f>
        <v/>
      </c>
      <c r="F564" s="31">
        <f>C564-C563</f>
        <v/>
      </c>
      <c r="G564" s="32">
        <f>D564-D563</f>
        <v/>
      </c>
      <c r="H564">
        <f>TEXT(A564,"DD/MM HH:MM")</f>
        <v/>
      </c>
    </row>
    <row r="565">
      <c r="A565" s="33" t="n">
        <v>46318.15694444445</v>
      </c>
      <c r="B565" s="15" t="n">
        <v>621</v>
      </c>
      <c r="C565" s="15" t="n">
        <v>1864</v>
      </c>
      <c r="D565" s="16" t="n">
        <v>22368</v>
      </c>
      <c r="E565" s="34">
        <f>B565-B564</f>
        <v/>
      </c>
      <c r="F565" s="34">
        <f>C565-C564</f>
        <v/>
      </c>
      <c r="G565" s="35">
        <f>D565-D564</f>
        <v/>
      </c>
      <c r="H565">
        <f>TEXT(A565,"DD/MM HH:MM")</f>
        <v/>
      </c>
    </row>
    <row r="566">
      <c r="A566" s="30" t="n">
        <v>46318.1875</v>
      </c>
      <c r="B566" s="11" t="n">
        <v>621</v>
      </c>
      <c r="C566" s="11" t="n">
        <v>1864</v>
      </c>
      <c r="D566" s="12" t="n">
        <v>22368</v>
      </c>
      <c r="E566" s="31">
        <f>B566-B565</f>
        <v/>
      </c>
      <c r="F566" s="31">
        <f>C566-C565</f>
        <v/>
      </c>
      <c r="G566" s="32">
        <f>D566-D565</f>
        <v/>
      </c>
      <c r="H566">
        <f>TEXT(A566,"DD/MM HH:MM")</f>
        <v/>
      </c>
    </row>
    <row r="567">
      <c r="A567" s="33" t="n">
        <v>46318.22777777778</v>
      </c>
      <c r="B567" s="15" t="n">
        <v>621</v>
      </c>
      <c r="C567" s="15" t="n">
        <v>1864</v>
      </c>
      <c r="D567" s="16" t="n">
        <v>22368</v>
      </c>
      <c r="E567" s="34">
        <f>B567-B566</f>
        <v/>
      </c>
      <c r="F567" s="34">
        <f>C567-C566</f>
        <v/>
      </c>
      <c r="G567" s="35">
        <f>D567-D566</f>
        <v/>
      </c>
      <c r="H567">
        <f>TEXT(A567,"DD/MM HH:MM")</f>
        <v/>
      </c>
    </row>
    <row r="568">
      <c r="A568" s="30" t="n">
        <v>46318.26944444444</v>
      </c>
      <c r="B568" s="11" t="n">
        <v>621</v>
      </c>
      <c r="C568" s="11" t="n">
        <v>1864</v>
      </c>
      <c r="D568" s="12" t="n">
        <v>22368</v>
      </c>
      <c r="E568" s="31">
        <f>B568-B567</f>
        <v/>
      </c>
      <c r="F568" s="31">
        <f>C568-C567</f>
        <v/>
      </c>
      <c r="G568" s="32">
        <f>D568-D567</f>
        <v/>
      </c>
      <c r="H568">
        <f>TEXT(A568,"DD/MM HH:MM")</f>
        <v/>
      </c>
    </row>
    <row r="569">
      <c r="A569" s="33" t="n">
        <v>46318.31041666667</v>
      </c>
      <c r="B569" s="15" t="n">
        <v>621</v>
      </c>
      <c r="C569" s="15" t="n">
        <v>1864</v>
      </c>
      <c r="D569" s="16" t="n">
        <v>22368</v>
      </c>
      <c r="E569" s="34">
        <f>B569-B568</f>
        <v/>
      </c>
      <c r="F569" s="34">
        <f>C569-C568</f>
        <v/>
      </c>
      <c r="G569" s="35">
        <f>D569-D568</f>
        <v/>
      </c>
      <c r="H569">
        <f>TEXT(A569,"DD/MM HH:MM")</f>
        <v/>
      </c>
    </row>
    <row r="570">
      <c r="A570" s="30" t="n">
        <v>46318.35625</v>
      </c>
      <c r="B570" s="11" t="n">
        <v>621</v>
      </c>
      <c r="C570" s="11" t="n">
        <v>1864</v>
      </c>
      <c r="D570" s="12" t="n">
        <v>22368</v>
      </c>
      <c r="E570" s="31">
        <f>B570-B569</f>
        <v/>
      </c>
      <c r="F570" s="31">
        <f>C570-C569</f>
        <v/>
      </c>
      <c r="G570" s="32">
        <f>D570-D569</f>
        <v/>
      </c>
      <c r="H570">
        <f>TEXT(A570,"DD/MM HH:MM")</f>
        <v/>
      </c>
    </row>
    <row r="571">
      <c r="A571" s="33" t="n">
        <v>46318.40277777778</v>
      </c>
      <c r="B571" s="15" t="n">
        <v>622</v>
      </c>
      <c r="C571" s="15" t="n">
        <v>1866</v>
      </c>
      <c r="D571" s="16" t="n">
        <v>22392</v>
      </c>
      <c r="E571" s="34">
        <f>B571-B570</f>
        <v/>
      </c>
      <c r="F571" s="34">
        <f>C571-C570</f>
        <v/>
      </c>
      <c r="G571" s="35">
        <f>D571-D570</f>
        <v/>
      </c>
      <c r="H571">
        <f>TEXT(A571,"DD/MM HH:MM")</f>
        <v/>
      </c>
    </row>
    <row r="572">
      <c r="A572" s="30" t="n">
        <v>46318.44027777778</v>
      </c>
      <c r="B572" s="11" t="n">
        <v>628</v>
      </c>
      <c r="C572" s="11" t="n">
        <v>1886</v>
      </c>
      <c r="D572" s="12" t="n">
        <v>22632</v>
      </c>
      <c r="E572" s="31">
        <f>B572-B571</f>
        <v/>
      </c>
      <c r="F572" s="31">
        <f>C572-C571</f>
        <v/>
      </c>
      <c r="G572" s="32">
        <f>D572-D571</f>
        <v/>
      </c>
      <c r="H572">
        <f>TEXT(A572,"DD/MM HH:MM")</f>
        <v/>
      </c>
    </row>
    <row r="573">
      <c r="A573" s="33" t="n">
        <v>46318.47916666666</v>
      </c>
      <c r="B573" s="15" t="n">
        <v>634</v>
      </c>
      <c r="C573" s="15" t="n">
        <v>1900</v>
      </c>
      <c r="D573" s="16" t="n">
        <v>22800</v>
      </c>
      <c r="E573" s="34">
        <f>B573-B572</f>
        <v/>
      </c>
      <c r="F573" s="34">
        <f>C573-C572</f>
        <v/>
      </c>
      <c r="G573" s="35">
        <f>D573-D572</f>
        <v/>
      </c>
      <c r="H573">
        <f>TEXT(A573,"DD/MM HH:MM")</f>
        <v/>
      </c>
    </row>
    <row r="574">
      <c r="A574" s="30" t="n">
        <v>46318.51944444444</v>
      </c>
      <c r="B574" s="11" t="n">
        <v>635</v>
      </c>
      <c r="C574" s="11" t="n">
        <v>1904</v>
      </c>
      <c r="D574" s="12" t="n">
        <v>22848</v>
      </c>
      <c r="E574" s="31">
        <f>B574-B573</f>
        <v/>
      </c>
      <c r="F574" s="31">
        <f>C574-C573</f>
        <v/>
      </c>
      <c r="G574" s="32">
        <f>D574-D573</f>
        <v/>
      </c>
      <c r="H574">
        <f>TEXT(A574,"DD/MM HH:MM")</f>
        <v/>
      </c>
    </row>
    <row r="575">
      <c r="A575" s="33" t="n">
        <v>46318.56805555556</v>
      </c>
      <c r="B575" s="15" t="n">
        <v>639</v>
      </c>
      <c r="C575" s="15" t="n">
        <v>1914</v>
      </c>
      <c r="D575" s="16" t="n">
        <v>22968</v>
      </c>
      <c r="E575" s="34">
        <f>B575-B574</f>
        <v/>
      </c>
      <c r="F575" s="34">
        <f>C575-C574</f>
        <v/>
      </c>
      <c r="G575" s="35">
        <f>D575-D574</f>
        <v/>
      </c>
      <c r="H575">
        <f>TEXT(A575,"DD/MM HH:MM")</f>
        <v/>
      </c>
    </row>
    <row r="576">
      <c r="A576" s="30" t="n">
        <v>46318.61319444444</v>
      </c>
      <c r="B576" s="11" t="n">
        <v>645</v>
      </c>
      <c r="C576" s="11" t="n">
        <v>1933</v>
      </c>
      <c r="D576" s="12" t="n">
        <v>23196</v>
      </c>
      <c r="E576" s="31">
        <f>B576-B575</f>
        <v/>
      </c>
      <c r="F576" s="31">
        <f>C576-C575</f>
        <v/>
      </c>
      <c r="G576" s="32">
        <f>D576-D575</f>
        <v/>
      </c>
      <c r="H576">
        <f>TEXT(A576,"DD/MM HH:MM")</f>
        <v/>
      </c>
    </row>
    <row r="577">
      <c r="A577" s="33" t="n">
        <v>46318.63541666666</v>
      </c>
      <c r="B577" s="15" t="n">
        <v>650</v>
      </c>
      <c r="C577" s="15" t="n">
        <v>1950</v>
      </c>
      <c r="D577" s="16" t="n">
        <v>23400</v>
      </c>
      <c r="E577" s="34">
        <f>B577-B576</f>
        <v/>
      </c>
      <c r="F577" s="34">
        <f>C577-C576</f>
        <v/>
      </c>
      <c r="G577" s="35">
        <f>D577-D576</f>
        <v/>
      </c>
      <c r="H577">
        <f>TEXT(A577,"DD/MM HH:MM")</f>
        <v/>
      </c>
    </row>
    <row r="578">
      <c r="A578" s="30" t="n">
        <v>46318.64236111111</v>
      </c>
      <c r="B578" s="11" t="n">
        <v>651</v>
      </c>
      <c r="C578" s="11" t="n">
        <v>1952</v>
      </c>
      <c r="D578" s="12" t="n">
        <v>23424</v>
      </c>
      <c r="E578" s="31">
        <f>B578-B577</f>
        <v/>
      </c>
      <c r="F578" s="31">
        <f>C578-C577</f>
        <v/>
      </c>
      <c r="G578" s="32">
        <f>D578-D577</f>
        <v/>
      </c>
      <c r="H578">
        <f>TEXT(A578,"DD/MM HH:MM")</f>
        <v/>
      </c>
    </row>
    <row r="579">
      <c r="A579" s="33" t="n">
        <v>46318.65</v>
      </c>
      <c r="B579" s="15" t="n">
        <v>652</v>
      </c>
      <c r="C579" s="15" t="n">
        <v>1956</v>
      </c>
      <c r="D579" s="16" t="n">
        <v>23472</v>
      </c>
      <c r="E579" s="34">
        <f>B579-B578</f>
        <v/>
      </c>
      <c r="F579" s="34">
        <f>C579-C578</f>
        <v/>
      </c>
      <c r="G579" s="35">
        <f>D579-D578</f>
        <v/>
      </c>
      <c r="H579">
        <f>TEXT(A579,"DD/MM HH:MM")</f>
        <v/>
      </c>
    </row>
    <row r="580">
      <c r="A580" s="30" t="n">
        <v>46318.67569444444</v>
      </c>
      <c r="B580" s="11" t="n">
        <v>654</v>
      </c>
      <c r="C580" s="11" t="n">
        <v>1963</v>
      </c>
      <c r="D580" s="12" t="n">
        <v>23556</v>
      </c>
      <c r="E580" s="31">
        <f>B580-B579</f>
        <v/>
      </c>
      <c r="F580" s="31">
        <f>C580-C579</f>
        <v/>
      </c>
      <c r="G580" s="32">
        <f>D580-D579</f>
        <v/>
      </c>
      <c r="H580">
        <f>TEXT(A580,"DD/MM HH:MM")</f>
        <v/>
      </c>
    </row>
    <row r="581">
      <c r="A581" s="33" t="n">
        <v>46318.70277777778</v>
      </c>
      <c r="B581" s="15" t="n">
        <v>664</v>
      </c>
      <c r="C581" s="15" t="n">
        <v>1992</v>
      </c>
      <c r="D581" s="16" t="n">
        <v>23904</v>
      </c>
      <c r="E581" s="34">
        <f>B581-B580</f>
        <v/>
      </c>
      <c r="F581" s="34">
        <f>C581-C580</f>
        <v/>
      </c>
      <c r="G581" s="35">
        <f>D581-D580</f>
        <v/>
      </c>
      <c r="H581">
        <f>TEXT(A581,"DD/MM HH:MM")</f>
        <v/>
      </c>
    </row>
    <row r="582">
      <c r="A582" s="30" t="n">
        <v>46318.72916666666</v>
      </c>
      <c r="B582" s="11" t="n">
        <v>667</v>
      </c>
      <c r="C582" s="11" t="n">
        <v>2000</v>
      </c>
      <c r="D582" s="12" t="n">
        <v>24000</v>
      </c>
      <c r="E582" s="31">
        <f>B582-B581</f>
        <v/>
      </c>
      <c r="F582" s="31">
        <f>C582-C581</f>
        <v/>
      </c>
      <c r="G582" s="32">
        <f>D582-D581</f>
        <v/>
      </c>
      <c r="H582">
        <f>TEXT(A582,"DD/MM HH:MM")</f>
        <v/>
      </c>
    </row>
    <row r="583">
      <c r="A583" s="33" t="n">
        <v>46318.75069444445</v>
      </c>
      <c r="B583" s="15" t="n">
        <v>672</v>
      </c>
      <c r="C583" s="15" t="n">
        <v>2012</v>
      </c>
      <c r="D583" s="16" t="n">
        <v>24144</v>
      </c>
      <c r="E583" s="34">
        <f>B583-B582</f>
        <v/>
      </c>
      <c r="F583" s="34">
        <f>C583-C582</f>
        <v/>
      </c>
      <c r="G583" s="35">
        <f>D583-D582</f>
        <v/>
      </c>
      <c r="H583">
        <f>TEXT(A583,"DD/MM HH:MM")</f>
        <v/>
      </c>
    </row>
    <row r="584">
      <c r="A584" s="30" t="n">
        <v>46318.76527777778</v>
      </c>
      <c r="B584" s="11" t="n">
        <v>683</v>
      </c>
      <c r="C584" s="11" t="n">
        <v>2038</v>
      </c>
      <c r="D584" s="12" t="n">
        <v>24456</v>
      </c>
      <c r="E584" s="31">
        <f>B584-B583</f>
        <v/>
      </c>
      <c r="F584" s="31">
        <f>C584-C583</f>
        <v/>
      </c>
      <c r="G584" s="32">
        <f>D584-D583</f>
        <v/>
      </c>
      <c r="H584">
        <f>TEXT(A584,"DD/MM HH:MM")</f>
        <v/>
      </c>
    </row>
    <row r="585">
      <c r="A585" s="33" t="n">
        <v>46318.77222222222</v>
      </c>
      <c r="B585" s="15" t="n">
        <v>684</v>
      </c>
      <c r="C585" s="15" t="n">
        <v>2041</v>
      </c>
      <c r="D585" s="16" t="n">
        <v>24492</v>
      </c>
      <c r="E585" s="34">
        <f>B585-B584</f>
        <v/>
      </c>
      <c r="F585" s="34">
        <f>C585-C584</f>
        <v/>
      </c>
      <c r="G585" s="35">
        <f>D585-D584</f>
        <v/>
      </c>
      <c r="H585">
        <f>TEXT(A585,"DD/MM HH:MM")</f>
        <v/>
      </c>
    </row>
    <row r="586">
      <c r="A586" s="30" t="n">
        <v>46318.80763888889</v>
      </c>
      <c r="B586" s="11" t="n">
        <v>702</v>
      </c>
      <c r="C586" s="11" t="n">
        <v>2097</v>
      </c>
      <c r="D586" s="12" t="n">
        <v>25164</v>
      </c>
      <c r="E586" s="31">
        <f>B586-B585</f>
        <v/>
      </c>
      <c r="F586" s="31">
        <f>C586-C585</f>
        <v/>
      </c>
      <c r="G586" s="32">
        <f>D586-D585</f>
        <v/>
      </c>
      <c r="H586">
        <f>TEXT(A586,"DD/MM HH:MM")</f>
        <v/>
      </c>
    </row>
    <row r="587">
      <c r="A587" s="33" t="n">
        <v>46318.85277777778</v>
      </c>
      <c r="B587" s="15" t="n">
        <v>715</v>
      </c>
      <c r="C587" s="15" t="n">
        <v>2139</v>
      </c>
      <c r="D587" s="16" t="n">
        <v>25668</v>
      </c>
      <c r="E587" s="34">
        <f>B587-B586</f>
        <v/>
      </c>
      <c r="F587" s="34">
        <f>C587-C586</f>
        <v/>
      </c>
      <c r="G587" s="35">
        <f>D587-D586</f>
        <v/>
      </c>
      <c r="H587">
        <f>TEXT(A587,"DD/MM HH:MM")</f>
        <v/>
      </c>
    </row>
    <row r="588">
      <c r="A588" s="30" t="n">
        <v>46318.88263888889</v>
      </c>
      <c r="B588" s="11" t="n">
        <v>722</v>
      </c>
      <c r="C588" s="11" t="n">
        <v>2158</v>
      </c>
      <c r="D588" s="12" t="n">
        <v>25896</v>
      </c>
      <c r="E588" s="31">
        <f>B588-B587</f>
        <v/>
      </c>
      <c r="F588" s="31">
        <f>C588-C587</f>
        <v/>
      </c>
      <c r="G588" s="32">
        <f>D588-D587</f>
        <v/>
      </c>
      <c r="H588">
        <f>TEXT(A588,"DD/MM HH:MM")</f>
        <v/>
      </c>
    </row>
    <row r="589">
      <c r="A589" s="33" t="n">
        <v>46318.89583333334</v>
      </c>
      <c r="B589" s="15" t="n">
        <v>728</v>
      </c>
      <c r="C589" s="15" t="n">
        <v>2177</v>
      </c>
      <c r="D589" s="16" t="n">
        <v>26124</v>
      </c>
      <c r="E589" s="34">
        <f>B589-B588</f>
        <v/>
      </c>
      <c r="F589" s="34">
        <f>C589-C588</f>
        <v/>
      </c>
      <c r="G589" s="35">
        <f>D589-D588</f>
        <v/>
      </c>
      <c r="H589">
        <f>TEXT(A589,"DD/MM HH:MM")</f>
        <v/>
      </c>
    </row>
    <row r="590">
      <c r="A590" s="30" t="n">
        <v>46318.93194444444</v>
      </c>
      <c r="B590" s="11" t="n">
        <v>744</v>
      </c>
      <c r="C590" s="11" t="n">
        <v>2225</v>
      </c>
      <c r="D590" s="12" t="n">
        <v>26634</v>
      </c>
      <c r="E590" s="31">
        <f>B590-B589</f>
        <v/>
      </c>
      <c r="F590" s="31">
        <f>C590-C589</f>
        <v/>
      </c>
      <c r="G590" s="32">
        <f>D590-D589</f>
        <v/>
      </c>
      <c r="H590">
        <f>TEXT(A590,"DD/MM HH:MM")</f>
        <v/>
      </c>
    </row>
    <row r="591">
      <c r="A591" s="33" t="n">
        <v>46318.93333333333</v>
      </c>
      <c r="B591" s="15" t="n">
        <v>744</v>
      </c>
      <c r="C591" s="15" t="n">
        <v>2225</v>
      </c>
      <c r="D591" s="16" t="n">
        <v>26634</v>
      </c>
      <c r="E591" s="34">
        <f>B591-B590</f>
        <v/>
      </c>
      <c r="F591" s="34">
        <f>C591-C590</f>
        <v/>
      </c>
      <c r="G591" s="35">
        <f>D591-D590</f>
        <v/>
      </c>
      <c r="H591">
        <f>TEXT(A591,"DD/MM HH:MM")</f>
        <v/>
      </c>
    </row>
    <row r="592">
      <c r="A592" s="30" t="n">
        <v>46318.95277777778</v>
      </c>
      <c r="B592" s="11" t="n">
        <v>758</v>
      </c>
      <c r="C592" s="11" t="n">
        <v>2270</v>
      </c>
      <c r="D592" s="12" t="n">
        <v>27141</v>
      </c>
      <c r="E592" s="31">
        <f>B592-B591</f>
        <v/>
      </c>
      <c r="F592" s="31">
        <f>C592-C591</f>
        <v/>
      </c>
      <c r="G592" s="32">
        <f>D592-D591</f>
        <v/>
      </c>
      <c r="H592">
        <f>TEXT(A592,"DD/MM HH:MM")</f>
        <v/>
      </c>
    </row>
    <row r="593">
      <c r="A593" s="33" t="n">
        <v>46318.97916666666</v>
      </c>
      <c r="B593" s="15" t="n">
        <v>763</v>
      </c>
      <c r="C593" s="15" t="n">
        <v>2286</v>
      </c>
      <c r="D593" s="16" t="n">
        <v>27333</v>
      </c>
      <c r="E593" s="34">
        <f>B593-B592</f>
        <v/>
      </c>
      <c r="F593" s="34">
        <f>C593-C592</f>
        <v/>
      </c>
      <c r="G593" s="35">
        <f>D593-D592</f>
        <v/>
      </c>
      <c r="H593">
        <f>TEXT(A593,"DD/MM HH:MM")</f>
        <v/>
      </c>
    </row>
    <row r="594">
      <c r="A594" s="30" t="n">
        <v>46318.99722222222</v>
      </c>
      <c r="B594" s="11" t="n">
        <v>766</v>
      </c>
      <c r="C594" s="11" t="n">
        <v>2299</v>
      </c>
      <c r="D594" s="12" t="n">
        <v>27423</v>
      </c>
      <c r="E594" s="31">
        <f>B594-B593</f>
        <v/>
      </c>
      <c r="F594" s="31">
        <f>C594-C593</f>
        <v/>
      </c>
      <c r="G594" s="32">
        <f>D594-D593</f>
        <v/>
      </c>
      <c r="H594">
        <f>TEXT(A594,"DD/MM HH:MM")</f>
        <v/>
      </c>
    </row>
    <row r="595">
      <c r="A595" s="33" t="n">
        <v>46319.01805555556</v>
      </c>
      <c r="B595" s="15" t="n">
        <v>769</v>
      </c>
      <c r="C595" s="15" t="n">
        <v>2311</v>
      </c>
      <c r="D595" s="16" t="n">
        <v>27567</v>
      </c>
      <c r="E595" s="34">
        <f>B595-B594</f>
        <v/>
      </c>
      <c r="F595" s="34">
        <f>C595-C594</f>
        <v/>
      </c>
      <c r="G595" s="35">
        <f>D595-D594</f>
        <v/>
      </c>
      <c r="H595">
        <f>TEXT(A595,"DD/MM HH:MM")</f>
        <v/>
      </c>
    </row>
    <row r="596">
      <c r="A596" s="30" t="n">
        <v>46319.03888888889</v>
      </c>
      <c r="B596" s="11" t="n">
        <v>773</v>
      </c>
      <c r="C596" s="11" t="n">
        <v>2325</v>
      </c>
      <c r="D596" s="12" t="n">
        <v>27735</v>
      </c>
      <c r="E596" s="31">
        <f>B596-B595</f>
        <v/>
      </c>
      <c r="F596" s="31">
        <f>C596-C595</f>
        <v/>
      </c>
      <c r="G596" s="32">
        <f>D596-D595</f>
        <v/>
      </c>
      <c r="H596">
        <f>TEXT(A596,"DD/MM HH:MM")</f>
        <v/>
      </c>
    </row>
    <row r="597">
      <c r="A597" s="33" t="n">
        <v>46319.04652777778</v>
      </c>
      <c r="B597" s="15" t="n">
        <v>773</v>
      </c>
      <c r="C597" s="15" t="n">
        <v>2325</v>
      </c>
      <c r="D597" s="16" t="n">
        <v>27735</v>
      </c>
      <c r="E597" s="34">
        <f>B597-B596</f>
        <v/>
      </c>
      <c r="F597" s="34">
        <f>C597-C596</f>
        <v/>
      </c>
      <c r="G597" s="35">
        <f>D597-D596</f>
        <v/>
      </c>
      <c r="H597">
        <f>TEXT(A597,"DD/MM HH:MM")</f>
        <v/>
      </c>
    </row>
    <row r="598">
      <c r="A598" s="30" t="n">
        <v>46319.05763888889</v>
      </c>
      <c r="B598" s="11" t="n">
        <v>774</v>
      </c>
      <c r="C598" s="11" t="n">
        <v>2329</v>
      </c>
      <c r="D598" s="12" t="n">
        <v>27783</v>
      </c>
      <c r="E598" s="31">
        <f>B598-B597</f>
        <v/>
      </c>
      <c r="F598" s="31">
        <f>C598-C597</f>
        <v/>
      </c>
      <c r="G598" s="32">
        <f>D598-D597</f>
        <v/>
      </c>
      <c r="H598">
        <f>TEXT(A598,"DD/MM HH:MM")</f>
        <v/>
      </c>
    </row>
    <row r="599">
      <c r="A599" s="33" t="n">
        <v>46319.09791666667</v>
      </c>
      <c r="B599" s="15" t="n">
        <v>775</v>
      </c>
      <c r="C599" s="15" t="n">
        <v>2331</v>
      </c>
      <c r="D599" s="16" t="n">
        <v>27807</v>
      </c>
      <c r="E599" s="34">
        <f>B599-B598</f>
        <v/>
      </c>
      <c r="F599" s="34">
        <f>C599-C598</f>
        <v/>
      </c>
      <c r="G599" s="35">
        <f>D599-D598</f>
        <v/>
      </c>
      <c r="H599">
        <f>TEXT(A599,"DD/MM HH:MM")</f>
        <v/>
      </c>
    </row>
    <row r="600">
      <c r="A600" s="30" t="n">
        <v>46319.10972222222</v>
      </c>
      <c r="B600" s="11" t="n">
        <v>775</v>
      </c>
      <c r="C600" s="11" t="n">
        <v>2331</v>
      </c>
      <c r="D600" s="12" t="n">
        <v>27807</v>
      </c>
      <c r="E600" s="31">
        <f>B600-B599</f>
        <v/>
      </c>
      <c r="F600" s="31">
        <f>C600-C599</f>
        <v/>
      </c>
      <c r="G600" s="32">
        <f>D600-D599</f>
        <v/>
      </c>
      <c r="H600">
        <f>TEXT(A600,"DD/MM HH:MM")</f>
        <v/>
      </c>
    </row>
    <row r="601">
      <c r="A601" s="33" t="n">
        <v>46319.15069444444</v>
      </c>
      <c r="B601" s="15" t="n">
        <v>776</v>
      </c>
      <c r="C601" s="15" t="n">
        <v>2333</v>
      </c>
      <c r="D601" s="16" t="n">
        <v>27831</v>
      </c>
      <c r="E601" s="34">
        <f>B601-B600</f>
        <v/>
      </c>
      <c r="F601" s="34">
        <f>C601-C600</f>
        <v/>
      </c>
      <c r="G601" s="35">
        <f>D601-D600</f>
        <v/>
      </c>
      <c r="H601">
        <f>TEXT(A601,"DD/MM HH:MM")</f>
        <v/>
      </c>
    </row>
  </sheetData>
  <autoFilter ref="A1:G6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 ht="30" customHeight="1">
      <c r="A1" s="21" t="inlineStr">
        <is>
          <t>Venduto dopo il</t>
        </is>
      </c>
      <c r="B1" s="21" t="inlineStr">
        <is>
          <t>Venduto entro il</t>
        </is>
      </c>
      <c r="C1" s="21" t="inlineStr">
        <is>
          <t>Data spettacolo</t>
        </is>
      </c>
      <c r="D1" s="21" t="inlineStr">
        <is>
          <t>Turno</t>
        </is>
      </c>
      <c r="E1" s="21" t="inlineStr">
        <is>
          <t>Auto</t>
        </is>
      </c>
      <c r="F1" s="21" t="inlineStr">
        <is>
          <t>Auto da 2</t>
        </is>
      </c>
      <c r="G1" s="21" t="inlineStr">
        <is>
          <t>Auto da 3</t>
        </is>
      </c>
      <c r="H1" s="21" t="inlineStr">
        <is>
          <t>Auto da 4</t>
        </is>
      </c>
      <c r="I1" s="21" t="inlineStr">
        <is>
          <t>Auto da 5</t>
        </is>
      </c>
      <c r="J1" s="21" t="inlineStr">
        <is>
          <t>Persone</t>
        </is>
      </c>
      <c r="K1" s="21" t="inlineStr">
        <is>
          <t>Incasso</t>
        </is>
      </c>
    </row>
    <row r="2">
      <c r="A2" s="30" t="inlineStr">
        <is>
          <t>prima della 1ª rilevazione</t>
        </is>
      </c>
      <c r="B2" s="30" t="n">
        <v>46300.66319444445</v>
      </c>
      <c r="C2" s="9" t="n">
        <v>46318</v>
      </c>
      <c r="D2" s="10" t="n">
        <v>0.84375</v>
      </c>
      <c r="E2" s="36" t="n">
        <v>1</v>
      </c>
      <c r="F2" s="36" t="n">
        <v>1</v>
      </c>
      <c r="G2" s="36" t="n">
        <v>0</v>
      </c>
      <c r="H2" s="36" t="n">
        <v>0</v>
      </c>
      <c r="I2" s="36" t="n">
        <v>0</v>
      </c>
      <c r="J2" s="36" t="n">
        <v>2</v>
      </c>
      <c r="K2" s="12" t="n">
        <v>24</v>
      </c>
    </row>
    <row r="3">
      <c r="A3" s="33" t="inlineStr">
        <is>
          <t>prima della 1ª rilevazione</t>
        </is>
      </c>
      <c r="B3" s="33" t="n">
        <v>46300.66319444445</v>
      </c>
      <c r="C3" s="13" t="n">
        <v>46318</v>
      </c>
      <c r="D3" s="14" t="n">
        <v>0.96875</v>
      </c>
      <c r="E3" s="37" t="n">
        <v>1</v>
      </c>
      <c r="F3" s="37" t="n">
        <v>1</v>
      </c>
      <c r="G3" s="37" t="n">
        <v>0</v>
      </c>
      <c r="H3" s="37" t="n">
        <v>0</v>
      </c>
      <c r="I3" s="37" t="n">
        <v>0</v>
      </c>
      <c r="J3" s="37" t="n">
        <v>2</v>
      </c>
      <c r="K3" s="16" t="n">
        <v>24</v>
      </c>
    </row>
    <row r="4">
      <c r="A4" s="30" t="inlineStr">
        <is>
          <t>prima della 1ª rilevazione</t>
        </is>
      </c>
      <c r="B4" s="30" t="n">
        <v>46300.66319444445</v>
      </c>
      <c r="C4" s="9" t="n">
        <v>46320</v>
      </c>
      <c r="D4" s="10" t="n">
        <v>0.9270833333333334</v>
      </c>
      <c r="E4" s="36" t="n">
        <v>1</v>
      </c>
      <c r="F4" s="36" t="n">
        <v>1</v>
      </c>
      <c r="G4" s="36" t="n">
        <v>0</v>
      </c>
      <c r="H4" s="36" t="n">
        <v>0</v>
      </c>
      <c r="I4" s="36" t="n">
        <v>0</v>
      </c>
      <c r="J4" s="36" t="n">
        <v>2</v>
      </c>
      <c r="K4" s="12" t="n">
        <v>24</v>
      </c>
    </row>
    <row r="5">
      <c r="A5" s="33" t="inlineStr">
        <is>
          <t>prima della 1ª rilevazione</t>
        </is>
      </c>
      <c r="B5" s="33" t="n">
        <v>46300.66319444445</v>
      </c>
      <c r="C5" s="13" t="n">
        <v>46325</v>
      </c>
      <c r="D5" s="14" t="n">
        <v>0.96875</v>
      </c>
      <c r="E5" s="37" t="n">
        <v>1</v>
      </c>
      <c r="F5" s="37" t="n">
        <v>0</v>
      </c>
      <c r="G5" s="37" t="n">
        <v>0</v>
      </c>
      <c r="H5" s="37" t="n">
        <v>1</v>
      </c>
      <c r="I5" s="37" t="n">
        <v>0</v>
      </c>
      <c r="J5" s="37" t="n">
        <v>4</v>
      </c>
      <c r="K5" s="16" t="n">
        <v>48</v>
      </c>
    </row>
    <row r="6">
      <c r="A6" s="30" t="n">
        <v>46300.66319444445</v>
      </c>
      <c r="B6" s="30" t="n">
        <v>46300.73819444444</v>
      </c>
      <c r="C6" s="9" t="n">
        <v>46318</v>
      </c>
      <c r="D6" s="10" t="n">
        <v>0.9270833333333334</v>
      </c>
      <c r="E6" s="36" t="n">
        <v>1</v>
      </c>
      <c r="F6" s="36" t="n">
        <v>1</v>
      </c>
      <c r="G6" s="36" t="n">
        <v>0</v>
      </c>
      <c r="H6" s="36" t="n">
        <v>0</v>
      </c>
      <c r="I6" s="36" t="n">
        <v>0</v>
      </c>
      <c r="J6" s="36" t="n">
        <v>2</v>
      </c>
      <c r="K6" s="12" t="n">
        <v>24</v>
      </c>
    </row>
    <row r="7">
      <c r="A7" s="33" t="n">
        <v>46300.66319444445</v>
      </c>
      <c r="B7" s="33" t="n">
        <v>46300.73819444444</v>
      </c>
      <c r="C7" s="13" t="n">
        <v>46318</v>
      </c>
      <c r="D7" s="14" t="n">
        <v>0.96875</v>
      </c>
      <c r="E7" s="37" t="n">
        <v>1</v>
      </c>
      <c r="F7" s="37" t="n">
        <v>1</v>
      </c>
      <c r="G7" s="37" t="n">
        <v>0</v>
      </c>
      <c r="H7" s="37" t="n">
        <v>0</v>
      </c>
      <c r="I7" s="37" t="n">
        <v>0</v>
      </c>
      <c r="J7" s="37" t="n">
        <v>2</v>
      </c>
      <c r="K7" s="16" t="n">
        <v>24</v>
      </c>
    </row>
    <row r="8">
      <c r="A8" s="30" t="n">
        <v>46300.66319444445</v>
      </c>
      <c r="B8" s="30" t="n">
        <v>46300.73819444444</v>
      </c>
      <c r="C8" s="9" t="n">
        <v>46320</v>
      </c>
      <c r="D8" s="10" t="n">
        <v>0.8854166666666666</v>
      </c>
      <c r="E8" s="36" t="n">
        <v>1</v>
      </c>
      <c r="F8" s="36" t="n">
        <v>1</v>
      </c>
      <c r="G8" s="36" t="n">
        <v>0</v>
      </c>
      <c r="H8" s="36" t="n">
        <v>0</v>
      </c>
      <c r="I8" s="36" t="n">
        <v>0</v>
      </c>
      <c r="J8" s="36" t="n">
        <v>2</v>
      </c>
      <c r="K8" s="12" t="n">
        <v>24</v>
      </c>
    </row>
    <row r="9">
      <c r="A9" s="33" t="n">
        <v>46300.66319444445</v>
      </c>
      <c r="B9" s="33" t="n">
        <v>46300.73819444444</v>
      </c>
      <c r="C9" s="13" t="n">
        <v>46324</v>
      </c>
      <c r="D9" s="14" t="n">
        <v>0.9270833333333334</v>
      </c>
      <c r="E9" s="37" t="n">
        <v>1</v>
      </c>
      <c r="F9" s="37" t="n">
        <v>0</v>
      </c>
      <c r="G9" s="37" t="n">
        <v>0</v>
      </c>
      <c r="H9" s="37" t="n">
        <v>1</v>
      </c>
      <c r="I9" s="37" t="n">
        <v>0</v>
      </c>
      <c r="J9" s="37" t="n">
        <v>4</v>
      </c>
      <c r="K9" s="16" t="n">
        <v>48</v>
      </c>
    </row>
    <row r="10">
      <c r="A10" s="30" t="n">
        <v>46300.66319444445</v>
      </c>
      <c r="B10" s="30" t="n">
        <v>46300.73819444444</v>
      </c>
      <c r="C10" s="9" t="n">
        <v>46324</v>
      </c>
      <c r="D10" s="10" t="n">
        <v>0.9993055555555556</v>
      </c>
      <c r="E10" s="36" t="n">
        <v>1</v>
      </c>
      <c r="F10" s="36" t="n">
        <v>1</v>
      </c>
      <c r="G10" s="36" t="n">
        <v>0</v>
      </c>
      <c r="H10" s="36" t="n">
        <v>0</v>
      </c>
      <c r="I10" s="36" t="n">
        <v>0</v>
      </c>
      <c r="J10" s="36" t="n">
        <v>2</v>
      </c>
      <c r="K10" s="12" t="n">
        <v>24</v>
      </c>
    </row>
    <row r="11">
      <c r="A11" s="33" t="n">
        <v>46300.66319444445</v>
      </c>
      <c r="B11" s="33" t="n">
        <v>46300.73819444444</v>
      </c>
      <c r="C11" s="13" t="n">
        <v>46325</v>
      </c>
      <c r="D11" s="14" t="n">
        <v>0.96875</v>
      </c>
      <c r="E11" s="37" t="n">
        <v>1</v>
      </c>
      <c r="F11" s="37" t="n">
        <v>0</v>
      </c>
      <c r="G11" s="37" t="n">
        <v>0</v>
      </c>
      <c r="H11" s="37" t="n">
        <v>1</v>
      </c>
      <c r="I11" s="37" t="n">
        <v>0</v>
      </c>
      <c r="J11" s="37" t="n">
        <v>4</v>
      </c>
      <c r="K11" s="16" t="n">
        <v>48</v>
      </c>
    </row>
    <row r="12">
      <c r="A12" s="30" t="n">
        <v>46300.76388888889</v>
      </c>
      <c r="B12" s="30" t="n">
        <v>46300.76527777778</v>
      </c>
      <c r="C12" s="9" t="n">
        <v>46318</v>
      </c>
      <c r="D12" s="10" t="n">
        <v>0.8854166666666666</v>
      </c>
      <c r="E12" s="36" t="n">
        <v>1</v>
      </c>
      <c r="F12" s="36" t="n">
        <v>0</v>
      </c>
      <c r="G12" s="36" t="n">
        <v>0</v>
      </c>
      <c r="H12" s="36" t="n">
        <v>1</v>
      </c>
      <c r="I12" s="36" t="n">
        <v>0</v>
      </c>
      <c r="J12" s="36" t="n">
        <v>4</v>
      </c>
      <c r="K12" s="12" t="n">
        <v>48</v>
      </c>
    </row>
    <row r="13">
      <c r="A13" s="33" t="n">
        <v>46300.80208333334</v>
      </c>
      <c r="B13" s="33" t="n">
        <v>46300.84652777778</v>
      </c>
      <c r="C13" s="13" t="n">
        <v>46318</v>
      </c>
      <c r="D13" s="14" t="n">
        <v>0.8854166666666666</v>
      </c>
      <c r="E13" s="37" t="n">
        <v>1</v>
      </c>
      <c r="F13" s="37" t="n">
        <v>0</v>
      </c>
      <c r="G13" s="37" t="n">
        <v>0</v>
      </c>
      <c r="H13" s="37" t="n">
        <v>1</v>
      </c>
      <c r="I13" s="37" t="n">
        <v>0</v>
      </c>
      <c r="J13" s="37" t="n">
        <v>4</v>
      </c>
      <c r="K13" s="16" t="n">
        <v>48</v>
      </c>
    </row>
    <row r="14">
      <c r="A14" s="30" t="n">
        <v>46300.84652777778</v>
      </c>
      <c r="B14" s="30" t="n">
        <v>46300.86319444444</v>
      </c>
      <c r="C14" s="9" t="n">
        <v>46319</v>
      </c>
      <c r="D14" s="10" t="n">
        <v>0.9270833333333334</v>
      </c>
      <c r="E14" s="36" t="n">
        <v>1</v>
      </c>
      <c r="F14" s="36" t="n">
        <v>1</v>
      </c>
      <c r="G14" s="36" t="n">
        <v>0</v>
      </c>
      <c r="H14" s="36" t="n">
        <v>0</v>
      </c>
      <c r="I14" s="36" t="n">
        <v>0</v>
      </c>
      <c r="J14" s="36" t="n">
        <v>2</v>
      </c>
      <c r="K14" s="12" t="n">
        <v>24</v>
      </c>
    </row>
    <row r="15">
      <c r="A15" s="33" t="n">
        <v>46300.86597222222</v>
      </c>
      <c r="B15" s="33" t="n">
        <v>46300.98125</v>
      </c>
      <c r="C15" s="13" t="n">
        <v>46318</v>
      </c>
      <c r="D15" s="14" t="n">
        <v>0.8854166666666666</v>
      </c>
      <c r="E15" s="37" t="n">
        <v>3</v>
      </c>
      <c r="F15" s="37" t="n">
        <v>2</v>
      </c>
      <c r="G15" s="37" t="n">
        <v>0</v>
      </c>
      <c r="H15" s="37" t="n">
        <v>1</v>
      </c>
      <c r="I15" s="37" t="n">
        <v>0</v>
      </c>
      <c r="J15" s="37" t="n">
        <v>8</v>
      </c>
      <c r="K15" s="16" t="n">
        <v>96</v>
      </c>
    </row>
    <row r="16">
      <c r="A16" s="30" t="n">
        <v>46300.86597222222</v>
      </c>
      <c r="B16" s="30" t="n">
        <v>46300.98125</v>
      </c>
      <c r="C16" s="9" t="n">
        <v>46318</v>
      </c>
      <c r="D16" s="10" t="n">
        <v>0.9986111111111111</v>
      </c>
      <c r="E16" s="36" t="n">
        <v>2</v>
      </c>
      <c r="F16" s="36" t="n">
        <v>2</v>
      </c>
      <c r="G16" s="36" t="n">
        <v>0</v>
      </c>
      <c r="H16" s="36" t="n">
        <v>0</v>
      </c>
      <c r="I16" s="36" t="n">
        <v>0</v>
      </c>
      <c r="J16" s="36" t="n">
        <v>4</v>
      </c>
      <c r="K16" s="12" t="n">
        <v>48</v>
      </c>
    </row>
    <row r="17">
      <c r="A17" s="33" t="n">
        <v>46300.86597222222</v>
      </c>
      <c r="B17" s="33" t="n">
        <v>46300.98125</v>
      </c>
      <c r="C17" s="13" t="n">
        <v>46319</v>
      </c>
      <c r="D17" s="14" t="n">
        <v>0.9270833333333334</v>
      </c>
      <c r="E17" s="37" t="n">
        <v>1</v>
      </c>
      <c r="F17" s="37" t="n">
        <v>1</v>
      </c>
      <c r="G17" s="37" t="n">
        <v>0</v>
      </c>
      <c r="H17" s="37" t="n">
        <v>0</v>
      </c>
      <c r="I17" s="37" t="n">
        <v>0</v>
      </c>
      <c r="J17" s="37" t="n">
        <v>2</v>
      </c>
      <c r="K17" s="16" t="n">
        <v>24</v>
      </c>
    </row>
    <row r="18">
      <c r="A18" s="30" t="n">
        <v>46300.86597222222</v>
      </c>
      <c r="B18" s="30" t="n">
        <v>46300.98125</v>
      </c>
      <c r="C18" s="9" t="n">
        <v>46319</v>
      </c>
      <c r="D18" s="10" t="n">
        <v>0.96875</v>
      </c>
      <c r="E18" s="36" t="n">
        <v>1</v>
      </c>
      <c r="F18" s="36" t="n">
        <v>0</v>
      </c>
      <c r="G18" s="36" t="n">
        <v>1</v>
      </c>
      <c r="H18" s="36" t="n">
        <v>0</v>
      </c>
      <c r="I18" s="36" t="n">
        <v>0</v>
      </c>
      <c r="J18" s="36" t="n">
        <v>3</v>
      </c>
      <c r="K18" s="12" t="n">
        <v>36</v>
      </c>
    </row>
    <row r="19">
      <c r="A19" s="33" t="n">
        <v>46300.86597222222</v>
      </c>
      <c r="B19" s="33" t="n">
        <v>46300.98125</v>
      </c>
      <c r="C19" s="13" t="n">
        <v>46319</v>
      </c>
      <c r="D19" s="14" t="n">
        <v>0.9993055555555556</v>
      </c>
      <c r="E19" s="37" t="n">
        <v>1</v>
      </c>
      <c r="F19" s="37" t="n">
        <v>0</v>
      </c>
      <c r="G19" s="37" t="n">
        <v>0</v>
      </c>
      <c r="H19" s="37" t="n">
        <v>1</v>
      </c>
      <c r="I19" s="37" t="n">
        <v>0</v>
      </c>
      <c r="J19" s="37" t="n">
        <v>4</v>
      </c>
      <c r="K19" s="16" t="n">
        <v>48</v>
      </c>
    </row>
    <row r="20">
      <c r="A20" s="30" t="n">
        <v>46300.86597222222</v>
      </c>
      <c r="B20" s="30" t="n">
        <v>46300.98125</v>
      </c>
      <c r="C20" s="9" t="n">
        <v>46324</v>
      </c>
      <c r="D20" s="10" t="n">
        <v>0.9270833333333334</v>
      </c>
      <c r="E20" s="36" t="n">
        <v>1</v>
      </c>
      <c r="F20" s="36" t="n">
        <v>1</v>
      </c>
      <c r="G20" s="36" t="n">
        <v>0</v>
      </c>
      <c r="H20" s="36" t="n">
        <v>0</v>
      </c>
      <c r="I20" s="36" t="n">
        <v>0</v>
      </c>
      <c r="J20" s="36" t="n">
        <v>2</v>
      </c>
      <c r="K20" s="12" t="n">
        <v>24</v>
      </c>
    </row>
    <row r="21">
      <c r="A21" s="33" t="n">
        <v>46300.86597222222</v>
      </c>
      <c r="B21" s="33" t="n">
        <v>46300.98125</v>
      </c>
      <c r="C21" s="13" t="n">
        <v>46325</v>
      </c>
      <c r="D21" s="14" t="n">
        <v>0.9993055555555556</v>
      </c>
      <c r="E21" s="37" t="n">
        <v>1</v>
      </c>
      <c r="F21" s="37" t="n">
        <v>1</v>
      </c>
      <c r="G21" s="37" t="n">
        <v>0</v>
      </c>
      <c r="H21" s="37" t="n">
        <v>0</v>
      </c>
      <c r="I21" s="37" t="n">
        <v>0</v>
      </c>
      <c r="J21" s="37" t="n">
        <v>2</v>
      </c>
      <c r="K21" s="16" t="n">
        <v>24</v>
      </c>
    </row>
    <row r="22">
      <c r="A22" s="30" t="n">
        <v>46300.86597222222</v>
      </c>
      <c r="B22" s="30" t="n">
        <v>46300.98125</v>
      </c>
      <c r="C22" s="9" t="n">
        <v>46326</v>
      </c>
      <c r="D22" s="10" t="n">
        <v>0.9993055555555556</v>
      </c>
      <c r="E22" s="36" t="n">
        <v>1</v>
      </c>
      <c r="F22" s="36" t="n">
        <v>1</v>
      </c>
      <c r="G22" s="36" t="n">
        <v>0</v>
      </c>
      <c r="H22" s="36" t="n">
        <v>0</v>
      </c>
      <c r="I22" s="36" t="n">
        <v>0</v>
      </c>
      <c r="J22" s="36" t="n">
        <v>2</v>
      </c>
      <c r="K22" s="12" t="n">
        <v>24</v>
      </c>
    </row>
    <row r="23">
      <c r="A23" s="33" t="n">
        <v>46300.98125</v>
      </c>
      <c r="B23" s="33" t="n">
        <v>46301.01319444444</v>
      </c>
      <c r="C23" s="13" t="n">
        <v>46318</v>
      </c>
      <c r="D23" s="14" t="n">
        <v>0.9270833333333334</v>
      </c>
      <c r="E23" s="37" t="n">
        <v>1</v>
      </c>
      <c r="F23" s="37" t="n">
        <v>0</v>
      </c>
      <c r="G23" s="37" t="n">
        <v>0</v>
      </c>
      <c r="H23" s="37" t="n">
        <v>1</v>
      </c>
      <c r="I23" s="37" t="n">
        <v>0</v>
      </c>
      <c r="J23" s="37" t="n">
        <v>4</v>
      </c>
      <c r="K23" s="16" t="n">
        <v>48</v>
      </c>
    </row>
    <row r="24">
      <c r="A24" s="30" t="n">
        <v>46300.98125</v>
      </c>
      <c r="B24" s="30" t="n">
        <v>46301.01319444444</v>
      </c>
      <c r="C24" s="9" t="n">
        <v>46319</v>
      </c>
      <c r="D24" s="10" t="n">
        <v>0.96875</v>
      </c>
      <c r="E24" s="36" t="n">
        <v>1</v>
      </c>
      <c r="F24" s="36" t="n">
        <v>1</v>
      </c>
      <c r="G24" s="36" t="n">
        <v>0</v>
      </c>
      <c r="H24" s="36" t="n">
        <v>0</v>
      </c>
      <c r="I24" s="36" t="n">
        <v>0</v>
      </c>
      <c r="J24" s="36" t="n">
        <v>2</v>
      </c>
      <c r="K24" s="12" t="n">
        <v>24</v>
      </c>
    </row>
    <row r="25">
      <c r="A25" s="33" t="n">
        <v>46301.34722222222</v>
      </c>
      <c r="B25" s="33" t="n">
        <v>46301.35625</v>
      </c>
      <c r="C25" s="13" t="n">
        <v>46318</v>
      </c>
      <c r="D25" s="14" t="n">
        <v>0.96875</v>
      </c>
      <c r="E25" s="37" t="n">
        <v>1</v>
      </c>
      <c r="F25" s="37" t="n">
        <v>0</v>
      </c>
      <c r="G25" s="37" t="n">
        <v>1</v>
      </c>
      <c r="H25" s="37" t="n">
        <v>0</v>
      </c>
      <c r="I25" s="37" t="n">
        <v>0</v>
      </c>
      <c r="J25" s="37" t="n">
        <v>3</v>
      </c>
      <c r="K25" s="16" t="n">
        <v>36</v>
      </c>
    </row>
    <row r="26">
      <c r="A26" s="30" t="n">
        <v>46301.36319444444</v>
      </c>
      <c r="B26" s="30" t="n">
        <v>46301.38680555556</v>
      </c>
      <c r="C26" s="9" t="n">
        <v>46318</v>
      </c>
      <c r="D26" s="10" t="n">
        <v>0.9270833333333334</v>
      </c>
      <c r="E26" s="36" t="n">
        <v>1</v>
      </c>
      <c r="F26" s="36" t="n">
        <v>0</v>
      </c>
      <c r="G26" s="36" t="n">
        <v>1</v>
      </c>
      <c r="H26" s="36" t="n">
        <v>0</v>
      </c>
      <c r="I26" s="36" t="n">
        <v>0</v>
      </c>
      <c r="J26" s="36" t="n">
        <v>3</v>
      </c>
      <c r="K26" s="12" t="n">
        <v>36</v>
      </c>
    </row>
    <row r="27">
      <c r="A27" s="33" t="n">
        <v>46301.36319444444</v>
      </c>
      <c r="B27" s="33" t="n">
        <v>46301.38680555556</v>
      </c>
      <c r="C27" s="13" t="n">
        <v>46319</v>
      </c>
      <c r="D27" s="14" t="n">
        <v>0.8854166666666666</v>
      </c>
      <c r="E27" s="37" t="n">
        <v>1</v>
      </c>
      <c r="F27" s="37" t="n">
        <v>1</v>
      </c>
      <c r="G27" s="37" t="n">
        <v>0</v>
      </c>
      <c r="H27" s="37" t="n">
        <v>0</v>
      </c>
      <c r="I27" s="37" t="n">
        <v>0</v>
      </c>
      <c r="J27" s="37" t="n">
        <v>2</v>
      </c>
      <c r="K27" s="16" t="n">
        <v>24</v>
      </c>
    </row>
    <row r="28">
      <c r="A28" s="30" t="n">
        <v>46301.36319444444</v>
      </c>
      <c r="B28" s="30" t="n">
        <v>46301.38680555556</v>
      </c>
      <c r="C28" s="9" t="n">
        <v>46325</v>
      </c>
      <c r="D28" s="10" t="n">
        <v>0.9270833333333334</v>
      </c>
      <c r="E28" s="36" t="n">
        <v>1</v>
      </c>
      <c r="F28" s="36" t="n">
        <v>1</v>
      </c>
      <c r="G28" s="36" t="n">
        <v>0</v>
      </c>
      <c r="H28" s="36" t="n">
        <v>0</v>
      </c>
      <c r="I28" s="36" t="n">
        <v>0</v>
      </c>
      <c r="J28" s="36" t="n">
        <v>2</v>
      </c>
      <c r="K28" s="12" t="n">
        <v>24</v>
      </c>
    </row>
    <row r="29">
      <c r="A29" s="33" t="n">
        <v>46301.42847222222</v>
      </c>
      <c r="B29" s="33" t="n">
        <v>46301.46319444444</v>
      </c>
      <c r="C29" s="13" t="n">
        <v>46319</v>
      </c>
      <c r="D29" s="14" t="n">
        <v>0.9270833333333334</v>
      </c>
      <c r="E29" s="37" t="n">
        <v>1</v>
      </c>
      <c r="F29" s="37" t="n">
        <v>0</v>
      </c>
      <c r="G29" s="37" t="n">
        <v>0</v>
      </c>
      <c r="H29" s="37" t="n">
        <v>1</v>
      </c>
      <c r="I29" s="37" t="n">
        <v>0</v>
      </c>
      <c r="J29" s="37" t="n">
        <v>4</v>
      </c>
      <c r="K29" s="16" t="n">
        <v>48</v>
      </c>
    </row>
    <row r="30">
      <c r="A30" s="30" t="n">
        <v>46301.47291666667</v>
      </c>
      <c r="B30" s="30" t="n">
        <v>46301.47986111111</v>
      </c>
      <c r="C30" s="9" t="n">
        <v>46319</v>
      </c>
      <c r="D30" s="10" t="n">
        <v>0.8854166666666666</v>
      </c>
      <c r="E30" s="36" t="n">
        <v>1</v>
      </c>
      <c r="F30" s="36" t="n">
        <v>0</v>
      </c>
      <c r="G30" s="36" t="n">
        <v>0</v>
      </c>
      <c r="H30" s="36" t="n">
        <v>0</v>
      </c>
      <c r="I30" s="36" t="n">
        <v>1</v>
      </c>
      <c r="J30" s="36" t="n">
        <v>5</v>
      </c>
      <c r="K30" s="12" t="n">
        <v>60</v>
      </c>
    </row>
    <row r="31">
      <c r="A31" s="33" t="n">
        <v>46301.47986111111</v>
      </c>
      <c r="B31" s="33" t="n">
        <v>46301.51111111111</v>
      </c>
      <c r="C31" s="13" t="n">
        <v>46319</v>
      </c>
      <c r="D31" s="14" t="n">
        <v>0.9993055555555556</v>
      </c>
      <c r="E31" s="37" t="n">
        <v>1</v>
      </c>
      <c r="F31" s="37" t="n">
        <v>1</v>
      </c>
      <c r="G31" s="37" t="n">
        <v>0</v>
      </c>
      <c r="H31" s="37" t="n">
        <v>0</v>
      </c>
      <c r="I31" s="37" t="n">
        <v>0</v>
      </c>
      <c r="J31" s="37" t="n">
        <v>2</v>
      </c>
      <c r="K31" s="16" t="n">
        <v>24</v>
      </c>
    </row>
    <row r="32">
      <c r="A32" s="30" t="n">
        <v>46301.55208333334</v>
      </c>
      <c r="B32" s="30" t="n">
        <v>46301.56180555555</v>
      </c>
      <c r="C32" s="9" t="n">
        <v>46318</v>
      </c>
      <c r="D32" s="10" t="n">
        <v>0.84375</v>
      </c>
      <c r="E32" s="36" t="n">
        <v>1</v>
      </c>
      <c r="F32" s="36" t="n">
        <v>1</v>
      </c>
      <c r="G32" s="36" t="n">
        <v>0</v>
      </c>
      <c r="H32" s="36" t="n">
        <v>0</v>
      </c>
      <c r="I32" s="36" t="n">
        <v>0</v>
      </c>
      <c r="J32" s="36" t="n">
        <v>2</v>
      </c>
      <c r="K32" s="12" t="n">
        <v>24</v>
      </c>
    </row>
    <row r="33">
      <c r="A33" s="33" t="n">
        <v>46301.56180555555</v>
      </c>
      <c r="B33" s="33" t="n">
        <v>46301.59652777778</v>
      </c>
      <c r="C33" s="13" t="n">
        <v>46319</v>
      </c>
      <c r="D33" s="14" t="n">
        <v>0.9993055555555556</v>
      </c>
      <c r="E33" s="37" t="n">
        <v>1</v>
      </c>
      <c r="F33" s="37" t="n">
        <v>1</v>
      </c>
      <c r="G33" s="37" t="n">
        <v>0</v>
      </c>
      <c r="H33" s="37" t="n">
        <v>0</v>
      </c>
      <c r="I33" s="37" t="n">
        <v>0</v>
      </c>
      <c r="J33" s="37" t="n">
        <v>2</v>
      </c>
      <c r="K33" s="16" t="n">
        <v>24</v>
      </c>
    </row>
    <row r="34">
      <c r="A34" s="30" t="n">
        <v>46301.56180555555</v>
      </c>
      <c r="B34" s="30" t="n">
        <v>46301.59652777778</v>
      </c>
      <c r="C34" s="9" t="n">
        <v>46324</v>
      </c>
      <c r="D34" s="10" t="n">
        <v>0.9270833333333334</v>
      </c>
      <c r="E34" s="36" t="n">
        <v>1</v>
      </c>
      <c r="F34" s="36" t="n">
        <v>0</v>
      </c>
      <c r="G34" s="36" t="n">
        <v>1</v>
      </c>
      <c r="H34" s="36" t="n">
        <v>0</v>
      </c>
      <c r="I34" s="36" t="n">
        <v>0</v>
      </c>
      <c r="J34" s="36" t="n">
        <v>3</v>
      </c>
      <c r="K34" s="12" t="n">
        <v>36</v>
      </c>
    </row>
    <row r="35">
      <c r="A35" s="33" t="n">
        <v>46301.59652777778</v>
      </c>
      <c r="B35" s="33" t="n">
        <v>46301.63611111111</v>
      </c>
      <c r="C35" s="13" t="n">
        <v>46318</v>
      </c>
      <c r="D35" s="14" t="n">
        <v>0.96875</v>
      </c>
      <c r="E35" s="37" t="n">
        <v>1</v>
      </c>
      <c r="F35" s="37" t="n">
        <v>0</v>
      </c>
      <c r="G35" s="37" t="n">
        <v>0</v>
      </c>
      <c r="H35" s="37" t="n">
        <v>0</v>
      </c>
      <c r="I35" s="37" t="n">
        <v>1</v>
      </c>
      <c r="J35" s="37" t="n">
        <v>5</v>
      </c>
      <c r="K35" s="16" t="n">
        <v>60</v>
      </c>
    </row>
    <row r="36">
      <c r="A36" s="30" t="n">
        <v>46301.6375</v>
      </c>
      <c r="B36" s="30" t="n">
        <v>46301.67916666667</v>
      </c>
      <c r="C36" s="9" t="n">
        <v>46319</v>
      </c>
      <c r="D36" s="10" t="n">
        <v>0.96875</v>
      </c>
      <c r="E36" s="36" t="n">
        <v>1</v>
      </c>
      <c r="F36" s="36" t="n">
        <v>1</v>
      </c>
      <c r="G36" s="36" t="n">
        <v>0</v>
      </c>
      <c r="H36" s="36" t="n">
        <v>0</v>
      </c>
      <c r="I36" s="36" t="n">
        <v>0</v>
      </c>
      <c r="J36" s="36" t="n">
        <v>2</v>
      </c>
      <c r="K36" s="12" t="n">
        <v>24</v>
      </c>
    </row>
    <row r="37">
      <c r="A37" s="33" t="n">
        <v>46301.76180555556</v>
      </c>
      <c r="B37" s="33" t="n">
        <v>46301.77569444444</v>
      </c>
      <c r="C37" s="13" t="n">
        <v>46326</v>
      </c>
      <c r="D37" s="14" t="n">
        <v>0.96875</v>
      </c>
      <c r="E37" s="37" t="n">
        <v>1</v>
      </c>
      <c r="F37" s="37" t="n">
        <v>0</v>
      </c>
      <c r="G37" s="37" t="n">
        <v>0</v>
      </c>
      <c r="H37" s="37" t="n">
        <v>1</v>
      </c>
      <c r="I37" s="37" t="n">
        <v>0</v>
      </c>
      <c r="J37" s="37" t="n">
        <v>4</v>
      </c>
      <c r="K37" s="16" t="n">
        <v>48</v>
      </c>
    </row>
    <row r="38">
      <c r="A38" s="30" t="n">
        <v>46301.77569444444</v>
      </c>
      <c r="B38" s="30" t="n">
        <v>46301.80138888889</v>
      </c>
      <c r="C38" s="9" t="n">
        <v>46318</v>
      </c>
      <c r="D38" s="10" t="n">
        <v>0.96875</v>
      </c>
      <c r="E38" s="36" t="n">
        <v>1</v>
      </c>
      <c r="F38" s="36" t="n">
        <v>1</v>
      </c>
      <c r="G38" s="36" t="n">
        <v>0</v>
      </c>
      <c r="H38" s="36" t="n">
        <v>0</v>
      </c>
      <c r="I38" s="36" t="n">
        <v>0</v>
      </c>
      <c r="J38" s="36" t="n">
        <v>2</v>
      </c>
      <c r="K38" s="12" t="n">
        <v>24</v>
      </c>
    </row>
    <row r="39">
      <c r="A39" s="33" t="n">
        <v>46301.80138888889</v>
      </c>
      <c r="B39" s="33" t="n">
        <v>46301.81944444445</v>
      </c>
      <c r="C39" s="13" t="n">
        <v>46318</v>
      </c>
      <c r="D39" s="14" t="n">
        <v>0.8854166666666666</v>
      </c>
      <c r="E39" s="37" t="n">
        <v>1</v>
      </c>
      <c r="F39" s="37" t="n">
        <v>1</v>
      </c>
      <c r="G39" s="37" t="n">
        <v>0</v>
      </c>
      <c r="H39" s="37" t="n">
        <v>0</v>
      </c>
      <c r="I39" s="37" t="n">
        <v>0</v>
      </c>
      <c r="J39" s="37" t="n">
        <v>2</v>
      </c>
      <c r="K39" s="16" t="n">
        <v>24</v>
      </c>
    </row>
    <row r="40">
      <c r="A40" s="30" t="n">
        <v>46301.84513888889</v>
      </c>
      <c r="B40" s="30" t="n">
        <v>46301.84791666667</v>
      </c>
      <c r="C40" s="9" t="n">
        <v>46318</v>
      </c>
      <c r="D40" s="10" t="n">
        <v>0.9986111111111111</v>
      </c>
      <c r="E40" s="36" t="n">
        <v>1</v>
      </c>
      <c r="F40" s="36" t="n">
        <v>0</v>
      </c>
      <c r="G40" s="36" t="n">
        <v>0</v>
      </c>
      <c r="H40" s="36" t="n">
        <v>1</v>
      </c>
      <c r="I40" s="36" t="n">
        <v>0</v>
      </c>
      <c r="J40" s="36" t="n">
        <v>4</v>
      </c>
      <c r="K40" s="12" t="n">
        <v>48</v>
      </c>
    </row>
    <row r="41">
      <c r="A41" s="33" t="n">
        <v>46301.84791666667</v>
      </c>
      <c r="B41" s="33" t="n">
        <v>46301.87638888889</v>
      </c>
      <c r="C41" s="13" t="n">
        <v>46319</v>
      </c>
      <c r="D41" s="14" t="n">
        <v>0.9270833333333334</v>
      </c>
      <c r="E41" s="37" t="n">
        <v>1</v>
      </c>
      <c r="F41" s="37" t="n">
        <v>0</v>
      </c>
      <c r="G41" s="37" t="n">
        <v>0</v>
      </c>
      <c r="H41" s="37" t="n">
        <v>1</v>
      </c>
      <c r="I41" s="37" t="n">
        <v>0</v>
      </c>
      <c r="J41" s="37" t="n">
        <v>4</v>
      </c>
      <c r="K41" s="16" t="n">
        <v>48</v>
      </c>
    </row>
    <row r="42">
      <c r="A42" s="30" t="n">
        <v>46301.84791666667</v>
      </c>
      <c r="B42" s="30" t="n">
        <v>46301.87638888889</v>
      </c>
      <c r="C42" s="9" t="n">
        <v>46326</v>
      </c>
      <c r="D42" s="10" t="n">
        <v>0.96875</v>
      </c>
      <c r="E42" s="36" t="n">
        <v>1</v>
      </c>
      <c r="F42" s="36" t="n">
        <v>1</v>
      </c>
      <c r="G42" s="36" t="n">
        <v>0</v>
      </c>
      <c r="H42" s="36" t="n">
        <v>0</v>
      </c>
      <c r="I42" s="36" t="n">
        <v>0</v>
      </c>
      <c r="J42" s="36" t="n">
        <v>2</v>
      </c>
      <c r="K42" s="12" t="n">
        <v>24</v>
      </c>
    </row>
    <row r="43">
      <c r="A43" s="33" t="n">
        <v>46301.88541666666</v>
      </c>
      <c r="B43" s="33" t="n">
        <v>46301.92708333334</v>
      </c>
      <c r="C43" s="13" t="n">
        <v>46320</v>
      </c>
      <c r="D43" s="14" t="n">
        <v>0.84375</v>
      </c>
      <c r="E43" s="37" t="n">
        <v>1</v>
      </c>
      <c r="F43" s="37" t="n">
        <v>1</v>
      </c>
      <c r="G43" s="37" t="n">
        <v>0</v>
      </c>
      <c r="H43" s="37" t="n">
        <v>0</v>
      </c>
      <c r="I43" s="37" t="n">
        <v>0</v>
      </c>
      <c r="J43" s="37" t="n">
        <v>2</v>
      </c>
      <c r="K43" s="16" t="n">
        <v>24</v>
      </c>
    </row>
    <row r="44">
      <c r="A44" s="30" t="n">
        <v>46301.88541666666</v>
      </c>
      <c r="B44" s="30" t="n">
        <v>46301.92708333334</v>
      </c>
      <c r="C44" s="9" t="n">
        <v>46324</v>
      </c>
      <c r="D44" s="10" t="n">
        <v>0.84375</v>
      </c>
      <c r="E44" s="36" t="n">
        <v>1</v>
      </c>
      <c r="F44" s="36" t="n">
        <v>0</v>
      </c>
      <c r="G44" s="36" t="n">
        <v>0</v>
      </c>
      <c r="H44" s="36" t="n">
        <v>1</v>
      </c>
      <c r="I44" s="36" t="n">
        <v>0</v>
      </c>
      <c r="J44" s="36" t="n">
        <v>4</v>
      </c>
      <c r="K44" s="12" t="n">
        <v>48</v>
      </c>
    </row>
    <row r="45">
      <c r="A45" s="33" t="n">
        <v>46301.92986111111</v>
      </c>
      <c r="B45" s="33" t="n">
        <v>46301.96805555555</v>
      </c>
      <c r="C45" s="13" t="n">
        <v>46318</v>
      </c>
      <c r="D45" s="14" t="n">
        <v>0.9270833333333334</v>
      </c>
      <c r="E45" s="37" t="n">
        <v>1</v>
      </c>
      <c r="F45" s="37" t="n">
        <v>0</v>
      </c>
      <c r="G45" s="37" t="n">
        <v>0</v>
      </c>
      <c r="H45" s="37" t="n">
        <v>1</v>
      </c>
      <c r="I45" s="37" t="n">
        <v>0</v>
      </c>
      <c r="J45" s="37" t="n">
        <v>4</v>
      </c>
      <c r="K45" s="16" t="n">
        <v>48</v>
      </c>
    </row>
    <row r="46">
      <c r="A46" s="30" t="n">
        <v>46301.92986111111</v>
      </c>
      <c r="B46" s="30" t="n">
        <v>46301.96805555555</v>
      </c>
      <c r="C46" s="9" t="n">
        <v>46319</v>
      </c>
      <c r="D46" s="10" t="n">
        <v>0.8854166666666666</v>
      </c>
      <c r="E46" s="36" t="n">
        <v>1</v>
      </c>
      <c r="F46" s="36" t="n">
        <v>1</v>
      </c>
      <c r="G46" s="36" t="n">
        <v>0</v>
      </c>
      <c r="H46" s="36" t="n">
        <v>0</v>
      </c>
      <c r="I46" s="36" t="n">
        <v>0</v>
      </c>
      <c r="J46" s="36" t="n">
        <v>2</v>
      </c>
      <c r="K46" s="12" t="n">
        <v>24</v>
      </c>
    </row>
    <row r="47">
      <c r="A47" s="33" t="n">
        <v>46301.92986111111</v>
      </c>
      <c r="B47" s="33" t="n">
        <v>46301.96805555555</v>
      </c>
      <c r="C47" s="13" t="n">
        <v>46319</v>
      </c>
      <c r="D47" s="14" t="n">
        <v>0.9270833333333334</v>
      </c>
      <c r="E47" s="37" t="n">
        <v>1</v>
      </c>
      <c r="F47" s="37" t="n">
        <v>1</v>
      </c>
      <c r="G47" s="37" t="n">
        <v>0</v>
      </c>
      <c r="H47" s="37" t="n">
        <v>0</v>
      </c>
      <c r="I47" s="37" t="n">
        <v>0</v>
      </c>
      <c r="J47" s="37" t="n">
        <v>2</v>
      </c>
      <c r="K47" s="16" t="n">
        <v>24</v>
      </c>
    </row>
    <row r="48">
      <c r="A48" s="30" t="n">
        <v>46301.92986111111</v>
      </c>
      <c r="B48" s="30" t="n">
        <v>46301.96805555555</v>
      </c>
      <c r="C48" s="9" t="n">
        <v>46324</v>
      </c>
      <c r="D48" s="10" t="n">
        <v>0.9270833333333334</v>
      </c>
      <c r="E48" s="36" t="n">
        <v>2</v>
      </c>
      <c r="F48" s="36" t="n">
        <v>1</v>
      </c>
      <c r="G48" s="36" t="n">
        <v>0</v>
      </c>
      <c r="H48" s="36" t="n">
        <v>1</v>
      </c>
      <c r="I48" s="36" t="n">
        <v>0</v>
      </c>
      <c r="J48" s="36" t="n">
        <v>6</v>
      </c>
      <c r="K48" s="12" t="n">
        <v>72</v>
      </c>
    </row>
    <row r="49">
      <c r="A49" s="33" t="n">
        <v>46301.97222222222</v>
      </c>
      <c r="B49" s="33" t="n">
        <v>46302.01041666666</v>
      </c>
      <c r="C49" s="13" t="n">
        <v>46318</v>
      </c>
      <c r="D49" s="14" t="n">
        <v>0.96875</v>
      </c>
      <c r="E49" s="37" t="n">
        <v>1</v>
      </c>
      <c r="F49" s="37" t="n">
        <v>1</v>
      </c>
      <c r="G49" s="37" t="n">
        <v>0</v>
      </c>
      <c r="H49" s="37" t="n">
        <v>0</v>
      </c>
      <c r="I49" s="37" t="n">
        <v>0</v>
      </c>
      <c r="J49" s="37" t="n">
        <v>2</v>
      </c>
      <c r="K49" s="16" t="n">
        <v>24</v>
      </c>
    </row>
    <row r="50">
      <c r="A50" s="30" t="n">
        <v>46302.01041666666</v>
      </c>
      <c r="B50" s="30" t="n">
        <v>46302.05138888889</v>
      </c>
      <c r="C50" s="9" t="n">
        <v>46320</v>
      </c>
      <c r="D50" s="10" t="n">
        <v>0.96875</v>
      </c>
      <c r="E50" s="36" t="n">
        <v>1</v>
      </c>
      <c r="F50" s="36" t="n">
        <v>1</v>
      </c>
      <c r="G50" s="36" t="n">
        <v>0</v>
      </c>
      <c r="H50" s="36" t="n">
        <v>0</v>
      </c>
      <c r="I50" s="36" t="n">
        <v>0</v>
      </c>
      <c r="J50" s="36" t="n">
        <v>2</v>
      </c>
      <c r="K50" s="12" t="n">
        <v>24</v>
      </c>
    </row>
    <row r="51">
      <c r="A51" s="33" t="n">
        <v>46302.34652777778</v>
      </c>
      <c r="B51" s="33" t="n">
        <v>46302.3875</v>
      </c>
      <c r="C51" s="13" t="n">
        <v>46326</v>
      </c>
      <c r="D51" s="14" t="n">
        <v>0.96875</v>
      </c>
      <c r="E51" s="37" t="n">
        <v>1</v>
      </c>
      <c r="F51" s="37" t="n">
        <v>0</v>
      </c>
      <c r="G51" s="37" t="n">
        <v>0</v>
      </c>
      <c r="H51" s="37" t="n">
        <v>1</v>
      </c>
      <c r="I51" s="37" t="n">
        <v>0</v>
      </c>
      <c r="J51" s="37" t="n">
        <v>4</v>
      </c>
      <c r="K51" s="16" t="n">
        <v>48</v>
      </c>
    </row>
    <row r="52">
      <c r="A52" s="30" t="n">
        <v>46302.51111111111</v>
      </c>
      <c r="B52" s="30" t="n">
        <v>46302.55277777778</v>
      </c>
      <c r="C52" s="9" t="n">
        <v>46318</v>
      </c>
      <c r="D52" s="10" t="n">
        <v>0.84375</v>
      </c>
      <c r="E52" s="36" t="n">
        <v>1</v>
      </c>
      <c r="F52" s="36" t="n">
        <v>1</v>
      </c>
      <c r="G52" s="36" t="n">
        <v>0</v>
      </c>
      <c r="H52" s="36" t="n">
        <v>0</v>
      </c>
      <c r="I52" s="36" t="n">
        <v>0</v>
      </c>
      <c r="J52" s="36" t="n">
        <v>2</v>
      </c>
      <c r="K52" s="12" t="n">
        <v>24</v>
      </c>
    </row>
    <row r="53">
      <c r="A53" s="33" t="n">
        <v>46302.51111111111</v>
      </c>
      <c r="B53" s="33" t="n">
        <v>46302.55277777778</v>
      </c>
      <c r="C53" s="13" t="n">
        <v>46318</v>
      </c>
      <c r="D53" s="14" t="n">
        <v>0.9986111111111111</v>
      </c>
      <c r="E53" s="37" t="n">
        <v>1</v>
      </c>
      <c r="F53" s="37" t="n">
        <v>1</v>
      </c>
      <c r="G53" s="37" t="n">
        <v>0</v>
      </c>
      <c r="H53" s="37" t="n">
        <v>0</v>
      </c>
      <c r="I53" s="37" t="n">
        <v>0</v>
      </c>
      <c r="J53" s="37" t="n">
        <v>2</v>
      </c>
      <c r="K53" s="16" t="n">
        <v>24</v>
      </c>
    </row>
    <row r="54">
      <c r="A54" s="30" t="n">
        <v>46302.51111111111</v>
      </c>
      <c r="B54" s="30" t="n">
        <v>46302.55277777778</v>
      </c>
      <c r="C54" s="9" t="n">
        <v>46320</v>
      </c>
      <c r="D54" s="10" t="n">
        <v>0.84375</v>
      </c>
      <c r="E54" s="36" t="n">
        <v>1</v>
      </c>
      <c r="F54" s="36" t="n">
        <v>0</v>
      </c>
      <c r="G54" s="36" t="n">
        <v>0</v>
      </c>
      <c r="H54" s="36" t="n">
        <v>1</v>
      </c>
      <c r="I54" s="36" t="n">
        <v>0</v>
      </c>
      <c r="J54" s="36" t="n">
        <v>4</v>
      </c>
      <c r="K54" s="12" t="n">
        <v>48</v>
      </c>
    </row>
    <row r="55">
      <c r="A55" s="33" t="n">
        <v>46302.51111111111</v>
      </c>
      <c r="B55" s="33" t="n">
        <v>46302.55277777778</v>
      </c>
      <c r="C55" s="13" t="n">
        <v>46326</v>
      </c>
      <c r="D55" s="14" t="n">
        <v>0.8854166666666666</v>
      </c>
      <c r="E55" s="37" t="n">
        <v>1</v>
      </c>
      <c r="F55" s="37" t="n">
        <v>0</v>
      </c>
      <c r="G55" s="37" t="n">
        <v>0</v>
      </c>
      <c r="H55" s="37" t="n">
        <v>1</v>
      </c>
      <c r="I55" s="37" t="n">
        <v>0</v>
      </c>
      <c r="J55" s="37" t="n">
        <v>4</v>
      </c>
      <c r="K55" s="16" t="n">
        <v>48</v>
      </c>
    </row>
    <row r="56">
      <c r="A56" s="30" t="n">
        <v>46302.55277777778</v>
      </c>
      <c r="B56" s="30" t="n">
        <v>46302.59791666667</v>
      </c>
      <c r="C56" s="9" t="n">
        <v>46318</v>
      </c>
      <c r="D56" s="10" t="n">
        <v>0.9270833333333334</v>
      </c>
      <c r="E56" s="36" t="n">
        <v>1</v>
      </c>
      <c r="F56" s="36" t="n">
        <v>1</v>
      </c>
      <c r="G56" s="36" t="n">
        <v>0</v>
      </c>
      <c r="H56" s="36" t="n">
        <v>0</v>
      </c>
      <c r="I56" s="36" t="n">
        <v>0</v>
      </c>
      <c r="J56" s="36" t="n">
        <v>2</v>
      </c>
      <c r="K56" s="12" t="n">
        <v>24</v>
      </c>
    </row>
    <row r="57">
      <c r="A57" s="33" t="n">
        <v>46302.68333333333</v>
      </c>
      <c r="B57" s="33" t="n">
        <v>46302.72708333333</v>
      </c>
      <c r="C57" s="13" t="n">
        <v>46325</v>
      </c>
      <c r="D57" s="14" t="n">
        <v>0.84375</v>
      </c>
      <c r="E57" s="37" t="n">
        <v>1</v>
      </c>
      <c r="F57" s="37" t="n">
        <v>0</v>
      </c>
      <c r="G57" s="37" t="n">
        <v>0</v>
      </c>
      <c r="H57" s="37" t="n">
        <v>1</v>
      </c>
      <c r="I57" s="37" t="n">
        <v>0</v>
      </c>
      <c r="J57" s="37" t="n">
        <v>4</v>
      </c>
      <c r="K57" s="16" t="n">
        <v>48</v>
      </c>
    </row>
    <row r="58">
      <c r="A58" s="30" t="n">
        <v>46302.72708333333</v>
      </c>
      <c r="B58" s="30" t="n">
        <v>46302.75138888889</v>
      </c>
      <c r="C58" s="9" t="n">
        <v>46325</v>
      </c>
      <c r="D58" s="10" t="n">
        <v>0.8854166666666666</v>
      </c>
      <c r="E58" s="36" t="n">
        <v>1</v>
      </c>
      <c r="F58" s="36" t="n">
        <v>1</v>
      </c>
      <c r="G58" s="36" t="n">
        <v>0</v>
      </c>
      <c r="H58" s="36" t="n">
        <v>0</v>
      </c>
      <c r="I58" s="36" t="n">
        <v>0</v>
      </c>
      <c r="J58" s="36" t="n">
        <v>2</v>
      </c>
      <c r="K58" s="12" t="n">
        <v>24</v>
      </c>
    </row>
    <row r="59">
      <c r="A59" s="33" t="n">
        <v>46302.76458333333</v>
      </c>
      <c r="B59" s="33" t="n">
        <v>46302.79375</v>
      </c>
      <c r="C59" s="13" t="n">
        <v>46320</v>
      </c>
      <c r="D59" s="14" t="n">
        <v>0.9270833333333334</v>
      </c>
      <c r="E59" s="37" t="n">
        <v>1</v>
      </c>
      <c r="F59" s="37" t="n">
        <v>1</v>
      </c>
      <c r="G59" s="37" t="n">
        <v>0</v>
      </c>
      <c r="H59" s="37" t="n">
        <v>0</v>
      </c>
      <c r="I59" s="37" t="n">
        <v>0</v>
      </c>
      <c r="J59" s="37" t="n">
        <v>2</v>
      </c>
      <c r="K59" s="16" t="n">
        <v>24</v>
      </c>
    </row>
    <row r="60">
      <c r="A60" s="30" t="n">
        <v>46302.79375</v>
      </c>
      <c r="B60" s="30" t="n">
        <v>46302.81041666667</v>
      </c>
      <c r="C60" s="9" t="n">
        <v>46318</v>
      </c>
      <c r="D60" s="10" t="n">
        <v>0.9270833333333334</v>
      </c>
      <c r="E60" s="36" t="n">
        <v>1</v>
      </c>
      <c r="F60" s="36" t="n">
        <v>0</v>
      </c>
      <c r="G60" s="36" t="n">
        <v>0</v>
      </c>
      <c r="H60" s="36" t="n">
        <v>1</v>
      </c>
      <c r="I60" s="36" t="n">
        <v>0</v>
      </c>
      <c r="J60" s="36" t="n">
        <v>4</v>
      </c>
      <c r="K60" s="12" t="n">
        <v>48</v>
      </c>
    </row>
    <row r="61">
      <c r="A61" s="33" t="n">
        <v>46302.83958333333</v>
      </c>
      <c r="B61" s="33" t="n">
        <v>46302.84861111111</v>
      </c>
      <c r="C61" s="13" t="n">
        <v>46318</v>
      </c>
      <c r="D61" s="14" t="n">
        <v>0.9270833333333334</v>
      </c>
      <c r="E61" s="37" t="n">
        <v>1</v>
      </c>
      <c r="F61" s="37" t="n">
        <v>1</v>
      </c>
      <c r="G61" s="37" t="n">
        <v>0</v>
      </c>
      <c r="H61" s="37" t="n">
        <v>0</v>
      </c>
      <c r="I61" s="37" t="n">
        <v>0</v>
      </c>
      <c r="J61" s="37" t="n">
        <v>2</v>
      </c>
      <c r="K61" s="16" t="n">
        <v>24</v>
      </c>
    </row>
    <row r="62">
      <c r="A62" s="30" t="n">
        <v>46302.84861111111</v>
      </c>
      <c r="B62" s="30" t="n">
        <v>46302.88680555556</v>
      </c>
      <c r="C62" s="9" t="n">
        <v>46319</v>
      </c>
      <c r="D62" s="10" t="n">
        <v>0.84375</v>
      </c>
      <c r="E62" s="36" t="n">
        <v>1</v>
      </c>
      <c r="F62" s="36" t="n">
        <v>0</v>
      </c>
      <c r="G62" s="36" t="n">
        <v>0</v>
      </c>
      <c r="H62" s="36" t="n">
        <v>1</v>
      </c>
      <c r="I62" s="36" t="n">
        <v>0</v>
      </c>
      <c r="J62" s="36" t="n">
        <v>4</v>
      </c>
      <c r="K62" s="12" t="n">
        <v>48</v>
      </c>
    </row>
    <row r="63">
      <c r="A63" s="33" t="n">
        <v>46302.84861111111</v>
      </c>
      <c r="B63" s="33" t="n">
        <v>46302.88680555556</v>
      </c>
      <c r="C63" s="13" t="n">
        <v>46319</v>
      </c>
      <c r="D63" s="14" t="n">
        <v>0.8854166666666666</v>
      </c>
      <c r="E63" s="37" t="n">
        <v>1</v>
      </c>
      <c r="F63" s="37" t="n">
        <v>1</v>
      </c>
      <c r="G63" s="37" t="n">
        <v>0</v>
      </c>
      <c r="H63" s="37" t="n">
        <v>0</v>
      </c>
      <c r="I63" s="37" t="n">
        <v>0</v>
      </c>
      <c r="J63" s="37" t="n">
        <v>2</v>
      </c>
      <c r="K63" s="16" t="n">
        <v>24</v>
      </c>
    </row>
    <row r="64">
      <c r="A64" s="30" t="n">
        <v>46302.84861111111</v>
      </c>
      <c r="B64" s="30" t="n">
        <v>46302.88680555556</v>
      </c>
      <c r="C64" s="9" t="n">
        <v>46319</v>
      </c>
      <c r="D64" s="10" t="n">
        <v>0.9270833333333334</v>
      </c>
      <c r="E64" s="36" t="n">
        <v>1</v>
      </c>
      <c r="F64" s="36" t="n">
        <v>1</v>
      </c>
      <c r="G64" s="36" t="n">
        <v>0</v>
      </c>
      <c r="H64" s="36" t="n">
        <v>0</v>
      </c>
      <c r="I64" s="36" t="n">
        <v>0</v>
      </c>
      <c r="J64" s="36" t="n">
        <v>2</v>
      </c>
      <c r="K64" s="12" t="n">
        <v>24</v>
      </c>
    </row>
    <row r="65">
      <c r="A65" s="33" t="n">
        <v>46302.88680555556</v>
      </c>
      <c r="B65" s="33" t="n">
        <v>46302.9</v>
      </c>
      <c r="C65" s="13" t="n">
        <v>46318</v>
      </c>
      <c r="D65" s="14" t="n">
        <v>0.9270833333333334</v>
      </c>
      <c r="E65" s="37" t="n">
        <v>1</v>
      </c>
      <c r="F65" s="37" t="n">
        <v>0</v>
      </c>
      <c r="G65" s="37" t="n">
        <v>0</v>
      </c>
      <c r="H65" s="37" t="n">
        <v>1</v>
      </c>
      <c r="I65" s="37" t="n">
        <v>0</v>
      </c>
      <c r="J65" s="37" t="n">
        <v>4</v>
      </c>
      <c r="K65" s="16" t="n">
        <v>48</v>
      </c>
    </row>
    <row r="66">
      <c r="A66" s="30" t="n">
        <v>46302.88680555556</v>
      </c>
      <c r="B66" s="30" t="n">
        <v>46302.9</v>
      </c>
      <c r="C66" s="9" t="n">
        <v>46319</v>
      </c>
      <c r="D66" s="10" t="n">
        <v>0.84375</v>
      </c>
      <c r="E66" s="36" t="n">
        <v>1</v>
      </c>
      <c r="F66" s="36" t="n">
        <v>1</v>
      </c>
      <c r="G66" s="36" t="n">
        <v>0</v>
      </c>
      <c r="H66" s="36" t="n">
        <v>0</v>
      </c>
      <c r="I66" s="36" t="n">
        <v>0</v>
      </c>
      <c r="J66" s="36" t="n">
        <v>2</v>
      </c>
      <c r="K66" s="12" t="n">
        <v>24</v>
      </c>
    </row>
    <row r="67">
      <c r="A67" s="33" t="n">
        <v>46302.88680555556</v>
      </c>
      <c r="B67" s="33" t="n">
        <v>46302.9</v>
      </c>
      <c r="C67" s="13" t="n">
        <v>46319</v>
      </c>
      <c r="D67" s="14" t="n">
        <v>0.9270833333333334</v>
      </c>
      <c r="E67" s="37" t="n">
        <v>2</v>
      </c>
      <c r="F67" s="37" t="n">
        <v>1</v>
      </c>
      <c r="G67" s="37" t="n">
        <v>1</v>
      </c>
      <c r="H67" s="37" t="n">
        <v>0</v>
      </c>
      <c r="I67" s="37" t="n">
        <v>0</v>
      </c>
      <c r="J67" s="37" t="n">
        <v>5</v>
      </c>
      <c r="K67" s="16" t="n">
        <v>60</v>
      </c>
    </row>
    <row r="68">
      <c r="A68" s="30" t="n">
        <v>46302.91319444445</v>
      </c>
      <c r="B68" s="30" t="n">
        <v>46302.92777777778</v>
      </c>
      <c r="C68" s="9" t="n">
        <v>46318</v>
      </c>
      <c r="D68" s="10" t="n">
        <v>0.96875</v>
      </c>
      <c r="E68" s="36" t="n">
        <v>1</v>
      </c>
      <c r="F68" s="36" t="n">
        <v>0</v>
      </c>
      <c r="G68" s="36" t="n">
        <v>0</v>
      </c>
      <c r="H68" s="36" t="n">
        <v>1</v>
      </c>
      <c r="I68" s="36" t="n">
        <v>0</v>
      </c>
      <c r="J68" s="36" t="n">
        <v>4</v>
      </c>
      <c r="K68" s="12" t="n">
        <v>48</v>
      </c>
    </row>
    <row r="69">
      <c r="A69" s="33" t="n">
        <v>46302.94652777778</v>
      </c>
      <c r="B69" s="33" t="n">
        <v>46302.97083333333</v>
      </c>
      <c r="C69" s="13" t="n">
        <v>46318</v>
      </c>
      <c r="D69" s="14" t="n">
        <v>0.8854166666666666</v>
      </c>
      <c r="E69" s="37" t="n">
        <v>1</v>
      </c>
      <c r="F69" s="37" t="n">
        <v>0</v>
      </c>
      <c r="G69" s="37" t="n">
        <v>0</v>
      </c>
      <c r="H69" s="37" t="n">
        <v>0</v>
      </c>
      <c r="I69" s="37" t="n">
        <v>1</v>
      </c>
      <c r="J69" s="37" t="n">
        <v>5</v>
      </c>
      <c r="K69" s="16" t="n">
        <v>60</v>
      </c>
    </row>
    <row r="70">
      <c r="A70" s="30" t="n">
        <v>46302.94652777778</v>
      </c>
      <c r="B70" s="30" t="n">
        <v>46302.97083333333</v>
      </c>
      <c r="C70" s="9" t="n">
        <v>46318</v>
      </c>
      <c r="D70" s="10" t="n">
        <v>0.9270833333333334</v>
      </c>
      <c r="E70" s="36" t="n">
        <v>1</v>
      </c>
      <c r="F70" s="36" t="n">
        <v>0</v>
      </c>
      <c r="G70" s="36" t="n">
        <v>0</v>
      </c>
      <c r="H70" s="36" t="n">
        <v>1</v>
      </c>
      <c r="I70" s="36" t="n">
        <v>0</v>
      </c>
      <c r="J70" s="36" t="n">
        <v>4</v>
      </c>
      <c r="K70" s="12" t="n">
        <v>48</v>
      </c>
    </row>
    <row r="71">
      <c r="A71" s="33" t="n">
        <v>46302.97083333333</v>
      </c>
      <c r="B71" s="33" t="n">
        <v>46303.01180555556</v>
      </c>
      <c r="C71" s="13" t="n">
        <v>46318</v>
      </c>
      <c r="D71" s="14" t="n">
        <v>0.96875</v>
      </c>
      <c r="E71" s="37" t="n">
        <v>1</v>
      </c>
      <c r="F71" s="37" t="n">
        <v>1</v>
      </c>
      <c r="G71" s="37" t="n">
        <v>0</v>
      </c>
      <c r="H71" s="37" t="n">
        <v>0</v>
      </c>
      <c r="I71" s="37" t="n">
        <v>0</v>
      </c>
      <c r="J71" s="37" t="n">
        <v>2</v>
      </c>
      <c r="K71" s="16" t="n">
        <v>24</v>
      </c>
    </row>
    <row r="72">
      <c r="A72" s="30" t="n">
        <v>46303.26111111111</v>
      </c>
      <c r="B72" s="30" t="n">
        <v>46303.30277777778</v>
      </c>
      <c r="C72" s="9" t="n">
        <v>46326</v>
      </c>
      <c r="D72" s="10" t="n">
        <v>0.84375</v>
      </c>
      <c r="E72" s="36" t="n">
        <v>1</v>
      </c>
      <c r="F72" s="36" t="n">
        <v>1</v>
      </c>
      <c r="G72" s="36" t="n">
        <v>0</v>
      </c>
      <c r="H72" s="36" t="n">
        <v>0</v>
      </c>
      <c r="I72" s="36" t="n">
        <v>0</v>
      </c>
      <c r="J72" s="36" t="n">
        <v>2</v>
      </c>
      <c r="K72" s="12" t="n">
        <v>24</v>
      </c>
    </row>
    <row r="73">
      <c r="A73" s="33" t="n">
        <v>46303.30277777778</v>
      </c>
      <c r="B73" s="33" t="n">
        <v>46303.34861111111</v>
      </c>
      <c r="C73" s="13" t="n">
        <v>46326</v>
      </c>
      <c r="D73" s="14" t="n">
        <v>0.8854166666666666</v>
      </c>
      <c r="E73" s="37" t="n">
        <v>1</v>
      </c>
      <c r="F73" s="37" t="n">
        <v>1</v>
      </c>
      <c r="G73" s="37" t="n">
        <v>0</v>
      </c>
      <c r="H73" s="37" t="n">
        <v>0</v>
      </c>
      <c r="I73" s="37" t="n">
        <v>0</v>
      </c>
      <c r="J73" s="37" t="n">
        <v>2</v>
      </c>
      <c r="K73" s="16" t="n">
        <v>24</v>
      </c>
    </row>
    <row r="74">
      <c r="A74" s="30" t="n">
        <v>46303.38819444444</v>
      </c>
      <c r="B74" s="30" t="n">
        <v>46303.42222222222</v>
      </c>
      <c r="C74" s="9" t="n">
        <v>46319</v>
      </c>
      <c r="D74" s="10" t="n">
        <v>0.96875</v>
      </c>
      <c r="E74" s="36" t="n">
        <v>1</v>
      </c>
      <c r="F74" s="36" t="n">
        <v>0</v>
      </c>
      <c r="G74" s="36" t="n">
        <v>0</v>
      </c>
      <c r="H74" s="36" t="n">
        <v>0</v>
      </c>
      <c r="I74" s="36" t="n">
        <v>1</v>
      </c>
      <c r="J74" s="36" t="n">
        <v>5</v>
      </c>
      <c r="K74" s="12" t="n">
        <v>60</v>
      </c>
    </row>
    <row r="75">
      <c r="A75" s="33" t="n">
        <v>46303.38819444444</v>
      </c>
      <c r="B75" s="33" t="n">
        <v>46303.42222222222</v>
      </c>
      <c r="C75" s="13" t="n">
        <v>46325</v>
      </c>
      <c r="D75" s="14" t="n">
        <v>0.96875</v>
      </c>
      <c r="E75" s="37" t="n">
        <v>1</v>
      </c>
      <c r="F75" s="37" t="n">
        <v>0</v>
      </c>
      <c r="G75" s="37" t="n">
        <v>0</v>
      </c>
      <c r="H75" s="37" t="n">
        <v>1</v>
      </c>
      <c r="I75" s="37" t="n">
        <v>0</v>
      </c>
      <c r="J75" s="37" t="n">
        <v>4</v>
      </c>
      <c r="K75" s="16" t="n">
        <v>48</v>
      </c>
    </row>
    <row r="76">
      <c r="A76" s="30" t="n">
        <v>46303.42916666667</v>
      </c>
      <c r="B76" s="30" t="n">
        <v>46303.47013888889</v>
      </c>
      <c r="C76" s="9" t="n">
        <v>46319</v>
      </c>
      <c r="D76" s="10" t="n">
        <v>0.96875</v>
      </c>
      <c r="E76" s="36" t="n">
        <v>1</v>
      </c>
      <c r="F76" s="36" t="n">
        <v>0</v>
      </c>
      <c r="G76" s="36" t="n">
        <v>0</v>
      </c>
      <c r="H76" s="36" t="n">
        <v>0</v>
      </c>
      <c r="I76" s="36" t="n">
        <v>1</v>
      </c>
      <c r="J76" s="36" t="n">
        <v>5</v>
      </c>
      <c r="K76" s="12" t="n">
        <v>60</v>
      </c>
    </row>
    <row r="77">
      <c r="A77" s="33" t="n">
        <v>46303.42916666667</v>
      </c>
      <c r="B77" s="33" t="n">
        <v>46303.47013888889</v>
      </c>
      <c r="C77" s="13" t="n">
        <v>46320</v>
      </c>
      <c r="D77" s="14" t="n">
        <v>0.8854166666666666</v>
      </c>
      <c r="E77" s="37" t="n">
        <v>1</v>
      </c>
      <c r="F77" s="37" t="n">
        <v>0</v>
      </c>
      <c r="G77" s="37" t="n">
        <v>0</v>
      </c>
      <c r="H77" s="37" t="n">
        <v>1</v>
      </c>
      <c r="I77" s="37" t="n">
        <v>0</v>
      </c>
      <c r="J77" s="37" t="n">
        <v>4</v>
      </c>
      <c r="K77" s="16" t="n">
        <v>48</v>
      </c>
    </row>
    <row r="78">
      <c r="A78" s="30" t="n">
        <v>46303.47013888889</v>
      </c>
      <c r="B78" s="30" t="n">
        <v>46303.51527777778</v>
      </c>
      <c r="C78" s="9" t="n">
        <v>46318</v>
      </c>
      <c r="D78" s="10" t="n">
        <v>0.8854166666666666</v>
      </c>
      <c r="E78" s="36" t="n">
        <v>1</v>
      </c>
      <c r="F78" s="36" t="n">
        <v>0</v>
      </c>
      <c r="G78" s="36" t="n">
        <v>0</v>
      </c>
      <c r="H78" s="36" t="n">
        <v>1</v>
      </c>
      <c r="I78" s="36" t="n">
        <v>0</v>
      </c>
      <c r="J78" s="36" t="n">
        <v>4</v>
      </c>
      <c r="K78" s="12" t="n">
        <v>48</v>
      </c>
    </row>
    <row r="79">
      <c r="A79" s="33" t="n">
        <v>46303.47013888889</v>
      </c>
      <c r="B79" s="33" t="n">
        <v>46303.51527777778</v>
      </c>
      <c r="C79" s="13" t="n">
        <v>46324</v>
      </c>
      <c r="D79" s="14" t="n">
        <v>0.84375</v>
      </c>
      <c r="E79" s="37" t="n">
        <v>1</v>
      </c>
      <c r="F79" s="37" t="n">
        <v>1</v>
      </c>
      <c r="G79" s="37" t="n">
        <v>0</v>
      </c>
      <c r="H79" s="37" t="n">
        <v>0</v>
      </c>
      <c r="I79" s="37" t="n">
        <v>0</v>
      </c>
      <c r="J79" s="37" t="n">
        <v>2</v>
      </c>
      <c r="K79" s="16" t="n">
        <v>24</v>
      </c>
    </row>
    <row r="80">
      <c r="A80" s="30" t="n">
        <v>46303.47013888889</v>
      </c>
      <c r="B80" s="30" t="n">
        <v>46303.51527777778</v>
      </c>
      <c r="C80" s="9" t="n">
        <v>46326</v>
      </c>
      <c r="D80" s="10" t="n">
        <v>0.9270833333333334</v>
      </c>
      <c r="E80" s="36" t="n">
        <v>1</v>
      </c>
      <c r="F80" s="36" t="n">
        <v>0</v>
      </c>
      <c r="G80" s="36" t="n">
        <v>0</v>
      </c>
      <c r="H80" s="36" t="n">
        <v>1</v>
      </c>
      <c r="I80" s="36" t="n">
        <v>0</v>
      </c>
      <c r="J80" s="36" t="n">
        <v>4</v>
      </c>
      <c r="K80" s="12" t="n">
        <v>48</v>
      </c>
    </row>
    <row r="81">
      <c r="A81" s="33" t="n">
        <v>46303.51527777778</v>
      </c>
      <c r="B81" s="33" t="n">
        <v>46303.55277777778</v>
      </c>
      <c r="C81" s="13" t="n">
        <v>46318</v>
      </c>
      <c r="D81" s="14" t="n">
        <v>0.8854166666666666</v>
      </c>
      <c r="E81" s="37" t="n">
        <v>1</v>
      </c>
      <c r="F81" s="37" t="n">
        <v>1</v>
      </c>
      <c r="G81" s="37" t="n">
        <v>0</v>
      </c>
      <c r="H81" s="37" t="n">
        <v>0</v>
      </c>
      <c r="I81" s="37" t="n">
        <v>0</v>
      </c>
      <c r="J81" s="37" t="n">
        <v>2</v>
      </c>
      <c r="K81" s="16" t="n">
        <v>24</v>
      </c>
    </row>
    <row r="82">
      <c r="A82" s="30" t="n">
        <v>46303.51527777778</v>
      </c>
      <c r="B82" s="30" t="n">
        <v>46303.55277777778</v>
      </c>
      <c r="C82" s="9" t="n">
        <v>46318</v>
      </c>
      <c r="D82" s="10" t="n">
        <v>0.96875</v>
      </c>
      <c r="E82" s="36" t="n">
        <v>1</v>
      </c>
      <c r="F82" s="36" t="n">
        <v>0</v>
      </c>
      <c r="G82" s="36" t="n">
        <v>1</v>
      </c>
      <c r="H82" s="36" t="n">
        <v>0</v>
      </c>
      <c r="I82" s="36" t="n">
        <v>0</v>
      </c>
      <c r="J82" s="36" t="n">
        <v>3</v>
      </c>
      <c r="K82" s="12" t="n">
        <v>36</v>
      </c>
    </row>
    <row r="83">
      <c r="A83" s="33" t="n">
        <v>46303.51527777778</v>
      </c>
      <c r="B83" s="33" t="n">
        <v>46303.55277777778</v>
      </c>
      <c r="C83" s="13" t="n">
        <v>46320</v>
      </c>
      <c r="D83" s="14" t="n">
        <v>0.9993055555555556</v>
      </c>
      <c r="E83" s="37" t="n">
        <v>1</v>
      </c>
      <c r="F83" s="37" t="n">
        <v>1</v>
      </c>
      <c r="G83" s="37" t="n">
        <v>0</v>
      </c>
      <c r="H83" s="37" t="n">
        <v>0</v>
      </c>
      <c r="I83" s="37" t="n">
        <v>0</v>
      </c>
      <c r="J83" s="37" t="n">
        <v>2</v>
      </c>
      <c r="K83" s="16" t="n">
        <v>24</v>
      </c>
    </row>
    <row r="84">
      <c r="A84" s="30" t="n">
        <v>46303.59791666667</v>
      </c>
      <c r="B84" s="30" t="n">
        <v>46303.62291666667</v>
      </c>
      <c r="C84" s="9" t="n">
        <v>46325</v>
      </c>
      <c r="D84" s="10" t="n">
        <v>0.96875</v>
      </c>
      <c r="E84" s="36" t="n">
        <v>1</v>
      </c>
      <c r="F84" s="36" t="n">
        <v>1</v>
      </c>
      <c r="G84" s="36" t="n">
        <v>0</v>
      </c>
      <c r="H84" s="36" t="n">
        <v>0</v>
      </c>
      <c r="I84" s="36" t="n">
        <v>0</v>
      </c>
      <c r="J84" s="36" t="n">
        <v>2</v>
      </c>
      <c r="K84" s="12" t="n">
        <v>24</v>
      </c>
    </row>
    <row r="85">
      <c r="A85" s="33" t="n">
        <v>46303.69722222222</v>
      </c>
      <c r="B85" s="33" t="n">
        <v>46303.72013888889</v>
      </c>
      <c r="C85" s="13" t="n">
        <v>46318</v>
      </c>
      <c r="D85" s="14" t="n">
        <v>0.96875</v>
      </c>
      <c r="E85" s="37" t="n">
        <v>1</v>
      </c>
      <c r="F85" s="37" t="n">
        <v>1</v>
      </c>
      <c r="G85" s="37" t="n">
        <v>0</v>
      </c>
      <c r="H85" s="37" t="n">
        <v>0</v>
      </c>
      <c r="I85" s="37" t="n">
        <v>0</v>
      </c>
      <c r="J85" s="37" t="n">
        <v>2</v>
      </c>
      <c r="K85" s="16" t="n">
        <v>24</v>
      </c>
    </row>
    <row r="86">
      <c r="A86" s="30" t="n">
        <v>46303.72013888889</v>
      </c>
      <c r="B86" s="30" t="n">
        <v>46303.75416666667</v>
      </c>
      <c r="C86" s="9" t="n">
        <v>46318</v>
      </c>
      <c r="D86" s="10" t="n">
        <v>0.9270833333333334</v>
      </c>
      <c r="E86" s="36" t="n">
        <v>1</v>
      </c>
      <c r="F86" s="36" t="n">
        <v>0</v>
      </c>
      <c r="G86" s="36" t="n">
        <v>0</v>
      </c>
      <c r="H86" s="36" t="n">
        <v>0</v>
      </c>
      <c r="I86" s="36" t="n">
        <v>1</v>
      </c>
      <c r="J86" s="36" t="n">
        <v>5</v>
      </c>
      <c r="K86" s="12" t="n">
        <v>60</v>
      </c>
    </row>
    <row r="87">
      <c r="A87" s="33" t="n">
        <v>46303.72013888889</v>
      </c>
      <c r="B87" s="33" t="n">
        <v>46303.75416666667</v>
      </c>
      <c r="C87" s="13" t="n">
        <v>46320</v>
      </c>
      <c r="D87" s="14" t="n">
        <v>0.8854166666666666</v>
      </c>
      <c r="E87" s="37" t="n">
        <v>1</v>
      </c>
      <c r="F87" s="37" t="n">
        <v>0</v>
      </c>
      <c r="G87" s="37" t="n">
        <v>0</v>
      </c>
      <c r="H87" s="37" t="n">
        <v>1</v>
      </c>
      <c r="I87" s="37" t="n">
        <v>0</v>
      </c>
      <c r="J87" s="37" t="n">
        <v>4</v>
      </c>
      <c r="K87" s="16" t="n">
        <v>48</v>
      </c>
    </row>
    <row r="88">
      <c r="A88" s="30" t="n">
        <v>46303.72013888889</v>
      </c>
      <c r="B88" s="30" t="n">
        <v>46303.75416666667</v>
      </c>
      <c r="C88" s="9" t="n">
        <v>46324</v>
      </c>
      <c r="D88" s="10" t="n">
        <v>0.96875</v>
      </c>
      <c r="E88" s="36" t="n">
        <v>1</v>
      </c>
      <c r="F88" s="36" t="n">
        <v>0</v>
      </c>
      <c r="G88" s="36" t="n">
        <v>0</v>
      </c>
      <c r="H88" s="36" t="n">
        <v>1</v>
      </c>
      <c r="I88" s="36" t="n">
        <v>0</v>
      </c>
      <c r="J88" s="36" t="n">
        <v>4</v>
      </c>
      <c r="K88" s="12" t="n">
        <v>48</v>
      </c>
    </row>
    <row r="89">
      <c r="A89" s="33" t="n">
        <v>46303.78680555556</v>
      </c>
      <c r="B89" s="33" t="n">
        <v>46303.80277777778</v>
      </c>
      <c r="C89" s="13" t="n">
        <v>46318</v>
      </c>
      <c r="D89" s="14" t="n">
        <v>0.96875</v>
      </c>
      <c r="E89" s="37" t="n">
        <v>1</v>
      </c>
      <c r="F89" s="37" t="n">
        <v>0</v>
      </c>
      <c r="G89" s="37" t="n">
        <v>1</v>
      </c>
      <c r="H89" s="37" t="n">
        <v>0</v>
      </c>
      <c r="I89" s="37" t="n">
        <v>0</v>
      </c>
      <c r="J89" s="37" t="n">
        <v>3</v>
      </c>
      <c r="K89" s="16" t="n">
        <v>36</v>
      </c>
    </row>
    <row r="90">
      <c r="A90" s="30" t="n">
        <v>46303.78680555556</v>
      </c>
      <c r="B90" s="30" t="n">
        <v>46303.80277777778</v>
      </c>
      <c r="C90" s="9" t="n">
        <v>46319</v>
      </c>
      <c r="D90" s="10" t="n">
        <v>0.9270833333333334</v>
      </c>
      <c r="E90" s="36" t="n">
        <v>1</v>
      </c>
      <c r="F90" s="36" t="n">
        <v>0</v>
      </c>
      <c r="G90" s="36" t="n">
        <v>0</v>
      </c>
      <c r="H90" s="36" t="n">
        <v>1</v>
      </c>
      <c r="I90" s="36" t="n">
        <v>0</v>
      </c>
      <c r="J90" s="36" t="n">
        <v>4</v>
      </c>
      <c r="K90" s="12" t="n">
        <v>48</v>
      </c>
    </row>
    <row r="91">
      <c r="A91" s="33" t="n">
        <v>46303.81805555556</v>
      </c>
      <c r="B91" s="33" t="n">
        <v>46303.84583333333</v>
      </c>
      <c r="C91" s="13" t="n">
        <v>46326</v>
      </c>
      <c r="D91" s="14" t="n">
        <v>0.84375</v>
      </c>
      <c r="E91" s="37" t="n">
        <v>1</v>
      </c>
      <c r="F91" s="37" t="n">
        <v>0</v>
      </c>
      <c r="G91" s="37" t="n">
        <v>0</v>
      </c>
      <c r="H91" s="37" t="n">
        <v>0</v>
      </c>
      <c r="I91" s="37" t="n">
        <v>1</v>
      </c>
      <c r="J91" s="37" t="n">
        <v>5</v>
      </c>
      <c r="K91" s="16" t="n">
        <v>60</v>
      </c>
    </row>
    <row r="92">
      <c r="A92" s="30" t="n">
        <v>46303.84583333333</v>
      </c>
      <c r="B92" s="30" t="n">
        <v>46303.85694444444</v>
      </c>
      <c r="C92" s="9" t="n">
        <v>46318</v>
      </c>
      <c r="D92" s="10" t="n">
        <v>0.9270833333333334</v>
      </c>
      <c r="E92" s="36" t="n">
        <v>1</v>
      </c>
      <c r="F92" s="36" t="n">
        <v>0</v>
      </c>
      <c r="G92" s="36" t="n">
        <v>0</v>
      </c>
      <c r="H92" s="36" t="n">
        <v>1</v>
      </c>
      <c r="I92" s="36" t="n">
        <v>0</v>
      </c>
      <c r="J92" s="36" t="n">
        <v>4</v>
      </c>
      <c r="K92" s="12" t="n">
        <v>48</v>
      </c>
    </row>
    <row r="93">
      <c r="A93" s="33" t="n">
        <v>46303.85694444444</v>
      </c>
      <c r="B93" s="33" t="n">
        <v>46303.88611111111</v>
      </c>
      <c r="C93" s="13" t="n">
        <v>46318</v>
      </c>
      <c r="D93" s="14" t="n">
        <v>0.9270833333333334</v>
      </c>
      <c r="E93" s="37" t="n">
        <v>1</v>
      </c>
      <c r="F93" s="37" t="n">
        <v>1</v>
      </c>
      <c r="G93" s="37" t="n">
        <v>0</v>
      </c>
      <c r="H93" s="37" t="n">
        <v>0</v>
      </c>
      <c r="I93" s="37" t="n">
        <v>0</v>
      </c>
      <c r="J93" s="37" t="n">
        <v>2</v>
      </c>
      <c r="K93" s="16" t="n">
        <v>24</v>
      </c>
    </row>
    <row r="94">
      <c r="A94" s="30" t="n">
        <v>46303.85694444444</v>
      </c>
      <c r="B94" s="30" t="n">
        <v>46303.88611111111</v>
      </c>
      <c r="C94" s="9" t="n">
        <v>46318</v>
      </c>
      <c r="D94" s="10" t="n">
        <v>0.96875</v>
      </c>
      <c r="E94" s="36" t="n">
        <v>1</v>
      </c>
      <c r="F94" s="36" t="n">
        <v>1</v>
      </c>
      <c r="G94" s="36" t="n">
        <v>0</v>
      </c>
      <c r="H94" s="36" t="n">
        <v>0</v>
      </c>
      <c r="I94" s="36" t="n">
        <v>0</v>
      </c>
      <c r="J94" s="36" t="n">
        <v>2</v>
      </c>
      <c r="K94" s="12" t="n">
        <v>24</v>
      </c>
    </row>
    <row r="95">
      <c r="A95" s="33" t="n">
        <v>46303.88611111111</v>
      </c>
      <c r="B95" s="33" t="n">
        <v>46303.90555555555</v>
      </c>
      <c r="C95" s="13" t="n">
        <v>46318</v>
      </c>
      <c r="D95" s="14" t="n">
        <v>0.9986111111111111</v>
      </c>
      <c r="E95" s="37" t="n">
        <v>2</v>
      </c>
      <c r="F95" s="37" t="n">
        <v>0</v>
      </c>
      <c r="G95" s="37" t="n">
        <v>2</v>
      </c>
      <c r="H95" s="37" t="n">
        <v>0</v>
      </c>
      <c r="I95" s="37" t="n">
        <v>0</v>
      </c>
      <c r="J95" s="37" t="n">
        <v>6</v>
      </c>
      <c r="K95" s="16" t="n">
        <v>72</v>
      </c>
    </row>
    <row r="96">
      <c r="A96" s="30" t="n">
        <v>46303.88611111111</v>
      </c>
      <c r="B96" s="30" t="n">
        <v>46303.90555555555</v>
      </c>
      <c r="C96" s="9" t="n">
        <v>46324</v>
      </c>
      <c r="D96" s="10" t="n">
        <v>0.9270833333333334</v>
      </c>
      <c r="E96" s="36" t="n">
        <v>1</v>
      </c>
      <c r="F96" s="36" t="n">
        <v>1</v>
      </c>
      <c r="G96" s="36" t="n">
        <v>0</v>
      </c>
      <c r="H96" s="36" t="n">
        <v>0</v>
      </c>
      <c r="I96" s="36" t="n">
        <v>0</v>
      </c>
      <c r="J96" s="36" t="n">
        <v>2</v>
      </c>
      <c r="K96" s="12" t="n">
        <v>24</v>
      </c>
    </row>
    <row r="97">
      <c r="A97" s="33" t="n">
        <v>46303.88611111111</v>
      </c>
      <c r="B97" s="33" t="n">
        <v>46303.90555555555</v>
      </c>
      <c r="C97" s="13" t="n">
        <v>46324</v>
      </c>
      <c r="D97" s="14" t="n">
        <v>0.96875</v>
      </c>
      <c r="E97" s="37" t="n">
        <v>2</v>
      </c>
      <c r="F97" s="37" t="n">
        <v>0</v>
      </c>
      <c r="G97" s="37" t="n">
        <v>0</v>
      </c>
      <c r="H97" s="37" t="n">
        <v>1</v>
      </c>
      <c r="I97" s="37" t="n">
        <v>1</v>
      </c>
      <c r="J97" s="37" t="n">
        <v>9</v>
      </c>
      <c r="K97" s="16" t="n">
        <v>108</v>
      </c>
    </row>
    <row r="98">
      <c r="A98" s="30" t="n">
        <v>46303.88611111111</v>
      </c>
      <c r="B98" s="30" t="n">
        <v>46303.90555555555</v>
      </c>
      <c r="C98" s="9" t="n">
        <v>46326</v>
      </c>
      <c r="D98" s="10" t="n">
        <v>0.9270833333333334</v>
      </c>
      <c r="E98" s="36" t="n">
        <v>1</v>
      </c>
      <c r="F98" s="36" t="n">
        <v>0</v>
      </c>
      <c r="G98" s="36" t="n">
        <v>0</v>
      </c>
      <c r="H98" s="36" t="n">
        <v>1</v>
      </c>
      <c r="I98" s="36" t="n">
        <v>0</v>
      </c>
      <c r="J98" s="36" t="n">
        <v>4</v>
      </c>
      <c r="K98" s="12" t="n">
        <v>48</v>
      </c>
    </row>
    <row r="99">
      <c r="A99" s="33" t="n">
        <v>46303.90555555555</v>
      </c>
      <c r="B99" s="33" t="n">
        <v>46303.92847222222</v>
      </c>
      <c r="C99" s="13" t="n">
        <v>46319</v>
      </c>
      <c r="D99" s="14" t="n">
        <v>0.9270833333333334</v>
      </c>
      <c r="E99" s="37" t="n">
        <v>1</v>
      </c>
      <c r="F99" s="37" t="n">
        <v>1</v>
      </c>
      <c r="G99" s="37" t="n">
        <v>0</v>
      </c>
      <c r="H99" s="37" t="n">
        <v>0</v>
      </c>
      <c r="I99" s="37" t="n">
        <v>0</v>
      </c>
      <c r="J99" s="37" t="n">
        <v>2</v>
      </c>
      <c r="K99" s="16" t="n">
        <v>24</v>
      </c>
    </row>
    <row r="100">
      <c r="A100" s="30" t="n">
        <v>46303.90555555555</v>
      </c>
      <c r="B100" s="30" t="n">
        <v>46303.92847222222</v>
      </c>
      <c r="C100" s="9" t="n">
        <v>46325</v>
      </c>
      <c r="D100" s="10" t="n">
        <v>0.9993055555555556</v>
      </c>
      <c r="E100" s="36" t="n">
        <v>1</v>
      </c>
      <c r="F100" s="36" t="n">
        <v>1</v>
      </c>
      <c r="G100" s="36" t="n">
        <v>0</v>
      </c>
      <c r="H100" s="36" t="n">
        <v>0</v>
      </c>
      <c r="I100" s="36" t="n">
        <v>0</v>
      </c>
      <c r="J100" s="36" t="n">
        <v>2</v>
      </c>
      <c r="K100" s="12" t="n">
        <v>24</v>
      </c>
    </row>
    <row r="101">
      <c r="A101" s="33" t="n">
        <v>46303.90555555555</v>
      </c>
      <c r="B101" s="33" t="n">
        <v>46303.92847222222</v>
      </c>
      <c r="C101" s="13" t="n">
        <v>46327</v>
      </c>
      <c r="D101" s="14" t="n">
        <v>0.84375</v>
      </c>
      <c r="E101" s="37" t="n">
        <v>1</v>
      </c>
      <c r="F101" s="37" t="n">
        <v>0</v>
      </c>
      <c r="G101" s="37" t="n">
        <v>0</v>
      </c>
      <c r="H101" s="37" t="n">
        <v>1</v>
      </c>
      <c r="I101" s="37" t="n">
        <v>0</v>
      </c>
      <c r="J101" s="37" t="n">
        <v>4</v>
      </c>
      <c r="K101" s="16" t="n">
        <v>48</v>
      </c>
    </row>
    <row r="102">
      <c r="A102" s="30" t="n">
        <v>46303.92847222222</v>
      </c>
      <c r="B102" s="30" t="n">
        <v>46303.95555555556</v>
      </c>
      <c r="C102" s="9" t="n">
        <v>46318</v>
      </c>
      <c r="D102" s="10" t="n">
        <v>0.9270833333333334</v>
      </c>
      <c r="E102" s="36" t="n">
        <v>1</v>
      </c>
      <c r="F102" s="36" t="n">
        <v>1</v>
      </c>
      <c r="G102" s="36" t="n">
        <v>0</v>
      </c>
      <c r="H102" s="36" t="n">
        <v>0</v>
      </c>
      <c r="I102" s="36" t="n">
        <v>0</v>
      </c>
      <c r="J102" s="36" t="n">
        <v>2</v>
      </c>
      <c r="K102" s="12" t="n">
        <v>24</v>
      </c>
    </row>
    <row r="103">
      <c r="A103" s="33" t="n">
        <v>46303.92847222222</v>
      </c>
      <c r="B103" s="33" t="n">
        <v>46303.95555555556</v>
      </c>
      <c r="C103" s="13" t="n">
        <v>46318</v>
      </c>
      <c r="D103" s="14" t="n">
        <v>0.96875</v>
      </c>
      <c r="E103" s="37" t="n">
        <v>1</v>
      </c>
      <c r="F103" s="37" t="n">
        <v>0</v>
      </c>
      <c r="G103" s="37" t="n">
        <v>0</v>
      </c>
      <c r="H103" s="37" t="n">
        <v>1</v>
      </c>
      <c r="I103" s="37" t="n">
        <v>0</v>
      </c>
      <c r="J103" s="37" t="n">
        <v>4</v>
      </c>
      <c r="K103" s="16" t="n">
        <v>48</v>
      </c>
    </row>
    <row r="104">
      <c r="A104" s="30" t="n">
        <v>46303.95555555556</v>
      </c>
      <c r="B104" s="30" t="n">
        <v>46303.96944444445</v>
      </c>
      <c r="C104" s="9" t="n">
        <v>46318</v>
      </c>
      <c r="D104" s="10" t="n">
        <v>0.96875</v>
      </c>
      <c r="E104" s="36" t="n">
        <v>-1</v>
      </c>
      <c r="F104" s="36" t="n">
        <v>0</v>
      </c>
      <c r="G104" s="36" t="n">
        <v>0</v>
      </c>
      <c r="H104" s="36" t="n">
        <v>-1</v>
      </c>
      <c r="I104" s="36" t="n">
        <v>0</v>
      </c>
      <c r="J104" s="36" t="n">
        <v>-4</v>
      </c>
      <c r="K104" s="12" t="n">
        <v>-48</v>
      </c>
    </row>
    <row r="105">
      <c r="A105" s="33" t="n">
        <v>46303.95555555556</v>
      </c>
      <c r="B105" s="33" t="n">
        <v>46303.96944444445</v>
      </c>
      <c r="C105" s="13" t="n">
        <v>46324</v>
      </c>
      <c r="D105" s="14" t="n">
        <v>0.9270833333333334</v>
      </c>
      <c r="E105" s="37" t="n">
        <v>1</v>
      </c>
      <c r="F105" s="37" t="n">
        <v>0</v>
      </c>
      <c r="G105" s="37" t="n">
        <v>0</v>
      </c>
      <c r="H105" s="37" t="n">
        <v>1</v>
      </c>
      <c r="I105" s="37" t="n">
        <v>0</v>
      </c>
      <c r="J105" s="37" t="n">
        <v>4</v>
      </c>
      <c r="K105" s="16" t="n">
        <v>48</v>
      </c>
    </row>
    <row r="106">
      <c r="A106" s="30" t="n">
        <v>46303.96944444445</v>
      </c>
      <c r="B106" s="30" t="n">
        <v>46303.99236111111</v>
      </c>
      <c r="C106" s="9" t="n">
        <v>46324</v>
      </c>
      <c r="D106" s="10" t="n">
        <v>0.9270833333333334</v>
      </c>
      <c r="E106" s="36" t="n">
        <v>1</v>
      </c>
      <c r="F106" s="36" t="n">
        <v>1</v>
      </c>
      <c r="G106" s="36" t="n">
        <v>0</v>
      </c>
      <c r="H106" s="36" t="n">
        <v>0</v>
      </c>
      <c r="I106" s="36" t="n">
        <v>0</v>
      </c>
      <c r="J106" s="36" t="n">
        <v>2</v>
      </c>
      <c r="K106" s="12" t="n">
        <v>24</v>
      </c>
    </row>
    <row r="107">
      <c r="A107" s="33" t="n">
        <v>46303.99930555555</v>
      </c>
      <c r="B107" s="33" t="n">
        <v>46304.01041666666</v>
      </c>
      <c r="C107" s="13" t="n">
        <v>46318</v>
      </c>
      <c r="D107" s="14" t="n">
        <v>0.9270833333333334</v>
      </c>
      <c r="E107" s="37" t="n">
        <v>1</v>
      </c>
      <c r="F107" s="37" t="n">
        <v>0</v>
      </c>
      <c r="G107" s="37" t="n">
        <v>0</v>
      </c>
      <c r="H107" s="37" t="n">
        <v>1</v>
      </c>
      <c r="I107" s="37" t="n">
        <v>0</v>
      </c>
      <c r="J107" s="37" t="n">
        <v>4</v>
      </c>
      <c r="K107" s="16" t="n">
        <v>48</v>
      </c>
    </row>
    <row r="108">
      <c r="A108" s="30" t="n">
        <v>46304.30208333334</v>
      </c>
      <c r="B108" s="30" t="n">
        <v>46304.34791666667</v>
      </c>
      <c r="C108" s="9" t="n">
        <v>46318</v>
      </c>
      <c r="D108" s="10" t="n">
        <v>0.9270833333333334</v>
      </c>
      <c r="E108" s="36" t="n">
        <v>1</v>
      </c>
      <c r="F108" s="36" t="n">
        <v>0</v>
      </c>
      <c r="G108" s="36" t="n">
        <v>0</v>
      </c>
      <c r="H108" s="36" t="n">
        <v>1</v>
      </c>
      <c r="I108" s="36" t="n">
        <v>0</v>
      </c>
      <c r="J108" s="36" t="n">
        <v>4</v>
      </c>
      <c r="K108" s="12" t="n">
        <v>48</v>
      </c>
    </row>
    <row r="109">
      <c r="A109" s="33" t="n">
        <v>46304.47083333333</v>
      </c>
      <c r="B109" s="33" t="n">
        <v>46304.51180555556</v>
      </c>
      <c r="C109" s="13" t="n">
        <v>46326</v>
      </c>
      <c r="D109" s="14" t="n">
        <v>0.9270833333333334</v>
      </c>
      <c r="E109" s="37" t="n">
        <v>1</v>
      </c>
      <c r="F109" s="37" t="n">
        <v>1</v>
      </c>
      <c r="G109" s="37" t="n">
        <v>0</v>
      </c>
      <c r="H109" s="37" t="n">
        <v>0</v>
      </c>
      <c r="I109" s="37" t="n">
        <v>0</v>
      </c>
      <c r="J109" s="37" t="n">
        <v>2</v>
      </c>
      <c r="K109" s="16" t="n">
        <v>24</v>
      </c>
    </row>
    <row r="110">
      <c r="A110" s="30" t="n">
        <v>46304.54305555556</v>
      </c>
      <c r="B110" s="30" t="n">
        <v>46304.55277777778</v>
      </c>
      <c r="C110" s="9" t="n">
        <v>46318</v>
      </c>
      <c r="D110" s="10" t="n">
        <v>0.96875</v>
      </c>
      <c r="E110" s="36" t="n">
        <v>1</v>
      </c>
      <c r="F110" s="36" t="n">
        <v>0</v>
      </c>
      <c r="G110" s="36" t="n">
        <v>0</v>
      </c>
      <c r="H110" s="36" t="n">
        <v>1</v>
      </c>
      <c r="I110" s="36" t="n">
        <v>0</v>
      </c>
      <c r="J110" s="36" t="n">
        <v>4</v>
      </c>
      <c r="K110" s="12" t="n">
        <v>48</v>
      </c>
    </row>
    <row r="111">
      <c r="A111" s="33" t="n">
        <v>46304.55277777778</v>
      </c>
      <c r="B111" s="33" t="n">
        <v>46304.59652777778</v>
      </c>
      <c r="C111" s="13" t="n">
        <v>46318</v>
      </c>
      <c r="D111" s="14" t="n">
        <v>0.96875</v>
      </c>
      <c r="E111" s="37" t="n">
        <v>1</v>
      </c>
      <c r="F111" s="37" t="n">
        <v>1</v>
      </c>
      <c r="G111" s="37" t="n">
        <v>0</v>
      </c>
      <c r="H111" s="37" t="n">
        <v>0</v>
      </c>
      <c r="I111" s="37" t="n">
        <v>0</v>
      </c>
      <c r="J111" s="37" t="n">
        <v>2</v>
      </c>
      <c r="K111" s="16" t="n">
        <v>24</v>
      </c>
    </row>
    <row r="112">
      <c r="A112" s="30" t="n">
        <v>46304.59652777778</v>
      </c>
      <c r="B112" s="30" t="n">
        <v>46304.62291666667</v>
      </c>
      <c r="C112" s="9" t="n">
        <v>46318</v>
      </c>
      <c r="D112" s="10" t="n">
        <v>0.9986111111111111</v>
      </c>
      <c r="E112" s="36" t="n">
        <v>-1</v>
      </c>
      <c r="F112" s="36" t="n">
        <v>0</v>
      </c>
      <c r="G112" s="36" t="n">
        <v>-1</v>
      </c>
      <c r="H112" s="36" t="n">
        <v>0</v>
      </c>
      <c r="I112" s="36" t="n">
        <v>0</v>
      </c>
      <c r="J112" s="36" t="n">
        <v>-3</v>
      </c>
      <c r="K112" s="12" t="n">
        <v>-36</v>
      </c>
    </row>
    <row r="113">
      <c r="A113" s="33" t="n">
        <v>46304.59652777778</v>
      </c>
      <c r="B113" s="33" t="n">
        <v>46304.62291666667</v>
      </c>
      <c r="C113" s="13" t="n">
        <v>46319</v>
      </c>
      <c r="D113" s="14" t="n">
        <v>0.84375</v>
      </c>
      <c r="E113" s="37" t="n">
        <v>1</v>
      </c>
      <c r="F113" s="37" t="n">
        <v>1</v>
      </c>
      <c r="G113" s="37" t="n">
        <v>0</v>
      </c>
      <c r="H113" s="37" t="n">
        <v>0</v>
      </c>
      <c r="I113" s="37" t="n">
        <v>0</v>
      </c>
      <c r="J113" s="37" t="n">
        <v>2</v>
      </c>
      <c r="K113" s="16" t="n">
        <v>24</v>
      </c>
    </row>
    <row r="114">
      <c r="A114" s="30" t="n">
        <v>46304.62291666667</v>
      </c>
      <c r="B114" s="30" t="n">
        <v>46304.64097222222</v>
      </c>
      <c r="C114" s="9" t="n">
        <v>46319</v>
      </c>
      <c r="D114" s="10" t="n">
        <v>0.96875</v>
      </c>
      <c r="E114" s="36" t="n">
        <v>1</v>
      </c>
      <c r="F114" s="36" t="n">
        <v>1</v>
      </c>
      <c r="G114" s="36" t="n">
        <v>0</v>
      </c>
      <c r="H114" s="36" t="n">
        <v>0</v>
      </c>
      <c r="I114" s="36" t="n">
        <v>0</v>
      </c>
      <c r="J114" s="36" t="n">
        <v>2</v>
      </c>
      <c r="K114" s="12" t="n">
        <v>24</v>
      </c>
    </row>
    <row r="115">
      <c r="A115" s="33" t="n">
        <v>46304.64097222222</v>
      </c>
      <c r="B115" s="33" t="n">
        <v>46304.67986111111</v>
      </c>
      <c r="C115" s="13" t="n">
        <v>46326</v>
      </c>
      <c r="D115" s="14" t="n">
        <v>0.96875</v>
      </c>
      <c r="E115" s="37" t="n">
        <v>1</v>
      </c>
      <c r="F115" s="37" t="n">
        <v>0</v>
      </c>
      <c r="G115" s="37" t="n">
        <v>0</v>
      </c>
      <c r="H115" s="37" t="n">
        <v>1</v>
      </c>
      <c r="I115" s="37" t="n">
        <v>0</v>
      </c>
      <c r="J115" s="37" t="n">
        <v>4</v>
      </c>
      <c r="K115" s="16" t="n">
        <v>48</v>
      </c>
    </row>
    <row r="116">
      <c r="A116" s="30" t="n">
        <v>46304.71944444445</v>
      </c>
      <c r="B116" s="30" t="n">
        <v>46304.75347222222</v>
      </c>
      <c r="C116" s="9" t="n">
        <v>46318</v>
      </c>
      <c r="D116" s="10" t="n">
        <v>0.8854166666666666</v>
      </c>
      <c r="E116" s="36" t="n">
        <v>1</v>
      </c>
      <c r="F116" s="36" t="n">
        <v>0</v>
      </c>
      <c r="G116" s="36" t="n">
        <v>1</v>
      </c>
      <c r="H116" s="36" t="n">
        <v>0</v>
      </c>
      <c r="I116" s="36" t="n">
        <v>0</v>
      </c>
      <c r="J116" s="36" t="n">
        <v>3</v>
      </c>
      <c r="K116" s="12" t="n">
        <v>36</v>
      </c>
    </row>
    <row r="117">
      <c r="A117" s="33" t="n">
        <v>46304.71944444445</v>
      </c>
      <c r="B117" s="33" t="n">
        <v>46304.75347222222</v>
      </c>
      <c r="C117" s="13" t="n">
        <v>46325</v>
      </c>
      <c r="D117" s="14" t="n">
        <v>0.9993055555555556</v>
      </c>
      <c r="E117" s="37" t="n">
        <v>2</v>
      </c>
      <c r="F117" s="37" t="n">
        <v>2</v>
      </c>
      <c r="G117" s="37" t="n">
        <v>0</v>
      </c>
      <c r="H117" s="37" t="n">
        <v>0</v>
      </c>
      <c r="I117" s="37" t="n">
        <v>0</v>
      </c>
      <c r="J117" s="37" t="n">
        <v>4</v>
      </c>
      <c r="K117" s="16" t="n">
        <v>48</v>
      </c>
    </row>
    <row r="118">
      <c r="A118" s="30" t="n">
        <v>46304.79513888889</v>
      </c>
      <c r="B118" s="30" t="n">
        <v>46304.80138888889</v>
      </c>
      <c r="C118" s="9" t="n">
        <v>46325</v>
      </c>
      <c r="D118" s="10" t="n">
        <v>0.96875</v>
      </c>
      <c r="E118" s="36" t="n">
        <v>1</v>
      </c>
      <c r="F118" s="36" t="n">
        <v>1</v>
      </c>
      <c r="G118" s="36" t="n">
        <v>0</v>
      </c>
      <c r="H118" s="36" t="n">
        <v>0</v>
      </c>
      <c r="I118" s="36" t="n">
        <v>0</v>
      </c>
      <c r="J118" s="36" t="n">
        <v>2</v>
      </c>
      <c r="K118" s="12" t="n">
        <v>24</v>
      </c>
    </row>
    <row r="119">
      <c r="A119" s="33" t="n">
        <v>46304.80138888889</v>
      </c>
      <c r="B119" s="33" t="n">
        <v>46304.81944444445</v>
      </c>
      <c r="C119" s="13" t="n">
        <v>46326</v>
      </c>
      <c r="D119" s="14" t="n">
        <v>0.96875</v>
      </c>
      <c r="E119" s="37" t="n">
        <v>2</v>
      </c>
      <c r="F119" s="37" t="n">
        <v>1</v>
      </c>
      <c r="G119" s="37" t="n">
        <v>0</v>
      </c>
      <c r="H119" s="37" t="n">
        <v>1</v>
      </c>
      <c r="I119" s="37" t="n">
        <v>0</v>
      </c>
      <c r="J119" s="37" t="n">
        <v>6</v>
      </c>
      <c r="K119" s="16" t="n">
        <v>72</v>
      </c>
    </row>
    <row r="120">
      <c r="A120" s="30" t="n">
        <v>46304.88472222222</v>
      </c>
      <c r="B120" s="30" t="n">
        <v>46304.90277777778</v>
      </c>
      <c r="C120" s="9" t="n">
        <v>46318</v>
      </c>
      <c r="D120" s="10" t="n">
        <v>0.9986111111111111</v>
      </c>
      <c r="E120" s="36" t="n">
        <v>1</v>
      </c>
      <c r="F120" s="36" t="n">
        <v>0</v>
      </c>
      <c r="G120" s="36" t="n">
        <v>0</v>
      </c>
      <c r="H120" s="36" t="n">
        <v>1</v>
      </c>
      <c r="I120" s="36" t="n">
        <v>0</v>
      </c>
      <c r="J120" s="36" t="n">
        <v>4</v>
      </c>
      <c r="K120" s="12" t="n">
        <v>48</v>
      </c>
    </row>
    <row r="121">
      <c r="A121" s="33" t="n">
        <v>46304.88472222222</v>
      </c>
      <c r="B121" s="33" t="n">
        <v>46304.90277777778</v>
      </c>
      <c r="C121" s="13" t="n">
        <v>46319</v>
      </c>
      <c r="D121" s="14" t="n">
        <v>0.96875</v>
      </c>
      <c r="E121" s="37" t="n">
        <v>1</v>
      </c>
      <c r="F121" s="37" t="n">
        <v>1</v>
      </c>
      <c r="G121" s="37" t="n">
        <v>0</v>
      </c>
      <c r="H121" s="37" t="n">
        <v>0</v>
      </c>
      <c r="I121" s="37" t="n">
        <v>0</v>
      </c>
      <c r="J121" s="37" t="n">
        <v>2</v>
      </c>
      <c r="K121" s="16" t="n">
        <v>24</v>
      </c>
    </row>
    <row r="122">
      <c r="A122" s="30" t="n">
        <v>46304.90277777778</v>
      </c>
      <c r="B122" s="30" t="n">
        <v>46304.92708333334</v>
      </c>
      <c r="C122" s="9" t="n">
        <v>46319</v>
      </c>
      <c r="D122" s="10" t="n">
        <v>0.9993055555555556</v>
      </c>
      <c r="E122" s="36" t="n">
        <v>1</v>
      </c>
      <c r="F122" s="36" t="n">
        <v>0</v>
      </c>
      <c r="G122" s="36" t="n">
        <v>0</v>
      </c>
      <c r="H122" s="36" t="n">
        <v>1</v>
      </c>
      <c r="I122" s="36" t="n">
        <v>0</v>
      </c>
      <c r="J122" s="36" t="n">
        <v>4</v>
      </c>
      <c r="K122" s="12" t="n">
        <v>48</v>
      </c>
    </row>
    <row r="123">
      <c r="A123" s="33" t="n">
        <v>46304.92708333334</v>
      </c>
      <c r="B123" s="33" t="n">
        <v>46304.97013888889</v>
      </c>
      <c r="C123" s="13" t="n">
        <v>46319</v>
      </c>
      <c r="D123" s="14" t="n">
        <v>0.96875</v>
      </c>
      <c r="E123" s="37" t="n">
        <v>2</v>
      </c>
      <c r="F123" s="37" t="n">
        <v>0</v>
      </c>
      <c r="G123" s="37" t="n">
        <v>0</v>
      </c>
      <c r="H123" s="37" t="n">
        <v>2</v>
      </c>
      <c r="I123" s="37" t="n">
        <v>0</v>
      </c>
      <c r="J123" s="37" t="n">
        <v>8</v>
      </c>
      <c r="K123" s="16" t="n">
        <v>96</v>
      </c>
    </row>
    <row r="124">
      <c r="A124" s="30" t="n">
        <v>46304.92708333334</v>
      </c>
      <c r="B124" s="30" t="n">
        <v>46304.97013888889</v>
      </c>
      <c r="C124" s="9" t="n">
        <v>46319</v>
      </c>
      <c r="D124" s="10" t="n">
        <v>0.9993055555555556</v>
      </c>
      <c r="E124" s="36" t="n">
        <v>2</v>
      </c>
      <c r="F124" s="36" t="n">
        <v>1</v>
      </c>
      <c r="G124" s="36" t="n">
        <v>0</v>
      </c>
      <c r="H124" s="36" t="n">
        <v>1</v>
      </c>
      <c r="I124" s="36" t="n">
        <v>0</v>
      </c>
      <c r="J124" s="36" t="n">
        <v>6</v>
      </c>
      <c r="K124" s="12" t="n">
        <v>72</v>
      </c>
    </row>
    <row r="125">
      <c r="A125" s="33" t="n">
        <v>46304.92708333334</v>
      </c>
      <c r="B125" s="33" t="n">
        <v>46304.97013888889</v>
      </c>
      <c r="C125" s="13" t="n">
        <v>46325</v>
      </c>
      <c r="D125" s="14" t="n">
        <v>0.9270833333333334</v>
      </c>
      <c r="E125" s="37" t="n">
        <v>1</v>
      </c>
      <c r="F125" s="37" t="n">
        <v>0</v>
      </c>
      <c r="G125" s="37" t="n">
        <v>0</v>
      </c>
      <c r="H125" s="37" t="n">
        <v>1</v>
      </c>
      <c r="I125" s="37" t="n">
        <v>0</v>
      </c>
      <c r="J125" s="37" t="n">
        <v>4</v>
      </c>
      <c r="K125" s="16" t="n">
        <v>48</v>
      </c>
    </row>
    <row r="126">
      <c r="A126" s="30" t="n">
        <v>46304.97013888889</v>
      </c>
      <c r="B126" s="30" t="n">
        <v>46305.01041666666</v>
      </c>
      <c r="C126" s="9" t="n">
        <v>46326</v>
      </c>
      <c r="D126" s="10" t="n">
        <v>0.9993055555555556</v>
      </c>
      <c r="E126" s="36" t="n">
        <v>2</v>
      </c>
      <c r="F126" s="36" t="n">
        <v>0</v>
      </c>
      <c r="G126" s="36" t="n">
        <v>0</v>
      </c>
      <c r="H126" s="36" t="n">
        <v>2</v>
      </c>
      <c r="I126" s="36" t="n">
        <v>0</v>
      </c>
      <c r="J126" s="36" t="n">
        <v>8</v>
      </c>
      <c r="K126" s="12" t="n">
        <v>96</v>
      </c>
    </row>
    <row r="127">
      <c r="A127" s="33" t="n">
        <v>46305.01041666666</v>
      </c>
      <c r="B127" s="33" t="n">
        <v>46305.05138888889</v>
      </c>
      <c r="C127" s="13" t="n">
        <v>46325</v>
      </c>
      <c r="D127" s="14" t="n">
        <v>0.96875</v>
      </c>
      <c r="E127" s="37" t="n">
        <v>1</v>
      </c>
      <c r="F127" s="37" t="n">
        <v>0</v>
      </c>
      <c r="G127" s="37" t="n">
        <v>0</v>
      </c>
      <c r="H127" s="37" t="n">
        <v>0</v>
      </c>
      <c r="I127" s="37" t="n">
        <v>1</v>
      </c>
      <c r="J127" s="37" t="n">
        <v>5</v>
      </c>
      <c r="K127" s="16" t="n">
        <v>60</v>
      </c>
    </row>
    <row r="128">
      <c r="A128" s="30" t="n">
        <v>46305.05138888889</v>
      </c>
      <c r="B128" s="30" t="n">
        <v>46305.1</v>
      </c>
      <c r="C128" s="9" t="n">
        <v>46318</v>
      </c>
      <c r="D128" s="10" t="n">
        <v>0.96875</v>
      </c>
      <c r="E128" s="36" t="n">
        <v>1</v>
      </c>
      <c r="F128" s="36" t="n">
        <v>1</v>
      </c>
      <c r="G128" s="36" t="n">
        <v>0</v>
      </c>
      <c r="H128" s="36" t="n">
        <v>0</v>
      </c>
      <c r="I128" s="36" t="n">
        <v>0</v>
      </c>
      <c r="J128" s="36" t="n">
        <v>2</v>
      </c>
      <c r="K128" s="12" t="n">
        <v>24</v>
      </c>
    </row>
    <row r="129">
      <c r="A129" s="33" t="n">
        <v>46305.05138888889</v>
      </c>
      <c r="B129" s="33" t="n">
        <v>46305.1</v>
      </c>
      <c r="C129" s="13" t="n">
        <v>46325</v>
      </c>
      <c r="D129" s="14" t="n">
        <v>0.9270833333333334</v>
      </c>
      <c r="E129" s="37" t="n">
        <v>1</v>
      </c>
      <c r="F129" s="37" t="n">
        <v>1</v>
      </c>
      <c r="G129" s="37" t="n">
        <v>0</v>
      </c>
      <c r="H129" s="37" t="n">
        <v>0</v>
      </c>
      <c r="I129" s="37" t="n">
        <v>0</v>
      </c>
      <c r="J129" s="37" t="n">
        <v>2</v>
      </c>
      <c r="K129" s="16" t="n">
        <v>24</v>
      </c>
    </row>
    <row r="130">
      <c r="A130" s="30" t="n">
        <v>46305.42708333334</v>
      </c>
      <c r="B130" s="30" t="n">
        <v>46305.46875</v>
      </c>
      <c r="C130" s="9" t="n">
        <v>46326</v>
      </c>
      <c r="D130" s="10" t="n">
        <v>0.8854166666666666</v>
      </c>
      <c r="E130" s="36" t="n">
        <v>1</v>
      </c>
      <c r="F130" s="36" t="n">
        <v>1</v>
      </c>
      <c r="G130" s="36" t="n">
        <v>0</v>
      </c>
      <c r="H130" s="36" t="n">
        <v>0</v>
      </c>
      <c r="I130" s="36" t="n">
        <v>0</v>
      </c>
      <c r="J130" s="36" t="n">
        <v>2</v>
      </c>
      <c r="K130" s="12" t="n">
        <v>24</v>
      </c>
    </row>
    <row r="131">
      <c r="A131" s="33" t="n">
        <v>46305.50972222222</v>
      </c>
      <c r="B131" s="33" t="n">
        <v>46305.55138888889</v>
      </c>
      <c r="C131" s="13" t="n">
        <v>46319</v>
      </c>
      <c r="D131" s="14" t="n">
        <v>0.9270833333333334</v>
      </c>
      <c r="E131" s="37" t="n">
        <v>1</v>
      </c>
      <c r="F131" s="37" t="n">
        <v>1</v>
      </c>
      <c r="G131" s="37" t="n">
        <v>0</v>
      </c>
      <c r="H131" s="37" t="n">
        <v>0</v>
      </c>
      <c r="I131" s="37" t="n">
        <v>0</v>
      </c>
      <c r="J131" s="37" t="n">
        <v>2</v>
      </c>
      <c r="K131" s="16" t="n">
        <v>24</v>
      </c>
    </row>
    <row r="132">
      <c r="A132" s="30" t="n">
        <v>46305.50972222222</v>
      </c>
      <c r="B132" s="30" t="n">
        <v>46305.55138888889</v>
      </c>
      <c r="C132" s="9" t="n">
        <v>46326</v>
      </c>
      <c r="D132" s="10" t="n">
        <v>0.8854166666666666</v>
      </c>
      <c r="E132" s="36" t="n">
        <v>1</v>
      </c>
      <c r="F132" s="36" t="n">
        <v>1</v>
      </c>
      <c r="G132" s="36" t="n">
        <v>0</v>
      </c>
      <c r="H132" s="36" t="n">
        <v>0</v>
      </c>
      <c r="I132" s="36" t="n">
        <v>0</v>
      </c>
      <c r="J132" s="36" t="n">
        <v>2</v>
      </c>
      <c r="K132" s="12" t="n">
        <v>24</v>
      </c>
    </row>
    <row r="133">
      <c r="A133" s="33" t="n">
        <v>46305.67569444444</v>
      </c>
      <c r="B133" s="33" t="n">
        <v>46305.71458333333</v>
      </c>
      <c r="C133" s="13" t="n">
        <v>46319</v>
      </c>
      <c r="D133" s="14" t="n">
        <v>0.84375</v>
      </c>
      <c r="E133" s="37" t="n">
        <v>1</v>
      </c>
      <c r="F133" s="37" t="n">
        <v>1</v>
      </c>
      <c r="G133" s="37" t="n">
        <v>0</v>
      </c>
      <c r="H133" s="37" t="n">
        <v>0</v>
      </c>
      <c r="I133" s="37" t="n">
        <v>0</v>
      </c>
      <c r="J133" s="37" t="n">
        <v>2</v>
      </c>
      <c r="K133" s="16" t="n">
        <v>24</v>
      </c>
    </row>
    <row r="134">
      <c r="A134" s="30" t="n">
        <v>46305.67569444444</v>
      </c>
      <c r="B134" s="30" t="n">
        <v>46305.71458333333</v>
      </c>
      <c r="C134" s="9" t="n">
        <v>46325</v>
      </c>
      <c r="D134" s="10" t="n">
        <v>0.9270833333333334</v>
      </c>
      <c r="E134" s="36" t="n">
        <v>4</v>
      </c>
      <c r="F134" s="36" t="n">
        <v>4</v>
      </c>
      <c r="G134" s="36" t="n">
        <v>0</v>
      </c>
      <c r="H134" s="36" t="n">
        <v>0</v>
      </c>
      <c r="I134" s="36" t="n">
        <v>0</v>
      </c>
      <c r="J134" s="36" t="n">
        <v>8</v>
      </c>
      <c r="K134" s="12" t="n">
        <v>96</v>
      </c>
    </row>
    <row r="135">
      <c r="A135" s="33" t="n">
        <v>46305.74236111111</v>
      </c>
      <c r="B135" s="33" t="n">
        <v>46305.75972222222</v>
      </c>
      <c r="C135" s="13" t="n">
        <v>46318</v>
      </c>
      <c r="D135" s="14" t="n">
        <v>0.9270833333333334</v>
      </c>
      <c r="E135" s="37" t="n">
        <v>1</v>
      </c>
      <c r="F135" s="37" t="n">
        <v>0</v>
      </c>
      <c r="G135" s="37" t="n">
        <v>0</v>
      </c>
      <c r="H135" s="37" t="n">
        <v>1</v>
      </c>
      <c r="I135" s="37" t="n">
        <v>0</v>
      </c>
      <c r="J135" s="37" t="n">
        <v>4</v>
      </c>
      <c r="K135" s="16" t="n">
        <v>48</v>
      </c>
    </row>
    <row r="136">
      <c r="A136" s="30" t="n">
        <v>46305.75972222222</v>
      </c>
      <c r="B136" s="30" t="n">
        <v>46305.80069444444</v>
      </c>
      <c r="C136" s="9" t="n">
        <v>46326</v>
      </c>
      <c r="D136" s="10" t="n">
        <v>0.96875</v>
      </c>
      <c r="E136" s="36" t="n">
        <v>1</v>
      </c>
      <c r="F136" s="36" t="n">
        <v>1</v>
      </c>
      <c r="G136" s="36" t="n">
        <v>0</v>
      </c>
      <c r="H136" s="36" t="n">
        <v>0</v>
      </c>
      <c r="I136" s="36" t="n">
        <v>0</v>
      </c>
      <c r="J136" s="36" t="n">
        <v>2</v>
      </c>
      <c r="K136" s="12" t="n">
        <v>24</v>
      </c>
    </row>
    <row r="137">
      <c r="A137" s="33" t="n">
        <v>46305.80069444444</v>
      </c>
      <c r="B137" s="33" t="n">
        <v>46305.84444444445</v>
      </c>
      <c r="C137" s="13" t="n">
        <v>46325</v>
      </c>
      <c r="D137" s="14" t="n">
        <v>0.9270833333333334</v>
      </c>
      <c r="E137" s="37" t="n">
        <v>-3</v>
      </c>
      <c r="F137" s="37" t="n">
        <v>-3</v>
      </c>
      <c r="G137" s="37" t="n">
        <v>0</v>
      </c>
      <c r="H137" s="37" t="n">
        <v>0</v>
      </c>
      <c r="I137" s="37" t="n">
        <v>0</v>
      </c>
      <c r="J137" s="37" t="n">
        <v>-6</v>
      </c>
      <c r="K137" s="16" t="n">
        <v>-72</v>
      </c>
    </row>
    <row r="138">
      <c r="A138" s="30" t="n">
        <v>46305.80069444444</v>
      </c>
      <c r="B138" s="30" t="n">
        <v>46305.84444444445</v>
      </c>
      <c r="C138" s="9" t="n">
        <v>46326</v>
      </c>
      <c r="D138" s="10" t="n">
        <v>0.8854166666666666</v>
      </c>
      <c r="E138" s="36" t="n">
        <v>1</v>
      </c>
      <c r="F138" s="36" t="n">
        <v>1</v>
      </c>
      <c r="G138" s="36" t="n">
        <v>0</v>
      </c>
      <c r="H138" s="36" t="n">
        <v>0</v>
      </c>
      <c r="I138" s="36" t="n">
        <v>0</v>
      </c>
      <c r="J138" s="36" t="n">
        <v>2</v>
      </c>
      <c r="K138" s="12" t="n">
        <v>24</v>
      </c>
    </row>
    <row r="139">
      <c r="A139" s="33" t="n">
        <v>46305.84444444445</v>
      </c>
      <c r="B139" s="33" t="n">
        <v>46305.87013888889</v>
      </c>
      <c r="C139" s="13" t="n">
        <v>46318</v>
      </c>
      <c r="D139" s="14" t="n">
        <v>0.8854166666666666</v>
      </c>
      <c r="E139" s="37" t="n">
        <v>1</v>
      </c>
      <c r="F139" s="37" t="n">
        <v>1</v>
      </c>
      <c r="G139" s="37" t="n">
        <v>0</v>
      </c>
      <c r="H139" s="37" t="n">
        <v>0</v>
      </c>
      <c r="I139" s="37" t="n">
        <v>0</v>
      </c>
      <c r="J139" s="37" t="n">
        <v>2</v>
      </c>
      <c r="K139" s="16" t="n">
        <v>24</v>
      </c>
    </row>
    <row r="140">
      <c r="A140" s="30" t="n">
        <v>46305.84444444445</v>
      </c>
      <c r="B140" s="30" t="n">
        <v>46305.87013888889</v>
      </c>
      <c r="C140" s="9" t="n">
        <v>46319</v>
      </c>
      <c r="D140" s="10" t="n">
        <v>0.9270833333333334</v>
      </c>
      <c r="E140" s="36" t="n">
        <v>1</v>
      </c>
      <c r="F140" s="36" t="n">
        <v>0</v>
      </c>
      <c r="G140" s="36" t="n">
        <v>0</v>
      </c>
      <c r="H140" s="36" t="n">
        <v>1</v>
      </c>
      <c r="I140" s="36" t="n">
        <v>0</v>
      </c>
      <c r="J140" s="36" t="n">
        <v>4</v>
      </c>
      <c r="K140" s="12" t="n">
        <v>48</v>
      </c>
    </row>
    <row r="141">
      <c r="A141" s="33" t="n">
        <v>46305.84444444445</v>
      </c>
      <c r="B141" s="33" t="n">
        <v>46305.87013888889</v>
      </c>
      <c r="C141" s="13" t="n">
        <v>46320</v>
      </c>
      <c r="D141" s="14" t="n">
        <v>0.84375</v>
      </c>
      <c r="E141" s="37" t="n">
        <v>1</v>
      </c>
      <c r="F141" s="37" t="n">
        <v>0</v>
      </c>
      <c r="G141" s="37" t="n">
        <v>1</v>
      </c>
      <c r="H141" s="37" t="n">
        <v>0</v>
      </c>
      <c r="I141" s="37" t="n">
        <v>0</v>
      </c>
      <c r="J141" s="37" t="n">
        <v>3</v>
      </c>
      <c r="K141" s="16" t="n">
        <v>36</v>
      </c>
    </row>
    <row r="142">
      <c r="A142" s="30" t="n">
        <v>46305.84444444445</v>
      </c>
      <c r="B142" s="30" t="n">
        <v>46305.87013888889</v>
      </c>
      <c r="C142" s="9" t="n">
        <v>46327</v>
      </c>
      <c r="D142" s="10" t="n">
        <v>0.9270833333333334</v>
      </c>
      <c r="E142" s="36" t="n">
        <v>1</v>
      </c>
      <c r="F142" s="36" t="n">
        <v>1</v>
      </c>
      <c r="G142" s="36" t="n">
        <v>0</v>
      </c>
      <c r="H142" s="36" t="n">
        <v>0</v>
      </c>
      <c r="I142" s="36" t="n">
        <v>0</v>
      </c>
      <c r="J142" s="36" t="n">
        <v>2</v>
      </c>
      <c r="K142" s="12" t="n">
        <v>24</v>
      </c>
    </row>
    <row r="143">
      <c r="A143" s="33" t="n">
        <v>46305.87013888889</v>
      </c>
      <c r="B143" s="33" t="n">
        <v>46305.8875</v>
      </c>
      <c r="C143" s="13" t="n">
        <v>46318</v>
      </c>
      <c r="D143" s="14" t="n">
        <v>0.8854166666666666</v>
      </c>
      <c r="E143" s="37" t="n">
        <v>1</v>
      </c>
      <c r="F143" s="37" t="n">
        <v>1</v>
      </c>
      <c r="G143" s="37" t="n">
        <v>0</v>
      </c>
      <c r="H143" s="37" t="n">
        <v>0</v>
      </c>
      <c r="I143" s="37" t="n">
        <v>0</v>
      </c>
      <c r="J143" s="37" t="n">
        <v>2</v>
      </c>
      <c r="K143" s="16" t="n">
        <v>24</v>
      </c>
    </row>
    <row r="144">
      <c r="A144" s="30" t="n">
        <v>46305.9</v>
      </c>
      <c r="B144" s="30" t="n">
        <v>46305.92638888889</v>
      </c>
      <c r="C144" s="9" t="n">
        <v>46318</v>
      </c>
      <c r="D144" s="10" t="n">
        <v>0.9270833333333334</v>
      </c>
      <c r="E144" s="36" t="n">
        <v>1</v>
      </c>
      <c r="F144" s="36" t="n">
        <v>0</v>
      </c>
      <c r="G144" s="36" t="n">
        <v>1</v>
      </c>
      <c r="H144" s="36" t="n">
        <v>0</v>
      </c>
      <c r="I144" s="36" t="n">
        <v>0</v>
      </c>
      <c r="J144" s="36" t="n">
        <v>3</v>
      </c>
      <c r="K144" s="12" t="n">
        <v>36</v>
      </c>
    </row>
    <row r="145">
      <c r="A145" s="33" t="n">
        <v>46305.92638888889</v>
      </c>
      <c r="B145" s="33" t="n">
        <v>46305.96805555555</v>
      </c>
      <c r="C145" s="13" t="n">
        <v>46318</v>
      </c>
      <c r="D145" s="14" t="n">
        <v>0.9270833333333334</v>
      </c>
      <c r="E145" s="37" t="n">
        <v>1</v>
      </c>
      <c r="F145" s="37" t="n">
        <v>1</v>
      </c>
      <c r="G145" s="37" t="n">
        <v>0</v>
      </c>
      <c r="H145" s="37" t="n">
        <v>0</v>
      </c>
      <c r="I145" s="37" t="n">
        <v>0</v>
      </c>
      <c r="J145" s="37" t="n">
        <v>2</v>
      </c>
      <c r="K145" s="16" t="n">
        <v>24</v>
      </c>
    </row>
    <row r="146">
      <c r="A146" s="30" t="n">
        <v>46305.92638888889</v>
      </c>
      <c r="B146" s="30" t="n">
        <v>46305.96805555555</v>
      </c>
      <c r="C146" s="9" t="n">
        <v>46326</v>
      </c>
      <c r="D146" s="10" t="n">
        <v>0.9270833333333334</v>
      </c>
      <c r="E146" s="36" t="n">
        <v>1</v>
      </c>
      <c r="F146" s="36" t="n">
        <v>1</v>
      </c>
      <c r="G146" s="36" t="n">
        <v>0</v>
      </c>
      <c r="H146" s="36" t="n">
        <v>0</v>
      </c>
      <c r="I146" s="36" t="n">
        <v>0</v>
      </c>
      <c r="J146" s="36" t="n">
        <v>2</v>
      </c>
      <c r="K146" s="12" t="n">
        <v>24</v>
      </c>
    </row>
    <row r="147">
      <c r="A147" s="33" t="n">
        <v>46306.46944444445</v>
      </c>
      <c r="B147" s="33" t="n">
        <v>46306.51041666666</v>
      </c>
      <c r="C147" s="13" t="n">
        <v>46326</v>
      </c>
      <c r="D147" s="14" t="n">
        <v>0.8854166666666666</v>
      </c>
      <c r="E147" s="37" t="n">
        <v>1</v>
      </c>
      <c r="F147" s="37" t="n">
        <v>1</v>
      </c>
      <c r="G147" s="37" t="n">
        <v>0</v>
      </c>
      <c r="H147" s="37" t="n">
        <v>0</v>
      </c>
      <c r="I147" s="37" t="n">
        <v>0</v>
      </c>
      <c r="J147" s="37" t="n">
        <v>2</v>
      </c>
      <c r="K147" s="16" t="n">
        <v>24</v>
      </c>
    </row>
    <row r="148">
      <c r="A148" s="30" t="n">
        <v>46306.51041666666</v>
      </c>
      <c r="B148" s="30" t="n">
        <v>46306.55138888889</v>
      </c>
      <c r="C148" s="9" t="n">
        <v>46318</v>
      </c>
      <c r="D148" s="10" t="n">
        <v>0.9986111111111111</v>
      </c>
      <c r="E148" s="36" t="n">
        <v>1</v>
      </c>
      <c r="F148" s="36" t="n">
        <v>1</v>
      </c>
      <c r="G148" s="36" t="n">
        <v>0</v>
      </c>
      <c r="H148" s="36" t="n">
        <v>0</v>
      </c>
      <c r="I148" s="36" t="n">
        <v>0</v>
      </c>
      <c r="J148" s="36" t="n">
        <v>2</v>
      </c>
      <c r="K148" s="12" t="n">
        <v>24</v>
      </c>
    </row>
    <row r="149">
      <c r="A149" s="33" t="n">
        <v>46306.51041666666</v>
      </c>
      <c r="B149" s="33" t="n">
        <v>46306.55138888889</v>
      </c>
      <c r="C149" s="13" t="n">
        <v>46326</v>
      </c>
      <c r="D149" s="14" t="n">
        <v>0.96875</v>
      </c>
      <c r="E149" s="37" t="n">
        <v>1</v>
      </c>
      <c r="F149" s="37" t="n">
        <v>1</v>
      </c>
      <c r="G149" s="37" t="n">
        <v>0</v>
      </c>
      <c r="H149" s="37" t="n">
        <v>0</v>
      </c>
      <c r="I149" s="37" t="n">
        <v>0</v>
      </c>
      <c r="J149" s="37" t="n">
        <v>2</v>
      </c>
      <c r="K149" s="16" t="n">
        <v>24</v>
      </c>
    </row>
    <row r="150">
      <c r="A150" s="30" t="n">
        <v>46306.51041666666</v>
      </c>
      <c r="B150" s="30" t="n">
        <v>46306.55138888889</v>
      </c>
      <c r="C150" s="9" t="n">
        <v>46326</v>
      </c>
      <c r="D150" s="10" t="n">
        <v>0.9993055555555556</v>
      </c>
      <c r="E150" s="36" t="n">
        <v>1</v>
      </c>
      <c r="F150" s="36" t="n">
        <v>1</v>
      </c>
      <c r="G150" s="36" t="n">
        <v>0</v>
      </c>
      <c r="H150" s="36" t="n">
        <v>0</v>
      </c>
      <c r="I150" s="36" t="n">
        <v>0</v>
      </c>
      <c r="J150" s="36" t="n">
        <v>2</v>
      </c>
      <c r="K150" s="12" t="n">
        <v>24</v>
      </c>
    </row>
    <row r="151">
      <c r="A151" s="33" t="n">
        <v>46306.55138888889</v>
      </c>
      <c r="B151" s="33" t="n">
        <v>46306.59513888889</v>
      </c>
      <c r="C151" s="13" t="n">
        <v>46318</v>
      </c>
      <c r="D151" s="14" t="n">
        <v>0.9270833333333334</v>
      </c>
      <c r="E151" s="37" t="n">
        <v>1</v>
      </c>
      <c r="F151" s="37" t="n">
        <v>1</v>
      </c>
      <c r="G151" s="37" t="n">
        <v>0</v>
      </c>
      <c r="H151" s="37" t="n">
        <v>0</v>
      </c>
      <c r="I151" s="37" t="n">
        <v>0</v>
      </c>
      <c r="J151" s="37" t="n">
        <v>2</v>
      </c>
      <c r="K151" s="16" t="n">
        <v>24</v>
      </c>
    </row>
    <row r="152">
      <c r="A152" s="30" t="n">
        <v>46306.55138888889</v>
      </c>
      <c r="B152" s="30" t="n">
        <v>46306.59513888889</v>
      </c>
      <c r="C152" s="9" t="n">
        <v>46319</v>
      </c>
      <c r="D152" s="10" t="n">
        <v>0.9270833333333334</v>
      </c>
      <c r="E152" s="36" t="n">
        <v>1</v>
      </c>
      <c r="F152" s="36" t="n">
        <v>1</v>
      </c>
      <c r="G152" s="36" t="n">
        <v>0</v>
      </c>
      <c r="H152" s="36" t="n">
        <v>0</v>
      </c>
      <c r="I152" s="36" t="n">
        <v>0</v>
      </c>
      <c r="J152" s="36" t="n">
        <v>2</v>
      </c>
      <c r="K152" s="12" t="n">
        <v>24</v>
      </c>
    </row>
    <row r="153">
      <c r="A153" s="33" t="n">
        <v>46306.55138888889</v>
      </c>
      <c r="B153" s="33" t="n">
        <v>46306.59513888889</v>
      </c>
      <c r="C153" s="13" t="n">
        <v>46325</v>
      </c>
      <c r="D153" s="14" t="n">
        <v>0.84375</v>
      </c>
      <c r="E153" s="37" t="n">
        <v>1</v>
      </c>
      <c r="F153" s="37" t="n">
        <v>1</v>
      </c>
      <c r="G153" s="37" t="n">
        <v>0</v>
      </c>
      <c r="H153" s="37" t="n">
        <v>0</v>
      </c>
      <c r="I153" s="37" t="n">
        <v>0</v>
      </c>
      <c r="J153" s="37" t="n">
        <v>2</v>
      </c>
      <c r="K153" s="16" t="n">
        <v>24</v>
      </c>
    </row>
    <row r="154">
      <c r="A154" s="30" t="n">
        <v>46306.55138888889</v>
      </c>
      <c r="B154" s="30" t="n">
        <v>46306.59513888889</v>
      </c>
      <c r="C154" s="9" t="n">
        <v>46327</v>
      </c>
      <c r="D154" s="10" t="n">
        <v>0.8854166666666666</v>
      </c>
      <c r="E154" s="36" t="n">
        <v>1</v>
      </c>
      <c r="F154" s="36" t="n">
        <v>1</v>
      </c>
      <c r="G154" s="36" t="n">
        <v>0</v>
      </c>
      <c r="H154" s="36" t="n">
        <v>0</v>
      </c>
      <c r="I154" s="36" t="n">
        <v>0</v>
      </c>
      <c r="J154" s="36" t="n">
        <v>2</v>
      </c>
      <c r="K154" s="12" t="n">
        <v>24</v>
      </c>
    </row>
    <row r="155">
      <c r="A155" s="33" t="n">
        <v>46306.59652777778</v>
      </c>
      <c r="B155" s="33" t="n">
        <v>46306.63611111111</v>
      </c>
      <c r="C155" s="13" t="n">
        <v>46326</v>
      </c>
      <c r="D155" s="14" t="n">
        <v>0.9993055555555556</v>
      </c>
      <c r="E155" s="37" t="n">
        <v>1</v>
      </c>
      <c r="F155" s="37" t="n">
        <v>0</v>
      </c>
      <c r="G155" s="37" t="n">
        <v>0</v>
      </c>
      <c r="H155" s="37" t="n">
        <v>1</v>
      </c>
      <c r="I155" s="37" t="n">
        <v>0</v>
      </c>
      <c r="J155" s="37" t="n">
        <v>4</v>
      </c>
      <c r="K155" s="16" t="n">
        <v>48</v>
      </c>
    </row>
    <row r="156">
      <c r="A156" s="30" t="n">
        <v>46306.66666666666</v>
      </c>
      <c r="B156" s="30" t="n">
        <v>46306.67638888889</v>
      </c>
      <c r="C156" s="9" t="n">
        <v>46319</v>
      </c>
      <c r="D156" s="10" t="n">
        <v>0.8854166666666666</v>
      </c>
      <c r="E156" s="36" t="n">
        <v>2</v>
      </c>
      <c r="F156" s="36" t="n">
        <v>0</v>
      </c>
      <c r="G156" s="36" t="n">
        <v>1</v>
      </c>
      <c r="H156" s="36" t="n">
        <v>1</v>
      </c>
      <c r="I156" s="36" t="n">
        <v>0</v>
      </c>
      <c r="J156" s="36" t="n">
        <v>7</v>
      </c>
      <c r="K156" s="12" t="n">
        <v>84</v>
      </c>
    </row>
    <row r="157">
      <c r="A157" s="33" t="n">
        <v>46306.71805555555</v>
      </c>
      <c r="B157" s="33" t="n">
        <v>46306.74583333333</v>
      </c>
      <c r="C157" s="13" t="n">
        <v>46324</v>
      </c>
      <c r="D157" s="14" t="n">
        <v>0.84375</v>
      </c>
      <c r="E157" s="37" t="n">
        <v>1</v>
      </c>
      <c r="F157" s="37" t="n">
        <v>0</v>
      </c>
      <c r="G157" s="37" t="n">
        <v>0</v>
      </c>
      <c r="H157" s="37" t="n">
        <v>0</v>
      </c>
      <c r="I157" s="37" t="n">
        <v>1</v>
      </c>
      <c r="J157" s="37" t="n">
        <v>5</v>
      </c>
      <c r="K157" s="16" t="n">
        <v>60</v>
      </c>
    </row>
    <row r="158">
      <c r="A158" s="30" t="n">
        <v>46306.75972222222</v>
      </c>
      <c r="B158" s="30" t="n">
        <v>46306.79791666667</v>
      </c>
      <c r="C158" s="9" t="n">
        <v>46319</v>
      </c>
      <c r="D158" s="10" t="n">
        <v>0.96875</v>
      </c>
      <c r="E158" s="36" t="n">
        <v>1</v>
      </c>
      <c r="F158" s="36" t="n">
        <v>0</v>
      </c>
      <c r="G158" s="36" t="n">
        <v>0</v>
      </c>
      <c r="H158" s="36" t="n">
        <v>0</v>
      </c>
      <c r="I158" s="36" t="n">
        <v>1</v>
      </c>
      <c r="J158" s="36" t="n">
        <v>5</v>
      </c>
      <c r="K158" s="12" t="n">
        <v>60</v>
      </c>
    </row>
    <row r="159">
      <c r="A159" s="33" t="n">
        <v>46306.80138888889</v>
      </c>
      <c r="B159" s="33" t="n">
        <v>46306.84444444445</v>
      </c>
      <c r="C159" s="13" t="n">
        <v>46320</v>
      </c>
      <c r="D159" s="14" t="n">
        <v>0.9993055555555556</v>
      </c>
      <c r="E159" s="37" t="n">
        <v>1</v>
      </c>
      <c r="F159" s="37" t="n">
        <v>0</v>
      </c>
      <c r="G159" s="37" t="n">
        <v>0</v>
      </c>
      <c r="H159" s="37" t="n">
        <v>0</v>
      </c>
      <c r="I159" s="37" t="n">
        <v>1</v>
      </c>
      <c r="J159" s="37" t="n">
        <v>5</v>
      </c>
      <c r="K159" s="16" t="n">
        <v>60</v>
      </c>
    </row>
    <row r="160">
      <c r="A160" s="30" t="n">
        <v>46306.80138888889</v>
      </c>
      <c r="B160" s="30" t="n">
        <v>46306.84444444445</v>
      </c>
      <c r="C160" s="9" t="n">
        <v>46325</v>
      </c>
      <c r="D160" s="10" t="n">
        <v>0.9270833333333334</v>
      </c>
      <c r="E160" s="36" t="n">
        <v>1</v>
      </c>
      <c r="F160" s="36" t="n">
        <v>1</v>
      </c>
      <c r="G160" s="36" t="n">
        <v>0</v>
      </c>
      <c r="H160" s="36" t="n">
        <v>0</v>
      </c>
      <c r="I160" s="36" t="n">
        <v>0</v>
      </c>
      <c r="J160" s="36" t="n">
        <v>2</v>
      </c>
      <c r="K160" s="12" t="n">
        <v>24</v>
      </c>
    </row>
    <row r="161">
      <c r="A161" s="33" t="n">
        <v>46306.84444444445</v>
      </c>
      <c r="B161" s="33" t="n">
        <v>46306.875</v>
      </c>
      <c r="C161" s="13" t="n">
        <v>46319</v>
      </c>
      <c r="D161" s="14" t="n">
        <v>0.9270833333333334</v>
      </c>
      <c r="E161" s="37" t="n">
        <v>1</v>
      </c>
      <c r="F161" s="37" t="n">
        <v>1</v>
      </c>
      <c r="G161" s="37" t="n">
        <v>0</v>
      </c>
      <c r="H161" s="37" t="n">
        <v>0</v>
      </c>
      <c r="I161" s="37" t="n">
        <v>0</v>
      </c>
      <c r="J161" s="37" t="n">
        <v>2</v>
      </c>
      <c r="K161" s="16" t="n">
        <v>24</v>
      </c>
    </row>
    <row r="162">
      <c r="A162" s="30" t="n">
        <v>46306.84444444445</v>
      </c>
      <c r="B162" s="30" t="n">
        <v>46306.875</v>
      </c>
      <c r="C162" s="9" t="n">
        <v>46320</v>
      </c>
      <c r="D162" s="10" t="n">
        <v>0.96875</v>
      </c>
      <c r="E162" s="36" t="n">
        <v>1</v>
      </c>
      <c r="F162" s="36" t="n">
        <v>0</v>
      </c>
      <c r="G162" s="36" t="n">
        <v>0</v>
      </c>
      <c r="H162" s="36" t="n">
        <v>1</v>
      </c>
      <c r="I162" s="36" t="n">
        <v>0</v>
      </c>
      <c r="J162" s="36" t="n">
        <v>4</v>
      </c>
      <c r="K162" s="12" t="n">
        <v>48</v>
      </c>
    </row>
    <row r="163">
      <c r="A163" s="33" t="n">
        <v>46306.88472222222</v>
      </c>
      <c r="B163" s="33" t="n">
        <v>46306.91527777778</v>
      </c>
      <c r="C163" s="13" t="n">
        <v>46319</v>
      </c>
      <c r="D163" s="14" t="n">
        <v>0.96875</v>
      </c>
      <c r="E163" s="37" t="n">
        <v>1</v>
      </c>
      <c r="F163" s="37" t="n">
        <v>1</v>
      </c>
      <c r="G163" s="37" t="n">
        <v>0</v>
      </c>
      <c r="H163" s="37" t="n">
        <v>0</v>
      </c>
      <c r="I163" s="37" t="n">
        <v>0</v>
      </c>
      <c r="J163" s="37" t="n">
        <v>2</v>
      </c>
      <c r="K163" s="16" t="n">
        <v>24</v>
      </c>
    </row>
    <row r="164">
      <c r="A164" s="30" t="n">
        <v>46306.88472222222</v>
      </c>
      <c r="B164" s="30" t="n">
        <v>46306.91527777778</v>
      </c>
      <c r="C164" s="9" t="n">
        <v>46326</v>
      </c>
      <c r="D164" s="10" t="n">
        <v>0.9270833333333334</v>
      </c>
      <c r="E164" s="36" t="n">
        <v>1</v>
      </c>
      <c r="F164" s="36" t="n">
        <v>0</v>
      </c>
      <c r="G164" s="36" t="n">
        <v>1</v>
      </c>
      <c r="H164" s="36" t="n">
        <v>0</v>
      </c>
      <c r="I164" s="36" t="n">
        <v>0</v>
      </c>
      <c r="J164" s="36" t="n">
        <v>3</v>
      </c>
      <c r="K164" s="12" t="n">
        <v>36</v>
      </c>
    </row>
    <row r="165">
      <c r="A165" s="33" t="n">
        <v>46306.96805555555</v>
      </c>
      <c r="B165" s="33" t="n">
        <v>46307.01041666666</v>
      </c>
      <c r="C165" s="13" t="n">
        <v>46318</v>
      </c>
      <c r="D165" s="14" t="n">
        <v>0.96875</v>
      </c>
      <c r="E165" s="37" t="n">
        <v>1</v>
      </c>
      <c r="F165" s="37" t="n">
        <v>0</v>
      </c>
      <c r="G165" s="37" t="n">
        <v>0</v>
      </c>
      <c r="H165" s="37" t="n">
        <v>1</v>
      </c>
      <c r="I165" s="37" t="n">
        <v>0</v>
      </c>
      <c r="J165" s="37" t="n">
        <v>4</v>
      </c>
      <c r="K165" s="16" t="n">
        <v>48</v>
      </c>
    </row>
    <row r="166">
      <c r="A166" s="30" t="n">
        <v>46306.96805555555</v>
      </c>
      <c r="B166" s="30" t="n">
        <v>46307.01041666666</v>
      </c>
      <c r="C166" s="9" t="n">
        <v>46320</v>
      </c>
      <c r="D166" s="10" t="n">
        <v>0.9270833333333334</v>
      </c>
      <c r="E166" s="36" t="n">
        <v>1</v>
      </c>
      <c r="F166" s="36" t="n">
        <v>0</v>
      </c>
      <c r="G166" s="36" t="n">
        <v>0</v>
      </c>
      <c r="H166" s="36" t="n">
        <v>1</v>
      </c>
      <c r="I166" s="36" t="n">
        <v>0</v>
      </c>
      <c r="J166" s="36" t="n">
        <v>4</v>
      </c>
      <c r="K166" s="12" t="n">
        <v>48</v>
      </c>
    </row>
    <row r="167">
      <c r="A167" s="33" t="n">
        <v>46307.01041666666</v>
      </c>
      <c r="B167" s="33" t="n">
        <v>46307.05138888889</v>
      </c>
      <c r="C167" s="13" t="n">
        <v>46320</v>
      </c>
      <c r="D167" s="14" t="n">
        <v>0.9270833333333334</v>
      </c>
      <c r="E167" s="37" t="n">
        <v>1</v>
      </c>
      <c r="F167" s="37" t="n">
        <v>1</v>
      </c>
      <c r="G167" s="37" t="n">
        <v>0</v>
      </c>
      <c r="H167" s="37" t="n">
        <v>0</v>
      </c>
      <c r="I167" s="37" t="n">
        <v>0</v>
      </c>
      <c r="J167" s="37" t="n">
        <v>2</v>
      </c>
      <c r="K167" s="16" t="n">
        <v>24</v>
      </c>
    </row>
    <row r="168">
      <c r="A168" s="30" t="n">
        <v>46307.47152777778</v>
      </c>
      <c r="B168" s="30" t="n">
        <v>46307.51805555556</v>
      </c>
      <c r="C168" s="9" t="n">
        <v>46324</v>
      </c>
      <c r="D168" s="10" t="n">
        <v>0.9270833333333334</v>
      </c>
      <c r="E168" s="36" t="n">
        <v>1</v>
      </c>
      <c r="F168" s="36" t="n">
        <v>1</v>
      </c>
      <c r="G168" s="36" t="n">
        <v>0</v>
      </c>
      <c r="H168" s="36" t="n">
        <v>0</v>
      </c>
      <c r="I168" s="36" t="n">
        <v>0</v>
      </c>
      <c r="J168" s="36" t="n">
        <v>2</v>
      </c>
      <c r="K168" s="12" t="n">
        <v>24</v>
      </c>
    </row>
    <row r="169">
      <c r="A169" s="33" t="n">
        <v>46307.51805555556</v>
      </c>
      <c r="B169" s="33" t="n">
        <v>46307.55416666667</v>
      </c>
      <c r="C169" s="13" t="n">
        <v>46318</v>
      </c>
      <c r="D169" s="14" t="n">
        <v>0.8854166666666666</v>
      </c>
      <c r="E169" s="37" t="n">
        <v>1</v>
      </c>
      <c r="F169" s="37" t="n">
        <v>0</v>
      </c>
      <c r="G169" s="37" t="n">
        <v>0</v>
      </c>
      <c r="H169" s="37" t="n">
        <v>1</v>
      </c>
      <c r="I169" s="37" t="n">
        <v>0</v>
      </c>
      <c r="J169" s="37" t="n">
        <v>4</v>
      </c>
      <c r="K169" s="16" t="n">
        <v>48</v>
      </c>
    </row>
    <row r="170">
      <c r="A170" s="30" t="n">
        <v>46307.55416666667</v>
      </c>
      <c r="B170" s="30" t="n">
        <v>46307.59652777778</v>
      </c>
      <c r="C170" s="9" t="n">
        <v>46318</v>
      </c>
      <c r="D170" s="10" t="n">
        <v>0.8854166666666666</v>
      </c>
      <c r="E170" s="36" t="n">
        <v>-1</v>
      </c>
      <c r="F170" s="36" t="n">
        <v>0</v>
      </c>
      <c r="G170" s="36" t="n">
        <v>0</v>
      </c>
      <c r="H170" s="36" t="n">
        <v>-1</v>
      </c>
      <c r="I170" s="36" t="n">
        <v>0</v>
      </c>
      <c r="J170" s="36" t="n">
        <v>-4</v>
      </c>
      <c r="K170" s="12" t="n">
        <v>-48</v>
      </c>
    </row>
    <row r="171">
      <c r="A171" s="33" t="n">
        <v>46307.59652777778</v>
      </c>
      <c r="B171" s="33" t="n">
        <v>46307.61111111111</v>
      </c>
      <c r="C171" s="13" t="n">
        <v>46318</v>
      </c>
      <c r="D171" s="14" t="n">
        <v>0.8854166666666666</v>
      </c>
      <c r="E171" s="37" t="n">
        <v>1</v>
      </c>
      <c r="F171" s="37" t="n">
        <v>1</v>
      </c>
      <c r="G171" s="37" t="n">
        <v>0</v>
      </c>
      <c r="H171" s="37" t="n">
        <v>0</v>
      </c>
      <c r="I171" s="37" t="n">
        <v>0</v>
      </c>
      <c r="J171" s="37" t="n">
        <v>2</v>
      </c>
      <c r="K171" s="16" t="n">
        <v>24</v>
      </c>
    </row>
    <row r="172">
      <c r="A172" s="30" t="n">
        <v>46307.59652777778</v>
      </c>
      <c r="B172" s="30" t="n">
        <v>46307.61111111111</v>
      </c>
      <c r="C172" s="9" t="n">
        <v>46320</v>
      </c>
      <c r="D172" s="10" t="n">
        <v>0.9270833333333334</v>
      </c>
      <c r="E172" s="36" t="n">
        <v>1</v>
      </c>
      <c r="F172" s="36" t="n">
        <v>1</v>
      </c>
      <c r="G172" s="36" t="n">
        <v>0</v>
      </c>
      <c r="H172" s="36" t="n">
        <v>0</v>
      </c>
      <c r="I172" s="36" t="n">
        <v>0</v>
      </c>
      <c r="J172" s="36" t="n">
        <v>2</v>
      </c>
      <c r="K172" s="12" t="n">
        <v>24</v>
      </c>
    </row>
    <row r="173">
      <c r="A173" s="33" t="n">
        <v>46307.59652777778</v>
      </c>
      <c r="B173" s="33" t="n">
        <v>46307.61111111111</v>
      </c>
      <c r="C173" s="13" t="n">
        <v>46326</v>
      </c>
      <c r="D173" s="14" t="n">
        <v>0.9993055555555556</v>
      </c>
      <c r="E173" s="37" t="n">
        <v>1</v>
      </c>
      <c r="F173" s="37" t="n">
        <v>0</v>
      </c>
      <c r="G173" s="37" t="n">
        <v>0</v>
      </c>
      <c r="H173" s="37" t="n">
        <v>1</v>
      </c>
      <c r="I173" s="37" t="n">
        <v>0</v>
      </c>
      <c r="J173" s="37" t="n">
        <v>4</v>
      </c>
      <c r="K173" s="16" t="n">
        <v>48</v>
      </c>
    </row>
    <row r="174">
      <c r="A174" s="30" t="n">
        <v>46307.61111111111</v>
      </c>
      <c r="B174" s="30" t="n">
        <v>46307.64791666667</v>
      </c>
      <c r="C174" s="9" t="n">
        <v>46325</v>
      </c>
      <c r="D174" s="10" t="n">
        <v>0.9270833333333334</v>
      </c>
      <c r="E174" s="36" t="n">
        <v>1</v>
      </c>
      <c r="F174" s="36" t="n">
        <v>0</v>
      </c>
      <c r="G174" s="36" t="n">
        <v>0</v>
      </c>
      <c r="H174" s="36" t="n">
        <v>1</v>
      </c>
      <c r="I174" s="36" t="n">
        <v>0</v>
      </c>
      <c r="J174" s="36" t="n">
        <v>4</v>
      </c>
      <c r="K174" s="12" t="n">
        <v>48</v>
      </c>
    </row>
    <row r="175">
      <c r="A175" s="33" t="n">
        <v>46307.61111111111</v>
      </c>
      <c r="B175" s="33" t="n">
        <v>46307.64791666667</v>
      </c>
      <c r="C175" s="13" t="n">
        <v>46326</v>
      </c>
      <c r="D175" s="14" t="n">
        <v>0.9270833333333334</v>
      </c>
      <c r="E175" s="37" t="n">
        <v>1</v>
      </c>
      <c r="F175" s="37" t="n">
        <v>1</v>
      </c>
      <c r="G175" s="37" t="n">
        <v>0</v>
      </c>
      <c r="H175" s="37" t="n">
        <v>0</v>
      </c>
      <c r="I175" s="37" t="n">
        <v>0</v>
      </c>
      <c r="J175" s="37" t="n">
        <v>2</v>
      </c>
      <c r="K175" s="16" t="n">
        <v>24</v>
      </c>
    </row>
    <row r="176">
      <c r="A176" s="30" t="n">
        <v>46307.64791666667</v>
      </c>
      <c r="B176" s="30" t="n">
        <v>46307.67708333334</v>
      </c>
      <c r="C176" s="9" t="n">
        <v>46318</v>
      </c>
      <c r="D176" s="10" t="n">
        <v>0.8854166666666666</v>
      </c>
      <c r="E176" s="36" t="n">
        <v>1</v>
      </c>
      <c r="F176" s="36" t="n">
        <v>1</v>
      </c>
      <c r="G176" s="36" t="n">
        <v>0</v>
      </c>
      <c r="H176" s="36" t="n">
        <v>0</v>
      </c>
      <c r="I176" s="36" t="n">
        <v>0</v>
      </c>
      <c r="J176" s="36" t="n">
        <v>2</v>
      </c>
      <c r="K176" s="12" t="n">
        <v>24</v>
      </c>
    </row>
    <row r="177">
      <c r="A177" s="33" t="n">
        <v>46307.64791666667</v>
      </c>
      <c r="B177" s="33" t="n">
        <v>46307.67708333334</v>
      </c>
      <c r="C177" s="13" t="n">
        <v>46324</v>
      </c>
      <c r="D177" s="14" t="n">
        <v>0.8854166666666666</v>
      </c>
      <c r="E177" s="37" t="n">
        <v>1</v>
      </c>
      <c r="F177" s="37" t="n">
        <v>1</v>
      </c>
      <c r="G177" s="37" t="n">
        <v>0</v>
      </c>
      <c r="H177" s="37" t="n">
        <v>0</v>
      </c>
      <c r="I177" s="37" t="n">
        <v>0</v>
      </c>
      <c r="J177" s="37" t="n">
        <v>2</v>
      </c>
      <c r="K177" s="16" t="n">
        <v>24</v>
      </c>
    </row>
    <row r="178">
      <c r="A178" s="30" t="n">
        <v>46307.77430555555</v>
      </c>
      <c r="B178" s="30" t="n">
        <v>46307.80277777778</v>
      </c>
      <c r="C178" s="9" t="n">
        <v>46318</v>
      </c>
      <c r="D178" s="10" t="n">
        <v>0.84375</v>
      </c>
      <c r="E178" s="36" t="n">
        <v>1</v>
      </c>
      <c r="F178" s="36" t="n">
        <v>1</v>
      </c>
      <c r="G178" s="36" t="n">
        <v>0</v>
      </c>
      <c r="H178" s="36" t="n">
        <v>0</v>
      </c>
      <c r="I178" s="36" t="n">
        <v>0</v>
      </c>
      <c r="J178" s="36" t="n">
        <v>2</v>
      </c>
      <c r="K178" s="12" t="n">
        <v>24</v>
      </c>
    </row>
    <row r="179">
      <c r="A179" s="33" t="n">
        <v>46307.80277777778</v>
      </c>
      <c r="B179" s="33" t="n">
        <v>46307.84513888889</v>
      </c>
      <c r="C179" s="13" t="n">
        <v>46318</v>
      </c>
      <c r="D179" s="14" t="n">
        <v>0.84375</v>
      </c>
      <c r="E179" s="37" t="n">
        <v>1</v>
      </c>
      <c r="F179" s="37" t="n">
        <v>1</v>
      </c>
      <c r="G179" s="37" t="n">
        <v>0</v>
      </c>
      <c r="H179" s="37" t="n">
        <v>0</v>
      </c>
      <c r="I179" s="37" t="n">
        <v>0</v>
      </c>
      <c r="J179" s="37" t="n">
        <v>2</v>
      </c>
      <c r="K179" s="16" t="n">
        <v>24</v>
      </c>
    </row>
    <row r="180">
      <c r="A180" s="30" t="n">
        <v>46307.80277777778</v>
      </c>
      <c r="B180" s="30" t="n">
        <v>46307.84513888889</v>
      </c>
      <c r="C180" s="9" t="n">
        <v>46318</v>
      </c>
      <c r="D180" s="10" t="n">
        <v>0.8854166666666666</v>
      </c>
      <c r="E180" s="36" t="n">
        <v>2</v>
      </c>
      <c r="F180" s="36" t="n">
        <v>1</v>
      </c>
      <c r="G180" s="36" t="n">
        <v>0</v>
      </c>
      <c r="H180" s="36" t="n">
        <v>1</v>
      </c>
      <c r="I180" s="36" t="n">
        <v>0</v>
      </c>
      <c r="J180" s="36" t="n">
        <v>6</v>
      </c>
      <c r="K180" s="12" t="n">
        <v>72</v>
      </c>
    </row>
    <row r="181">
      <c r="A181" s="33" t="n">
        <v>46307.80277777778</v>
      </c>
      <c r="B181" s="33" t="n">
        <v>46307.84513888889</v>
      </c>
      <c r="C181" s="13" t="n">
        <v>46319</v>
      </c>
      <c r="D181" s="14" t="n">
        <v>0.8854166666666666</v>
      </c>
      <c r="E181" s="37" t="n">
        <v>1</v>
      </c>
      <c r="F181" s="37" t="n">
        <v>0</v>
      </c>
      <c r="G181" s="37" t="n">
        <v>0</v>
      </c>
      <c r="H181" s="37" t="n">
        <v>1</v>
      </c>
      <c r="I181" s="37" t="n">
        <v>0</v>
      </c>
      <c r="J181" s="37" t="n">
        <v>4</v>
      </c>
      <c r="K181" s="16" t="n">
        <v>48</v>
      </c>
    </row>
    <row r="182">
      <c r="A182" s="30" t="n">
        <v>46307.80277777778</v>
      </c>
      <c r="B182" s="30" t="n">
        <v>46307.84513888889</v>
      </c>
      <c r="C182" s="9" t="n">
        <v>46319</v>
      </c>
      <c r="D182" s="10" t="n">
        <v>0.9270833333333334</v>
      </c>
      <c r="E182" s="36" t="n">
        <v>1</v>
      </c>
      <c r="F182" s="36" t="n">
        <v>1</v>
      </c>
      <c r="G182" s="36" t="n">
        <v>0</v>
      </c>
      <c r="H182" s="36" t="n">
        <v>0</v>
      </c>
      <c r="I182" s="36" t="n">
        <v>0</v>
      </c>
      <c r="J182" s="36" t="n">
        <v>2</v>
      </c>
      <c r="K182" s="12" t="n">
        <v>24</v>
      </c>
    </row>
    <row r="183">
      <c r="A183" s="33" t="n">
        <v>46307.84513888889</v>
      </c>
      <c r="B183" s="33" t="n">
        <v>46307.88611111111</v>
      </c>
      <c r="C183" s="13" t="n">
        <v>46318</v>
      </c>
      <c r="D183" s="14" t="n">
        <v>0.96875</v>
      </c>
      <c r="E183" s="37" t="n">
        <v>1</v>
      </c>
      <c r="F183" s="37" t="n">
        <v>0</v>
      </c>
      <c r="G183" s="37" t="n">
        <v>0</v>
      </c>
      <c r="H183" s="37" t="n">
        <v>1</v>
      </c>
      <c r="I183" s="37" t="n">
        <v>0</v>
      </c>
      <c r="J183" s="37" t="n">
        <v>4</v>
      </c>
      <c r="K183" s="16" t="n">
        <v>48</v>
      </c>
    </row>
    <row r="184">
      <c r="A184" s="30" t="n">
        <v>46307.84513888889</v>
      </c>
      <c r="B184" s="30" t="n">
        <v>46307.88611111111</v>
      </c>
      <c r="C184" s="9" t="n">
        <v>46319</v>
      </c>
      <c r="D184" s="10" t="n">
        <v>0.8854166666666666</v>
      </c>
      <c r="E184" s="36" t="n">
        <v>2</v>
      </c>
      <c r="F184" s="36" t="n">
        <v>1</v>
      </c>
      <c r="G184" s="36" t="n">
        <v>0</v>
      </c>
      <c r="H184" s="36" t="n">
        <v>1</v>
      </c>
      <c r="I184" s="36" t="n">
        <v>0</v>
      </c>
      <c r="J184" s="36" t="n">
        <v>6</v>
      </c>
      <c r="K184" s="12" t="n">
        <v>72</v>
      </c>
    </row>
    <row r="185">
      <c r="A185" s="33" t="n">
        <v>46307.84513888889</v>
      </c>
      <c r="B185" s="33" t="n">
        <v>46307.88611111111</v>
      </c>
      <c r="C185" s="13" t="n">
        <v>46319</v>
      </c>
      <c r="D185" s="14" t="n">
        <v>0.96875</v>
      </c>
      <c r="E185" s="37" t="n">
        <v>1</v>
      </c>
      <c r="F185" s="37" t="n">
        <v>0</v>
      </c>
      <c r="G185" s="37" t="n">
        <v>0</v>
      </c>
      <c r="H185" s="37" t="n">
        <v>0</v>
      </c>
      <c r="I185" s="37" t="n">
        <v>1</v>
      </c>
      <c r="J185" s="37" t="n">
        <v>5</v>
      </c>
      <c r="K185" s="16" t="n">
        <v>60</v>
      </c>
    </row>
    <row r="186">
      <c r="A186" s="30" t="n">
        <v>46307.84513888889</v>
      </c>
      <c r="B186" s="30" t="n">
        <v>46307.88611111111</v>
      </c>
      <c r="C186" s="9" t="n">
        <v>46324</v>
      </c>
      <c r="D186" s="10" t="n">
        <v>0.96875</v>
      </c>
      <c r="E186" s="36" t="n">
        <v>3</v>
      </c>
      <c r="F186" s="36" t="n">
        <v>0</v>
      </c>
      <c r="G186" s="36" t="n">
        <v>0</v>
      </c>
      <c r="H186" s="36" t="n">
        <v>2</v>
      </c>
      <c r="I186" s="36" t="n">
        <v>1</v>
      </c>
      <c r="J186" s="36" t="n">
        <v>13</v>
      </c>
      <c r="K186" s="12" t="n">
        <v>156</v>
      </c>
    </row>
    <row r="187">
      <c r="A187" s="33" t="n">
        <v>46307.84513888889</v>
      </c>
      <c r="B187" s="33" t="n">
        <v>46307.88611111111</v>
      </c>
      <c r="C187" s="13" t="n">
        <v>46326</v>
      </c>
      <c r="D187" s="14" t="n">
        <v>0.96875</v>
      </c>
      <c r="E187" s="37" t="n">
        <v>1</v>
      </c>
      <c r="F187" s="37" t="n">
        <v>1</v>
      </c>
      <c r="G187" s="37" t="n">
        <v>0</v>
      </c>
      <c r="H187" s="37" t="n">
        <v>0</v>
      </c>
      <c r="I187" s="37" t="n">
        <v>0</v>
      </c>
      <c r="J187" s="37" t="n">
        <v>2</v>
      </c>
      <c r="K187" s="16" t="n">
        <v>24</v>
      </c>
    </row>
    <row r="188">
      <c r="A188" s="30" t="n">
        <v>46307.88611111111</v>
      </c>
      <c r="B188" s="30" t="n">
        <v>46307.92777777778</v>
      </c>
      <c r="C188" s="9" t="n">
        <v>46318</v>
      </c>
      <c r="D188" s="10" t="n">
        <v>0.8854166666666666</v>
      </c>
      <c r="E188" s="36" t="n">
        <v>1</v>
      </c>
      <c r="F188" s="36" t="n">
        <v>1</v>
      </c>
      <c r="G188" s="36" t="n">
        <v>0</v>
      </c>
      <c r="H188" s="36" t="n">
        <v>0</v>
      </c>
      <c r="I188" s="36" t="n">
        <v>0</v>
      </c>
      <c r="J188" s="36" t="n">
        <v>2</v>
      </c>
      <c r="K188" s="12" t="n">
        <v>24</v>
      </c>
    </row>
    <row r="189">
      <c r="A189" s="33" t="n">
        <v>46307.88611111111</v>
      </c>
      <c r="B189" s="33" t="n">
        <v>46307.92777777778</v>
      </c>
      <c r="C189" s="13" t="n">
        <v>46320</v>
      </c>
      <c r="D189" s="14" t="n">
        <v>0.96875</v>
      </c>
      <c r="E189" s="37" t="n">
        <v>1</v>
      </c>
      <c r="F189" s="37" t="n">
        <v>1</v>
      </c>
      <c r="G189" s="37" t="n">
        <v>0</v>
      </c>
      <c r="H189" s="37" t="n">
        <v>0</v>
      </c>
      <c r="I189" s="37" t="n">
        <v>0</v>
      </c>
      <c r="J189" s="37" t="n">
        <v>2</v>
      </c>
      <c r="K189" s="16" t="n">
        <v>24</v>
      </c>
    </row>
    <row r="190">
      <c r="A190" s="30" t="n">
        <v>46307.88611111111</v>
      </c>
      <c r="B190" s="30" t="n">
        <v>46307.92777777778</v>
      </c>
      <c r="C190" s="9" t="n">
        <v>46326</v>
      </c>
      <c r="D190" s="10" t="n">
        <v>0.9270833333333334</v>
      </c>
      <c r="E190" s="36" t="n">
        <v>1</v>
      </c>
      <c r="F190" s="36" t="n">
        <v>1</v>
      </c>
      <c r="G190" s="36" t="n">
        <v>0</v>
      </c>
      <c r="H190" s="36" t="n">
        <v>0</v>
      </c>
      <c r="I190" s="36" t="n">
        <v>0</v>
      </c>
      <c r="J190" s="36" t="n">
        <v>2</v>
      </c>
      <c r="K190" s="12" t="n">
        <v>24</v>
      </c>
    </row>
    <row r="191">
      <c r="A191" s="33" t="n">
        <v>46307.88611111111</v>
      </c>
      <c r="B191" s="33" t="n">
        <v>46307.92777777778</v>
      </c>
      <c r="C191" s="13" t="n">
        <v>46326</v>
      </c>
      <c r="D191" s="14" t="n">
        <v>0.96875</v>
      </c>
      <c r="E191" s="37" t="n">
        <v>1</v>
      </c>
      <c r="F191" s="37" t="n">
        <v>1</v>
      </c>
      <c r="G191" s="37" t="n">
        <v>0</v>
      </c>
      <c r="H191" s="37" t="n">
        <v>0</v>
      </c>
      <c r="I191" s="37" t="n">
        <v>0</v>
      </c>
      <c r="J191" s="37" t="n">
        <v>2</v>
      </c>
      <c r="K191" s="16" t="n">
        <v>24</v>
      </c>
    </row>
    <row r="192">
      <c r="A192" s="30" t="n">
        <v>46308.43055555555</v>
      </c>
      <c r="B192" s="30" t="n">
        <v>46308.47083333333</v>
      </c>
      <c r="C192" s="9" t="n">
        <v>46327</v>
      </c>
      <c r="D192" s="10" t="n">
        <v>0.9993055555555556</v>
      </c>
      <c r="E192" s="36" t="n">
        <v>1</v>
      </c>
      <c r="F192" s="36" t="n">
        <v>0</v>
      </c>
      <c r="G192" s="36" t="n">
        <v>0</v>
      </c>
      <c r="H192" s="36" t="n">
        <v>0</v>
      </c>
      <c r="I192" s="36" t="n">
        <v>1</v>
      </c>
      <c r="J192" s="36" t="n">
        <v>5</v>
      </c>
      <c r="K192" s="12" t="n">
        <v>60</v>
      </c>
    </row>
    <row r="193">
      <c r="A193" s="33" t="n">
        <v>46308.51319444444</v>
      </c>
      <c r="B193" s="33" t="n">
        <v>46308.55416666667</v>
      </c>
      <c r="C193" s="13" t="n">
        <v>46320</v>
      </c>
      <c r="D193" s="14" t="n">
        <v>0.84375</v>
      </c>
      <c r="E193" s="37" t="n">
        <v>1</v>
      </c>
      <c r="F193" s="37" t="n">
        <v>0</v>
      </c>
      <c r="G193" s="37" t="n">
        <v>0</v>
      </c>
      <c r="H193" s="37" t="n">
        <v>1</v>
      </c>
      <c r="I193" s="37" t="n">
        <v>0</v>
      </c>
      <c r="J193" s="37" t="n">
        <v>4</v>
      </c>
      <c r="K193" s="16" t="n">
        <v>48</v>
      </c>
    </row>
    <row r="194">
      <c r="A194" s="30" t="n">
        <v>46308.51319444444</v>
      </c>
      <c r="B194" s="30" t="n">
        <v>46308.55416666667</v>
      </c>
      <c r="C194" s="9" t="n">
        <v>46327</v>
      </c>
      <c r="D194" s="10" t="n">
        <v>0.8854166666666666</v>
      </c>
      <c r="E194" s="36" t="n">
        <v>1</v>
      </c>
      <c r="F194" s="36" t="n">
        <v>1</v>
      </c>
      <c r="G194" s="36" t="n">
        <v>0</v>
      </c>
      <c r="H194" s="36" t="n">
        <v>0</v>
      </c>
      <c r="I194" s="36" t="n">
        <v>0</v>
      </c>
      <c r="J194" s="36" t="n">
        <v>2</v>
      </c>
      <c r="K194" s="12" t="n">
        <v>24</v>
      </c>
    </row>
    <row r="195">
      <c r="A195" s="33" t="n">
        <v>46308.59930555556</v>
      </c>
      <c r="B195" s="33" t="n">
        <v>46308.64166666667</v>
      </c>
      <c r="C195" s="13" t="n">
        <v>46324</v>
      </c>
      <c r="D195" s="14" t="n">
        <v>0.9270833333333334</v>
      </c>
      <c r="E195" s="37" t="n">
        <v>1</v>
      </c>
      <c r="F195" s="37" t="n">
        <v>0</v>
      </c>
      <c r="G195" s="37" t="n">
        <v>1</v>
      </c>
      <c r="H195" s="37" t="n">
        <v>0</v>
      </c>
      <c r="I195" s="37" t="n">
        <v>0</v>
      </c>
      <c r="J195" s="37" t="n">
        <v>3</v>
      </c>
      <c r="K195" s="16" t="n">
        <v>36</v>
      </c>
    </row>
    <row r="196">
      <c r="A196" s="30" t="n">
        <v>46308.64166666667</v>
      </c>
      <c r="B196" s="30" t="n">
        <v>46308.68055555555</v>
      </c>
      <c r="C196" s="9" t="n">
        <v>46327</v>
      </c>
      <c r="D196" s="10" t="n">
        <v>0.9270833333333334</v>
      </c>
      <c r="E196" s="36" t="n">
        <v>1</v>
      </c>
      <c r="F196" s="36" t="n">
        <v>1</v>
      </c>
      <c r="G196" s="36" t="n">
        <v>0</v>
      </c>
      <c r="H196" s="36" t="n">
        <v>0</v>
      </c>
      <c r="I196" s="36" t="n">
        <v>0</v>
      </c>
      <c r="J196" s="36" t="n">
        <v>2</v>
      </c>
      <c r="K196" s="12" t="n">
        <v>24</v>
      </c>
    </row>
    <row r="197">
      <c r="A197" s="33" t="n">
        <v>46308.68055555555</v>
      </c>
      <c r="B197" s="33" t="n">
        <v>46308.72222222222</v>
      </c>
      <c r="C197" s="13" t="n">
        <v>46318</v>
      </c>
      <c r="D197" s="14" t="n">
        <v>0.8854166666666666</v>
      </c>
      <c r="E197" s="37" t="n">
        <v>1</v>
      </c>
      <c r="F197" s="37" t="n">
        <v>0</v>
      </c>
      <c r="G197" s="37" t="n">
        <v>1</v>
      </c>
      <c r="H197" s="37" t="n">
        <v>0</v>
      </c>
      <c r="I197" s="37" t="n">
        <v>0</v>
      </c>
      <c r="J197" s="37" t="n">
        <v>3</v>
      </c>
      <c r="K197" s="16" t="n">
        <v>36</v>
      </c>
    </row>
    <row r="198">
      <c r="A198" s="30" t="n">
        <v>46308.68055555555</v>
      </c>
      <c r="B198" s="30" t="n">
        <v>46308.72222222222</v>
      </c>
      <c r="C198" s="9" t="n">
        <v>46325</v>
      </c>
      <c r="D198" s="10" t="n">
        <v>0.9993055555555556</v>
      </c>
      <c r="E198" s="36" t="n">
        <v>1</v>
      </c>
      <c r="F198" s="36" t="n">
        <v>0</v>
      </c>
      <c r="G198" s="36" t="n">
        <v>0</v>
      </c>
      <c r="H198" s="36" t="n">
        <v>1</v>
      </c>
      <c r="I198" s="36" t="n">
        <v>0</v>
      </c>
      <c r="J198" s="36" t="n">
        <v>4</v>
      </c>
      <c r="K198" s="12" t="n">
        <v>48</v>
      </c>
    </row>
    <row r="199">
      <c r="A199" s="33" t="n">
        <v>46308.72222222222</v>
      </c>
      <c r="B199" s="33" t="n">
        <v>46308.7625</v>
      </c>
      <c r="C199" s="13" t="n">
        <v>46318</v>
      </c>
      <c r="D199" s="14" t="n">
        <v>0.8854166666666666</v>
      </c>
      <c r="E199" s="37" t="n">
        <v>1</v>
      </c>
      <c r="F199" s="37" t="n">
        <v>1</v>
      </c>
      <c r="G199" s="37" t="n">
        <v>0</v>
      </c>
      <c r="H199" s="37" t="n">
        <v>0</v>
      </c>
      <c r="I199" s="37" t="n">
        <v>0</v>
      </c>
      <c r="J199" s="37" t="n">
        <v>2</v>
      </c>
      <c r="K199" s="16" t="n">
        <v>24</v>
      </c>
    </row>
    <row r="200">
      <c r="A200" s="30" t="n">
        <v>46308.77708333333</v>
      </c>
      <c r="B200" s="30" t="n">
        <v>46308.80347222222</v>
      </c>
      <c r="C200" s="9" t="n">
        <v>46319</v>
      </c>
      <c r="D200" s="10" t="n">
        <v>0.9270833333333334</v>
      </c>
      <c r="E200" s="36" t="n">
        <v>1</v>
      </c>
      <c r="F200" s="36" t="n">
        <v>1</v>
      </c>
      <c r="G200" s="36" t="n">
        <v>0</v>
      </c>
      <c r="H200" s="36" t="n">
        <v>0</v>
      </c>
      <c r="I200" s="36" t="n">
        <v>0</v>
      </c>
      <c r="J200" s="36" t="n">
        <v>2</v>
      </c>
      <c r="K200" s="12" t="n">
        <v>24</v>
      </c>
    </row>
    <row r="201">
      <c r="A201" s="33" t="n">
        <v>46308.77708333333</v>
      </c>
      <c r="B201" s="33" t="n">
        <v>46308.80347222222</v>
      </c>
      <c r="C201" s="13" t="n">
        <v>46325</v>
      </c>
      <c r="D201" s="14" t="n">
        <v>0.9993055555555556</v>
      </c>
      <c r="E201" s="37" t="n">
        <v>1</v>
      </c>
      <c r="F201" s="37" t="n">
        <v>1</v>
      </c>
      <c r="G201" s="37" t="n">
        <v>0</v>
      </c>
      <c r="H201" s="37" t="n">
        <v>0</v>
      </c>
      <c r="I201" s="37" t="n">
        <v>0</v>
      </c>
      <c r="J201" s="37" t="n">
        <v>2</v>
      </c>
      <c r="K201" s="16" t="n">
        <v>24</v>
      </c>
    </row>
    <row r="202">
      <c r="A202" s="30" t="n">
        <v>46308.80347222222</v>
      </c>
      <c r="B202" s="30" t="n">
        <v>46308.82916666667</v>
      </c>
      <c r="C202" s="9" t="n">
        <v>46318</v>
      </c>
      <c r="D202" s="10" t="n">
        <v>0.9270833333333334</v>
      </c>
      <c r="E202" s="36" t="n">
        <v>1</v>
      </c>
      <c r="F202" s="36" t="n">
        <v>0</v>
      </c>
      <c r="G202" s="36" t="n">
        <v>0</v>
      </c>
      <c r="H202" s="36" t="n">
        <v>0</v>
      </c>
      <c r="I202" s="36" t="n">
        <v>1</v>
      </c>
      <c r="J202" s="36" t="n">
        <v>5</v>
      </c>
      <c r="K202" s="12" t="n">
        <v>60</v>
      </c>
    </row>
    <row r="203">
      <c r="A203" s="33" t="n">
        <v>46308.82916666667</v>
      </c>
      <c r="B203" s="33" t="n">
        <v>46308.84861111111</v>
      </c>
      <c r="C203" s="13" t="n">
        <v>46318</v>
      </c>
      <c r="D203" s="14" t="n">
        <v>0.96875</v>
      </c>
      <c r="E203" s="37" t="n">
        <v>1</v>
      </c>
      <c r="F203" s="37" t="n">
        <v>1</v>
      </c>
      <c r="G203" s="37" t="n">
        <v>0</v>
      </c>
      <c r="H203" s="37" t="n">
        <v>0</v>
      </c>
      <c r="I203" s="37" t="n">
        <v>0</v>
      </c>
      <c r="J203" s="37" t="n">
        <v>2</v>
      </c>
      <c r="K203" s="16" t="n">
        <v>24</v>
      </c>
    </row>
    <row r="204">
      <c r="A204" s="30" t="n">
        <v>46308.82916666667</v>
      </c>
      <c r="B204" s="30" t="n">
        <v>46308.84861111111</v>
      </c>
      <c r="C204" s="9" t="n">
        <v>46320</v>
      </c>
      <c r="D204" s="10" t="n">
        <v>0.8854166666666666</v>
      </c>
      <c r="E204" s="36" t="n">
        <v>1</v>
      </c>
      <c r="F204" s="36" t="n">
        <v>1</v>
      </c>
      <c r="G204" s="36" t="n">
        <v>0</v>
      </c>
      <c r="H204" s="36" t="n">
        <v>0</v>
      </c>
      <c r="I204" s="36" t="n">
        <v>0</v>
      </c>
      <c r="J204" s="36" t="n">
        <v>2</v>
      </c>
      <c r="K204" s="12" t="n">
        <v>24</v>
      </c>
    </row>
    <row r="205">
      <c r="A205" s="33" t="n">
        <v>46308.84861111111</v>
      </c>
      <c r="B205" s="33" t="n">
        <v>46308.89444444444</v>
      </c>
      <c r="C205" s="13" t="n">
        <v>46318</v>
      </c>
      <c r="D205" s="14" t="n">
        <v>0.8854166666666666</v>
      </c>
      <c r="E205" s="37" t="n">
        <v>1</v>
      </c>
      <c r="F205" s="37" t="n">
        <v>0</v>
      </c>
      <c r="G205" s="37" t="n">
        <v>0</v>
      </c>
      <c r="H205" s="37" t="n">
        <v>0</v>
      </c>
      <c r="I205" s="37" t="n">
        <v>1</v>
      </c>
      <c r="J205" s="37" t="n">
        <v>5</v>
      </c>
      <c r="K205" s="16" t="n">
        <v>60</v>
      </c>
    </row>
    <row r="206">
      <c r="A206" s="30" t="n">
        <v>46308.84861111111</v>
      </c>
      <c r="B206" s="30" t="n">
        <v>46308.89444444444</v>
      </c>
      <c r="C206" s="9" t="n">
        <v>46319</v>
      </c>
      <c r="D206" s="10" t="n">
        <v>0.8854166666666666</v>
      </c>
      <c r="E206" s="36" t="n">
        <v>1</v>
      </c>
      <c r="F206" s="36" t="n">
        <v>1</v>
      </c>
      <c r="G206" s="36" t="n">
        <v>0</v>
      </c>
      <c r="H206" s="36" t="n">
        <v>0</v>
      </c>
      <c r="I206" s="36" t="n">
        <v>0</v>
      </c>
      <c r="J206" s="36" t="n">
        <v>2</v>
      </c>
      <c r="K206" s="12" t="n">
        <v>24</v>
      </c>
    </row>
    <row r="207">
      <c r="A207" s="33" t="n">
        <v>46308.84861111111</v>
      </c>
      <c r="B207" s="33" t="n">
        <v>46308.89444444444</v>
      </c>
      <c r="C207" s="13" t="n">
        <v>46319</v>
      </c>
      <c r="D207" s="14" t="n">
        <v>0.96875</v>
      </c>
      <c r="E207" s="37" t="n">
        <v>1</v>
      </c>
      <c r="F207" s="37" t="n">
        <v>0</v>
      </c>
      <c r="G207" s="37" t="n">
        <v>0</v>
      </c>
      <c r="H207" s="37" t="n">
        <v>0</v>
      </c>
      <c r="I207" s="37" t="n">
        <v>1</v>
      </c>
      <c r="J207" s="37" t="n">
        <v>5</v>
      </c>
      <c r="K207" s="16" t="n">
        <v>60</v>
      </c>
    </row>
    <row r="208">
      <c r="A208" s="30" t="n">
        <v>46308.84861111111</v>
      </c>
      <c r="B208" s="30" t="n">
        <v>46308.89444444444</v>
      </c>
      <c r="C208" s="9" t="n">
        <v>46326</v>
      </c>
      <c r="D208" s="10" t="n">
        <v>0.96875</v>
      </c>
      <c r="E208" s="36" t="n">
        <v>1</v>
      </c>
      <c r="F208" s="36" t="n">
        <v>1</v>
      </c>
      <c r="G208" s="36" t="n">
        <v>0</v>
      </c>
      <c r="H208" s="36" t="n">
        <v>0</v>
      </c>
      <c r="I208" s="36" t="n">
        <v>0</v>
      </c>
      <c r="J208" s="36" t="n">
        <v>2</v>
      </c>
      <c r="K208" s="12" t="n">
        <v>24</v>
      </c>
    </row>
    <row r="209">
      <c r="A209" s="33" t="n">
        <v>46308.89444444444</v>
      </c>
      <c r="B209" s="33" t="n">
        <v>46308.94097222222</v>
      </c>
      <c r="C209" s="13" t="n">
        <v>46318</v>
      </c>
      <c r="D209" s="14" t="n">
        <v>0.9270833333333334</v>
      </c>
      <c r="E209" s="37" t="n">
        <v>1</v>
      </c>
      <c r="F209" s="37" t="n">
        <v>1</v>
      </c>
      <c r="G209" s="37" t="n">
        <v>0</v>
      </c>
      <c r="H209" s="37" t="n">
        <v>0</v>
      </c>
      <c r="I209" s="37" t="n">
        <v>0</v>
      </c>
      <c r="J209" s="37" t="n">
        <v>2</v>
      </c>
      <c r="K209" s="16" t="n">
        <v>24</v>
      </c>
    </row>
    <row r="210">
      <c r="A210" s="30" t="n">
        <v>46308.89444444444</v>
      </c>
      <c r="B210" s="30" t="n">
        <v>46308.94097222222</v>
      </c>
      <c r="C210" s="9" t="n">
        <v>46320</v>
      </c>
      <c r="D210" s="10" t="n">
        <v>0.84375</v>
      </c>
      <c r="E210" s="36" t="n">
        <v>1</v>
      </c>
      <c r="F210" s="36" t="n">
        <v>0</v>
      </c>
      <c r="G210" s="36" t="n">
        <v>0</v>
      </c>
      <c r="H210" s="36" t="n">
        <v>1</v>
      </c>
      <c r="I210" s="36" t="n">
        <v>0</v>
      </c>
      <c r="J210" s="36" t="n">
        <v>4</v>
      </c>
      <c r="K210" s="12" t="n">
        <v>48</v>
      </c>
    </row>
    <row r="211">
      <c r="A211" s="33" t="n">
        <v>46308.89444444444</v>
      </c>
      <c r="B211" s="33" t="n">
        <v>46308.94097222222</v>
      </c>
      <c r="C211" s="13" t="n">
        <v>46326</v>
      </c>
      <c r="D211" s="14" t="n">
        <v>0.9270833333333334</v>
      </c>
      <c r="E211" s="37" t="n">
        <v>1</v>
      </c>
      <c r="F211" s="37" t="n">
        <v>1</v>
      </c>
      <c r="G211" s="37" t="n">
        <v>0</v>
      </c>
      <c r="H211" s="37" t="n">
        <v>0</v>
      </c>
      <c r="I211" s="37" t="n">
        <v>0</v>
      </c>
      <c r="J211" s="37" t="n">
        <v>2</v>
      </c>
      <c r="K211" s="16" t="n">
        <v>24</v>
      </c>
    </row>
    <row r="212">
      <c r="A212" s="30" t="n">
        <v>46308.89444444444</v>
      </c>
      <c r="B212" s="30" t="n">
        <v>46308.94097222222</v>
      </c>
      <c r="C212" s="9" t="n">
        <v>46326</v>
      </c>
      <c r="D212" s="10" t="n">
        <v>0.9993055555555556</v>
      </c>
      <c r="E212" s="36" t="n">
        <v>1</v>
      </c>
      <c r="F212" s="36" t="n">
        <v>1</v>
      </c>
      <c r="G212" s="36" t="n">
        <v>0</v>
      </c>
      <c r="H212" s="36" t="n">
        <v>0</v>
      </c>
      <c r="I212" s="36" t="n">
        <v>0</v>
      </c>
      <c r="J212" s="36" t="n">
        <v>2</v>
      </c>
      <c r="K212" s="12" t="n">
        <v>24</v>
      </c>
    </row>
    <row r="213">
      <c r="A213" s="33" t="n">
        <v>46308.94097222222</v>
      </c>
      <c r="B213" s="33" t="n">
        <v>46308.96388888889</v>
      </c>
      <c r="C213" s="13" t="n">
        <v>46318</v>
      </c>
      <c r="D213" s="14" t="n">
        <v>0.8854166666666666</v>
      </c>
      <c r="E213" s="37" t="n">
        <v>1</v>
      </c>
      <c r="F213" s="37" t="n">
        <v>1</v>
      </c>
      <c r="G213" s="37" t="n">
        <v>0</v>
      </c>
      <c r="H213" s="37" t="n">
        <v>0</v>
      </c>
      <c r="I213" s="37" t="n">
        <v>0</v>
      </c>
      <c r="J213" s="37" t="n">
        <v>2</v>
      </c>
      <c r="K213" s="16" t="n">
        <v>24</v>
      </c>
    </row>
    <row r="214">
      <c r="A214" s="30" t="n">
        <v>46308.94097222222</v>
      </c>
      <c r="B214" s="30" t="n">
        <v>46308.96388888889</v>
      </c>
      <c r="C214" s="9" t="n">
        <v>46318</v>
      </c>
      <c r="D214" s="10" t="n">
        <v>0.9270833333333334</v>
      </c>
      <c r="E214" s="36" t="n">
        <v>1</v>
      </c>
      <c r="F214" s="36" t="n">
        <v>1</v>
      </c>
      <c r="G214" s="36" t="n">
        <v>0</v>
      </c>
      <c r="H214" s="36" t="n">
        <v>0</v>
      </c>
      <c r="I214" s="36" t="n">
        <v>0</v>
      </c>
      <c r="J214" s="36" t="n">
        <v>2</v>
      </c>
      <c r="K214" s="12" t="n">
        <v>24</v>
      </c>
    </row>
    <row r="215">
      <c r="A215" s="33" t="n">
        <v>46308.94097222222</v>
      </c>
      <c r="B215" s="33" t="n">
        <v>46308.96388888889</v>
      </c>
      <c r="C215" s="13" t="n">
        <v>46327</v>
      </c>
      <c r="D215" s="14" t="n">
        <v>0.9270833333333334</v>
      </c>
      <c r="E215" s="37" t="n">
        <v>1</v>
      </c>
      <c r="F215" s="37" t="n">
        <v>0</v>
      </c>
      <c r="G215" s="37" t="n">
        <v>0</v>
      </c>
      <c r="H215" s="37" t="n">
        <v>0</v>
      </c>
      <c r="I215" s="37" t="n">
        <v>1</v>
      </c>
      <c r="J215" s="37" t="n">
        <v>5</v>
      </c>
      <c r="K215" s="16" t="n">
        <v>60</v>
      </c>
    </row>
    <row r="216">
      <c r="A216" s="30" t="n">
        <v>46308.96388888889</v>
      </c>
      <c r="B216" s="30" t="n">
        <v>46308.97569444445</v>
      </c>
      <c r="C216" s="9" t="n">
        <v>46325</v>
      </c>
      <c r="D216" s="10" t="n">
        <v>0.8854166666666666</v>
      </c>
      <c r="E216" s="36" t="n">
        <v>1</v>
      </c>
      <c r="F216" s="36" t="n">
        <v>0</v>
      </c>
      <c r="G216" s="36" t="n">
        <v>0</v>
      </c>
      <c r="H216" s="36" t="n">
        <v>1</v>
      </c>
      <c r="I216" s="36" t="n">
        <v>0</v>
      </c>
      <c r="J216" s="36" t="n">
        <v>4</v>
      </c>
      <c r="K216" s="12" t="n">
        <v>48</v>
      </c>
    </row>
    <row r="217">
      <c r="A217" s="33" t="n">
        <v>46308.99444444444</v>
      </c>
      <c r="B217" s="33" t="n">
        <v>46309.01597222222</v>
      </c>
      <c r="C217" s="13" t="n">
        <v>46318</v>
      </c>
      <c r="D217" s="14" t="n">
        <v>0.8854166666666666</v>
      </c>
      <c r="E217" s="37" t="n">
        <v>1</v>
      </c>
      <c r="F217" s="37" t="n">
        <v>0</v>
      </c>
      <c r="G217" s="37" t="n">
        <v>1</v>
      </c>
      <c r="H217" s="37" t="n">
        <v>0</v>
      </c>
      <c r="I217" s="37" t="n">
        <v>0</v>
      </c>
      <c r="J217" s="37" t="n">
        <v>3</v>
      </c>
      <c r="K217" s="16" t="n">
        <v>36</v>
      </c>
    </row>
    <row r="218">
      <c r="A218" s="30" t="n">
        <v>46309.35555555556</v>
      </c>
      <c r="B218" s="30" t="n">
        <v>46309.40069444444</v>
      </c>
      <c r="C218" s="9" t="n">
        <v>46324</v>
      </c>
      <c r="D218" s="10" t="n">
        <v>0.8854166666666666</v>
      </c>
      <c r="E218" s="36" t="n">
        <v>1</v>
      </c>
      <c r="F218" s="36" t="n">
        <v>0</v>
      </c>
      <c r="G218" s="36" t="n">
        <v>0</v>
      </c>
      <c r="H218" s="36" t="n">
        <v>0</v>
      </c>
      <c r="I218" s="36" t="n">
        <v>1</v>
      </c>
      <c r="J218" s="36" t="n">
        <v>5</v>
      </c>
      <c r="K218" s="12" t="n">
        <v>60</v>
      </c>
    </row>
    <row r="219">
      <c r="A219" s="33" t="n">
        <v>46309.40069444444</v>
      </c>
      <c r="B219" s="33" t="n">
        <v>46309.4375</v>
      </c>
      <c r="C219" s="13" t="n">
        <v>46326</v>
      </c>
      <c r="D219" s="14" t="n">
        <v>0.9270833333333334</v>
      </c>
      <c r="E219" s="37" t="n">
        <v>1</v>
      </c>
      <c r="F219" s="37" t="n">
        <v>0</v>
      </c>
      <c r="G219" s="37" t="n">
        <v>0</v>
      </c>
      <c r="H219" s="37" t="n">
        <v>1</v>
      </c>
      <c r="I219" s="37" t="n">
        <v>0</v>
      </c>
      <c r="J219" s="37" t="n">
        <v>4</v>
      </c>
      <c r="K219" s="16" t="n">
        <v>48</v>
      </c>
    </row>
    <row r="220">
      <c r="A220" s="30" t="n">
        <v>46309.4375</v>
      </c>
      <c r="B220" s="30" t="n">
        <v>46309.47916666666</v>
      </c>
      <c r="C220" s="9" t="n">
        <v>46318</v>
      </c>
      <c r="D220" s="10" t="n">
        <v>0.8854166666666666</v>
      </c>
      <c r="E220" s="36" t="n">
        <v>1</v>
      </c>
      <c r="F220" s="36" t="n">
        <v>1</v>
      </c>
      <c r="G220" s="36" t="n">
        <v>0</v>
      </c>
      <c r="H220" s="36" t="n">
        <v>0</v>
      </c>
      <c r="I220" s="36" t="n">
        <v>0</v>
      </c>
      <c r="J220" s="36" t="n">
        <v>2</v>
      </c>
      <c r="K220" s="12" t="n">
        <v>24</v>
      </c>
    </row>
    <row r="221">
      <c r="A221" s="33" t="n">
        <v>46309.4375</v>
      </c>
      <c r="B221" s="33" t="n">
        <v>46309.47916666666</v>
      </c>
      <c r="C221" s="13" t="n">
        <v>46326</v>
      </c>
      <c r="D221" s="14" t="n">
        <v>0.9270833333333334</v>
      </c>
      <c r="E221" s="37" t="n">
        <v>1</v>
      </c>
      <c r="F221" s="37" t="n">
        <v>1</v>
      </c>
      <c r="G221" s="37" t="n">
        <v>0</v>
      </c>
      <c r="H221" s="37" t="n">
        <v>0</v>
      </c>
      <c r="I221" s="37" t="n">
        <v>0</v>
      </c>
      <c r="J221" s="37" t="n">
        <v>2</v>
      </c>
      <c r="K221" s="16" t="n">
        <v>24</v>
      </c>
    </row>
    <row r="222">
      <c r="A222" s="30" t="n">
        <v>46309.47916666666</v>
      </c>
      <c r="B222" s="30" t="n">
        <v>46309.52013888889</v>
      </c>
      <c r="C222" s="9" t="n">
        <v>46318</v>
      </c>
      <c r="D222" s="10" t="n">
        <v>0.84375</v>
      </c>
      <c r="E222" s="36" t="n">
        <v>1</v>
      </c>
      <c r="F222" s="36" t="n">
        <v>0</v>
      </c>
      <c r="G222" s="36" t="n">
        <v>0</v>
      </c>
      <c r="H222" s="36" t="n">
        <v>1</v>
      </c>
      <c r="I222" s="36" t="n">
        <v>0</v>
      </c>
      <c r="J222" s="36" t="n">
        <v>4</v>
      </c>
      <c r="K222" s="12" t="n">
        <v>48</v>
      </c>
    </row>
    <row r="223">
      <c r="A223" s="33" t="n">
        <v>46309.56111111111</v>
      </c>
      <c r="B223" s="33" t="n">
        <v>46309.60625</v>
      </c>
      <c r="C223" s="13" t="n">
        <v>46320</v>
      </c>
      <c r="D223" s="14" t="n">
        <v>0.84375</v>
      </c>
      <c r="E223" s="37" t="n">
        <v>1</v>
      </c>
      <c r="F223" s="37" t="n">
        <v>1</v>
      </c>
      <c r="G223" s="37" t="n">
        <v>0</v>
      </c>
      <c r="H223" s="37" t="n">
        <v>0</v>
      </c>
      <c r="I223" s="37" t="n">
        <v>0</v>
      </c>
      <c r="J223" s="37" t="n">
        <v>2</v>
      </c>
      <c r="K223" s="16" t="n">
        <v>24</v>
      </c>
    </row>
    <row r="224">
      <c r="A224" s="30" t="n">
        <v>46309.56111111111</v>
      </c>
      <c r="B224" s="30" t="n">
        <v>46309.60625</v>
      </c>
      <c r="C224" s="9" t="n">
        <v>46325</v>
      </c>
      <c r="D224" s="10" t="n">
        <v>0.8854166666666666</v>
      </c>
      <c r="E224" s="36" t="n">
        <v>1</v>
      </c>
      <c r="F224" s="36" t="n">
        <v>1</v>
      </c>
      <c r="G224" s="36" t="n">
        <v>0</v>
      </c>
      <c r="H224" s="36" t="n">
        <v>0</v>
      </c>
      <c r="I224" s="36" t="n">
        <v>0</v>
      </c>
      <c r="J224" s="36" t="n">
        <v>2</v>
      </c>
      <c r="K224" s="12" t="n">
        <v>24</v>
      </c>
    </row>
    <row r="225">
      <c r="A225" s="33" t="n">
        <v>46309.56111111111</v>
      </c>
      <c r="B225" s="33" t="n">
        <v>46309.60625</v>
      </c>
      <c r="C225" s="13" t="n">
        <v>46326</v>
      </c>
      <c r="D225" s="14" t="n">
        <v>0.96875</v>
      </c>
      <c r="E225" s="37" t="n">
        <v>1</v>
      </c>
      <c r="F225" s="37" t="n">
        <v>0</v>
      </c>
      <c r="G225" s="37" t="n">
        <v>0</v>
      </c>
      <c r="H225" s="37" t="n">
        <v>1</v>
      </c>
      <c r="I225" s="37" t="n">
        <v>0</v>
      </c>
      <c r="J225" s="37" t="n">
        <v>4</v>
      </c>
      <c r="K225" s="16" t="n">
        <v>48</v>
      </c>
    </row>
    <row r="226">
      <c r="A226" s="30" t="n">
        <v>46309.60625</v>
      </c>
      <c r="B226" s="30" t="n">
        <v>46309.64861111111</v>
      </c>
      <c r="C226" s="9" t="n">
        <v>46318</v>
      </c>
      <c r="D226" s="10" t="n">
        <v>0.84375</v>
      </c>
      <c r="E226" s="36" t="n">
        <v>1</v>
      </c>
      <c r="F226" s="36" t="n">
        <v>0</v>
      </c>
      <c r="G226" s="36" t="n">
        <v>0</v>
      </c>
      <c r="H226" s="36" t="n">
        <v>1</v>
      </c>
      <c r="I226" s="36" t="n">
        <v>0</v>
      </c>
      <c r="J226" s="36" t="n">
        <v>4</v>
      </c>
      <c r="K226" s="12" t="n">
        <v>48</v>
      </c>
    </row>
    <row r="227">
      <c r="A227" s="33" t="n">
        <v>46309.60625</v>
      </c>
      <c r="B227" s="33" t="n">
        <v>46309.64861111111</v>
      </c>
      <c r="C227" s="13" t="n">
        <v>46318</v>
      </c>
      <c r="D227" s="14" t="n">
        <v>0.96875</v>
      </c>
      <c r="E227" s="37" t="n">
        <v>1</v>
      </c>
      <c r="F227" s="37" t="n">
        <v>0</v>
      </c>
      <c r="G227" s="37" t="n">
        <v>0</v>
      </c>
      <c r="H227" s="37" t="n">
        <v>1</v>
      </c>
      <c r="I227" s="37" t="n">
        <v>0</v>
      </c>
      <c r="J227" s="37" t="n">
        <v>4</v>
      </c>
      <c r="K227" s="16" t="n">
        <v>48</v>
      </c>
    </row>
    <row r="228">
      <c r="A228" s="30" t="n">
        <v>46309.70555555556</v>
      </c>
      <c r="B228" s="30" t="n">
        <v>46309.73055555556</v>
      </c>
      <c r="C228" s="9" t="n">
        <v>46326</v>
      </c>
      <c r="D228" s="10" t="n">
        <v>0.9270833333333334</v>
      </c>
      <c r="E228" s="36" t="n">
        <v>1</v>
      </c>
      <c r="F228" s="36" t="n">
        <v>1</v>
      </c>
      <c r="G228" s="36" t="n">
        <v>0</v>
      </c>
      <c r="H228" s="36" t="n">
        <v>0</v>
      </c>
      <c r="I228" s="36" t="n">
        <v>0</v>
      </c>
      <c r="J228" s="36" t="n">
        <v>2</v>
      </c>
      <c r="K228" s="12" t="n">
        <v>24</v>
      </c>
    </row>
    <row r="229">
      <c r="A229" s="33" t="n">
        <v>46309.70555555556</v>
      </c>
      <c r="B229" s="33" t="n">
        <v>46309.73055555556</v>
      </c>
      <c r="C229" s="13" t="n">
        <v>46326</v>
      </c>
      <c r="D229" s="14" t="n">
        <v>0.96875</v>
      </c>
      <c r="E229" s="37" t="n">
        <v>1</v>
      </c>
      <c r="F229" s="37" t="n">
        <v>0</v>
      </c>
      <c r="G229" s="37" t="n">
        <v>0</v>
      </c>
      <c r="H229" s="37" t="n">
        <v>1</v>
      </c>
      <c r="I229" s="37" t="n">
        <v>0</v>
      </c>
      <c r="J229" s="37" t="n">
        <v>4</v>
      </c>
      <c r="K229" s="16" t="n">
        <v>48</v>
      </c>
    </row>
    <row r="230">
      <c r="A230" s="30" t="n">
        <v>46309.73055555556</v>
      </c>
      <c r="B230" s="30" t="n">
        <v>46309.77152777778</v>
      </c>
      <c r="C230" s="9" t="n">
        <v>46325</v>
      </c>
      <c r="D230" s="10" t="n">
        <v>0.9270833333333334</v>
      </c>
      <c r="E230" s="36" t="n">
        <v>1</v>
      </c>
      <c r="F230" s="36" t="n">
        <v>0</v>
      </c>
      <c r="G230" s="36" t="n">
        <v>0</v>
      </c>
      <c r="H230" s="36" t="n">
        <v>1</v>
      </c>
      <c r="I230" s="36" t="n">
        <v>0</v>
      </c>
      <c r="J230" s="36" t="n">
        <v>4</v>
      </c>
      <c r="K230" s="12" t="n">
        <v>48</v>
      </c>
    </row>
    <row r="231">
      <c r="A231" s="33" t="n">
        <v>46309.81111111111</v>
      </c>
      <c r="B231" s="33" t="n">
        <v>46309.85277777778</v>
      </c>
      <c r="C231" s="13" t="n">
        <v>46318</v>
      </c>
      <c r="D231" s="14" t="n">
        <v>0.84375</v>
      </c>
      <c r="E231" s="37" t="n">
        <v>2</v>
      </c>
      <c r="F231" s="37" t="n">
        <v>0</v>
      </c>
      <c r="G231" s="37" t="n">
        <v>2</v>
      </c>
      <c r="H231" s="37" t="n">
        <v>0</v>
      </c>
      <c r="I231" s="37" t="n">
        <v>0</v>
      </c>
      <c r="J231" s="37" t="n">
        <v>6</v>
      </c>
      <c r="K231" s="16" t="n">
        <v>72</v>
      </c>
    </row>
    <row r="232">
      <c r="A232" s="30" t="n">
        <v>46309.81111111111</v>
      </c>
      <c r="B232" s="30" t="n">
        <v>46309.85277777778</v>
      </c>
      <c r="C232" s="9" t="n">
        <v>46319</v>
      </c>
      <c r="D232" s="10" t="n">
        <v>0.8854166666666666</v>
      </c>
      <c r="E232" s="36" t="n">
        <v>1</v>
      </c>
      <c r="F232" s="36" t="n">
        <v>1</v>
      </c>
      <c r="G232" s="36" t="n">
        <v>0</v>
      </c>
      <c r="H232" s="36" t="n">
        <v>0</v>
      </c>
      <c r="I232" s="36" t="n">
        <v>0</v>
      </c>
      <c r="J232" s="36" t="n">
        <v>2</v>
      </c>
      <c r="K232" s="12" t="n">
        <v>24</v>
      </c>
    </row>
    <row r="233">
      <c r="A233" s="33" t="n">
        <v>46309.81111111111</v>
      </c>
      <c r="B233" s="33" t="n">
        <v>46309.85277777778</v>
      </c>
      <c r="C233" s="13" t="n">
        <v>46319</v>
      </c>
      <c r="D233" s="14" t="n">
        <v>0.9270833333333334</v>
      </c>
      <c r="E233" s="37" t="n">
        <v>1</v>
      </c>
      <c r="F233" s="37" t="n">
        <v>0</v>
      </c>
      <c r="G233" s="37" t="n">
        <v>0</v>
      </c>
      <c r="H233" s="37" t="n">
        <v>0</v>
      </c>
      <c r="I233" s="37" t="n">
        <v>1</v>
      </c>
      <c r="J233" s="37" t="n">
        <v>5</v>
      </c>
      <c r="K233" s="16" t="n">
        <v>60</v>
      </c>
    </row>
    <row r="234">
      <c r="A234" s="30" t="n">
        <v>46309.85555555556</v>
      </c>
      <c r="B234" s="30" t="n">
        <v>46309.9</v>
      </c>
      <c r="C234" s="9" t="n">
        <v>46320</v>
      </c>
      <c r="D234" s="10" t="n">
        <v>0.84375</v>
      </c>
      <c r="E234" s="36" t="n">
        <v>1</v>
      </c>
      <c r="F234" s="36" t="n">
        <v>0</v>
      </c>
      <c r="G234" s="36" t="n">
        <v>0</v>
      </c>
      <c r="H234" s="36" t="n">
        <v>0</v>
      </c>
      <c r="I234" s="36" t="n">
        <v>1</v>
      </c>
      <c r="J234" s="36" t="n">
        <v>5</v>
      </c>
      <c r="K234" s="12" t="n">
        <v>60</v>
      </c>
    </row>
    <row r="235">
      <c r="A235" s="33" t="n">
        <v>46309.85555555556</v>
      </c>
      <c r="B235" s="33" t="n">
        <v>46309.9</v>
      </c>
      <c r="C235" s="13" t="n">
        <v>46326</v>
      </c>
      <c r="D235" s="14" t="n">
        <v>0.96875</v>
      </c>
      <c r="E235" s="37" t="n">
        <v>1</v>
      </c>
      <c r="F235" s="37" t="n">
        <v>0</v>
      </c>
      <c r="G235" s="37" t="n">
        <v>0</v>
      </c>
      <c r="H235" s="37" t="n">
        <v>1</v>
      </c>
      <c r="I235" s="37" t="n">
        <v>0</v>
      </c>
      <c r="J235" s="37" t="n">
        <v>4</v>
      </c>
      <c r="K235" s="16" t="n">
        <v>48</v>
      </c>
    </row>
    <row r="236">
      <c r="A236" s="30" t="n">
        <v>46309.9</v>
      </c>
      <c r="B236" s="30" t="n">
        <v>46309.93541666667</v>
      </c>
      <c r="C236" s="9" t="n">
        <v>46318</v>
      </c>
      <c r="D236" s="10" t="n">
        <v>0.84375</v>
      </c>
      <c r="E236" s="36" t="n">
        <v>1</v>
      </c>
      <c r="F236" s="36" t="n">
        <v>1</v>
      </c>
      <c r="G236" s="36" t="n">
        <v>0</v>
      </c>
      <c r="H236" s="36" t="n">
        <v>0</v>
      </c>
      <c r="I236" s="36" t="n">
        <v>0</v>
      </c>
      <c r="J236" s="36" t="n">
        <v>2</v>
      </c>
      <c r="K236" s="12" t="n">
        <v>24</v>
      </c>
    </row>
    <row r="237">
      <c r="A237" s="33" t="n">
        <v>46309.9</v>
      </c>
      <c r="B237" s="33" t="n">
        <v>46309.93541666667</v>
      </c>
      <c r="C237" s="13" t="n">
        <v>46318</v>
      </c>
      <c r="D237" s="14" t="n">
        <v>0.8854166666666666</v>
      </c>
      <c r="E237" s="37" t="n">
        <v>2</v>
      </c>
      <c r="F237" s="37" t="n">
        <v>2</v>
      </c>
      <c r="G237" s="37" t="n">
        <v>0</v>
      </c>
      <c r="H237" s="37" t="n">
        <v>0</v>
      </c>
      <c r="I237" s="37" t="n">
        <v>0</v>
      </c>
      <c r="J237" s="37" t="n">
        <v>4</v>
      </c>
      <c r="K237" s="16" t="n">
        <v>48</v>
      </c>
    </row>
    <row r="238">
      <c r="A238" s="30" t="n">
        <v>46309.9</v>
      </c>
      <c r="B238" s="30" t="n">
        <v>46309.93541666667</v>
      </c>
      <c r="C238" s="9" t="n">
        <v>46319</v>
      </c>
      <c r="D238" s="10" t="n">
        <v>0.9270833333333334</v>
      </c>
      <c r="E238" s="36" t="n">
        <v>1</v>
      </c>
      <c r="F238" s="36" t="n">
        <v>0</v>
      </c>
      <c r="G238" s="36" t="n">
        <v>1</v>
      </c>
      <c r="H238" s="36" t="n">
        <v>0</v>
      </c>
      <c r="I238" s="36" t="n">
        <v>0</v>
      </c>
      <c r="J238" s="36" t="n">
        <v>3</v>
      </c>
      <c r="K238" s="12" t="n">
        <v>36</v>
      </c>
    </row>
    <row r="239">
      <c r="A239" s="33" t="n">
        <v>46309.9</v>
      </c>
      <c r="B239" s="33" t="n">
        <v>46309.93541666667</v>
      </c>
      <c r="C239" s="13" t="n">
        <v>46320</v>
      </c>
      <c r="D239" s="14" t="n">
        <v>0.9270833333333334</v>
      </c>
      <c r="E239" s="37" t="n">
        <v>1</v>
      </c>
      <c r="F239" s="37" t="n">
        <v>1</v>
      </c>
      <c r="G239" s="37" t="n">
        <v>0</v>
      </c>
      <c r="H239" s="37" t="n">
        <v>0</v>
      </c>
      <c r="I239" s="37" t="n">
        <v>0</v>
      </c>
      <c r="J239" s="37" t="n">
        <v>2</v>
      </c>
      <c r="K239" s="16" t="n">
        <v>24</v>
      </c>
    </row>
    <row r="240">
      <c r="A240" s="30" t="n">
        <v>46309.9</v>
      </c>
      <c r="B240" s="30" t="n">
        <v>46309.93541666667</v>
      </c>
      <c r="C240" s="9" t="n">
        <v>46320</v>
      </c>
      <c r="D240" s="10" t="n">
        <v>0.9993055555555556</v>
      </c>
      <c r="E240" s="36" t="n">
        <v>2</v>
      </c>
      <c r="F240" s="36" t="n">
        <v>2</v>
      </c>
      <c r="G240" s="36" t="n">
        <v>0</v>
      </c>
      <c r="H240" s="36" t="n">
        <v>0</v>
      </c>
      <c r="I240" s="36" t="n">
        <v>0</v>
      </c>
      <c r="J240" s="36" t="n">
        <v>4</v>
      </c>
      <c r="K240" s="12" t="n">
        <v>48</v>
      </c>
    </row>
    <row r="241">
      <c r="A241" s="33" t="n">
        <v>46309.9</v>
      </c>
      <c r="B241" s="33" t="n">
        <v>46309.93541666667</v>
      </c>
      <c r="C241" s="13" t="n">
        <v>46326</v>
      </c>
      <c r="D241" s="14" t="n">
        <v>0.8854166666666666</v>
      </c>
      <c r="E241" s="37" t="n">
        <v>1</v>
      </c>
      <c r="F241" s="37" t="n">
        <v>0</v>
      </c>
      <c r="G241" s="37" t="n">
        <v>0</v>
      </c>
      <c r="H241" s="37" t="n">
        <v>1</v>
      </c>
      <c r="I241" s="37" t="n">
        <v>0</v>
      </c>
      <c r="J241" s="37" t="n">
        <v>4</v>
      </c>
      <c r="K241" s="16" t="n">
        <v>48</v>
      </c>
    </row>
    <row r="242">
      <c r="A242" s="30" t="n">
        <v>46309.9</v>
      </c>
      <c r="B242" s="30" t="n">
        <v>46309.93541666667</v>
      </c>
      <c r="C242" s="9" t="n">
        <v>46326</v>
      </c>
      <c r="D242" s="10" t="n">
        <v>0.9993055555555556</v>
      </c>
      <c r="E242" s="36" t="n">
        <v>1</v>
      </c>
      <c r="F242" s="36" t="n">
        <v>1</v>
      </c>
      <c r="G242" s="36" t="n">
        <v>0</v>
      </c>
      <c r="H242" s="36" t="n">
        <v>0</v>
      </c>
      <c r="I242" s="36" t="n">
        <v>0</v>
      </c>
      <c r="J242" s="36" t="n">
        <v>2</v>
      </c>
      <c r="K242" s="12" t="n">
        <v>24</v>
      </c>
    </row>
    <row r="243">
      <c r="A243" s="33" t="n">
        <v>46309.93541666667</v>
      </c>
      <c r="B243" s="33" t="n">
        <v>46309.97638888889</v>
      </c>
      <c r="C243" s="13" t="n">
        <v>46326</v>
      </c>
      <c r="D243" s="14" t="n">
        <v>0.96875</v>
      </c>
      <c r="E243" s="37" t="n">
        <v>1</v>
      </c>
      <c r="F243" s="37" t="n">
        <v>0</v>
      </c>
      <c r="G243" s="37" t="n">
        <v>0</v>
      </c>
      <c r="H243" s="37" t="n">
        <v>1</v>
      </c>
      <c r="I243" s="37" t="n">
        <v>0</v>
      </c>
      <c r="J243" s="37" t="n">
        <v>4</v>
      </c>
      <c r="K243" s="16" t="n">
        <v>48</v>
      </c>
    </row>
    <row r="244">
      <c r="A244" s="30" t="n">
        <v>46309.93541666667</v>
      </c>
      <c r="B244" s="30" t="n">
        <v>46309.97638888889</v>
      </c>
      <c r="C244" s="9" t="n">
        <v>46327</v>
      </c>
      <c r="D244" s="10" t="n">
        <v>0.8854166666666666</v>
      </c>
      <c r="E244" s="36" t="n">
        <v>1</v>
      </c>
      <c r="F244" s="36" t="n">
        <v>1</v>
      </c>
      <c r="G244" s="36" t="n">
        <v>0</v>
      </c>
      <c r="H244" s="36" t="n">
        <v>0</v>
      </c>
      <c r="I244" s="36" t="n">
        <v>0</v>
      </c>
      <c r="J244" s="36" t="n">
        <v>2</v>
      </c>
      <c r="K244" s="12" t="n">
        <v>24</v>
      </c>
    </row>
    <row r="245">
      <c r="A245" s="33" t="n">
        <v>46310.30972222222</v>
      </c>
      <c r="B245" s="33" t="n">
        <v>46310.35625</v>
      </c>
      <c r="C245" s="13" t="n">
        <v>46318</v>
      </c>
      <c r="D245" s="14" t="n">
        <v>0.8854166666666666</v>
      </c>
      <c r="E245" s="37" t="n">
        <v>1</v>
      </c>
      <c r="F245" s="37" t="n">
        <v>0</v>
      </c>
      <c r="G245" s="37" t="n">
        <v>0</v>
      </c>
      <c r="H245" s="37" t="n">
        <v>0</v>
      </c>
      <c r="I245" s="37" t="n">
        <v>1</v>
      </c>
      <c r="J245" s="37" t="n">
        <v>5</v>
      </c>
      <c r="K245" s="16" t="n">
        <v>60</v>
      </c>
    </row>
    <row r="246">
      <c r="A246" s="30" t="n">
        <v>46310.40138888889</v>
      </c>
      <c r="B246" s="30" t="n">
        <v>46310.43680555555</v>
      </c>
      <c r="C246" s="9" t="n">
        <v>46318</v>
      </c>
      <c r="D246" s="10" t="n">
        <v>0.96875</v>
      </c>
      <c r="E246" s="36" t="n">
        <v>1</v>
      </c>
      <c r="F246" s="36" t="n">
        <v>0</v>
      </c>
      <c r="G246" s="36" t="n">
        <v>0</v>
      </c>
      <c r="H246" s="36" t="n">
        <v>1</v>
      </c>
      <c r="I246" s="36" t="n">
        <v>0</v>
      </c>
      <c r="J246" s="36" t="n">
        <v>4</v>
      </c>
      <c r="K246" s="12" t="n">
        <v>48</v>
      </c>
    </row>
    <row r="247">
      <c r="A247" s="33" t="n">
        <v>46310.40138888889</v>
      </c>
      <c r="B247" s="33" t="n">
        <v>46310.43680555555</v>
      </c>
      <c r="C247" s="13" t="n">
        <v>46319</v>
      </c>
      <c r="D247" s="14" t="n">
        <v>0.96875</v>
      </c>
      <c r="E247" s="37" t="n">
        <v>1</v>
      </c>
      <c r="F247" s="37" t="n">
        <v>1</v>
      </c>
      <c r="G247" s="37" t="n">
        <v>0</v>
      </c>
      <c r="H247" s="37" t="n">
        <v>0</v>
      </c>
      <c r="I247" s="37" t="n">
        <v>0</v>
      </c>
      <c r="J247" s="37" t="n">
        <v>2</v>
      </c>
      <c r="K247" s="16" t="n">
        <v>24</v>
      </c>
    </row>
    <row r="248">
      <c r="A248" s="30" t="n">
        <v>46310.43680555555</v>
      </c>
      <c r="B248" s="30" t="n">
        <v>46310.47916666666</v>
      </c>
      <c r="C248" s="9" t="n">
        <v>46318</v>
      </c>
      <c r="D248" s="10" t="n">
        <v>0.96875</v>
      </c>
      <c r="E248" s="36" t="n">
        <v>1</v>
      </c>
      <c r="F248" s="36" t="n">
        <v>1</v>
      </c>
      <c r="G248" s="36" t="n">
        <v>0</v>
      </c>
      <c r="H248" s="36" t="n">
        <v>0</v>
      </c>
      <c r="I248" s="36" t="n">
        <v>0</v>
      </c>
      <c r="J248" s="36" t="n">
        <v>2</v>
      </c>
      <c r="K248" s="12" t="n">
        <v>24</v>
      </c>
    </row>
    <row r="249">
      <c r="A249" s="33" t="n">
        <v>46310.43680555555</v>
      </c>
      <c r="B249" s="33" t="n">
        <v>46310.47916666666</v>
      </c>
      <c r="C249" s="13" t="n">
        <v>46325</v>
      </c>
      <c r="D249" s="14" t="n">
        <v>0.9270833333333334</v>
      </c>
      <c r="E249" s="37" t="n">
        <v>2</v>
      </c>
      <c r="F249" s="37" t="n">
        <v>1</v>
      </c>
      <c r="G249" s="37" t="n">
        <v>0</v>
      </c>
      <c r="H249" s="37" t="n">
        <v>1</v>
      </c>
      <c r="I249" s="37" t="n">
        <v>0</v>
      </c>
      <c r="J249" s="37" t="n">
        <v>6</v>
      </c>
      <c r="K249" s="16" t="n">
        <v>72</v>
      </c>
    </row>
    <row r="250">
      <c r="A250" s="30" t="n">
        <v>46310.47916666666</v>
      </c>
      <c r="B250" s="30" t="n">
        <v>46310.51944444444</v>
      </c>
      <c r="C250" s="9" t="n">
        <v>46320</v>
      </c>
      <c r="D250" s="10" t="n">
        <v>0.8854166666666666</v>
      </c>
      <c r="E250" s="36" t="n">
        <v>1</v>
      </c>
      <c r="F250" s="36" t="n">
        <v>0</v>
      </c>
      <c r="G250" s="36" t="n">
        <v>0</v>
      </c>
      <c r="H250" s="36" t="n">
        <v>0</v>
      </c>
      <c r="I250" s="36" t="n">
        <v>1</v>
      </c>
      <c r="J250" s="36" t="n">
        <v>5</v>
      </c>
      <c r="K250" s="12" t="n">
        <v>60</v>
      </c>
    </row>
    <row r="251">
      <c r="A251" s="33" t="n">
        <v>46310.51944444444</v>
      </c>
      <c r="B251" s="33" t="n">
        <v>46310.56041666667</v>
      </c>
      <c r="C251" s="13" t="n">
        <v>46326</v>
      </c>
      <c r="D251" s="14" t="n">
        <v>0.9993055555555556</v>
      </c>
      <c r="E251" s="37" t="n">
        <v>1</v>
      </c>
      <c r="F251" s="37" t="n">
        <v>0</v>
      </c>
      <c r="G251" s="37" t="n">
        <v>0</v>
      </c>
      <c r="H251" s="37" t="n">
        <v>1</v>
      </c>
      <c r="I251" s="37" t="n">
        <v>0</v>
      </c>
      <c r="J251" s="37" t="n">
        <v>4</v>
      </c>
      <c r="K251" s="16" t="n">
        <v>48</v>
      </c>
    </row>
    <row r="252">
      <c r="A252" s="30" t="n">
        <v>46310.56319444445</v>
      </c>
      <c r="B252" s="30" t="n">
        <v>46310.60625</v>
      </c>
      <c r="C252" s="9" t="n">
        <v>46318</v>
      </c>
      <c r="D252" s="10" t="n">
        <v>0.96875</v>
      </c>
      <c r="E252" s="36" t="n">
        <v>1</v>
      </c>
      <c r="F252" s="36" t="n">
        <v>0</v>
      </c>
      <c r="G252" s="36" t="n">
        <v>1</v>
      </c>
      <c r="H252" s="36" t="n">
        <v>0</v>
      </c>
      <c r="I252" s="36" t="n">
        <v>0</v>
      </c>
      <c r="J252" s="36" t="n">
        <v>3</v>
      </c>
      <c r="K252" s="12" t="n">
        <v>36</v>
      </c>
    </row>
    <row r="253">
      <c r="A253" s="33" t="n">
        <v>46310.56319444445</v>
      </c>
      <c r="B253" s="33" t="n">
        <v>46310.60625</v>
      </c>
      <c r="C253" s="13" t="n">
        <v>46326</v>
      </c>
      <c r="D253" s="14" t="n">
        <v>0.9270833333333334</v>
      </c>
      <c r="E253" s="37" t="n">
        <v>1</v>
      </c>
      <c r="F253" s="37" t="n">
        <v>0</v>
      </c>
      <c r="G253" s="37" t="n">
        <v>0</v>
      </c>
      <c r="H253" s="37" t="n">
        <v>1</v>
      </c>
      <c r="I253" s="37" t="n">
        <v>0</v>
      </c>
      <c r="J253" s="37" t="n">
        <v>4</v>
      </c>
      <c r="K253" s="16" t="n">
        <v>48</v>
      </c>
    </row>
    <row r="254">
      <c r="A254" s="30" t="n">
        <v>46310.56319444445</v>
      </c>
      <c r="B254" s="30" t="n">
        <v>46310.60625</v>
      </c>
      <c r="C254" s="9" t="n">
        <v>46326</v>
      </c>
      <c r="D254" s="10" t="n">
        <v>0.96875</v>
      </c>
      <c r="E254" s="36" t="n">
        <v>1</v>
      </c>
      <c r="F254" s="36" t="n">
        <v>0</v>
      </c>
      <c r="G254" s="36" t="n">
        <v>0</v>
      </c>
      <c r="H254" s="36" t="n">
        <v>1</v>
      </c>
      <c r="I254" s="36" t="n">
        <v>0</v>
      </c>
      <c r="J254" s="36" t="n">
        <v>4</v>
      </c>
      <c r="K254" s="12" t="n">
        <v>48</v>
      </c>
    </row>
    <row r="255">
      <c r="A255" s="33" t="n">
        <v>46310.60625</v>
      </c>
      <c r="B255" s="33" t="n">
        <v>46310.65208333333</v>
      </c>
      <c r="C255" s="13" t="n">
        <v>46326</v>
      </c>
      <c r="D255" s="14" t="n">
        <v>0.9993055555555556</v>
      </c>
      <c r="E255" s="37" t="n">
        <v>1</v>
      </c>
      <c r="F255" s="37" t="n">
        <v>1</v>
      </c>
      <c r="G255" s="37" t="n">
        <v>0</v>
      </c>
      <c r="H255" s="37" t="n">
        <v>0</v>
      </c>
      <c r="I255" s="37" t="n">
        <v>0</v>
      </c>
      <c r="J255" s="37" t="n">
        <v>2</v>
      </c>
      <c r="K255" s="16" t="n">
        <v>24</v>
      </c>
    </row>
    <row r="256">
      <c r="A256" s="30" t="n">
        <v>46310.65208333333</v>
      </c>
      <c r="B256" s="30" t="n">
        <v>46310.6875</v>
      </c>
      <c r="C256" s="9" t="n">
        <v>46318</v>
      </c>
      <c r="D256" s="10" t="n">
        <v>0.9270833333333334</v>
      </c>
      <c r="E256" s="36" t="n">
        <v>1</v>
      </c>
      <c r="F256" s="36" t="n">
        <v>0</v>
      </c>
      <c r="G256" s="36" t="n">
        <v>1</v>
      </c>
      <c r="H256" s="36" t="n">
        <v>0</v>
      </c>
      <c r="I256" s="36" t="n">
        <v>0</v>
      </c>
      <c r="J256" s="36" t="n">
        <v>3</v>
      </c>
      <c r="K256" s="12" t="n">
        <v>36</v>
      </c>
    </row>
    <row r="257">
      <c r="A257" s="33" t="n">
        <v>46310.76944444444</v>
      </c>
      <c r="B257" s="33" t="n">
        <v>46310.77361111111</v>
      </c>
      <c r="C257" s="13" t="n">
        <v>46325</v>
      </c>
      <c r="D257" s="14" t="n">
        <v>0.8854166666666666</v>
      </c>
      <c r="E257" s="37" t="n">
        <v>1</v>
      </c>
      <c r="F257" s="37" t="n">
        <v>1</v>
      </c>
      <c r="G257" s="37" t="n">
        <v>0</v>
      </c>
      <c r="H257" s="37" t="n">
        <v>0</v>
      </c>
      <c r="I257" s="37" t="n">
        <v>0</v>
      </c>
      <c r="J257" s="37" t="n">
        <v>2</v>
      </c>
      <c r="K257" s="16" t="n">
        <v>24</v>
      </c>
    </row>
    <row r="258">
      <c r="A258" s="30" t="n">
        <v>46310.77361111111</v>
      </c>
      <c r="B258" s="30" t="n">
        <v>46310.79236111111</v>
      </c>
      <c r="C258" s="9" t="n">
        <v>46318</v>
      </c>
      <c r="D258" s="10" t="n">
        <v>0.9986111111111111</v>
      </c>
      <c r="E258" s="36" t="n">
        <v>1</v>
      </c>
      <c r="F258" s="36" t="n">
        <v>1</v>
      </c>
      <c r="G258" s="36" t="n">
        <v>0</v>
      </c>
      <c r="H258" s="36" t="n">
        <v>0</v>
      </c>
      <c r="I258" s="36" t="n">
        <v>0</v>
      </c>
      <c r="J258" s="36" t="n">
        <v>2</v>
      </c>
      <c r="K258" s="12" t="n">
        <v>24</v>
      </c>
    </row>
    <row r="259">
      <c r="A259" s="33" t="n">
        <v>46310.77361111111</v>
      </c>
      <c r="B259" s="33" t="n">
        <v>46310.79236111111</v>
      </c>
      <c r="C259" s="13" t="n">
        <v>46319</v>
      </c>
      <c r="D259" s="14" t="n">
        <v>0.96875</v>
      </c>
      <c r="E259" s="37" t="n">
        <v>2</v>
      </c>
      <c r="F259" s="37" t="n">
        <v>2</v>
      </c>
      <c r="G259" s="37" t="n">
        <v>0</v>
      </c>
      <c r="H259" s="37" t="n">
        <v>0</v>
      </c>
      <c r="I259" s="37" t="n">
        <v>0</v>
      </c>
      <c r="J259" s="37" t="n">
        <v>4</v>
      </c>
      <c r="K259" s="16" t="n">
        <v>48</v>
      </c>
    </row>
    <row r="260">
      <c r="A260" s="30" t="n">
        <v>46310.77361111111</v>
      </c>
      <c r="B260" s="30" t="n">
        <v>46310.79236111111</v>
      </c>
      <c r="C260" s="9" t="n">
        <v>46324</v>
      </c>
      <c r="D260" s="10" t="n">
        <v>0.96875</v>
      </c>
      <c r="E260" s="36" t="n">
        <v>1</v>
      </c>
      <c r="F260" s="36" t="n">
        <v>0</v>
      </c>
      <c r="G260" s="36" t="n">
        <v>0</v>
      </c>
      <c r="H260" s="36" t="n">
        <v>0</v>
      </c>
      <c r="I260" s="36" t="n">
        <v>1</v>
      </c>
      <c r="J260" s="36" t="n">
        <v>5</v>
      </c>
      <c r="K260" s="12" t="n">
        <v>60</v>
      </c>
    </row>
    <row r="261">
      <c r="A261" s="33" t="n">
        <v>46310.77361111111</v>
      </c>
      <c r="B261" s="33" t="n">
        <v>46310.79236111111</v>
      </c>
      <c r="C261" s="13" t="n">
        <v>46325</v>
      </c>
      <c r="D261" s="14" t="n">
        <v>0.96875</v>
      </c>
      <c r="E261" s="37" t="n">
        <v>1</v>
      </c>
      <c r="F261" s="37" t="n">
        <v>1</v>
      </c>
      <c r="G261" s="37" t="n">
        <v>0</v>
      </c>
      <c r="H261" s="37" t="n">
        <v>0</v>
      </c>
      <c r="I261" s="37" t="n">
        <v>0</v>
      </c>
      <c r="J261" s="37" t="n">
        <v>2</v>
      </c>
      <c r="K261" s="16" t="n">
        <v>24</v>
      </c>
    </row>
    <row r="262">
      <c r="A262" s="30" t="n">
        <v>46310.79236111111</v>
      </c>
      <c r="B262" s="30" t="n">
        <v>46310.81111111111</v>
      </c>
      <c r="C262" s="9" t="n">
        <v>46318</v>
      </c>
      <c r="D262" s="10" t="n">
        <v>0.8854166666666666</v>
      </c>
      <c r="E262" s="36" t="n">
        <v>2</v>
      </c>
      <c r="F262" s="36" t="n">
        <v>0</v>
      </c>
      <c r="G262" s="36" t="n">
        <v>1</v>
      </c>
      <c r="H262" s="36" t="n">
        <v>1</v>
      </c>
      <c r="I262" s="36" t="n">
        <v>0</v>
      </c>
      <c r="J262" s="36" t="n">
        <v>7</v>
      </c>
      <c r="K262" s="12" t="n">
        <v>84</v>
      </c>
    </row>
    <row r="263">
      <c r="A263" s="33" t="n">
        <v>46310.79236111111</v>
      </c>
      <c r="B263" s="33" t="n">
        <v>46310.81111111111</v>
      </c>
      <c r="C263" s="13" t="n">
        <v>46326</v>
      </c>
      <c r="D263" s="14" t="n">
        <v>0.96875</v>
      </c>
      <c r="E263" s="37" t="n">
        <v>1</v>
      </c>
      <c r="F263" s="37" t="n">
        <v>1</v>
      </c>
      <c r="G263" s="37" t="n">
        <v>0</v>
      </c>
      <c r="H263" s="37" t="n">
        <v>0</v>
      </c>
      <c r="I263" s="37" t="n">
        <v>0</v>
      </c>
      <c r="J263" s="37" t="n">
        <v>2</v>
      </c>
      <c r="K263" s="16" t="n">
        <v>24</v>
      </c>
    </row>
    <row r="264">
      <c r="A264" s="30" t="n">
        <v>46310.81111111111</v>
      </c>
      <c r="B264" s="30" t="n">
        <v>46310.84930555556</v>
      </c>
      <c r="C264" s="9" t="n">
        <v>46318</v>
      </c>
      <c r="D264" s="10" t="n">
        <v>0.8854166666666666</v>
      </c>
      <c r="E264" s="36" t="n">
        <v>1</v>
      </c>
      <c r="F264" s="36" t="n">
        <v>1</v>
      </c>
      <c r="G264" s="36" t="n">
        <v>0</v>
      </c>
      <c r="H264" s="36" t="n">
        <v>0</v>
      </c>
      <c r="I264" s="36" t="n">
        <v>0</v>
      </c>
      <c r="J264" s="36" t="n">
        <v>2</v>
      </c>
      <c r="K264" s="12" t="n">
        <v>24</v>
      </c>
    </row>
    <row r="265">
      <c r="A265" s="33" t="n">
        <v>46310.81111111111</v>
      </c>
      <c r="B265" s="33" t="n">
        <v>46310.84930555556</v>
      </c>
      <c r="C265" s="13" t="n">
        <v>46326</v>
      </c>
      <c r="D265" s="14" t="n">
        <v>0.96875</v>
      </c>
      <c r="E265" s="37" t="n">
        <v>1</v>
      </c>
      <c r="F265" s="37" t="n">
        <v>0</v>
      </c>
      <c r="G265" s="37" t="n">
        <v>0</v>
      </c>
      <c r="H265" s="37" t="n">
        <v>1</v>
      </c>
      <c r="I265" s="37" t="n">
        <v>0</v>
      </c>
      <c r="J265" s="37" t="n">
        <v>4</v>
      </c>
      <c r="K265" s="16" t="n">
        <v>48</v>
      </c>
    </row>
    <row r="266">
      <c r="A266" s="30" t="n">
        <v>46310.81111111111</v>
      </c>
      <c r="B266" s="30" t="n">
        <v>46310.84930555556</v>
      </c>
      <c r="C266" s="9" t="n">
        <v>46327</v>
      </c>
      <c r="D266" s="10" t="n">
        <v>0.9270833333333334</v>
      </c>
      <c r="E266" s="36" t="n">
        <v>1</v>
      </c>
      <c r="F266" s="36" t="n">
        <v>1</v>
      </c>
      <c r="G266" s="36" t="n">
        <v>0</v>
      </c>
      <c r="H266" s="36" t="n">
        <v>0</v>
      </c>
      <c r="I266" s="36" t="n">
        <v>0</v>
      </c>
      <c r="J266" s="36" t="n">
        <v>2</v>
      </c>
      <c r="K266" s="12" t="n">
        <v>24</v>
      </c>
    </row>
    <row r="267">
      <c r="A267" s="33" t="n">
        <v>46310.85277777778</v>
      </c>
      <c r="B267" s="33" t="n">
        <v>46310.89444444444</v>
      </c>
      <c r="C267" s="13" t="n">
        <v>46320</v>
      </c>
      <c r="D267" s="14" t="n">
        <v>0.9270833333333334</v>
      </c>
      <c r="E267" s="37" t="n">
        <v>1</v>
      </c>
      <c r="F267" s="37" t="n">
        <v>0</v>
      </c>
      <c r="G267" s="37" t="n">
        <v>1</v>
      </c>
      <c r="H267" s="37" t="n">
        <v>0</v>
      </c>
      <c r="I267" s="37" t="n">
        <v>0</v>
      </c>
      <c r="J267" s="37" t="n">
        <v>3</v>
      </c>
      <c r="K267" s="16" t="n">
        <v>36</v>
      </c>
    </row>
    <row r="268">
      <c r="A268" s="30" t="n">
        <v>46310.85277777778</v>
      </c>
      <c r="B268" s="30" t="n">
        <v>46310.89444444444</v>
      </c>
      <c r="C268" s="9" t="n">
        <v>46320</v>
      </c>
      <c r="D268" s="10" t="n">
        <v>0.96875</v>
      </c>
      <c r="E268" s="36" t="n">
        <v>2</v>
      </c>
      <c r="F268" s="36" t="n">
        <v>0</v>
      </c>
      <c r="G268" s="36" t="n">
        <v>1</v>
      </c>
      <c r="H268" s="36" t="n">
        <v>1</v>
      </c>
      <c r="I268" s="36" t="n">
        <v>0</v>
      </c>
      <c r="J268" s="36" t="n">
        <v>7</v>
      </c>
      <c r="K268" s="12" t="n">
        <v>84</v>
      </c>
    </row>
    <row r="269">
      <c r="A269" s="33" t="n">
        <v>46310.89444444444</v>
      </c>
      <c r="B269" s="33" t="n">
        <v>46310.92430555556</v>
      </c>
      <c r="C269" s="13" t="n">
        <v>46318</v>
      </c>
      <c r="D269" s="14" t="n">
        <v>0.84375</v>
      </c>
      <c r="E269" s="37" t="n">
        <v>1</v>
      </c>
      <c r="F269" s="37" t="n">
        <v>1</v>
      </c>
      <c r="G269" s="37" t="n">
        <v>0</v>
      </c>
      <c r="H269" s="37" t="n">
        <v>0</v>
      </c>
      <c r="I269" s="37" t="n">
        <v>0</v>
      </c>
      <c r="J269" s="37" t="n">
        <v>2</v>
      </c>
      <c r="K269" s="16" t="n">
        <v>24</v>
      </c>
    </row>
    <row r="270">
      <c r="A270" s="30" t="n">
        <v>46310.89444444444</v>
      </c>
      <c r="B270" s="30" t="n">
        <v>46310.92430555556</v>
      </c>
      <c r="C270" s="9" t="n">
        <v>46318</v>
      </c>
      <c r="D270" s="10" t="n">
        <v>0.9270833333333334</v>
      </c>
      <c r="E270" s="36" t="n">
        <v>1</v>
      </c>
      <c r="F270" s="36" t="n">
        <v>1</v>
      </c>
      <c r="G270" s="36" t="n">
        <v>0</v>
      </c>
      <c r="H270" s="36" t="n">
        <v>0</v>
      </c>
      <c r="I270" s="36" t="n">
        <v>0</v>
      </c>
      <c r="J270" s="36" t="n">
        <v>2</v>
      </c>
      <c r="K270" s="12" t="n">
        <v>24</v>
      </c>
    </row>
    <row r="271">
      <c r="A271" s="33" t="n">
        <v>46310.89444444444</v>
      </c>
      <c r="B271" s="33" t="n">
        <v>46310.92430555556</v>
      </c>
      <c r="C271" s="13" t="n">
        <v>46319</v>
      </c>
      <c r="D271" s="14" t="n">
        <v>0.96875</v>
      </c>
      <c r="E271" s="37" t="n">
        <v>1</v>
      </c>
      <c r="F271" s="37" t="n">
        <v>1</v>
      </c>
      <c r="G271" s="37" t="n">
        <v>0</v>
      </c>
      <c r="H271" s="37" t="n">
        <v>0</v>
      </c>
      <c r="I271" s="37" t="n">
        <v>0</v>
      </c>
      <c r="J271" s="37" t="n">
        <v>2</v>
      </c>
      <c r="K271" s="16" t="n">
        <v>24</v>
      </c>
    </row>
    <row r="272">
      <c r="A272" s="30" t="n">
        <v>46310.89444444444</v>
      </c>
      <c r="B272" s="30" t="n">
        <v>46310.92430555556</v>
      </c>
      <c r="C272" s="9" t="n">
        <v>46320</v>
      </c>
      <c r="D272" s="10" t="n">
        <v>0.8854166666666666</v>
      </c>
      <c r="E272" s="36" t="n">
        <v>1</v>
      </c>
      <c r="F272" s="36" t="n">
        <v>1</v>
      </c>
      <c r="G272" s="36" t="n">
        <v>0</v>
      </c>
      <c r="H272" s="36" t="n">
        <v>0</v>
      </c>
      <c r="I272" s="36" t="n">
        <v>0</v>
      </c>
      <c r="J272" s="36" t="n">
        <v>2</v>
      </c>
      <c r="K272" s="12" t="n">
        <v>24</v>
      </c>
    </row>
    <row r="273">
      <c r="A273" s="33" t="n">
        <v>46310.93333333333</v>
      </c>
      <c r="B273" s="33" t="n">
        <v>46310.94513888889</v>
      </c>
      <c r="C273" s="13" t="n">
        <v>46318</v>
      </c>
      <c r="D273" s="14" t="n">
        <v>0.8854166666666666</v>
      </c>
      <c r="E273" s="37" t="n">
        <v>1</v>
      </c>
      <c r="F273" s="37" t="n">
        <v>0</v>
      </c>
      <c r="G273" s="37" t="n">
        <v>0</v>
      </c>
      <c r="H273" s="37" t="n">
        <v>1</v>
      </c>
      <c r="I273" s="37" t="n">
        <v>0</v>
      </c>
      <c r="J273" s="37" t="n">
        <v>4</v>
      </c>
      <c r="K273" s="16" t="n">
        <v>48</v>
      </c>
    </row>
    <row r="274">
      <c r="A274" s="30" t="n">
        <v>46310.93333333333</v>
      </c>
      <c r="B274" s="30" t="n">
        <v>46310.94513888889</v>
      </c>
      <c r="C274" s="9" t="n">
        <v>46325</v>
      </c>
      <c r="D274" s="10" t="n">
        <v>0.9270833333333334</v>
      </c>
      <c r="E274" s="36" t="n">
        <v>1</v>
      </c>
      <c r="F274" s="36" t="n">
        <v>1</v>
      </c>
      <c r="G274" s="36" t="n">
        <v>0</v>
      </c>
      <c r="H274" s="36" t="n">
        <v>0</v>
      </c>
      <c r="I274" s="36" t="n">
        <v>0</v>
      </c>
      <c r="J274" s="36" t="n">
        <v>2</v>
      </c>
      <c r="K274" s="12" t="n">
        <v>24</v>
      </c>
    </row>
    <row r="275">
      <c r="A275" s="33" t="n">
        <v>46310.94513888889</v>
      </c>
      <c r="B275" s="33" t="n">
        <v>46310.97777777778</v>
      </c>
      <c r="C275" s="13" t="n">
        <v>46325</v>
      </c>
      <c r="D275" s="14" t="n">
        <v>0.96875</v>
      </c>
      <c r="E275" s="37" t="n">
        <v>1</v>
      </c>
      <c r="F275" s="37" t="n">
        <v>0</v>
      </c>
      <c r="G275" s="37" t="n">
        <v>0</v>
      </c>
      <c r="H275" s="37" t="n">
        <v>1</v>
      </c>
      <c r="I275" s="37" t="n">
        <v>0</v>
      </c>
      <c r="J275" s="37" t="n">
        <v>4</v>
      </c>
      <c r="K275" s="16" t="n">
        <v>48</v>
      </c>
    </row>
    <row r="276">
      <c r="A276" s="30" t="n">
        <v>46310.94513888889</v>
      </c>
      <c r="B276" s="30" t="n">
        <v>46310.97777777778</v>
      </c>
      <c r="C276" s="9" t="n">
        <v>46326</v>
      </c>
      <c r="D276" s="10" t="n">
        <v>0.96875</v>
      </c>
      <c r="E276" s="36" t="n">
        <v>1</v>
      </c>
      <c r="F276" s="36" t="n">
        <v>0</v>
      </c>
      <c r="G276" s="36" t="n">
        <v>0</v>
      </c>
      <c r="H276" s="36" t="n">
        <v>1</v>
      </c>
      <c r="I276" s="36" t="n">
        <v>0</v>
      </c>
      <c r="J276" s="36" t="n">
        <v>4</v>
      </c>
      <c r="K276" s="12" t="n">
        <v>48</v>
      </c>
    </row>
    <row r="277">
      <c r="A277" s="33" t="n">
        <v>46310.98680555556</v>
      </c>
      <c r="B277" s="33" t="n">
        <v>46311.01736111111</v>
      </c>
      <c r="C277" s="13" t="n">
        <v>46324</v>
      </c>
      <c r="D277" s="14" t="n">
        <v>0.96875</v>
      </c>
      <c r="E277" s="37" t="n">
        <v>2</v>
      </c>
      <c r="F277" s="37" t="n">
        <v>0</v>
      </c>
      <c r="G277" s="37" t="n">
        <v>0</v>
      </c>
      <c r="H277" s="37" t="n">
        <v>2</v>
      </c>
      <c r="I277" s="37" t="n">
        <v>0</v>
      </c>
      <c r="J277" s="37" t="n">
        <v>8</v>
      </c>
      <c r="K277" s="16" t="n">
        <v>96</v>
      </c>
    </row>
    <row r="278">
      <c r="A278" s="30" t="n">
        <v>46311.02013888889</v>
      </c>
      <c r="B278" s="30" t="n">
        <v>46311.05625</v>
      </c>
      <c r="C278" s="9" t="n">
        <v>46318</v>
      </c>
      <c r="D278" s="10" t="n">
        <v>0.9986111111111111</v>
      </c>
      <c r="E278" s="36" t="n">
        <v>1</v>
      </c>
      <c r="F278" s="36" t="n">
        <v>0</v>
      </c>
      <c r="G278" s="36" t="n">
        <v>0</v>
      </c>
      <c r="H278" s="36" t="n">
        <v>1</v>
      </c>
      <c r="I278" s="36" t="n">
        <v>0</v>
      </c>
      <c r="J278" s="36" t="n">
        <v>4</v>
      </c>
      <c r="K278" s="12" t="n">
        <v>48</v>
      </c>
    </row>
    <row r="279">
      <c r="A279" s="33" t="n">
        <v>46311.02013888889</v>
      </c>
      <c r="B279" s="33" t="n">
        <v>46311.05625</v>
      </c>
      <c r="C279" s="13" t="n">
        <v>46319</v>
      </c>
      <c r="D279" s="14" t="n">
        <v>0.9993055555555556</v>
      </c>
      <c r="E279" s="37" t="n">
        <v>1</v>
      </c>
      <c r="F279" s="37" t="n">
        <v>0</v>
      </c>
      <c r="G279" s="37" t="n">
        <v>0</v>
      </c>
      <c r="H279" s="37" t="n">
        <v>1</v>
      </c>
      <c r="I279" s="37" t="n">
        <v>0</v>
      </c>
      <c r="J279" s="37" t="n">
        <v>4</v>
      </c>
      <c r="K279" s="16" t="n">
        <v>48</v>
      </c>
    </row>
    <row r="280">
      <c r="A280" s="30" t="n">
        <v>46311.30972222222</v>
      </c>
      <c r="B280" s="30" t="n">
        <v>46311.35486111111</v>
      </c>
      <c r="C280" s="9" t="n">
        <v>46318</v>
      </c>
      <c r="D280" s="10" t="n">
        <v>0.9270833333333334</v>
      </c>
      <c r="E280" s="36" t="n">
        <v>1</v>
      </c>
      <c r="F280" s="36" t="n">
        <v>0</v>
      </c>
      <c r="G280" s="36" t="n">
        <v>0</v>
      </c>
      <c r="H280" s="36" t="n">
        <v>1</v>
      </c>
      <c r="I280" s="36" t="n">
        <v>0</v>
      </c>
      <c r="J280" s="36" t="n">
        <v>4</v>
      </c>
      <c r="K280" s="12" t="n">
        <v>48</v>
      </c>
    </row>
    <row r="281">
      <c r="A281" s="33" t="n">
        <v>46311.43611111111</v>
      </c>
      <c r="B281" s="33" t="n">
        <v>46311.47847222222</v>
      </c>
      <c r="C281" s="13" t="n">
        <v>46325</v>
      </c>
      <c r="D281" s="14" t="n">
        <v>0.9993055555555556</v>
      </c>
      <c r="E281" s="37" t="n">
        <v>1</v>
      </c>
      <c r="F281" s="37" t="n">
        <v>0</v>
      </c>
      <c r="G281" s="37" t="n">
        <v>0</v>
      </c>
      <c r="H281" s="37" t="n">
        <v>0</v>
      </c>
      <c r="I281" s="37" t="n">
        <v>1</v>
      </c>
      <c r="J281" s="37" t="n">
        <v>5</v>
      </c>
      <c r="K281" s="16" t="n">
        <v>60</v>
      </c>
    </row>
    <row r="282">
      <c r="A282" s="30" t="n">
        <v>46311.47847222222</v>
      </c>
      <c r="B282" s="30" t="n">
        <v>46311.51944444444</v>
      </c>
      <c r="C282" s="9" t="n">
        <v>46324</v>
      </c>
      <c r="D282" s="10" t="n">
        <v>0.96875</v>
      </c>
      <c r="E282" s="36" t="n">
        <v>3</v>
      </c>
      <c r="F282" s="36" t="n">
        <v>1</v>
      </c>
      <c r="G282" s="36" t="n">
        <v>1</v>
      </c>
      <c r="H282" s="36" t="n">
        <v>0</v>
      </c>
      <c r="I282" s="36" t="n">
        <v>1</v>
      </c>
      <c r="J282" s="36" t="n">
        <v>10</v>
      </c>
      <c r="K282" s="12" t="n">
        <v>120</v>
      </c>
    </row>
    <row r="283">
      <c r="A283" s="33" t="n">
        <v>46311.47847222222</v>
      </c>
      <c r="B283" s="33" t="n">
        <v>46311.51944444444</v>
      </c>
      <c r="C283" s="13" t="n">
        <v>46326</v>
      </c>
      <c r="D283" s="14" t="n">
        <v>0.96875</v>
      </c>
      <c r="E283" s="37" t="n">
        <v>1</v>
      </c>
      <c r="F283" s="37" t="n">
        <v>1</v>
      </c>
      <c r="G283" s="37" t="n">
        <v>0</v>
      </c>
      <c r="H283" s="37" t="n">
        <v>0</v>
      </c>
      <c r="I283" s="37" t="n">
        <v>0</v>
      </c>
      <c r="J283" s="37" t="n">
        <v>2</v>
      </c>
      <c r="K283" s="16" t="n">
        <v>24</v>
      </c>
    </row>
    <row r="284">
      <c r="A284" s="30" t="n">
        <v>46311.51944444444</v>
      </c>
      <c r="B284" s="30" t="n">
        <v>46311.56041666667</v>
      </c>
      <c r="C284" s="9" t="n">
        <v>46318</v>
      </c>
      <c r="D284" s="10" t="n">
        <v>0.96875</v>
      </c>
      <c r="E284" s="36" t="n">
        <v>2</v>
      </c>
      <c r="F284" s="36" t="n">
        <v>1</v>
      </c>
      <c r="G284" s="36" t="n">
        <v>0</v>
      </c>
      <c r="H284" s="36" t="n">
        <v>0</v>
      </c>
      <c r="I284" s="36" t="n">
        <v>1</v>
      </c>
      <c r="J284" s="36" t="n">
        <v>7</v>
      </c>
      <c r="K284" s="12" t="n">
        <v>84</v>
      </c>
    </row>
    <row r="285">
      <c r="A285" s="33" t="n">
        <v>46311.51944444444</v>
      </c>
      <c r="B285" s="33" t="n">
        <v>46311.56041666667</v>
      </c>
      <c r="C285" s="13" t="n">
        <v>46326</v>
      </c>
      <c r="D285" s="14" t="n">
        <v>0.9270833333333334</v>
      </c>
      <c r="E285" s="37" t="n">
        <v>3</v>
      </c>
      <c r="F285" s="37" t="n">
        <v>3</v>
      </c>
      <c r="G285" s="37" t="n">
        <v>0</v>
      </c>
      <c r="H285" s="37" t="n">
        <v>0</v>
      </c>
      <c r="I285" s="37" t="n">
        <v>0</v>
      </c>
      <c r="J285" s="37" t="n">
        <v>6</v>
      </c>
      <c r="K285" s="16" t="n">
        <v>72</v>
      </c>
    </row>
    <row r="286">
      <c r="A286" s="30" t="n">
        <v>46311.56041666667</v>
      </c>
      <c r="B286" s="30" t="n">
        <v>46311.60625</v>
      </c>
      <c r="C286" s="9" t="n">
        <v>46318</v>
      </c>
      <c r="D286" s="10" t="n">
        <v>0.8854166666666666</v>
      </c>
      <c r="E286" s="36" t="n">
        <v>1</v>
      </c>
      <c r="F286" s="36" t="n">
        <v>0</v>
      </c>
      <c r="G286" s="36" t="n">
        <v>0</v>
      </c>
      <c r="H286" s="36" t="n">
        <v>1</v>
      </c>
      <c r="I286" s="36" t="n">
        <v>0</v>
      </c>
      <c r="J286" s="36" t="n">
        <v>4</v>
      </c>
      <c r="K286" s="12" t="n">
        <v>48</v>
      </c>
    </row>
    <row r="287">
      <c r="A287" s="33" t="n">
        <v>46311.56041666667</v>
      </c>
      <c r="B287" s="33" t="n">
        <v>46311.60625</v>
      </c>
      <c r="C287" s="13" t="n">
        <v>46318</v>
      </c>
      <c r="D287" s="14" t="n">
        <v>0.9986111111111111</v>
      </c>
      <c r="E287" s="37" t="n">
        <v>1</v>
      </c>
      <c r="F287" s="37" t="n">
        <v>1</v>
      </c>
      <c r="G287" s="37" t="n">
        <v>0</v>
      </c>
      <c r="H287" s="37" t="n">
        <v>0</v>
      </c>
      <c r="I287" s="37" t="n">
        <v>0</v>
      </c>
      <c r="J287" s="37" t="n">
        <v>2</v>
      </c>
      <c r="K287" s="16" t="n">
        <v>24</v>
      </c>
    </row>
    <row r="288">
      <c r="A288" s="30" t="n">
        <v>46311.56041666667</v>
      </c>
      <c r="B288" s="30" t="n">
        <v>46311.60625</v>
      </c>
      <c r="C288" s="9" t="n">
        <v>46319</v>
      </c>
      <c r="D288" s="10" t="n">
        <v>0.84375</v>
      </c>
      <c r="E288" s="36" t="n">
        <v>1</v>
      </c>
      <c r="F288" s="36" t="n">
        <v>0</v>
      </c>
      <c r="G288" s="36" t="n">
        <v>0</v>
      </c>
      <c r="H288" s="36" t="n">
        <v>1</v>
      </c>
      <c r="I288" s="36" t="n">
        <v>0</v>
      </c>
      <c r="J288" s="36" t="n">
        <v>4</v>
      </c>
      <c r="K288" s="12" t="n">
        <v>48</v>
      </c>
    </row>
    <row r="289">
      <c r="A289" s="33" t="n">
        <v>46311.56041666667</v>
      </c>
      <c r="B289" s="33" t="n">
        <v>46311.60625</v>
      </c>
      <c r="C289" s="13" t="n">
        <v>46319</v>
      </c>
      <c r="D289" s="14" t="n">
        <v>0.8854166666666666</v>
      </c>
      <c r="E289" s="37" t="n">
        <v>1</v>
      </c>
      <c r="F289" s="37" t="n">
        <v>1</v>
      </c>
      <c r="G289" s="37" t="n">
        <v>0</v>
      </c>
      <c r="H289" s="37" t="n">
        <v>0</v>
      </c>
      <c r="I289" s="37" t="n">
        <v>0</v>
      </c>
      <c r="J289" s="37" t="n">
        <v>2</v>
      </c>
      <c r="K289" s="16" t="n">
        <v>24</v>
      </c>
    </row>
    <row r="290">
      <c r="A290" s="30" t="n">
        <v>46311.56041666667</v>
      </c>
      <c r="B290" s="30" t="n">
        <v>46311.60625</v>
      </c>
      <c r="C290" s="9" t="n">
        <v>46320</v>
      </c>
      <c r="D290" s="10" t="n">
        <v>0.8854166666666666</v>
      </c>
      <c r="E290" s="36" t="n">
        <v>1</v>
      </c>
      <c r="F290" s="36" t="n">
        <v>1</v>
      </c>
      <c r="G290" s="36" t="n">
        <v>0</v>
      </c>
      <c r="H290" s="36" t="n">
        <v>0</v>
      </c>
      <c r="I290" s="36" t="n">
        <v>0</v>
      </c>
      <c r="J290" s="36" t="n">
        <v>2</v>
      </c>
      <c r="K290" s="12" t="n">
        <v>24</v>
      </c>
    </row>
    <row r="291">
      <c r="A291" s="33" t="n">
        <v>46311.60625</v>
      </c>
      <c r="B291" s="33" t="n">
        <v>46311.625</v>
      </c>
      <c r="C291" s="13" t="n">
        <v>46320</v>
      </c>
      <c r="D291" s="14" t="n">
        <v>0.8854166666666666</v>
      </c>
      <c r="E291" s="37" t="n">
        <v>1</v>
      </c>
      <c r="F291" s="37" t="n">
        <v>0</v>
      </c>
      <c r="G291" s="37" t="n">
        <v>0</v>
      </c>
      <c r="H291" s="37" t="n">
        <v>1</v>
      </c>
      <c r="I291" s="37" t="n">
        <v>0</v>
      </c>
      <c r="J291" s="37" t="n">
        <v>4</v>
      </c>
      <c r="K291" s="16" t="n">
        <v>48</v>
      </c>
    </row>
    <row r="292">
      <c r="A292" s="30" t="n">
        <v>46311.625</v>
      </c>
      <c r="B292" s="30" t="n">
        <v>46311.65</v>
      </c>
      <c r="C292" s="9" t="n">
        <v>46326</v>
      </c>
      <c r="D292" s="10" t="n">
        <v>0.8854166666666666</v>
      </c>
      <c r="E292" s="36" t="n">
        <v>1</v>
      </c>
      <c r="F292" s="36" t="n">
        <v>0</v>
      </c>
      <c r="G292" s="36" t="n">
        <v>0</v>
      </c>
      <c r="H292" s="36" t="n">
        <v>1</v>
      </c>
      <c r="I292" s="36" t="n">
        <v>0</v>
      </c>
      <c r="J292" s="36" t="n">
        <v>4</v>
      </c>
      <c r="K292" s="12" t="n">
        <v>48</v>
      </c>
    </row>
    <row r="293">
      <c r="A293" s="33" t="n">
        <v>46311.66805555556</v>
      </c>
      <c r="B293" s="33" t="n">
        <v>46311.6875</v>
      </c>
      <c r="C293" s="13" t="n">
        <v>46320</v>
      </c>
      <c r="D293" s="14" t="n">
        <v>0.9270833333333334</v>
      </c>
      <c r="E293" s="37" t="n">
        <v>1</v>
      </c>
      <c r="F293" s="37" t="n">
        <v>1</v>
      </c>
      <c r="G293" s="37" t="n">
        <v>0</v>
      </c>
      <c r="H293" s="37" t="n">
        <v>0</v>
      </c>
      <c r="I293" s="37" t="n">
        <v>0</v>
      </c>
      <c r="J293" s="37" t="n">
        <v>2</v>
      </c>
      <c r="K293" s="16" t="n">
        <v>24</v>
      </c>
    </row>
    <row r="294">
      <c r="A294" s="30" t="n">
        <v>46311.70972222222</v>
      </c>
      <c r="B294" s="30" t="n">
        <v>46311.72638888889</v>
      </c>
      <c r="C294" s="9" t="n">
        <v>46318</v>
      </c>
      <c r="D294" s="10" t="n">
        <v>0.84375</v>
      </c>
      <c r="E294" s="36" t="n">
        <v>3</v>
      </c>
      <c r="F294" s="36" t="n">
        <v>1</v>
      </c>
      <c r="G294" s="36" t="n">
        <v>1</v>
      </c>
      <c r="H294" s="36" t="n">
        <v>1</v>
      </c>
      <c r="I294" s="36" t="n">
        <v>0</v>
      </c>
      <c r="J294" s="36" t="n">
        <v>9</v>
      </c>
      <c r="K294" s="12" t="n">
        <v>108</v>
      </c>
    </row>
    <row r="295">
      <c r="A295" s="33" t="n">
        <v>46311.70972222222</v>
      </c>
      <c r="B295" s="33" t="n">
        <v>46311.72638888889</v>
      </c>
      <c r="C295" s="13" t="n">
        <v>46320</v>
      </c>
      <c r="D295" s="14" t="n">
        <v>0.8854166666666666</v>
      </c>
      <c r="E295" s="37" t="n">
        <v>2</v>
      </c>
      <c r="F295" s="37" t="n">
        <v>2</v>
      </c>
      <c r="G295" s="37" t="n">
        <v>0</v>
      </c>
      <c r="H295" s="37" t="n">
        <v>0</v>
      </c>
      <c r="I295" s="37" t="n">
        <v>0</v>
      </c>
      <c r="J295" s="37" t="n">
        <v>4</v>
      </c>
      <c r="K295" s="16" t="n">
        <v>48</v>
      </c>
    </row>
    <row r="296">
      <c r="A296" s="30" t="n">
        <v>46311.72638888889</v>
      </c>
      <c r="B296" s="30" t="n">
        <v>46311.76875</v>
      </c>
      <c r="C296" s="9" t="n">
        <v>46318</v>
      </c>
      <c r="D296" s="10" t="n">
        <v>0.8854166666666666</v>
      </c>
      <c r="E296" s="36" t="n">
        <v>1</v>
      </c>
      <c r="F296" s="36" t="n">
        <v>0</v>
      </c>
      <c r="G296" s="36" t="n">
        <v>0</v>
      </c>
      <c r="H296" s="36" t="n">
        <v>1</v>
      </c>
      <c r="I296" s="36" t="n">
        <v>0</v>
      </c>
      <c r="J296" s="36" t="n">
        <v>4</v>
      </c>
      <c r="K296" s="12" t="n">
        <v>48</v>
      </c>
    </row>
    <row r="297">
      <c r="A297" s="33" t="n">
        <v>46311.76875</v>
      </c>
      <c r="B297" s="33" t="n">
        <v>46311.80833333333</v>
      </c>
      <c r="C297" s="13" t="n">
        <v>46319</v>
      </c>
      <c r="D297" s="14" t="n">
        <v>0.9270833333333334</v>
      </c>
      <c r="E297" s="37" t="n">
        <v>1</v>
      </c>
      <c r="F297" s="37" t="n">
        <v>1</v>
      </c>
      <c r="G297" s="37" t="n">
        <v>0</v>
      </c>
      <c r="H297" s="37" t="n">
        <v>0</v>
      </c>
      <c r="I297" s="37" t="n">
        <v>0</v>
      </c>
      <c r="J297" s="37" t="n">
        <v>2</v>
      </c>
      <c r="K297" s="16" t="n">
        <v>24</v>
      </c>
    </row>
    <row r="298">
      <c r="A298" s="30" t="n">
        <v>46311.76875</v>
      </c>
      <c r="B298" s="30" t="n">
        <v>46311.80833333333</v>
      </c>
      <c r="C298" s="9" t="n">
        <v>46325</v>
      </c>
      <c r="D298" s="10" t="n">
        <v>0.9993055555555556</v>
      </c>
      <c r="E298" s="36" t="n">
        <v>1</v>
      </c>
      <c r="F298" s="36" t="n">
        <v>1</v>
      </c>
      <c r="G298" s="36" t="n">
        <v>0</v>
      </c>
      <c r="H298" s="36" t="n">
        <v>0</v>
      </c>
      <c r="I298" s="36" t="n">
        <v>0</v>
      </c>
      <c r="J298" s="36" t="n">
        <v>2</v>
      </c>
      <c r="K298" s="12" t="n">
        <v>24</v>
      </c>
    </row>
    <row r="299">
      <c r="A299" s="33" t="n">
        <v>46311.80833333333</v>
      </c>
      <c r="B299" s="33" t="n">
        <v>46311.84444444445</v>
      </c>
      <c r="C299" s="13" t="n">
        <v>46318</v>
      </c>
      <c r="D299" s="14" t="n">
        <v>0.8854166666666666</v>
      </c>
      <c r="E299" s="37" t="n">
        <v>1</v>
      </c>
      <c r="F299" s="37" t="n">
        <v>0</v>
      </c>
      <c r="G299" s="37" t="n">
        <v>1</v>
      </c>
      <c r="H299" s="37" t="n">
        <v>0</v>
      </c>
      <c r="I299" s="37" t="n">
        <v>0</v>
      </c>
      <c r="J299" s="37" t="n">
        <v>3</v>
      </c>
      <c r="K299" s="16" t="n">
        <v>36</v>
      </c>
    </row>
    <row r="300">
      <c r="A300" s="30" t="n">
        <v>46311.80833333333</v>
      </c>
      <c r="B300" s="30" t="n">
        <v>46311.84444444445</v>
      </c>
      <c r="C300" s="9" t="n">
        <v>46319</v>
      </c>
      <c r="D300" s="10" t="n">
        <v>0.9270833333333334</v>
      </c>
      <c r="E300" s="36" t="n">
        <v>1</v>
      </c>
      <c r="F300" s="36" t="n">
        <v>0</v>
      </c>
      <c r="G300" s="36" t="n">
        <v>0</v>
      </c>
      <c r="H300" s="36" t="n">
        <v>0</v>
      </c>
      <c r="I300" s="36" t="n">
        <v>1</v>
      </c>
      <c r="J300" s="36" t="n">
        <v>5</v>
      </c>
      <c r="K300" s="12" t="n">
        <v>60</v>
      </c>
    </row>
    <row r="301">
      <c r="A301" s="33" t="n">
        <v>46311.85208333333</v>
      </c>
      <c r="B301" s="33" t="n">
        <v>46311.87847222222</v>
      </c>
      <c r="C301" s="13" t="n">
        <v>46318</v>
      </c>
      <c r="D301" s="14" t="n">
        <v>0.9986111111111111</v>
      </c>
      <c r="E301" s="37" t="n">
        <v>1</v>
      </c>
      <c r="F301" s="37" t="n">
        <v>0</v>
      </c>
      <c r="G301" s="37" t="n">
        <v>0</v>
      </c>
      <c r="H301" s="37" t="n">
        <v>1</v>
      </c>
      <c r="I301" s="37" t="n">
        <v>0</v>
      </c>
      <c r="J301" s="37" t="n">
        <v>4</v>
      </c>
      <c r="K301" s="16" t="n">
        <v>48</v>
      </c>
    </row>
    <row r="302">
      <c r="A302" s="30" t="n">
        <v>46311.92361111111</v>
      </c>
      <c r="B302" s="30" t="n">
        <v>46311.93263888889</v>
      </c>
      <c r="C302" s="9" t="n">
        <v>46318</v>
      </c>
      <c r="D302" s="10" t="n">
        <v>0.9270833333333334</v>
      </c>
      <c r="E302" s="36" t="n">
        <v>1</v>
      </c>
      <c r="F302" s="36" t="n">
        <v>0</v>
      </c>
      <c r="G302" s="36" t="n">
        <v>0</v>
      </c>
      <c r="H302" s="36" t="n">
        <v>1</v>
      </c>
      <c r="I302" s="36" t="n">
        <v>0</v>
      </c>
      <c r="J302" s="36" t="n">
        <v>4</v>
      </c>
      <c r="K302" s="12" t="n">
        <v>48</v>
      </c>
    </row>
    <row r="303">
      <c r="A303" s="33" t="n">
        <v>46311.93263888889</v>
      </c>
      <c r="B303" s="33" t="n">
        <v>46311.95416666667</v>
      </c>
      <c r="C303" s="13" t="n">
        <v>46318</v>
      </c>
      <c r="D303" s="14" t="n">
        <v>0.8854166666666666</v>
      </c>
      <c r="E303" s="37" t="n">
        <v>1</v>
      </c>
      <c r="F303" s="37" t="n">
        <v>0</v>
      </c>
      <c r="G303" s="37" t="n">
        <v>1</v>
      </c>
      <c r="H303" s="37" t="n">
        <v>0</v>
      </c>
      <c r="I303" s="37" t="n">
        <v>0</v>
      </c>
      <c r="J303" s="37" t="n">
        <v>3</v>
      </c>
      <c r="K303" s="16" t="n">
        <v>36</v>
      </c>
    </row>
    <row r="304">
      <c r="A304" s="30" t="n">
        <v>46311.93263888889</v>
      </c>
      <c r="B304" s="30" t="n">
        <v>46311.95416666667</v>
      </c>
      <c r="C304" s="9" t="n">
        <v>46326</v>
      </c>
      <c r="D304" s="10" t="n">
        <v>0.8854166666666666</v>
      </c>
      <c r="E304" s="36" t="n">
        <v>1</v>
      </c>
      <c r="F304" s="36" t="n">
        <v>0</v>
      </c>
      <c r="G304" s="36" t="n">
        <v>0</v>
      </c>
      <c r="H304" s="36" t="n">
        <v>1</v>
      </c>
      <c r="I304" s="36" t="n">
        <v>0</v>
      </c>
      <c r="J304" s="36" t="n">
        <v>4</v>
      </c>
      <c r="K304" s="12" t="n">
        <v>48</v>
      </c>
    </row>
    <row r="305">
      <c r="A305" s="33" t="n">
        <v>46311.95416666667</v>
      </c>
      <c r="B305" s="33" t="n">
        <v>46311.975</v>
      </c>
      <c r="C305" s="13" t="n">
        <v>46319</v>
      </c>
      <c r="D305" s="14" t="n">
        <v>0.8854166666666666</v>
      </c>
      <c r="E305" s="37" t="n">
        <v>1</v>
      </c>
      <c r="F305" s="37" t="n">
        <v>0</v>
      </c>
      <c r="G305" s="37" t="n">
        <v>0</v>
      </c>
      <c r="H305" s="37" t="n">
        <v>1</v>
      </c>
      <c r="I305" s="37" t="n">
        <v>0</v>
      </c>
      <c r="J305" s="37" t="n">
        <v>4</v>
      </c>
      <c r="K305" s="16" t="n">
        <v>48</v>
      </c>
    </row>
    <row r="306">
      <c r="A306" s="30" t="n">
        <v>46311.975</v>
      </c>
      <c r="B306" s="30" t="n">
        <v>46312.00902777778</v>
      </c>
      <c r="C306" s="9" t="n">
        <v>46318</v>
      </c>
      <c r="D306" s="10" t="n">
        <v>0.96875</v>
      </c>
      <c r="E306" s="36" t="n">
        <v>1</v>
      </c>
      <c r="F306" s="36" t="n">
        <v>1</v>
      </c>
      <c r="G306" s="36" t="n">
        <v>0</v>
      </c>
      <c r="H306" s="36" t="n">
        <v>0</v>
      </c>
      <c r="I306" s="36" t="n">
        <v>0</v>
      </c>
      <c r="J306" s="36" t="n">
        <v>2</v>
      </c>
      <c r="K306" s="12" t="n">
        <v>24</v>
      </c>
    </row>
    <row r="307">
      <c r="A307" s="33" t="n">
        <v>46311.975</v>
      </c>
      <c r="B307" s="33" t="n">
        <v>46312.00902777778</v>
      </c>
      <c r="C307" s="13" t="n">
        <v>46319</v>
      </c>
      <c r="D307" s="14" t="n">
        <v>0.96875</v>
      </c>
      <c r="E307" s="37" t="n">
        <v>2</v>
      </c>
      <c r="F307" s="37" t="n">
        <v>1</v>
      </c>
      <c r="G307" s="37" t="n">
        <v>0</v>
      </c>
      <c r="H307" s="37" t="n">
        <v>1</v>
      </c>
      <c r="I307" s="37" t="n">
        <v>0</v>
      </c>
      <c r="J307" s="37" t="n">
        <v>6</v>
      </c>
      <c r="K307" s="16" t="n">
        <v>72</v>
      </c>
    </row>
    <row r="308">
      <c r="A308" s="30" t="n">
        <v>46312.01666666667</v>
      </c>
      <c r="B308" s="30" t="n">
        <v>46312.05625</v>
      </c>
      <c r="C308" s="9" t="n">
        <v>46318</v>
      </c>
      <c r="D308" s="10" t="n">
        <v>0.9270833333333334</v>
      </c>
      <c r="E308" s="36" t="n">
        <v>1</v>
      </c>
      <c r="F308" s="36" t="n">
        <v>0</v>
      </c>
      <c r="G308" s="36" t="n">
        <v>0</v>
      </c>
      <c r="H308" s="36" t="n">
        <v>0</v>
      </c>
      <c r="I308" s="36" t="n">
        <v>1</v>
      </c>
      <c r="J308" s="36" t="n">
        <v>5</v>
      </c>
      <c r="K308" s="12" t="n">
        <v>60</v>
      </c>
    </row>
    <row r="309">
      <c r="A309" s="33" t="n">
        <v>46312.05625</v>
      </c>
      <c r="B309" s="33" t="n">
        <v>46312.10555555556</v>
      </c>
      <c r="C309" s="13" t="n">
        <v>46320</v>
      </c>
      <c r="D309" s="14" t="n">
        <v>0.8854166666666666</v>
      </c>
      <c r="E309" s="37" t="n">
        <v>1</v>
      </c>
      <c r="F309" s="37" t="n">
        <v>1</v>
      </c>
      <c r="G309" s="37" t="n">
        <v>0</v>
      </c>
      <c r="H309" s="37" t="n">
        <v>0</v>
      </c>
      <c r="I309" s="37" t="n">
        <v>0</v>
      </c>
      <c r="J309" s="37" t="n">
        <v>2</v>
      </c>
      <c r="K309" s="16" t="n">
        <v>24</v>
      </c>
    </row>
    <row r="310">
      <c r="A310" s="30" t="n">
        <v>46312.36388888889</v>
      </c>
      <c r="B310" s="30" t="n">
        <v>46312.39583333334</v>
      </c>
      <c r="C310" s="9" t="n">
        <v>46318</v>
      </c>
      <c r="D310" s="10" t="n">
        <v>0.9270833333333334</v>
      </c>
      <c r="E310" s="36" t="n">
        <v>1</v>
      </c>
      <c r="F310" s="36" t="n">
        <v>0</v>
      </c>
      <c r="G310" s="36" t="n">
        <v>0</v>
      </c>
      <c r="H310" s="36" t="n">
        <v>0</v>
      </c>
      <c r="I310" s="36" t="n">
        <v>1</v>
      </c>
      <c r="J310" s="36" t="n">
        <v>5</v>
      </c>
      <c r="K310" s="12" t="n">
        <v>60</v>
      </c>
    </row>
    <row r="311">
      <c r="A311" s="33" t="n">
        <v>46312.43263888889</v>
      </c>
      <c r="B311" s="33" t="n">
        <v>46312.47361111111</v>
      </c>
      <c r="C311" s="13" t="n">
        <v>46319</v>
      </c>
      <c r="D311" s="14" t="n">
        <v>0.96875</v>
      </c>
      <c r="E311" s="37" t="n">
        <v>1</v>
      </c>
      <c r="F311" s="37" t="n">
        <v>1</v>
      </c>
      <c r="G311" s="37" t="n">
        <v>0</v>
      </c>
      <c r="H311" s="37" t="n">
        <v>0</v>
      </c>
      <c r="I311" s="37" t="n">
        <v>0</v>
      </c>
      <c r="J311" s="37" t="n">
        <v>2</v>
      </c>
      <c r="K311" s="16" t="n">
        <v>24</v>
      </c>
    </row>
    <row r="312">
      <c r="A312" s="30" t="n">
        <v>46312.47361111111</v>
      </c>
      <c r="B312" s="30" t="n">
        <v>46312.51527777778</v>
      </c>
      <c r="C312" s="9" t="n">
        <v>46318</v>
      </c>
      <c r="D312" s="10" t="n">
        <v>0.84375</v>
      </c>
      <c r="E312" s="36" t="n">
        <v>1</v>
      </c>
      <c r="F312" s="36" t="n">
        <v>0</v>
      </c>
      <c r="G312" s="36" t="n">
        <v>1</v>
      </c>
      <c r="H312" s="36" t="n">
        <v>0</v>
      </c>
      <c r="I312" s="36" t="n">
        <v>0</v>
      </c>
      <c r="J312" s="36" t="n">
        <v>3</v>
      </c>
      <c r="K312" s="12" t="n">
        <v>36</v>
      </c>
    </row>
    <row r="313">
      <c r="A313" s="33" t="n">
        <v>46312.51527777778</v>
      </c>
      <c r="B313" s="33" t="n">
        <v>46312.55694444444</v>
      </c>
      <c r="C313" s="13" t="n">
        <v>46325</v>
      </c>
      <c r="D313" s="14" t="n">
        <v>0.96875</v>
      </c>
      <c r="E313" s="37" t="n">
        <v>1</v>
      </c>
      <c r="F313" s="37" t="n">
        <v>1</v>
      </c>
      <c r="G313" s="37" t="n">
        <v>0</v>
      </c>
      <c r="H313" s="37" t="n">
        <v>0</v>
      </c>
      <c r="I313" s="37" t="n">
        <v>0</v>
      </c>
      <c r="J313" s="37" t="n">
        <v>2</v>
      </c>
      <c r="K313" s="16" t="n">
        <v>24</v>
      </c>
    </row>
    <row r="314">
      <c r="A314" s="30" t="n">
        <v>46312.55694444444</v>
      </c>
      <c r="B314" s="30" t="n">
        <v>46312.60069444445</v>
      </c>
      <c r="C314" s="9" t="n">
        <v>46319</v>
      </c>
      <c r="D314" s="10" t="n">
        <v>0.84375</v>
      </c>
      <c r="E314" s="36" t="n">
        <v>1</v>
      </c>
      <c r="F314" s="36" t="n">
        <v>0</v>
      </c>
      <c r="G314" s="36" t="n">
        <v>0</v>
      </c>
      <c r="H314" s="36" t="n">
        <v>0</v>
      </c>
      <c r="I314" s="36" t="n">
        <v>1</v>
      </c>
      <c r="J314" s="36" t="n">
        <v>5</v>
      </c>
      <c r="K314" s="12" t="n">
        <v>60</v>
      </c>
    </row>
    <row r="315">
      <c r="A315" s="33" t="n">
        <v>46312.55694444444</v>
      </c>
      <c r="B315" s="33" t="n">
        <v>46312.60069444445</v>
      </c>
      <c r="C315" s="13" t="n">
        <v>46319</v>
      </c>
      <c r="D315" s="14" t="n">
        <v>0.96875</v>
      </c>
      <c r="E315" s="37" t="n">
        <v>1</v>
      </c>
      <c r="F315" s="37" t="n">
        <v>0</v>
      </c>
      <c r="G315" s="37" t="n">
        <v>1</v>
      </c>
      <c r="H315" s="37" t="n">
        <v>0</v>
      </c>
      <c r="I315" s="37" t="n">
        <v>0</v>
      </c>
      <c r="J315" s="37" t="n">
        <v>3</v>
      </c>
      <c r="K315" s="16" t="n">
        <v>36</v>
      </c>
    </row>
    <row r="316">
      <c r="A316" s="30" t="n">
        <v>46312.55694444444</v>
      </c>
      <c r="B316" s="30" t="n">
        <v>46312.60069444445</v>
      </c>
      <c r="C316" s="9" t="n">
        <v>46319</v>
      </c>
      <c r="D316" s="10" t="n">
        <v>0.9993055555555556</v>
      </c>
      <c r="E316" s="36" t="n">
        <v>2</v>
      </c>
      <c r="F316" s="36" t="n">
        <v>2</v>
      </c>
      <c r="G316" s="36" t="n">
        <v>0</v>
      </c>
      <c r="H316" s="36" t="n">
        <v>0</v>
      </c>
      <c r="I316" s="36" t="n">
        <v>0</v>
      </c>
      <c r="J316" s="36" t="n">
        <v>4</v>
      </c>
      <c r="K316" s="12" t="n">
        <v>48</v>
      </c>
    </row>
    <row r="317">
      <c r="A317" s="33" t="n">
        <v>46312.55694444444</v>
      </c>
      <c r="B317" s="33" t="n">
        <v>46312.60069444445</v>
      </c>
      <c r="C317" s="13" t="n">
        <v>46326</v>
      </c>
      <c r="D317" s="14" t="n">
        <v>0.9270833333333334</v>
      </c>
      <c r="E317" s="37" t="n">
        <v>1</v>
      </c>
      <c r="F317" s="37" t="n">
        <v>0</v>
      </c>
      <c r="G317" s="37" t="n">
        <v>0</v>
      </c>
      <c r="H317" s="37" t="n">
        <v>1</v>
      </c>
      <c r="I317" s="37" t="n">
        <v>0</v>
      </c>
      <c r="J317" s="37" t="n">
        <v>4</v>
      </c>
      <c r="K317" s="16" t="n">
        <v>48</v>
      </c>
    </row>
    <row r="318">
      <c r="A318" s="30" t="n">
        <v>46312.60069444445</v>
      </c>
      <c r="B318" s="30" t="n">
        <v>46312.62986111111</v>
      </c>
      <c r="C318" s="9" t="n">
        <v>46318</v>
      </c>
      <c r="D318" s="10" t="n">
        <v>0.9986111111111111</v>
      </c>
      <c r="E318" s="36" t="n">
        <v>1</v>
      </c>
      <c r="F318" s="36" t="n">
        <v>0</v>
      </c>
      <c r="G318" s="36" t="n">
        <v>0</v>
      </c>
      <c r="H318" s="36" t="n">
        <v>1</v>
      </c>
      <c r="I318" s="36" t="n">
        <v>0</v>
      </c>
      <c r="J318" s="36" t="n">
        <v>4</v>
      </c>
      <c r="K318" s="12" t="n">
        <v>48</v>
      </c>
    </row>
    <row r="319">
      <c r="A319" s="33" t="n">
        <v>46312.64305555556</v>
      </c>
      <c r="B319" s="33" t="n">
        <v>46312.68194444444</v>
      </c>
      <c r="C319" s="13" t="n">
        <v>46318</v>
      </c>
      <c r="D319" s="14" t="n">
        <v>0.9270833333333334</v>
      </c>
      <c r="E319" s="37" t="n">
        <v>2</v>
      </c>
      <c r="F319" s="37" t="n">
        <v>0</v>
      </c>
      <c r="G319" s="37" t="n">
        <v>0</v>
      </c>
      <c r="H319" s="37" t="n">
        <v>1</v>
      </c>
      <c r="I319" s="37" t="n">
        <v>1</v>
      </c>
      <c r="J319" s="37" t="n">
        <v>9</v>
      </c>
      <c r="K319" s="16" t="n">
        <v>108</v>
      </c>
    </row>
    <row r="320">
      <c r="A320" s="30" t="n">
        <v>46312.64305555556</v>
      </c>
      <c r="B320" s="30" t="n">
        <v>46312.68194444444</v>
      </c>
      <c r="C320" s="9" t="n">
        <v>46319</v>
      </c>
      <c r="D320" s="10" t="n">
        <v>0.8854166666666666</v>
      </c>
      <c r="E320" s="36" t="n">
        <v>1</v>
      </c>
      <c r="F320" s="36" t="n">
        <v>1</v>
      </c>
      <c r="G320" s="36" t="n">
        <v>0</v>
      </c>
      <c r="H320" s="36" t="n">
        <v>0</v>
      </c>
      <c r="I320" s="36" t="n">
        <v>0</v>
      </c>
      <c r="J320" s="36" t="n">
        <v>2</v>
      </c>
      <c r="K320" s="12" t="n">
        <v>24</v>
      </c>
    </row>
    <row r="321">
      <c r="A321" s="33" t="n">
        <v>46312.64305555556</v>
      </c>
      <c r="B321" s="33" t="n">
        <v>46312.68194444444</v>
      </c>
      <c r="C321" s="13" t="n">
        <v>46319</v>
      </c>
      <c r="D321" s="14" t="n">
        <v>0.9993055555555556</v>
      </c>
      <c r="E321" s="37" t="n">
        <v>2</v>
      </c>
      <c r="F321" s="37" t="n">
        <v>2</v>
      </c>
      <c r="G321" s="37" t="n">
        <v>0</v>
      </c>
      <c r="H321" s="37" t="n">
        <v>0</v>
      </c>
      <c r="I321" s="37" t="n">
        <v>0</v>
      </c>
      <c r="J321" s="37" t="n">
        <v>4</v>
      </c>
      <c r="K321" s="16" t="n">
        <v>48</v>
      </c>
    </row>
    <row r="322">
      <c r="A322" s="30" t="n">
        <v>46312.68263888889</v>
      </c>
      <c r="B322" s="30" t="n">
        <v>46312.71388888889</v>
      </c>
      <c r="C322" s="9" t="n">
        <v>46326</v>
      </c>
      <c r="D322" s="10" t="n">
        <v>0.9270833333333334</v>
      </c>
      <c r="E322" s="36" t="n">
        <v>1</v>
      </c>
      <c r="F322" s="36" t="n">
        <v>1</v>
      </c>
      <c r="G322" s="36" t="n">
        <v>0</v>
      </c>
      <c r="H322" s="36" t="n">
        <v>0</v>
      </c>
      <c r="I322" s="36" t="n">
        <v>0</v>
      </c>
      <c r="J322" s="36" t="n">
        <v>2</v>
      </c>
      <c r="K322" s="12" t="n">
        <v>24</v>
      </c>
    </row>
    <row r="323">
      <c r="A323" s="33" t="n">
        <v>46312.72291666667</v>
      </c>
      <c r="B323" s="33" t="n">
        <v>46312.76527777778</v>
      </c>
      <c r="C323" s="13" t="n">
        <v>46324</v>
      </c>
      <c r="D323" s="14" t="n">
        <v>0.9993055555555556</v>
      </c>
      <c r="E323" s="37" t="n">
        <v>1</v>
      </c>
      <c r="F323" s="37" t="n">
        <v>1</v>
      </c>
      <c r="G323" s="37" t="n">
        <v>0</v>
      </c>
      <c r="H323" s="37" t="n">
        <v>0</v>
      </c>
      <c r="I323" s="37" t="n">
        <v>0</v>
      </c>
      <c r="J323" s="37" t="n">
        <v>2</v>
      </c>
      <c r="K323" s="16" t="n">
        <v>24</v>
      </c>
    </row>
    <row r="324">
      <c r="A324" s="30" t="n">
        <v>46312.76527777778</v>
      </c>
      <c r="B324" s="30" t="n">
        <v>46312.80625</v>
      </c>
      <c r="C324" s="9" t="n">
        <v>46318</v>
      </c>
      <c r="D324" s="10" t="n">
        <v>0.8854166666666666</v>
      </c>
      <c r="E324" s="36" t="n">
        <v>1</v>
      </c>
      <c r="F324" s="36" t="n">
        <v>0</v>
      </c>
      <c r="G324" s="36" t="n">
        <v>1</v>
      </c>
      <c r="H324" s="36" t="n">
        <v>0</v>
      </c>
      <c r="I324" s="36" t="n">
        <v>0</v>
      </c>
      <c r="J324" s="36" t="n">
        <v>3</v>
      </c>
      <c r="K324" s="12" t="n">
        <v>36</v>
      </c>
    </row>
    <row r="325">
      <c r="A325" s="33" t="n">
        <v>46312.76527777778</v>
      </c>
      <c r="B325" s="33" t="n">
        <v>46312.80625</v>
      </c>
      <c r="C325" s="13" t="n">
        <v>46318</v>
      </c>
      <c r="D325" s="14" t="n">
        <v>0.9270833333333334</v>
      </c>
      <c r="E325" s="37" t="n">
        <v>1</v>
      </c>
      <c r="F325" s="37" t="n">
        <v>1</v>
      </c>
      <c r="G325" s="37" t="n">
        <v>0</v>
      </c>
      <c r="H325" s="37" t="n">
        <v>0</v>
      </c>
      <c r="I325" s="37" t="n">
        <v>0</v>
      </c>
      <c r="J325" s="37" t="n">
        <v>2</v>
      </c>
      <c r="K325" s="16" t="n">
        <v>24</v>
      </c>
    </row>
    <row r="326">
      <c r="A326" s="30" t="n">
        <v>46312.76527777778</v>
      </c>
      <c r="B326" s="30" t="n">
        <v>46312.80625</v>
      </c>
      <c r="C326" s="9" t="n">
        <v>46326</v>
      </c>
      <c r="D326" s="10" t="n">
        <v>0.96875</v>
      </c>
      <c r="E326" s="36" t="n">
        <v>1</v>
      </c>
      <c r="F326" s="36" t="n">
        <v>1</v>
      </c>
      <c r="G326" s="36" t="n">
        <v>0</v>
      </c>
      <c r="H326" s="36" t="n">
        <v>0</v>
      </c>
      <c r="I326" s="36" t="n">
        <v>0</v>
      </c>
      <c r="J326" s="36" t="n">
        <v>2</v>
      </c>
      <c r="K326" s="12" t="n">
        <v>24</v>
      </c>
    </row>
    <row r="327">
      <c r="A327" s="33" t="n">
        <v>46312.80625</v>
      </c>
      <c r="B327" s="33" t="n">
        <v>46312.84861111111</v>
      </c>
      <c r="C327" s="13" t="n">
        <v>46318</v>
      </c>
      <c r="D327" s="14" t="n">
        <v>0.84375</v>
      </c>
      <c r="E327" s="37" t="n">
        <v>2</v>
      </c>
      <c r="F327" s="37" t="n">
        <v>0</v>
      </c>
      <c r="G327" s="37" t="n">
        <v>0</v>
      </c>
      <c r="H327" s="37" t="n">
        <v>1</v>
      </c>
      <c r="I327" s="37" t="n">
        <v>1</v>
      </c>
      <c r="J327" s="37" t="n">
        <v>9</v>
      </c>
      <c r="K327" s="16" t="n">
        <v>108</v>
      </c>
    </row>
    <row r="328">
      <c r="A328" s="30" t="n">
        <v>46312.80625</v>
      </c>
      <c r="B328" s="30" t="n">
        <v>46312.84861111111</v>
      </c>
      <c r="C328" s="9" t="n">
        <v>46320</v>
      </c>
      <c r="D328" s="10" t="n">
        <v>0.96875</v>
      </c>
      <c r="E328" s="36" t="n">
        <v>1</v>
      </c>
      <c r="F328" s="36" t="n">
        <v>0</v>
      </c>
      <c r="G328" s="36" t="n">
        <v>0</v>
      </c>
      <c r="H328" s="36" t="n">
        <v>1</v>
      </c>
      <c r="I328" s="36" t="n">
        <v>0</v>
      </c>
      <c r="J328" s="36" t="n">
        <v>4</v>
      </c>
      <c r="K328" s="12" t="n">
        <v>48</v>
      </c>
    </row>
    <row r="329">
      <c r="A329" s="33" t="n">
        <v>46312.80625</v>
      </c>
      <c r="B329" s="33" t="n">
        <v>46312.84861111111</v>
      </c>
      <c r="C329" s="13" t="n">
        <v>46326</v>
      </c>
      <c r="D329" s="14" t="n">
        <v>0.9270833333333334</v>
      </c>
      <c r="E329" s="37" t="n">
        <v>3</v>
      </c>
      <c r="F329" s="37" t="n">
        <v>0</v>
      </c>
      <c r="G329" s="37" t="n">
        <v>0</v>
      </c>
      <c r="H329" s="37" t="n">
        <v>3</v>
      </c>
      <c r="I329" s="37" t="n">
        <v>0</v>
      </c>
      <c r="J329" s="37" t="n">
        <v>12</v>
      </c>
      <c r="K329" s="16" t="n">
        <v>144</v>
      </c>
    </row>
    <row r="330">
      <c r="A330" s="30" t="n">
        <v>46312.84861111111</v>
      </c>
      <c r="B330" s="30" t="n">
        <v>46312.86458333334</v>
      </c>
      <c r="C330" s="9" t="n">
        <v>46319</v>
      </c>
      <c r="D330" s="10" t="n">
        <v>0.9993055555555556</v>
      </c>
      <c r="E330" s="36" t="n">
        <v>1</v>
      </c>
      <c r="F330" s="36" t="n">
        <v>1</v>
      </c>
      <c r="G330" s="36" t="n">
        <v>0</v>
      </c>
      <c r="H330" s="36" t="n">
        <v>0</v>
      </c>
      <c r="I330" s="36" t="n">
        <v>0</v>
      </c>
      <c r="J330" s="36" t="n">
        <v>2</v>
      </c>
      <c r="K330" s="12" t="n">
        <v>24</v>
      </c>
    </row>
    <row r="331">
      <c r="A331" s="33" t="n">
        <v>46312.86458333334</v>
      </c>
      <c r="B331" s="33" t="n">
        <v>46312.88888888889</v>
      </c>
      <c r="C331" s="13" t="n">
        <v>46318</v>
      </c>
      <c r="D331" s="14" t="n">
        <v>0.96875</v>
      </c>
      <c r="E331" s="37" t="n">
        <v>1</v>
      </c>
      <c r="F331" s="37" t="n">
        <v>1</v>
      </c>
      <c r="G331" s="37" t="n">
        <v>0</v>
      </c>
      <c r="H331" s="37" t="n">
        <v>0</v>
      </c>
      <c r="I331" s="37" t="n">
        <v>0</v>
      </c>
      <c r="J331" s="37" t="n">
        <v>2</v>
      </c>
      <c r="K331" s="16" t="n">
        <v>24</v>
      </c>
    </row>
    <row r="332">
      <c r="A332" s="30" t="n">
        <v>46312.86458333334</v>
      </c>
      <c r="B332" s="30" t="n">
        <v>46312.88888888889</v>
      </c>
      <c r="C332" s="9" t="n">
        <v>46325</v>
      </c>
      <c r="D332" s="10" t="n">
        <v>0.9270833333333334</v>
      </c>
      <c r="E332" s="36" t="n">
        <v>3</v>
      </c>
      <c r="F332" s="36" t="n">
        <v>0</v>
      </c>
      <c r="G332" s="36" t="n">
        <v>0</v>
      </c>
      <c r="H332" s="36" t="n">
        <v>3</v>
      </c>
      <c r="I332" s="36" t="n">
        <v>0</v>
      </c>
      <c r="J332" s="36" t="n">
        <v>12</v>
      </c>
      <c r="K332" s="12" t="n">
        <v>144</v>
      </c>
    </row>
    <row r="333">
      <c r="A333" s="33" t="n">
        <v>46312.86458333334</v>
      </c>
      <c r="B333" s="33" t="n">
        <v>46312.88888888889</v>
      </c>
      <c r="C333" s="13" t="n">
        <v>46326</v>
      </c>
      <c r="D333" s="14" t="n">
        <v>0.96875</v>
      </c>
      <c r="E333" s="37" t="n">
        <v>2</v>
      </c>
      <c r="F333" s="37" t="n">
        <v>2</v>
      </c>
      <c r="G333" s="37" t="n">
        <v>0</v>
      </c>
      <c r="H333" s="37" t="n">
        <v>0</v>
      </c>
      <c r="I333" s="37" t="n">
        <v>0</v>
      </c>
      <c r="J333" s="37" t="n">
        <v>4</v>
      </c>
      <c r="K333" s="16" t="n">
        <v>48</v>
      </c>
    </row>
    <row r="334">
      <c r="A334" s="30" t="n">
        <v>46312.88888888889</v>
      </c>
      <c r="B334" s="30" t="n">
        <v>46312.90555555555</v>
      </c>
      <c r="C334" s="9" t="n">
        <v>46318</v>
      </c>
      <c r="D334" s="10" t="n">
        <v>0.8854166666666666</v>
      </c>
      <c r="E334" s="36" t="n">
        <v>1</v>
      </c>
      <c r="F334" s="36" t="n">
        <v>1</v>
      </c>
      <c r="G334" s="36" t="n">
        <v>0</v>
      </c>
      <c r="H334" s="36" t="n">
        <v>0</v>
      </c>
      <c r="I334" s="36" t="n">
        <v>0</v>
      </c>
      <c r="J334" s="36" t="n">
        <v>2</v>
      </c>
      <c r="K334" s="12" t="n">
        <v>24</v>
      </c>
    </row>
    <row r="335">
      <c r="A335" s="33" t="n">
        <v>46312.88888888889</v>
      </c>
      <c r="B335" s="33" t="n">
        <v>46312.90555555555</v>
      </c>
      <c r="C335" s="13" t="n">
        <v>46324</v>
      </c>
      <c r="D335" s="14" t="n">
        <v>0.84375</v>
      </c>
      <c r="E335" s="37" t="n">
        <v>1</v>
      </c>
      <c r="F335" s="37" t="n">
        <v>0</v>
      </c>
      <c r="G335" s="37" t="n">
        <v>0</v>
      </c>
      <c r="H335" s="37" t="n">
        <v>0</v>
      </c>
      <c r="I335" s="37" t="n">
        <v>1</v>
      </c>
      <c r="J335" s="37" t="n">
        <v>5</v>
      </c>
      <c r="K335" s="16" t="n">
        <v>60</v>
      </c>
    </row>
    <row r="336">
      <c r="A336" s="30" t="n">
        <v>46312.88888888889</v>
      </c>
      <c r="B336" s="30" t="n">
        <v>46312.90555555555</v>
      </c>
      <c r="C336" s="9" t="n">
        <v>46326</v>
      </c>
      <c r="D336" s="10" t="n">
        <v>0.84375</v>
      </c>
      <c r="E336" s="36" t="n">
        <v>1</v>
      </c>
      <c r="F336" s="36" t="n">
        <v>0</v>
      </c>
      <c r="G336" s="36" t="n">
        <v>0</v>
      </c>
      <c r="H336" s="36" t="n">
        <v>1</v>
      </c>
      <c r="I336" s="36" t="n">
        <v>0</v>
      </c>
      <c r="J336" s="36" t="n">
        <v>4</v>
      </c>
      <c r="K336" s="12" t="n">
        <v>48</v>
      </c>
    </row>
    <row r="337">
      <c r="A337" s="33" t="n">
        <v>46312.88888888889</v>
      </c>
      <c r="B337" s="33" t="n">
        <v>46312.90555555555</v>
      </c>
      <c r="C337" s="13" t="n">
        <v>46326</v>
      </c>
      <c r="D337" s="14" t="n">
        <v>0.9270833333333334</v>
      </c>
      <c r="E337" s="37" t="n">
        <v>-3</v>
      </c>
      <c r="F337" s="37" t="n">
        <v>0</v>
      </c>
      <c r="G337" s="37" t="n">
        <v>0</v>
      </c>
      <c r="H337" s="37" t="n">
        <v>-3</v>
      </c>
      <c r="I337" s="37" t="n">
        <v>0</v>
      </c>
      <c r="J337" s="37" t="n">
        <v>-12</v>
      </c>
      <c r="K337" s="16" t="n">
        <v>-144</v>
      </c>
    </row>
    <row r="338">
      <c r="A338" s="30" t="n">
        <v>46312.90555555555</v>
      </c>
      <c r="B338" s="30" t="n">
        <v>46312.93055555555</v>
      </c>
      <c r="C338" s="9" t="n">
        <v>46318</v>
      </c>
      <c r="D338" s="10" t="n">
        <v>0.8854166666666666</v>
      </c>
      <c r="E338" s="36" t="n">
        <v>1</v>
      </c>
      <c r="F338" s="36" t="n">
        <v>1</v>
      </c>
      <c r="G338" s="36" t="n">
        <v>0</v>
      </c>
      <c r="H338" s="36" t="n">
        <v>0</v>
      </c>
      <c r="I338" s="36" t="n">
        <v>0</v>
      </c>
      <c r="J338" s="36" t="n">
        <v>2</v>
      </c>
      <c r="K338" s="12" t="n">
        <v>24</v>
      </c>
    </row>
    <row r="339">
      <c r="A339" s="33" t="n">
        <v>46312.90555555555</v>
      </c>
      <c r="B339" s="33" t="n">
        <v>46312.93055555555</v>
      </c>
      <c r="C339" s="13" t="n">
        <v>46319</v>
      </c>
      <c r="D339" s="14" t="n">
        <v>0.8854166666666666</v>
      </c>
      <c r="E339" s="37" t="n">
        <v>1</v>
      </c>
      <c r="F339" s="37" t="n">
        <v>0</v>
      </c>
      <c r="G339" s="37" t="n">
        <v>0</v>
      </c>
      <c r="H339" s="37" t="n">
        <v>0</v>
      </c>
      <c r="I339" s="37" t="n">
        <v>1</v>
      </c>
      <c r="J339" s="37" t="n">
        <v>5</v>
      </c>
      <c r="K339" s="16" t="n">
        <v>60</v>
      </c>
    </row>
    <row r="340">
      <c r="A340" s="30" t="n">
        <v>46312.90555555555</v>
      </c>
      <c r="B340" s="30" t="n">
        <v>46312.93055555555</v>
      </c>
      <c r="C340" s="9" t="n">
        <v>46326</v>
      </c>
      <c r="D340" s="10" t="n">
        <v>0.96875</v>
      </c>
      <c r="E340" s="36" t="n">
        <v>1</v>
      </c>
      <c r="F340" s="36" t="n">
        <v>0</v>
      </c>
      <c r="G340" s="36" t="n">
        <v>0</v>
      </c>
      <c r="H340" s="36" t="n">
        <v>1</v>
      </c>
      <c r="I340" s="36" t="n">
        <v>0</v>
      </c>
      <c r="J340" s="36" t="n">
        <v>4</v>
      </c>
      <c r="K340" s="12" t="n">
        <v>48</v>
      </c>
    </row>
    <row r="341">
      <c r="A341" s="33" t="n">
        <v>46312.99236111111</v>
      </c>
      <c r="B341" s="33" t="n">
        <v>46313.01388888889</v>
      </c>
      <c r="C341" s="13" t="n">
        <v>46318</v>
      </c>
      <c r="D341" s="14" t="n">
        <v>0.96875</v>
      </c>
      <c r="E341" s="37" t="n">
        <v>1</v>
      </c>
      <c r="F341" s="37" t="n">
        <v>0</v>
      </c>
      <c r="G341" s="37" t="n">
        <v>1</v>
      </c>
      <c r="H341" s="37" t="n">
        <v>0</v>
      </c>
      <c r="I341" s="37" t="n">
        <v>0</v>
      </c>
      <c r="J341" s="37" t="n">
        <v>3</v>
      </c>
      <c r="K341" s="16" t="n">
        <v>36</v>
      </c>
    </row>
    <row r="342">
      <c r="A342" s="30" t="n">
        <v>46312.99236111111</v>
      </c>
      <c r="B342" s="30" t="n">
        <v>46313.01388888889</v>
      </c>
      <c r="C342" s="9" t="n">
        <v>46326</v>
      </c>
      <c r="D342" s="10" t="n">
        <v>0.84375</v>
      </c>
      <c r="E342" s="36" t="n">
        <v>4</v>
      </c>
      <c r="F342" s="36" t="n">
        <v>0</v>
      </c>
      <c r="G342" s="36" t="n">
        <v>0</v>
      </c>
      <c r="H342" s="36" t="n">
        <v>0</v>
      </c>
      <c r="I342" s="36" t="n">
        <v>4</v>
      </c>
      <c r="J342" s="36" t="n">
        <v>20</v>
      </c>
      <c r="K342" s="12" t="n">
        <v>240</v>
      </c>
    </row>
    <row r="343">
      <c r="A343" s="33" t="n">
        <v>46313.01388888889</v>
      </c>
      <c r="B343" s="33" t="n">
        <v>46313.05347222222</v>
      </c>
      <c r="C343" s="13" t="n">
        <v>46326</v>
      </c>
      <c r="D343" s="14" t="n">
        <v>0.84375</v>
      </c>
      <c r="E343" s="37" t="n">
        <v>-2</v>
      </c>
      <c r="F343" s="37" t="n">
        <v>0</v>
      </c>
      <c r="G343" s="37" t="n">
        <v>0</v>
      </c>
      <c r="H343" s="37" t="n">
        <v>0</v>
      </c>
      <c r="I343" s="37" t="n">
        <v>-2</v>
      </c>
      <c r="J343" s="37" t="n">
        <v>-10</v>
      </c>
      <c r="K343" s="16" t="n">
        <v>-120</v>
      </c>
    </row>
    <row r="344">
      <c r="A344" s="30" t="n">
        <v>46313.01388888889</v>
      </c>
      <c r="B344" s="30" t="n">
        <v>46313.05347222222</v>
      </c>
      <c r="C344" s="9" t="n">
        <v>46326</v>
      </c>
      <c r="D344" s="10" t="n">
        <v>0.8854166666666666</v>
      </c>
      <c r="E344" s="36" t="n">
        <v>1</v>
      </c>
      <c r="F344" s="36" t="n">
        <v>0</v>
      </c>
      <c r="G344" s="36" t="n">
        <v>0</v>
      </c>
      <c r="H344" s="36" t="n">
        <v>1</v>
      </c>
      <c r="I344" s="36" t="n">
        <v>0</v>
      </c>
      <c r="J344" s="36" t="n">
        <v>4</v>
      </c>
      <c r="K344" s="12" t="n">
        <v>48</v>
      </c>
    </row>
    <row r="345">
      <c r="A345" s="33" t="n">
        <v>46313.05347222222</v>
      </c>
      <c r="B345" s="33" t="n">
        <v>46313.10486111111</v>
      </c>
      <c r="C345" s="13" t="n">
        <v>46320</v>
      </c>
      <c r="D345" s="14" t="n">
        <v>0.8854166666666666</v>
      </c>
      <c r="E345" s="37" t="n">
        <v>1</v>
      </c>
      <c r="F345" s="37" t="n">
        <v>0</v>
      </c>
      <c r="G345" s="37" t="n">
        <v>0</v>
      </c>
      <c r="H345" s="37" t="n">
        <v>1</v>
      </c>
      <c r="I345" s="37" t="n">
        <v>0</v>
      </c>
      <c r="J345" s="37" t="n">
        <v>4</v>
      </c>
      <c r="K345" s="16" t="n">
        <v>48</v>
      </c>
    </row>
    <row r="346">
      <c r="A346" s="30" t="n">
        <v>46313.10486111111</v>
      </c>
      <c r="B346" s="30" t="n">
        <v>46313.14513888889</v>
      </c>
      <c r="C346" s="9" t="n">
        <v>46326</v>
      </c>
      <c r="D346" s="10" t="n">
        <v>0.9993055555555556</v>
      </c>
      <c r="E346" s="36" t="n">
        <v>2</v>
      </c>
      <c r="F346" s="36" t="n">
        <v>0</v>
      </c>
      <c r="G346" s="36" t="n">
        <v>0</v>
      </c>
      <c r="H346" s="36" t="n">
        <v>1</v>
      </c>
      <c r="I346" s="36" t="n">
        <v>1</v>
      </c>
      <c r="J346" s="36" t="n">
        <v>9</v>
      </c>
      <c r="K346" s="12" t="n">
        <v>108</v>
      </c>
    </row>
    <row r="347">
      <c r="A347" s="33" t="n">
        <v>46313.14513888889</v>
      </c>
      <c r="B347" s="33" t="n">
        <v>46313.18333333333</v>
      </c>
      <c r="C347" s="13" t="n">
        <v>46324</v>
      </c>
      <c r="D347" s="14" t="n">
        <v>0.96875</v>
      </c>
      <c r="E347" s="37" t="n">
        <v>2</v>
      </c>
      <c r="F347" s="37" t="n">
        <v>2</v>
      </c>
      <c r="G347" s="37" t="n">
        <v>0</v>
      </c>
      <c r="H347" s="37" t="n">
        <v>0</v>
      </c>
      <c r="I347" s="37" t="n">
        <v>0</v>
      </c>
      <c r="J347" s="37" t="n">
        <v>4</v>
      </c>
      <c r="K347" s="16" t="n">
        <v>48</v>
      </c>
    </row>
    <row r="348">
      <c r="A348" s="30" t="n">
        <v>46313.43263888889</v>
      </c>
      <c r="B348" s="30" t="n">
        <v>46313.47430555556</v>
      </c>
      <c r="C348" s="9" t="n">
        <v>46318</v>
      </c>
      <c r="D348" s="10" t="n">
        <v>0.84375</v>
      </c>
      <c r="E348" s="36" t="n">
        <v>1</v>
      </c>
      <c r="F348" s="36" t="n">
        <v>0</v>
      </c>
      <c r="G348" s="36" t="n">
        <v>1</v>
      </c>
      <c r="H348" s="36" t="n">
        <v>0</v>
      </c>
      <c r="I348" s="36" t="n">
        <v>0</v>
      </c>
      <c r="J348" s="36" t="n">
        <v>3</v>
      </c>
      <c r="K348" s="12" t="n">
        <v>36</v>
      </c>
    </row>
    <row r="349">
      <c r="A349" s="33" t="n">
        <v>46313.43263888889</v>
      </c>
      <c r="B349" s="33" t="n">
        <v>46313.47430555556</v>
      </c>
      <c r="C349" s="13" t="n">
        <v>46319</v>
      </c>
      <c r="D349" s="14" t="n">
        <v>0.96875</v>
      </c>
      <c r="E349" s="37" t="n">
        <v>1</v>
      </c>
      <c r="F349" s="37" t="n">
        <v>1</v>
      </c>
      <c r="G349" s="37" t="n">
        <v>0</v>
      </c>
      <c r="H349" s="37" t="n">
        <v>0</v>
      </c>
      <c r="I349" s="37" t="n">
        <v>0</v>
      </c>
      <c r="J349" s="37" t="n">
        <v>2</v>
      </c>
      <c r="K349" s="16" t="n">
        <v>24</v>
      </c>
    </row>
    <row r="350">
      <c r="A350" s="30" t="n">
        <v>46313.43263888889</v>
      </c>
      <c r="B350" s="30" t="n">
        <v>46313.47430555556</v>
      </c>
      <c r="C350" s="9" t="n">
        <v>46320</v>
      </c>
      <c r="D350" s="10" t="n">
        <v>0.8854166666666666</v>
      </c>
      <c r="E350" s="36" t="n">
        <v>1</v>
      </c>
      <c r="F350" s="36" t="n">
        <v>0</v>
      </c>
      <c r="G350" s="36" t="n">
        <v>0</v>
      </c>
      <c r="H350" s="36" t="n">
        <v>1</v>
      </c>
      <c r="I350" s="36" t="n">
        <v>0</v>
      </c>
      <c r="J350" s="36" t="n">
        <v>4</v>
      </c>
      <c r="K350" s="12" t="n">
        <v>48</v>
      </c>
    </row>
    <row r="351">
      <c r="A351" s="33" t="n">
        <v>46313.47777777778</v>
      </c>
      <c r="B351" s="33" t="n">
        <v>46313.51527777778</v>
      </c>
      <c r="C351" s="13" t="n">
        <v>46320</v>
      </c>
      <c r="D351" s="14" t="n">
        <v>0.84375</v>
      </c>
      <c r="E351" s="37" t="n">
        <v>1</v>
      </c>
      <c r="F351" s="37" t="n">
        <v>0</v>
      </c>
      <c r="G351" s="37" t="n">
        <v>0</v>
      </c>
      <c r="H351" s="37" t="n">
        <v>0</v>
      </c>
      <c r="I351" s="37" t="n">
        <v>1</v>
      </c>
      <c r="J351" s="37" t="n">
        <v>5</v>
      </c>
      <c r="K351" s="16" t="n">
        <v>60</v>
      </c>
    </row>
    <row r="352">
      <c r="A352" s="30" t="n">
        <v>46313.51527777778</v>
      </c>
      <c r="B352" s="30" t="n">
        <v>46313.55625</v>
      </c>
      <c r="C352" s="9" t="n">
        <v>46320</v>
      </c>
      <c r="D352" s="10" t="n">
        <v>0.96875</v>
      </c>
      <c r="E352" s="36" t="n">
        <v>1</v>
      </c>
      <c r="F352" s="36" t="n">
        <v>0</v>
      </c>
      <c r="G352" s="36" t="n">
        <v>1</v>
      </c>
      <c r="H352" s="36" t="n">
        <v>0</v>
      </c>
      <c r="I352" s="36" t="n">
        <v>0</v>
      </c>
      <c r="J352" s="36" t="n">
        <v>3</v>
      </c>
      <c r="K352" s="12" t="n">
        <v>36</v>
      </c>
    </row>
    <row r="353">
      <c r="A353" s="33" t="n">
        <v>46313.55625</v>
      </c>
      <c r="B353" s="33" t="n">
        <v>46313.59513888889</v>
      </c>
      <c r="C353" s="13" t="n">
        <v>46318</v>
      </c>
      <c r="D353" s="14" t="n">
        <v>0.9270833333333334</v>
      </c>
      <c r="E353" s="37" t="n">
        <v>1</v>
      </c>
      <c r="F353" s="37" t="n">
        <v>1</v>
      </c>
      <c r="G353" s="37" t="n">
        <v>0</v>
      </c>
      <c r="H353" s="37" t="n">
        <v>0</v>
      </c>
      <c r="I353" s="37" t="n">
        <v>0</v>
      </c>
      <c r="J353" s="37" t="n">
        <v>2</v>
      </c>
      <c r="K353" s="16" t="n">
        <v>24</v>
      </c>
    </row>
    <row r="354">
      <c r="A354" s="30" t="n">
        <v>46313.55625</v>
      </c>
      <c r="B354" s="30" t="n">
        <v>46313.59513888889</v>
      </c>
      <c r="C354" s="9" t="n">
        <v>46318</v>
      </c>
      <c r="D354" s="10" t="n">
        <v>0.9986111111111111</v>
      </c>
      <c r="E354" s="36" t="n">
        <v>1</v>
      </c>
      <c r="F354" s="36" t="n">
        <v>0</v>
      </c>
      <c r="G354" s="36" t="n">
        <v>0</v>
      </c>
      <c r="H354" s="36" t="n">
        <v>0</v>
      </c>
      <c r="I354" s="36" t="n">
        <v>1</v>
      </c>
      <c r="J354" s="36" t="n">
        <v>5</v>
      </c>
      <c r="K354" s="12" t="n">
        <v>60</v>
      </c>
    </row>
    <row r="355">
      <c r="A355" s="33" t="n">
        <v>46313.55625</v>
      </c>
      <c r="B355" s="33" t="n">
        <v>46313.59513888889</v>
      </c>
      <c r="C355" s="13" t="n">
        <v>46327</v>
      </c>
      <c r="D355" s="14" t="n">
        <v>0.96875</v>
      </c>
      <c r="E355" s="37" t="n">
        <v>1</v>
      </c>
      <c r="F355" s="37" t="n">
        <v>0</v>
      </c>
      <c r="G355" s="37" t="n">
        <v>1</v>
      </c>
      <c r="H355" s="37" t="n">
        <v>0</v>
      </c>
      <c r="I355" s="37" t="n">
        <v>0</v>
      </c>
      <c r="J355" s="37" t="n">
        <v>3</v>
      </c>
      <c r="K355" s="16" t="n">
        <v>36</v>
      </c>
    </row>
    <row r="356">
      <c r="A356" s="30" t="n">
        <v>46313.60069444445</v>
      </c>
      <c r="B356" s="30" t="n">
        <v>46313.64305555556</v>
      </c>
      <c r="C356" s="9" t="n">
        <v>46318</v>
      </c>
      <c r="D356" s="10" t="n">
        <v>0.8854166666666666</v>
      </c>
      <c r="E356" s="36" t="n">
        <v>1</v>
      </c>
      <c r="F356" s="36" t="n">
        <v>1</v>
      </c>
      <c r="G356" s="36" t="n">
        <v>0</v>
      </c>
      <c r="H356" s="36" t="n">
        <v>0</v>
      </c>
      <c r="I356" s="36" t="n">
        <v>0</v>
      </c>
      <c r="J356" s="36" t="n">
        <v>2</v>
      </c>
      <c r="K356" s="12" t="n">
        <v>24</v>
      </c>
    </row>
    <row r="357">
      <c r="A357" s="33" t="n">
        <v>46313.60069444445</v>
      </c>
      <c r="B357" s="33" t="n">
        <v>46313.64305555556</v>
      </c>
      <c r="C357" s="13" t="n">
        <v>46318</v>
      </c>
      <c r="D357" s="14" t="n">
        <v>0.9270833333333334</v>
      </c>
      <c r="E357" s="37" t="n">
        <v>1</v>
      </c>
      <c r="F357" s="37" t="n">
        <v>0</v>
      </c>
      <c r="G357" s="37" t="n">
        <v>0</v>
      </c>
      <c r="H357" s="37" t="n">
        <v>1</v>
      </c>
      <c r="I357" s="37" t="n">
        <v>0</v>
      </c>
      <c r="J357" s="37" t="n">
        <v>4</v>
      </c>
      <c r="K357" s="16" t="n">
        <v>48</v>
      </c>
    </row>
    <row r="358">
      <c r="A358" s="30" t="n">
        <v>46313.60069444445</v>
      </c>
      <c r="B358" s="30" t="n">
        <v>46313.64305555556</v>
      </c>
      <c r="C358" s="9" t="n">
        <v>46318</v>
      </c>
      <c r="D358" s="10" t="n">
        <v>0.9986111111111111</v>
      </c>
      <c r="E358" s="36" t="n">
        <v>2</v>
      </c>
      <c r="F358" s="36" t="n">
        <v>0</v>
      </c>
      <c r="G358" s="36" t="n">
        <v>1</v>
      </c>
      <c r="H358" s="36" t="n">
        <v>1</v>
      </c>
      <c r="I358" s="36" t="n">
        <v>0</v>
      </c>
      <c r="J358" s="36" t="n">
        <v>7</v>
      </c>
      <c r="K358" s="12" t="n">
        <v>84</v>
      </c>
    </row>
    <row r="359">
      <c r="A359" s="33" t="n">
        <v>46313.64305555556</v>
      </c>
      <c r="B359" s="33" t="n">
        <v>46313.67291666667</v>
      </c>
      <c r="C359" s="13" t="n">
        <v>46326</v>
      </c>
      <c r="D359" s="14" t="n">
        <v>0.9270833333333334</v>
      </c>
      <c r="E359" s="37" t="n">
        <v>2</v>
      </c>
      <c r="F359" s="37" t="n">
        <v>2</v>
      </c>
      <c r="G359" s="37" t="n">
        <v>0</v>
      </c>
      <c r="H359" s="37" t="n">
        <v>0</v>
      </c>
      <c r="I359" s="37" t="n">
        <v>0</v>
      </c>
      <c r="J359" s="37" t="n">
        <v>4</v>
      </c>
      <c r="K359" s="16" t="n">
        <v>48</v>
      </c>
    </row>
    <row r="360">
      <c r="A360" s="30" t="n">
        <v>46313.67291666667</v>
      </c>
      <c r="B360" s="30" t="n">
        <v>46313.68194444444</v>
      </c>
      <c r="C360" s="9" t="n">
        <v>46318</v>
      </c>
      <c r="D360" s="10" t="n">
        <v>0.8854166666666666</v>
      </c>
      <c r="E360" s="36" t="n">
        <v>1</v>
      </c>
      <c r="F360" s="36" t="n">
        <v>0</v>
      </c>
      <c r="G360" s="36" t="n">
        <v>0</v>
      </c>
      <c r="H360" s="36" t="n">
        <v>1</v>
      </c>
      <c r="I360" s="36" t="n">
        <v>0</v>
      </c>
      <c r="J360" s="36" t="n">
        <v>4</v>
      </c>
      <c r="K360" s="12" t="n">
        <v>48</v>
      </c>
    </row>
    <row r="361">
      <c r="A361" s="33" t="n">
        <v>46313.68194444444</v>
      </c>
      <c r="B361" s="33" t="n">
        <v>46313.72361111111</v>
      </c>
      <c r="C361" s="13" t="n">
        <v>46318</v>
      </c>
      <c r="D361" s="14" t="n">
        <v>0.8854166666666666</v>
      </c>
      <c r="E361" s="37" t="n">
        <v>1</v>
      </c>
      <c r="F361" s="37" t="n">
        <v>1</v>
      </c>
      <c r="G361" s="37" t="n">
        <v>0</v>
      </c>
      <c r="H361" s="37" t="n">
        <v>0</v>
      </c>
      <c r="I361" s="37" t="n">
        <v>0</v>
      </c>
      <c r="J361" s="37" t="n">
        <v>2</v>
      </c>
      <c r="K361" s="16" t="n">
        <v>24</v>
      </c>
    </row>
    <row r="362">
      <c r="A362" s="30" t="n">
        <v>46313.68194444444</v>
      </c>
      <c r="B362" s="30" t="n">
        <v>46313.72361111111</v>
      </c>
      <c r="C362" s="9" t="n">
        <v>46326</v>
      </c>
      <c r="D362" s="10" t="n">
        <v>0.8854166666666666</v>
      </c>
      <c r="E362" s="36" t="n">
        <v>1</v>
      </c>
      <c r="F362" s="36" t="n">
        <v>0</v>
      </c>
      <c r="G362" s="36" t="n">
        <v>0</v>
      </c>
      <c r="H362" s="36" t="n">
        <v>0</v>
      </c>
      <c r="I362" s="36" t="n">
        <v>1</v>
      </c>
      <c r="J362" s="36" t="n">
        <v>5</v>
      </c>
      <c r="K362" s="12" t="n">
        <v>60</v>
      </c>
    </row>
    <row r="363">
      <c r="A363" s="33" t="n">
        <v>46313.68194444444</v>
      </c>
      <c r="B363" s="33" t="n">
        <v>46313.72361111111</v>
      </c>
      <c r="C363" s="13" t="n">
        <v>46326</v>
      </c>
      <c r="D363" s="14" t="n">
        <v>0.96875</v>
      </c>
      <c r="E363" s="37" t="n">
        <v>2</v>
      </c>
      <c r="F363" s="37" t="n">
        <v>0</v>
      </c>
      <c r="G363" s="37" t="n">
        <v>0</v>
      </c>
      <c r="H363" s="37" t="n">
        <v>1</v>
      </c>
      <c r="I363" s="37" t="n">
        <v>1</v>
      </c>
      <c r="J363" s="37" t="n">
        <v>9</v>
      </c>
      <c r="K363" s="16" t="n">
        <v>108</v>
      </c>
    </row>
    <row r="364">
      <c r="A364" s="30" t="n">
        <v>46313.72361111111</v>
      </c>
      <c r="B364" s="30" t="n">
        <v>46313.76597222222</v>
      </c>
      <c r="C364" s="9" t="n">
        <v>46318</v>
      </c>
      <c r="D364" s="10" t="n">
        <v>0.8854166666666666</v>
      </c>
      <c r="E364" s="36" t="n">
        <v>1</v>
      </c>
      <c r="F364" s="36" t="n">
        <v>0</v>
      </c>
      <c r="G364" s="36" t="n">
        <v>0</v>
      </c>
      <c r="H364" s="36" t="n">
        <v>1</v>
      </c>
      <c r="I364" s="36" t="n">
        <v>0</v>
      </c>
      <c r="J364" s="36" t="n">
        <v>4</v>
      </c>
      <c r="K364" s="12" t="n">
        <v>48</v>
      </c>
    </row>
    <row r="365">
      <c r="A365" s="33" t="n">
        <v>46313.72361111111</v>
      </c>
      <c r="B365" s="33" t="n">
        <v>46313.76597222222</v>
      </c>
      <c r="C365" s="13" t="n">
        <v>46326</v>
      </c>
      <c r="D365" s="14" t="n">
        <v>0.96875</v>
      </c>
      <c r="E365" s="37" t="n">
        <v>1</v>
      </c>
      <c r="F365" s="37" t="n">
        <v>0</v>
      </c>
      <c r="G365" s="37" t="n">
        <v>0</v>
      </c>
      <c r="H365" s="37" t="n">
        <v>1</v>
      </c>
      <c r="I365" s="37" t="n">
        <v>0</v>
      </c>
      <c r="J365" s="37" t="n">
        <v>4</v>
      </c>
      <c r="K365" s="16" t="n">
        <v>48</v>
      </c>
    </row>
    <row r="366">
      <c r="A366" s="30" t="n">
        <v>46313.72361111111</v>
      </c>
      <c r="B366" s="30" t="n">
        <v>46313.76597222222</v>
      </c>
      <c r="C366" s="9" t="n">
        <v>46327</v>
      </c>
      <c r="D366" s="10" t="n">
        <v>0.9270833333333334</v>
      </c>
      <c r="E366" s="36" t="n">
        <v>1</v>
      </c>
      <c r="F366" s="36" t="n">
        <v>1</v>
      </c>
      <c r="G366" s="36" t="n">
        <v>0</v>
      </c>
      <c r="H366" s="36" t="n">
        <v>0</v>
      </c>
      <c r="I366" s="36" t="n">
        <v>0</v>
      </c>
      <c r="J366" s="36" t="n">
        <v>2</v>
      </c>
      <c r="K366" s="12" t="n">
        <v>24</v>
      </c>
    </row>
    <row r="367">
      <c r="A367" s="33" t="n">
        <v>46313.76597222222</v>
      </c>
      <c r="B367" s="33" t="n">
        <v>46313.80625</v>
      </c>
      <c r="C367" s="13" t="n">
        <v>46319</v>
      </c>
      <c r="D367" s="14" t="n">
        <v>0.8854166666666666</v>
      </c>
      <c r="E367" s="37" t="n">
        <v>1</v>
      </c>
      <c r="F367" s="37" t="n">
        <v>1</v>
      </c>
      <c r="G367" s="37" t="n">
        <v>0</v>
      </c>
      <c r="H367" s="37" t="n">
        <v>0</v>
      </c>
      <c r="I367" s="37" t="n">
        <v>0</v>
      </c>
      <c r="J367" s="37" t="n">
        <v>2</v>
      </c>
      <c r="K367" s="16" t="n">
        <v>24</v>
      </c>
    </row>
    <row r="368">
      <c r="A368" s="30" t="n">
        <v>46313.76597222222</v>
      </c>
      <c r="B368" s="30" t="n">
        <v>46313.80625</v>
      </c>
      <c r="C368" s="9" t="n">
        <v>46319</v>
      </c>
      <c r="D368" s="10" t="n">
        <v>0.9270833333333334</v>
      </c>
      <c r="E368" s="36" t="n">
        <v>1</v>
      </c>
      <c r="F368" s="36" t="n">
        <v>1</v>
      </c>
      <c r="G368" s="36" t="n">
        <v>0</v>
      </c>
      <c r="H368" s="36" t="n">
        <v>0</v>
      </c>
      <c r="I368" s="36" t="n">
        <v>0</v>
      </c>
      <c r="J368" s="36" t="n">
        <v>2</v>
      </c>
      <c r="K368" s="12" t="n">
        <v>24</v>
      </c>
    </row>
    <row r="369">
      <c r="A369" s="33" t="n">
        <v>46313.76597222222</v>
      </c>
      <c r="B369" s="33" t="n">
        <v>46313.80625</v>
      </c>
      <c r="C369" s="13" t="n">
        <v>46320</v>
      </c>
      <c r="D369" s="14" t="n">
        <v>0.84375</v>
      </c>
      <c r="E369" s="37" t="n">
        <v>1</v>
      </c>
      <c r="F369" s="37" t="n">
        <v>0</v>
      </c>
      <c r="G369" s="37" t="n">
        <v>0</v>
      </c>
      <c r="H369" s="37" t="n">
        <v>0</v>
      </c>
      <c r="I369" s="37" t="n">
        <v>1</v>
      </c>
      <c r="J369" s="37" t="n">
        <v>5</v>
      </c>
      <c r="K369" s="16" t="n">
        <v>60</v>
      </c>
    </row>
    <row r="370">
      <c r="A370" s="30" t="n">
        <v>46313.76597222222</v>
      </c>
      <c r="B370" s="30" t="n">
        <v>46313.80625</v>
      </c>
      <c r="C370" s="9" t="n">
        <v>46320</v>
      </c>
      <c r="D370" s="10" t="n">
        <v>0.8854166666666666</v>
      </c>
      <c r="E370" s="36" t="n">
        <v>2</v>
      </c>
      <c r="F370" s="36" t="n">
        <v>1</v>
      </c>
      <c r="G370" s="36" t="n">
        <v>0</v>
      </c>
      <c r="H370" s="36" t="n">
        <v>0</v>
      </c>
      <c r="I370" s="36" t="n">
        <v>1</v>
      </c>
      <c r="J370" s="36" t="n">
        <v>7</v>
      </c>
      <c r="K370" s="12" t="n">
        <v>84</v>
      </c>
    </row>
    <row r="371">
      <c r="A371" s="33" t="n">
        <v>46313.76597222222</v>
      </c>
      <c r="B371" s="33" t="n">
        <v>46313.80625</v>
      </c>
      <c r="C371" s="13" t="n">
        <v>46326</v>
      </c>
      <c r="D371" s="14" t="n">
        <v>0.8854166666666666</v>
      </c>
      <c r="E371" s="37" t="n">
        <v>1</v>
      </c>
      <c r="F371" s="37" t="n">
        <v>0</v>
      </c>
      <c r="G371" s="37" t="n">
        <v>0</v>
      </c>
      <c r="H371" s="37" t="n">
        <v>1</v>
      </c>
      <c r="I371" s="37" t="n">
        <v>0</v>
      </c>
      <c r="J371" s="37" t="n">
        <v>4</v>
      </c>
      <c r="K371" s="16" t="n">
        <v>48</v>
      </c>
    </row>
    <row r="372">
      <c r="A372" s="30" t="n">
        <v>46313.80625</v>
      </c>
      <c r="B372" s="30" t="n">
        <v>46313.83819444444</v>
      </c>
      <c r="C372" s="9" t="n">
        <v>46319</v>
      </c>
      <c r="D372" s="10" t="n">
        <v>0.96875</v>
      </c>
      <c r="E372" s="36" t="n">
        <v>1</v>
      </c>
      <c r="F372" s="36" t="n">
        <v>1</v>
      </c>
      <c r="G372" s="36" t="n">
        <v>0</v>
      </c>
      <c r="H372" s="36" t="n">
        <v>0</v>
      </c>
      <c r="I372" s="36" t="n">
        <v>0</v>
      </c>
      <c r="J372" s="36" t="n">
        <v>2</v>
      </c>
      <c r="K372" s="12" t="n">
        <v>24</v>
      </c>
    </row>
    <row r="373">
      <c r="A373" s="33" t="n">
        <v>46313.84930555556</v>
      </c>
      <c r="B373" s="33" t="n">
        <v>46313.88125</v>
      </c>
      <c r="C373" s="13" t="n">
        <v>46318</v>
      </c>
      <c r="D373" s="14" t="n">
        <v>0.9270833333333334</v>
      </c>
      <c r="E373" s="37" t="n">
        <v>1</v>
      </c>
      <c r="F373" s="37" t="n">
        <v>1</v>
      </c>
      <c r="G373" s="37" t="n">
        <v>0</v>
      </c>
      <c r="H373" s="37" t="n">
        <v>0</v>
      </c>
      <c r="I373" s="37" t="n">
        <v>0</v>
      </c>
      <c r="J373" s="37" t="n">
        <v>2</v>
      </c>
      <c r="K373" s="16" t="n">
        <v>24</v>
      </c>
    </row>
    <row r="374">
      <c r="A374" s="30" t="n">
        <v>46313.84930555556</v>
      </c>
      <c r="B374" s="30" t="n">
        <v>46313.88125</v>
      </c>
      <c r="C374" s="9" t="n">
        <v>46318</v>
      </c>
      <c r="D374" s="10" t="n">
        <v>0.96875</v>
      </c>
      <c r="E374" s="36" t="n">
        <v>1</v>
      </c>
      <c r="F374" s="36" t="n">
        <v>1</v>
      </c>
      <c r="G374" s="36" t="n">
        <v>0</v>
      </c>
      <c r="H374" s="36" t="n">
        <v>0</v>
      </c>
      <c r="I374" s="36" t="n">
        <v>0</v>
      </c>
      <c r="J374" s="36" t="n">
        <v>2</v>
      </c>
      <c r="K374" s="12" t="n">
        <v>24</v>
      </c>
    </row>
    <row r="375">
      <c r="A375" s="33" t="n">
        <v>46313.84930555556</v>
      </c>
      <c r="B375" s="33" t="n">
        <v>46313.88125</v>
      </c>
      <c r="C375" s="13" t="n">
        <v>46326</v>
      </c>
      <c r="D375" s="14" t="n">
        <v>0.9270833333333334</v>
      </c>
      <c r="E375" s="37" t="n">
        <v>1</v>
      </c>
      <c r="F375" s="37" t="n">
        <v>1</v>
      </c>
      <c r="G375" s="37" t="n">
        <v>0</v>
      </c>
      <c r="H375" s="37" t="n">
        <v>0</v>
      </c>
      <c r="I375" s="37" t="n">
        <v>0</v>
      </c>
      <c r="J375" s="37" t="n">
        <v>2</v>
      </c>
      <c r="K375" s="16" t="n">
        <v>24</v>
      </c>
    </row>
    <row r="376">
      <c r="A376" s="30" t="n">
        <v>46313.88125</v>
      </c>
      <c r="B376" s="30" t="n">
        <v>46313.88888888889</v>
      </c>
      <c r="C376" s="9" t="n">
        <v>46318</v>
      </c>
      <c r="D376" s="10" t="n">
        <v>0.9270833333333334</v>
      </c>
      <c r="E376" s="36" t="n">
        <v>1</v>
      </c>
      <c r="F376" s="36" t="n">
        <v>0</v>
      </c>
      <c r="G376" s="36" t="n">
        <v>1</v>
      </c>
      <c r="H376" s="36" t="n">
        <v>0</v>
      </c>
      <c r="I376" s="36" t="n">
        <v>0</v>
      </c>
      <c r="J376" s="36" t="n">
        <v>3</v>
      </c>
      <c r="K376" s="12" t="n">
        <v>36</v>
      </c>
    </row>
    <row r="377">
      <c r="A377" s="33" t="n">
        <v>46313.88125</v>
      </c>
      <c r="B377" s="33" t="n">
        <v>46313.88888888889</v>
      </c>
      <c r="C377" s="13" t="n">
        <v>46318</v>
      </c>
      <c r="D377" s="14" t="n">
        <v>0.9986111111111111</v>
      </c>
      <c r="E377" s="37" t="n">
        <v>1</v>
      </c>
      <c r="F377" s="37" t="n">
        <v>0</v>
      </c>
      <c r="G377" s="37" t="n">
        <v>0</v>
      </c>
      <c r="H377" s="37" t="n">
        <v>1</v>
      </c>
      <c r="I377" s="37" t="n">
        <v>0</v>
      </c>
      <c r="J377" s="37" t="n">
        <v>4</v>
      </c>
      <c r="K377" s="16" t="n">
        <v>48</v>
      </c>
    </row>
    <row r="378">
      <c r="A378" s="30" t="n">
        <v>46313.88125</v>
      </c>
      <c r="B378" s="30" t="n">
        <v>46313.88888888889</v>
      </c>
      <c r="C378" s="9" t="n">
        <v>46324</v>
      </c>
      <c r="D378" s="10" t="n">
        <v>0.9270833333333334</v>
      </c>
      <c r="E378" s="36" t="n">
        <v>2</v>
      </c>
      <c r="F378" s="36" t="n">
        <v>0</v>
      </c>
      <c r="G378" s="36" t="n">
        <v>0</v>
      </c>
      <c r="H378" s="36" t="n">
        <v>2</v>
      </c>
      <c r="I378" s="36" t="n">
        <v>0</v>
      </c>
      <c r="J378" s="36" t="n">
        <v>8</v>
      </c>
      <c r="K378" s="12" t="n">
        <v>96</v>
      </c>
    </row>
    <row r="379">
      <c r="A379" s="33" t="n">
        <v>46313.88888888889</v>
      </c>
      <c r="B379" s="33" t="n">
        <v>46313.92986111111</v>
      </c>
      <c r="C379" s="13" t="n">
        <v>46318</v>
      </c>
      <c r="D379" s="14" t="n">
        <v>0.9270833333333334</v>
      </c>
      <c r="E379" s="37" t="n">
        <v>1</v>
      </c>
      <c r="F379" s="37" t="n">
        <v>1</v>
      </c>
      <c r="G379" s="37" t="n">
        <v>0</v>
      </c>
      <c r="H379" s="37" t="n">
        <v>0</v>
      </c>
      <c r="I379" s="37" t="n">
        <v>0</v>
      </c>
      <c r="J379" s="37" t="n">
        <v>2</v>
      </c>
      <c r="K379" s="16" t="n">
        <v>24</v>
      </c>
    </row>
    <row r="380">
      <c r="A380" s="30" t="n">
        <v>46313.88888888889</v>
      </c>
      <c r="B380" s="30" t="n">
        <v>46313.92986111111</v>
      </c>
      <c r="C380" s="9" t="n">
        <v>46326</v>
      </c>
      <c r="D380" s="10" t="n">
        <v>0.84375</v>
      </c>
      <c r="E380" s="36" t="n">
        <v>1</v>
      </c>
      <c r="F380" s="36" t="n">
        <v>0</v>
      </c>
      <c r="G380" s="36" t="n">
        <v>0</v>
      </c>
      <c r="H380" s="36" t="n">
        <v>1</v>
      </c>
      <c r="I380" s="36" t="n">
        <v>0</v>
      </c>
      <c r="J380" s="36" t="n">
        <v>4</v>
      </c>
      <c r="K380" s="12" t="n">
        <v>48</v>
      </c>
    </row>
    <row r="381">
      <c r="A381" s="33" t="n">
        <v>46313.88888888889</v>
      </c>
      <c r="B381" s="33" t="n">
        <v>46313.92986111111</v>
      </c>
      <c r="C381" s="13" t="n">
        <v>46326</v>
      </c>
      <c r="D381" s="14" t="n">
        <v>0.9270833333333334</v>
      </c>
      <c r="E381" s="37" t="n">
        <v>1</v>
      </c>
      <c r="F381" s="37" t="n">
        <v>0</v>
      </c>
      <c r="G381" s="37" t="n">
        <v>1</v>
      </c>
      <c r="H381" s="37" t="n">
        <v>0</v>
      </c>
      <c r="I381" s="37" t="n">
        <v>0</v>
      </c>
      <c r="J381" s="37" t="n">
        <v>3</v>
      </c>
      <c r="K381" s="16" t="n">
        <v>36</v>
      </c>
    </row>
    <row r="382">
      <c r="A382" s="30" t="n">
        <v>46313.92986111111</v>
      </c>
      <c r="B382" s="30" t="n">
        <v>46313.97291666667</v>
      </c>
      <c r="C382" s="9" t="n">
        <v>46318</v>
      </c>
      <c r="D382" s="10" t="n">
        <v>0.8854166666666666</v>
      </c>
      <c r="E382" s="36" t="n">
        <v>4</v>
      </c>
      <c r="F382" s="36" t="n">
        <v>1</v>
      </c>
      <c r="G382" s="36" t="n">
        <v>2</v>
      </c>
      <c r="H382" s="36" t="n">
        <v>1</v>
      </c>
      <c r="I382" s="36" t="n">
        <v>0</v>
      </c>
      <c r="J382" s="36" t="n">
        <v>12</v>
      </c>
      <c r="K382" s="12" t="n">
        <v>144</v>
      </c>
    </row>
    <row r="383">
      <c r="A383" s="33" t="n">
        <v>46313.92986111111</v>
      </c>
      <c r="B383" s="33" t="n">
        <v>46313.97291666667</v>
      </c>
      <c r="C383" s="13" t="n">
        <v>46318</v>
      </c>
      <c r="D383" s="14" t="n">
        <v>0.9986111111111111</v>
      </c>
      <c r="E383" s="37" t="n">
        <v>1</v>
      </c>
      <c r="F383" s="37" t="n">
        <v>0</v>
      </c>
      <c r="G383" s="37" t="n">
        <v>0</v>
      </c>
      <c r="H383" s="37" t="n">
        <v>0</v>
      </c>
      <c r="I383" s="37" t="n">
        <v>1</v>
      </c>
      <c r="J383" s="37" t="n">
        <v>5</v>
      </c>
      <c r="K383" s="16" t="n">
        <v>60</v>
      </c>
    </row>
    <row r="384">
      <c r="A384" s="30" t="n">
        <v>46313.92986111111</v>
      </c>
      <c r="B384" s="30" t="n">
        <v>46313.97291666667</v>
      </c>
      <c r="C384" s="9" t="n">
        <v>46319</v>
      </c>
      <c r="D384" s="10" t="n">
        <v>0.8854166666666666</v>
      </c>
      <c r="E384" s="36" t="n">
        <v>1</v>
      </c>
      <c r="F384" s="36" t="n">
        <v>1</v>
      </c>
      <c r="G384" s="36" t="n">
        <v>0</v>
      </c>
      <c r="H384" s="36" t="n">
        <v>0</v>
      </c>
      <c r="I384" s="36" t="n">
        <v>0</v>
      </c>
      <c r="J384" s="36" t="n">
        <v>2</v>
      </c>
      <c r="K384" s="12" t="n">
        <v>24</v>
      </c>
    </row>
    <row r="385">
      <c r="A385" s="33" t="n">
        <v>46313.92986111111</v>
      </c>
      <c r="B385" s="33" t="n">
        <v>46313.97291666667</v>
      </c>
      <c r="C385" s="13" t="n">
        <v>46326</v>
      </c>
      <c r="D385" s="14" t="n">
        <v>0.8854166666666666</v>
      </c>
      <c r="E385" s="37" t="n">
        <v>1</v>
      </c>
      <c r="F385" s="37" t="n">
        <v>0</v>
      </c>
      <c r="G385" s="37" t="n">
        <v>0</v>
      </c>
      <c r="H385" s="37" t="n">
        <v>0</v>
      </c>
      <c r="I385" s="37" t="n">
        <v>1</v>
      </c>
      <c r="J385" s="37" t="n">
        <v>5</v>
      </c>
      <c r="K385" s="16" t="n">
        <v>60</v>
      </c>
    </row>
    <row r="386">
      <c r="A386" s="30" t="n">
        <v>46313.97291666667</v>
      </c>
      <c r="B386" s="30" t="n">
        <v>46314.00347222222</v>
      </c>
      <c r="C386" s="9" t="n">
        <v>46324</v>
      </c>
      <c r="D386" s="10" t="n">
        <v>0.9993055555555556</v>
      </c>
      <c r="E386" s="36" t="n">
        <v>1</v>
      </c>
      <c r="F386" s="36" t="n">
        <v>1</v>
      </c>
      <c r="G386" s="36" t="n">
        <v>0</v>
      </c>
      <c r="H386" s="36" t="n">
        <v>0</v>
      </c>
      <c r="I386" s="36" t="n">
        <v>0</v>
      </c>
      <c r="J386" s="36" t="n">
        <v>2</v>
      </c>
      <c r="K386" s="12" t="n">
        <v>24</v>
      </c>
    </row>
    <row r="387">
      <c r="A387" s="33" t="n">
        <v>46314.31180555555</v>
      </c>
      <c r="B387" s="33" t="n">
        <v>46314.35972222222</v>
      </c>
      <c r="C387" s="13" t="n">
        <v>46318</v>
      </c>
      <c r="D387" s="14" t="n">
        <v>0.8854166666666666</v>
      </c>
      <c r="E387" s="37" t="n">
        <v>1</v>
      </c>
      <c r="F387" s="37" t="n">
        <v>1</v>
      </c>
      <c r="G387" s="37" t="n">
        <v>0</v>
      </c>
      <c r="H387" s="37" t="n">
        <v>0</v>
      </c>
      <c r="I387" s="37" t="n">
        <v>0</v>
      </c>
      <c r="J387" s="37" t="n">
        <v>2</v>
      </c>
      <c r="K387" s="16" t="n">
        <v>24</v>
      </c>
    </row>
    <row r="388">
      <c r="A388" s="30" t="n">
        <v>46314.31180555555</v>
      </c>
      <c r="B388" s="30" t="n">
        <v>46314.35972222222</v>
      </c>
      <c r="C388" s="9" t="n">
        <v>46320</v>
      </c>
      <c r="D388" s="10" t="n">
        <v>0.84375</v>
      </c>
      <c r="E388" s="36" t="n">
        <v>1</v>
      </c>
      <c r="F388" s="36" t="n">
        <v>1</v>
      </c>
      <c r="G388" s="36" t="n">
        <v>0</v>
      </c>
      <c r="H388" s="36" t="n">
        <v>0</v>
      </c>
      <c r="I388" s="36" t="n">
        <v>0</v>
      </c>
      <c r="J388" s="36" t="n">
        <v>2</v>
      </c>
      <c r="K388" s="12" t="n">
        <v>24</v>
      </c>
    </row>
    <row r="389">
      <c r="A389" s="33" t="n">
        <v>46314.35972222222</v>
      </c>
      <c r="B389" s="33" t="n">
        <v>46314.39375</v>
      </c>
      <c r="C389" s="13" t="n">
        <v>46320</v>
      </c>
      <c r="D389" s="14" t="n">
        <v>0.8854166666666666</v>
      </c>
      <c r="E389" s="37" t="n">
        <v>1</v>
      </c>
      <c r="F389" s="37" t="n">
        <v>1</v>
      </c>
      <c r="G389" s="37" t="n">
        <v>0</v>
      </c>
      <c r="H389" s="37" t="n">
        <v>0</v>
      </c>
      <c r="I389" s="37" t="n">
        <v>0</v>
      </c>
      <c r="J389" s="37" t="n">
        <v>2</v>
      </c>
      <c r="K389" s="16" t="n">
        <v>24</v>
      </c>
    </row>
    <row r="390">
      <c r="A390" s="30" t="n">
        <v>46314.39375</v>
      </c>
      <c r="B390" s="30" t="n">
        <v>46314.40694444445</v>
      </c>
      <c r="C390" s="9" t="n">
        <v>46327</v>
      </c>
      <c r="D390" s="10" t="n">
        <v>0.8854166666666666</v>
      </c>
      <c r="E390" s="36" t="n">
        <v>1</v>
      </c>
      <c r="F390" s="36" t="n">
        <v>0</v>
      </c>
      <c r="G390" s="36" t="n">
        <v>0</v>
      </c>
      <c r="H390" s="36" t="n">
        <v>1</v>
      </c>
      <c r="I390" s="36" t="n">
        <v>0</v>
      </c>
      <c r="J390" s="36" t="n">
        <v>4</v>
      </c>
      <c r="K390" s="12" t="n">
        <v>48</v>
      </c>
    </row>
    <row r="391">
      <c r="A391" s="33" t="n">
        <v>46314.40694444445</v>
      </c>
      <c r="B391" s="33" t="n">
        <v>46314.44166666667</v>
      </c>
      <c r="C391" s="13" t="n">
        <v>46318</v>
      </c>
      <c r="D391" s="14" t="n">
        <v>0.8854166666666666</v>
      </c>
      <c r="E391" s="37" t="n">
        <v>2</v>
      </c>
      <c r="F391" s="37" t="n">
        <v>0</v>
      </c>
      <c r="G391" s="37" t="n">
        <v>2</v>
      </c>
      <c r="H391" s="37" t="n">
        <v>0</v>
      </c>
      <c r="I391" s="37" t="n">
        <v>0</v>
      </c>
      <c r="J391" s="37" t="n">
        <v>6</v>
      </c>
      <c r="K391" s="16" t="n">
        <v>72</v>
      </c>
    </row>
    <row r="392">
      <c r="A392" s="30" t="n">
        <v>46314.40694444445</v>
      </c>
      <c r="B392" s="30" t="n">
        <v>46314.44166666667</v>
      </c>
      <c r="C392" s="9" t="n">
        <v>46319</v>
      </c>
      <c r="D392" s="10" t="n">
        <v>0.9270833333333334</v>
      </c>
      <c r="E392" s="36" t="n">
        <v>2</v>
      </c>
      <c r="F392" s="36" t="n">
        <v>2</v>
      </c>
      <c r="G392" s="36" t="n">
        <v>0</v>
      </c>
      <c r="H392" s="36" t="n">
        <v>0</v>
      </c>
      <c r="I392" s="36" t="n">
        <v>0</v>
      </c>
      <c r="J392" s="36" t="n">
        <v>4</v>
      </c>
      <c r="K392" s="12" t="n">
        <v>48</v>
      </c>
    </row>
    <row r="393">
      <c r="A393" s="33" t="n">
        <v>46314.40694444445</v>
      </c>
      <c r="B393" s="33" t="n">
        <v>46314.44166666667</v>
      </c>
      <c r="C393" s="13" t="n">
        <v>46326</v>
      </c>
      <c r="D393" s="14" t="n">
        <v>0.9270833333333334</v>
      </c>
      <c r="E393" s="37" t="n">
        <v>1</v>
      </c>
      <c r="F393" s="37" t="n">
        <v>1</v>
      </c>
      <c r="G393" s="37" t="n">
        <v>0</v>
      </c>
      <c r="H393" s="37" t="n">
        <v>0</v>
      </c>
      <c r="I393" s="37" t="n">
        <v>0</v>
      </c>
      <c r="J393" s="37" t="n">
        <v>2</v>
      </c>
      <c r="K393" s="16" t="n">
        <v>24</v>
      </c>
    </row>
    <row r="394">
      <c r="A394" s="30" t="n">
        <v>46314.48125</v>
      </c>
      <c r="B394" s="30" t="n">
        <v>46314.52083333334</v>
      </c>
      <c r="C394" s="9" t="n">
        <v>46318</v>
      </c>
      <c r="D394" s="10" t="n">
        <v>0.8854166666666666</v>
      </c>
      <c r="E394" s="36" t="n">
        <v>1</v>
      </c>
      <c r="F394" s="36" t="n">
        <v>1</v>
      </c>
      <c r="G394" s="36" t="n">
        <v>0</v>
      </c>
      <c r="H394" s="36" t="n">
        <v>0</v>
      </c>
      <c r="I394" s="36" t="n">
        <v>0</v>
      </c>
      <c r="J394" s="36" t="n">
        <v>2</v>
      </c>
      <c r="K394" s="12" t="n">
        <v>24</v>
      </c>
    </row>
    <row r="395">
      <c r="A395" s="33" t="n">
        <v>46314.48125</v>
      </c>
      <c r="B395" s="33" t="n">
        <v>46314.52083333334</v>
      </c>
      <c r="C395" s="13" t="n">
        <v>46319</v>
      </c>
      <c r="D395" s="14" t="n">
        <v>0.8854166666666666</v>
      </c>
      <c r="E395" s="37" t="n">
        <v>1</v>
      </c>
      <c r="F395" s="37" t="n">
        <v>1</v>
      </c>
      <c r="G395" s="37" t="n">
        <v>0</v>
      </c>
      <c r="H395" s="37" t="n">
        <v>0</v>
      </c>
      <c r="I395" s="37" t="n">
        <v>0</v>
      </c>
      <c r="J395" s="37" t="n">
        <v>2</v>
      </c>
      <c r="K395" s="16" t="n">
        <v>24</v>
      </c>
    </row>
    <row r="396">
      <c r="A396" s="30" t="n">
        <v>46314.48125</v>
      </c>
      <c r="B396" s="30" t="n">
        <v>46314.52083333334</v>
      </c>
      <c r="C396" s="9" t="n">
        <v>46319</v>
      </c>
      <c r="D396" s="10" t="n">
        <v>0.9270833333333334</v>
      </c>
      <c r="E396" s="36" t="n">
        <v>1</v>
      </c>
      <c r="F396" s="36" t="n">
        <v>0</v>
      </c>
      <c r="G396" s="36" t="n">
        <v>0</v>
      </c>
      <c r="H396" s="36" t="n">
        <v>1</v>
      </c>
      <c r="I396" s="36" t="n">
        <v>0</v>
      </c>
      <c r="J396" s="36" t="n">
        <v>4</v>
      </c>
      <c r="K396" s="12" t="n">
        <v>48</v>
      </c>
    </row>
    <row r="397">
      <c r="A397" s="33" t="n">
        <v>46314.48125</v>
      </c>
      <c r="B397" s="33" t="n">
        <v>46314.52083333334</v>
      </c>
      <c r="C397" s="13" t="n">
        <v>46320</v>
      </c>
      <c r="D397" s="14" t="n">
        <v>0.96875</v>
      </c>
      <c r="E397" s="37" t="n">
        <v>1</v>
      </c>
      <c r="F397" s="37" t="n">
        <v>1</v>
      </c>
      <c r="G397" s="37" t="n">
        <v>0</v>
      </c>
      <c r="H397" s="37" t="n">
        <v>0</v>
      </c>
      <c r="I397" s="37" t="n">
        <v>0</v>
      </c>
      <c r="J397" s="37" t="n">
        <v>2</v>
      </c>
      <c r="K397" s="16" t="n">
        <v>24</v>
      </c>
    </row>
    <row r="398">
      <c r="A398" s="30" t="n">
        <v>46314.52083333334</v>
      </c>
      <c r="B398" s="30" t="n">
        <v>46314.53819444445</v>
      </c>
      <c r="C398" s="9" t="n">
        <v>46318</v>
      </c>
      <c r="D398" s="10" t="n">
        <v>0.8854166666666666</v>
      </c>
      <c r="E398" s="36" t="n">
        <v>1</v>
      </c>
      <c r="F398" s="36" t="n">
        <v>0</v>
      </c>
      <c r="G398" s="36" t="n">
        <v>0</v>
      </c>
      <c r="H398" s="36" t="n">
        <v>0</v>
      </c>
      <c r="I398" s="36" t="n">
        <v>1</v>
      </c>
      <c r="J398" s="36" t="n">
        <v>5</v>
      </c>
      <c r="K398" s="12" t="n">
        <v>60</v>
      </c>
    </row>
    <row r="399">
      <c r="A399" s="33" t="n">
        <v>46314.53819444445</v>
      </c>
      <c r="B399" s="33" t="n">
        <v>46314.56180555555</v>
      </c>
      <c r="C399" s="13" t="n">
        <v>46318</v>
      </c>
      <c r="D399" s="14" t="n">
        <v>0.9270833333333334</v>
      </c>
      <c r="E399" s="37" t="n">
        <v>1</v>
      </c>
      <c r="F399" s="37" t="n">
        <v>0</v>
      </c>
      <c r="G399" s="37" t="n">
        <v>0</v>
      </c>
      <c r="H399" s="37" t="n">
        <v>0</v>
      </c>
      <c r="I399" s="37" t="n">
        <v>1</v>
      </c>
      <c r="J399" s="37" t="n">
        <v>5</v>
      </c>
      <c r="K399" s="16" t="n">
        <v>60</v>
      </c>
    </row>
    <row r="400">
      <c r="A400" s="30" t="n">
        <v>46314.53819444445</v>
      </c>
      <c r="B400" s="30" t="n">
        <v>46314.56180555555</v>
      </c>
      <c r="C400" s="9" t="n">
        <v>46319</v>
      </c>
      <c r="D400" s="10" t="n">
        <v>0.8854166666666666</v>
      </c>
      <c r="E400" s="36" t="n">
        <v>1</v>
      </c>
      <c r="F400" s="36" t="n">
        <v>1</v>
      </c>
      <c r="G400" s="36" t="n">
        <v>0</v>
      </c>
      <c r="H400" s="36" t="n">
        <v>0</v>
      </c>
      <c r="I400" s="36" t="n">
        <v>0</v>
      </c>
      <c r="J400" s="36" t="n">
        <v>2</v>
      </c>
      <c r="K400" s="12" t="n">
        <v>24</v>
      </c>
    </row>
    <row r="401">
      <c r="A401" s="33" t="n">
        <v>46314.53819444445</v>
      </c>
      <c r="B401" s="33" t="n">
        <v>46314.56180555555</v>
      </c>
      <c r="C401" s="13" t="n">
        <v>46319</v>
      </c>
      <c r="D401" s="14" t="n">
        <v>0.9993055555555556</v>
      </c>
      <c r="E401" s="37" t="n">
        <v>1</v>
      </c>
      <c r="F401" s="37" t="n">
        <v>0</v>
      </c>
      <c r="G401" s="37" t="n">
        <v>0</v>
      </c>
      <c r="H401" s="37" t="n">
        <v>1</v>
      </c>
      <c r="I401" s="37" t="n">
        <v>0</v>
      </c>
      <c r="J401" s="37" t="n">
        <v>4</v>
      </c>
      <c r="K401" s="16" t="n">
        <v>48</v>
      </c>
    </row>
    <row r="402">
      <c r="A402" s="30" t="n">
        <v>46314.53819444445</v>
      </c>
      <c r="B402" s="30" t="n">
        <v>46314.56180555555</v>
      </c>
      <c r="C402" s="9" t="n">
        <v>46320</v>
      </c>
      <c r="D402" s="10" t="n">
        <v>0.9993055555555556</v>
      </c>
      <c r="E402" s="36" t="n">
        <v>1</v>
      </c>
      <c r="F402" s="36" t="n">
        <v>0</v>
      </c>
      <c r="G402" s="36" t="n">
        <v>0</v>
      </c>
      <c r="H402" s="36" t="n">
        <v>1</v>
      </c>
      <c r="I402" s="36" t="n">
        <v>0</v>
      </c>
      <c r="J402" s="36" t="n">
        <v>4</v>
      </c>
      <c r="K402" s="12" t="n">
        <v>48</v>
      </c>
    </row>
    <row r="403">
      <c r="A403" s="33" t="n">
        <v>46314.56180555555</v>
      </c>
      <c r="B403" s="33" t="n">
        <v>46314.60833333333</v>
      </c>
      <c r="C403" s="13" t="n">
        <v>46318</v>
      </c>
      <c r="D403" s="14" t="n">
        <v>0.84375</v>
      </c>
      <c r="E403" s="37" t="n">
        <v>1</v>
      </c>
      <c r="F403" s="37" t="n">
        <v>0</v>
      </c>
      <c r="G403" s="37" t="n">
        <v>0</v>
      </c>
      <c r="H403" s="37" t="n">
        <v>0</v>
      </c>
      <c r="I403" s="37" t="n">
        <v>1</v>
      </c>
      <c r="J403" s="37" t="n">
        <v>5</v>
      </c>
      <c r="K403" s="16" t="n">
        <v>60</v>
      </c>
    </row>
    <row r="404">
      <c r="A404" s="30" t="n">
        <v>46314.56180555555</v>
      </c>
      <c r="B404" s="30" t="n">
        <v>46314.60833333333</v>
      </c>
      <c r="C404" s="9" t="n">
        <v>46318</v>
      </c>
      <c r="D404" s="10" t="n">
        <v>0.8854166666666666</v>
      </c>
      <c r="E404" s="36" t="n">
        <v>1</v>
      </c>
      <c r="F404" s="36" t="n">
        <v>0</v>
      </c>
      <c r="G404" s="36" t="n">
        <v>0</v>
      </c>
      <c r="H404" s="36" t="n">
        <v>1</v>
      </c>
      <c r="I404" s="36" t="n">
        <v>0</v>
      </c>
      <c r="J404" s="36" t="n">
        <v>4</v>
      </c>
      <c r="K404" s="12" t="n">
        <v>48</v>
      </c>
    </row>
    <row r="405">
      <c r="A405" s="33" t="n">
        <v>46314.56180555555</v>
      </c>
      <c r="B405" s="33" t="n">
        <v>46314.60833333333</v>
      </c>
      <c r="C405" s="13" t="n">
        <v>46320</v>
      </c>
      <c r="D405" s="14" t="n">
        <v>0.84375</v>
      </c>
      <c r="E405" s="37" t="n">
        <v>1</v>
      </c>
      <c r="F405" s="37" t="n">
        <v>0</v>
      </c>
      <c r="G405" s="37" t="n">
        <v>1</v>
      </c>
      <c r="H405" s="37" t="n">
        <v>0</v>
      </c>
      <c r="I405" s="37" t="n">
        <v>0</v>
      </c>
      <c r="J405" s="37" t="n">
        <v>3</v>
      </c>
      <c r="K405" s="16" t="n">
        <v>36</v>
      </c>
    </row>
    <row r="406">
      <c r="A406" s="30" t="n">
        <v>46314.56180555555</v>
      </c>
      <c r="B406" s="30" t="n">
        <v>46314.60833333333</v>
      </c>
      <c r="C406" s="9" t="n">
        <v>46320</v>
      </c>
      <c r="D406" s="10" t="n">
        <v>0.9270833333333334</v>
      </c>
      <c r="E406" s="36" t="n">
        <v>1</v>
      </c>
      <c r="F406" s="36" t="n">
        <v>1</v>
      </c>
      <c r="G406" s="36" t="n">
        <v>0</v>
      </c>
      <c r="H406" s="36" t="n">
        <v>0</v>
      </c>
      <c r="I406" s="36" t="n">
        <v>0</v>
      </c>
      <c r="J406" s="36" t="n">
        <v>2</v>
      </c>
      <c r="K406" s="12" t="n">
        <v>24</v>
      </c>
    </row>
    <row r="407">
      <c r="A407" s="33" t="n">
        <v>46314.56180555555</v>
      </c>
      <c r="B407" s="33" t="n">
        <v>46314.60833333333</v>
      </c>
      <c r="C407" s="13" t="n">
        <v>46320</v>
      </c>
      <c r="D407" s="14" t="n">
        <v>0.96875</v>
      </c>
      <c r="E407" s="37" t="n">
        <v>1</v>
      </c>
      <c r="F407" s="37" t="n">
        <v>0</v>
      </c>
      <c r="G407" s="37" t="n">
        <v>1</v>
      </c>
      <c r="H407" s="37" t="n">
        <v>0</v>
      </c>
      <c r="I407" s="37" t="n">
        <v>0</v>
      </c>
      <c r="J407" s="37" t="n">
        <v>3</v>
      </c>
      <c r="K407" s="16" t="n">
        <v>36</v>
      </c>
    </row>
    <row r="408">
      <c r="A408" s="30" t="n">
        <v>46314.56180555555</v>
      </c>
      <c r="B408" s="30" t="n">
        <v>46314.60833333333</v>
      </c>
      <c r="C408" s="9" t="n">
        <v>46325</v>
      </c>
      <c r="D408" s="10" t="n">
        <v>0.9270833333333334</v>
      </c>
      <c r="E408" s="36" t="n">
        <v>1</v>
      </c>
      <c r="F408" s="36" t="n">
        <v>1</v>
      </c>
      <c r="G408" s="36" t="n">
        <v>0</v>
      </c>
      <c r="H408" s="36" t="n">
        <v>0</v>
      </c>
      <c r="I408" s="36" t="n">
        <v>0</v>
      </c>
      <c r="J408" s="36" t="n">
        <v>2</v>
      </c>
      <c r="K408" s="12" t="n">
        <v>24</v>
      </c>
    </row>
    <row r="409">
      <c r="A409" s="33" t="n">
        <v>46314.56180555555</v>
      </c>
      <c r="B409" s="33" t="n">
        <v>46314.60833333333</v>
      </c>
      <c r="C409" s="13" t="n">
        <v>46326</v>
      </c>
      <c r="D409" s="14" t="n">
        <v>0.9270833333333334</v>
      </c>
      <c r="E409" s="37" t="n">
        <v>1</v>
      </c>
      <c r="F409" s="37" t="n">
        <v>1</v>
      </c>
      <c r="G409" s="37" t="n">
        <v>0</v>
      </c>
      <c r="H409" s="37" t="n">
        <v>0</v>
      </c>
      <c r="I409" s="37" t="n">
        <v>0</v>
      </c>
      <c r="J409" s="37" t="n">
        <v>2</v>
      </c>
      <c r="K409" s="16" t="n">
        <v>24</v>
      </c>
    </row>
    <row r="410">
      <c r="A410" s="30" t="n">
        <v>46314.61041666667</v>
      </c>
      <c r="B410" s="30" t="n">
        <v>46314.65486111111</v>
      </c>
      <c r="C410" s="9" t="n">
        <v>46318</v>
      </c>
      <c r="D410" s="10" t="n">
        <v>0.8854166666666666</v>
      </c>
      <c r="E410" s="36" t="n">
        <v>-1</v>
      </c>
      <c r="F410" s="36" t="n">
        <v>0</v>
      </c>
      <c r="G410" s="36" t="n">
        <v>0</v>
      </c>
      <c r="H410" s="36" t="n">
        <v>0</v>
      </c>
      <c r="I410" s="36" t="n">
        <v>-1</v>
      </c>
      <c r="J410" s="36" t="n">
        <v>-5</v>
      </c>
      <c r="K410" s="12" t="n">
        <v>-60</v>
      </c>
    </row>
    <row r="411">
      <c r="A411" s="33" t="n">
        <v>46314.61041666667</v>
      </c>
      <c r="B411" s="33" t="n">
        <v>46314.65486111111</v>
      </c>
      <c r="C411" s="13" t="n">
        <v>46318</v>
      </c>
      <c r="D411" s="14" t="n">
        <v>0.9270833333333334</v>
      </c>
      <c r="E411" s="37" t="n">
        <v>2</v>
      </c>
      <c r="F411" s="37" t="n">
        <v>0</v>
      </c>
      <c r="G411" s="37" t="n">
        <v>0</v>
      </c>
      <c r="H411" s="37" t="n">
        <v>1</v>
      </c>
      <c r="I411" s="37" t="n">
        <v>1</v>
      </c>
      <c r="J411" s="37" t="n">
        <v>9</v>
      </c>
      <c r="K411" s="16" t="n">
        <v>108</v>
      </c>
    </row>
    <row r="412">
      <c r="A412" s="30" t="n">
        <v>46314.61041666667</v>
      </c>
      <c r="B412" s="30" t="n">
        <v>46314.65486111111</v>
      </c>
      <c r="C412" s="9" t="n">
        <v>46324</v>
      </c>
      <c r="D412" s="10" t="n">
        <v>0.9270833333333334</v>
      </c>
      <c r="E412" s="36" t="n">
        <v>2</v>
      </c>
      <c r="F412" s="36" t="n">
        <v>1</v>
      </c>
      <c r="G412" s="36" t="n">
        <v>1</v>
      </c>
      <c r="H412" s="36" t="n">
        <v>0</v>
      </c>
      <c r="I412" s="36" t="n">
        <v>0</v>
      </c>
      <c r="J412" s="36" t="n">
        <v>5</v>
      </c>
      <c r="K412" s="12" t="n">
        <v>60</v>
      </c>
    </row>
    <row r="413">
      <c r="A413" s="33" t="n">
        <v>46314.61041666667</v>
      </c>
      <c r="B413" s="33" t="n">
        <v>46314.65486111111</v>
      </c>
      <c r="C413" s="13" t="n">
        <v>46325</v>
      </c>
      <c r="D413" s="14" t="n">
        <v>0.9270833333333334</v>
      </c>
      <c r="E413" s="37" t="n">
        <v>1</v>
      </c>
      <c r="F413" s="37" t="n">
        <v>0</v>
      </c>
      <c r="G413" s="37" t="n">
        <v>0</v>
      </c>
      <c r="H413" s="37" t="n">
        <v>1</v>
      </c>
      <c r="I413" s="37" t="n">
        <v>0</v>
      </c>
      <c r="J413" s="37" t="n">
        <v>4</v>
      </c>
      <c r="K413" s="16" t="n">
        <v>48</v>
      </c>
    </row>
    <row r="414">
      <c r="A414" s="30" t="n">
        <v>46314.65486111111</v>
      </c>
      <c r="B414" s="30" t="n">
        <v>46314.69027777778</v>
      </c>
      <c r="C414" s="9" t="n">
        <v>46318</v>
      </c>
      <c r="D414" s="10" t="n">
        <v>0.9270833333333334</v>
      </c>
      <c r="E414" s="36" t="n">
        <v>1</v>
      </c>
      <c r="F414" s="36" t="n">
        <v>0</v>
      </c>
      <c r="G414" s="36" t="n">
        <v>0</v>
      </c>
      <c r="H414" s="36" t="n">
        <v>0</v>
      </c>
      <c r="I414" s="36" t="n">
        <v>1</v>
      </c>
      <c r="J414" s="36" t="n">
        <v>5</v>
      </c>
      <c r="K414" s="12" t="n">
        <v>60</v>
      </c>
    </row>
    <row r="415">
      <c r="A415" s="33" t="n">
        <v>46314.65486111111</v>
      </c>
      <c r="B415" s="33" t="n">
        <v>46314.69027777778</v>
      </c>
      <c r="C415" s="13" t="n">
        <v>46318</v>
      </c>
      <c r="D415" s="14" t="n">
        <v>0.96875</v>
      </c>
      <c r="E415" s="37" t="n">
        <v>1</v>
      </c>
      <c r="F415" s="37" t="n">
        <v>1</v>
      </c>
      <c r="G415" s="37" t="n">
        <v>0</v>
      </c>
      <c r="H415" s="37" t="n">
        <v>0</v>
      </c>
      <c r="I415" s="37" t="n">
        <v>0</v>
      </c>
      <c r="J415" s="37" t="n">
        <v>2</v>
      </c>
      <c r="K415" s="16" t="n">
        <v>24</v>
      </c>
    </row>
    <row r="416">
      <c r="A416" s="30" t="n">
        <v>46314.65486111111</v>
      </c>
      <c r="B416" s="30" t="n">
        <v>46314.69027777778</v>
      </c>
      <c r="C416" s="9" t="n">
        <v>46319</v>
      </c>
      <c r="D416" s="10" t="n">
        <v>0.8854166666666666</v>
      </c>
      <c r="E416" s="36" t="n">
        <v>1</v>
      </c>
      <c r="F416" s="36" t="n">
        <v>0</v>
      </c>
      <c r="G416" s="36" t="n">
        <v>0</v>
      </c>
      <c r="H416" s="36" t="n">
        <v>1</v>
      </c>
      <c r="I416" s="36" t="n">
        <v>0</v>
      </c>
      <c r="J416" s="36" t="n">
        <v>4</v>
      </c>
      <c r="K416" s="12" t="n">
        <v>48</v>
      </c>
    </row>
    <row r="417">
      <c r="A417" s="33" t="n">
        <v>46314.65486111111</v>
      </c>
      <c r="B417" s="33" t="n">
        <v>46314.69027777778</v>
      </c>
      <c r="C417" s="13" t="n">
        <v>46324</v>
      </c>
      <c r="D417" s="14" t="n">
        <v>0.8854166666666666</v>
      </c>
      <c r="E417" s="37" t="n">
        <v>2</v>
      </c>
      <c r="F417" s="37" t="n">
        <v>0</v>
      </c>
      <c r="G417" s="37" t="n">
        <v>0</v>
      </c>
      <c r="H417" s="37" t="n">
        <v>1</v>
      </c>
      <c r="I417" s="37" t="n">
        <v>1</v>
      </c>
      <c r="J417" s="37" t="n">
        <v>9</v>
      </c>
      <c r="K417" s="16" t="n">
        <v>108</v>
      </c>
    </row>
    <row r="418">
      <c r="A418" s="30" t="n">
        <v>46314.65486111111</v>
      </c>
      <c r="B418" s="30" t="n">
        <v>46314.69027777778</v>
      </c>
      <c r="C418" s="9" t="n">
        <v>46325</v>
      </c>
      <c r="D418" s="10" t="n">
        <v>0.9270833333333334</v>
      </c>
      <c r="E418" s="36" t="n">
        <v>1</v>
      </c>
      <c r="F418" s="36" t="n">
        <v>1</v>
      </c>
      <c r="G418" s="36" t="n">
        <v>0</v>
      </c>
      <c r="H418" s="36" t="n">
        <v>0</v>
      </c>
      <c r="I418" s="36" t="n">
        <v>0</v>
      </c>
      <c r="J418" s="36" t="n">
        <v>2</v>
      </c>
      <c r="K418" s="12" t="n">
        <v>24</v>
      </c>
    </row>
    <row r="419">
      <c r="A419" s="33" t="n">
        <v>46314.65486111111</v>
      </c>
      <c r="B419" s="33" t="n">
        <v>46314.69027777778</v>
      </c>
      <c r="C419" s="13" t="n">
        <v>46326</v>
      </c>
      <c r="D419" s="14" t="n">
        <v>0.96875</v>
      </c>
      <c r="E419" s="37" t="n">
        <v>1</v>
      </c>
      <c r="F419" s="37" t="n">
        <v>1</v>
      </c>
      <c r="G419" s="37" t="n">
        <v>0</v>
      </c>
      <c r="H419" s="37" t="n">
        <v>0</v>
      </c>
      <c r="I419" s="37" t="n">
        <v>0</v>
      </c>
      <c r="J419" s="37" t="n">
        <v>2</v>
      </c>
      <c r="K419" s="16" t="n">
        <v>24</v>
      </c>
    </row>
    <row r="420">
      <c r="A420" s="30" t="n">
        <v>46314.69027777778</v>
      </c>
      <c r="B420" s="30" t="n">
        <v>46314.72986111111</v>
      </c>
      <c r="C420" s="9" t="n">
        <v>46318</v>
      </c>
      <c r="D420" s="10" t="n">
        <v>0.9270833333333334</v>
      </c>
      <c r="E420" s="36" t="n">
        <v>1</v>
      </c>
      <c r="F420" s="36" t="n">
        <v>1</v>
      </c>
      <c r="G420" s="36" t="n">
        <v>0</v>
      </c>
      <c r="H420" s="36" t="n">
        <v>0</v>
      </c>
      <c r="I420" s="36" t="n">
        <v>0</v>
      </c>
      <c r="J420" s="36" t="n">
        <v>2</v>
      </c>
      <c r="K420" s="12" t="n">
        <v>24</v>
      </c>
    </row>
    <row r="421">
      <c r="A421" s="33" t="n">
        <v>46314.69027777778</v>
      </c>
      <c r="B421" s="33" t="n">
        <v>46314.72986111111</v>
      </c>
      <c r="C421" s="13" t="n">
        <v>46318</v>
      </c>
      <c r="D421" s="14" t="n">
        <v>0.96875</v>
      </c>
      <c r="E421" s="37" t="n">
        <v>1</v>
      </c>
      <c r="F421" s="37" t="n">
        <v>1</v>
      </c>
      <c r="G421" s="37" t="n">
        <v>0</v>
      </c>
      <c r="H421" s="37" t="n">
        <v>0</v>
      </c>
      <c r="I421" s="37" t="n">
        <v>0</v>
      </c>
      <c r="J421" s="37" t="n">
        <v>2</v>
      </c>
      <c r="K421" s="16" t="n">
        <v>24</v>
      </c>
    </row>
    <row r="422">
      <c r="A422" s="30" t="n">
        <v>46314.72986111111</v>
      </c>
      <c r="B422" s="30" t="n">
        <v>46314.77083333334</v>
      </c>
      <c r="C422" s="9" t="n">
        <v>46318</v>
      </c>
      <c r="D422" s="10" t="n">
        <v>0.84375</v>
      </c>
      <c r="E422" s="36" t="n">
        <v>1</v>
      </c>
      <c r="F422" s="36" t="n">
        <v>1</v>
      </c>
      <c r="G422" s="36" t="n">
        <v>0</v>
      </c>
      <c r="H422" s="36" t="n">
        <v>0</v>
      </c>
      <c r="I422" s="36" t="n">
        <v>0</v>
      </c>
      <c r="J422" s="36" t="n">
        <v>2</v>
      </c>
      <c r="K422" s="12" t="n">
        <v>24</v>
      </c>
    </row>
    <row r="423">
      <c r="A423" s="33" t="n">
        <v>46314.72986111111</v>
      </c>
      <c r="B423" s="33" t="n">
        <v>46314.77083333334</v>
      </c>
      <c r="C423" s="13" t="n">
        <v>46318</v>
      </c>
      <c r="D423" s="14" t="n">
        <v>0.8854166666666666</v>
      </c>
      <c r="E423" s="37" t="n">
        <v>1</v>
      </c>
      <c r="F423" s="37" t="n">
        <v>0</v>
      </c>
      <c r="G423" s="37" t="n">
        <v>0</v>
      </c>
      <c r="H423" s="37" t="n">
        <v>1</v>
      </c>
      <c r="I423" s="37" t="n">
        <v>0</v>
      </c>
      <c r="J423" s="37" t="n">
        <v>4</v>
      </c>
      <c r="K423" s="16" t="n">
        <v>48</v>
      </c>
    </row>
    <row r="424">
      <c r="A424" s="30" t="n">
        <v>46314.72986111111</v>
      </c>
      <c r="B424" s="30" t="n">
        <v>46314.77083333334</v>
      </c>
      <c r="C424" s="9" t="n">
        <v>46319</v>
      </c>
      <c r="D424" s="10" t="n">
        <v>0.9270833333333334</v>
      </c>
      <c r="E424" s="36" t="n">
        <v>2</v>
      </c>
      <c r="F424" s="36" t="n">
        <v>2</v>
      </c>
      <c r="G424" s="36" t="n">
        <v>0</v>
      </c>
      <c r="H424" s="36" t="n">
        <v>0</v>
      </c>
      <c r="I424" s="36" t="n">
        <v>0</v>
      </c>
      <c r="J424" s="36" t="n">
        <v>4</v>
      </c>
      <c r="K424" s="12" t="n">
        <v>48</v>
      </c>
    </row>
    <row r="425">
      <c r="A425" s="33" t="n">
        <v>46314.72986111111</v>
      </c>
      <c r="B425" s="33" t="n">
        <v>46314.77083333334</v>
      </c>
      <c r="C425" s="13" t="n">
        <v>46324</v>
      </c>
      <c r="D425" s="14" t="n">
        <v>0.96875</v>
      </c>
      <c r="E425" s="37" t="n">
        <v>1</v>
      </c>
      <c r="F425" s="37" t="n">
        <v>1</v>
      </c>
      <c r="G425" s="37" t="n">
        <v>0</v>
      </c>
      <c r="H425" s="37" t="n">
        <v>0</v>
      </c>
      <c r="I425" s="37" t="n">
        <v>0</v>
      </c>
      <c r="J425" s="37" t="n">
        <v>2</v>
      </c>
      <c r="K425" s="16" t="n">
        <v>24</v>
      </c>
    </row>
    <row r="426">
      <c r="A426" s="30" t="n">
        <v>46314.72986111111</v>
      </c>
      <c r="B426" s="30" t="n">
        <v>46314.77083333334</v>
      </c>
      <c r="C426" s="9" t="n">
        <v>46326</v>
      </c>
      <c r="D426" s="10" t="n">
        <v>0.9270833333333334</v>
      </c>
      <c r="E426" s="36" t="n">
        <v>1</v>
      </c>
      <c r="F426" s="36" t="n">
        <v>1</v>
      </c>
      <c r="G426" s="36" t="n">
        <v>0</v>
      </c>
      <c r="H426" s="36" t="n">
        <v>0</v>
      </c>
      <c r="I426" s="36" t="n">
        <v>0</v>
      </c>
      <c r="J426" s="36" t="n">
        <v>2</v>
      </c>
      <c r="K426" s="12" t="n">
        <v>24</v>
      </c>
    </row>
    <row r="427">
      <c r="A427" s="33" t="n">
        <v>46314.72986111111</v>
      </c>
      <c r="B427" s="33" t="n">
        <v>46314.77083333334</v>
      </c>
      <c r="C427" s="13" t="n">
        <v>46327</v>
      </c>
      <c r="D427" s="14" t="n">
        <v>0.9270833333333334</v>
      </c>
      <c r="E427" s="37" t="n">
        <v>1</v>
      </c>
      <c r="F427" s="37" t="n">
        <v>0</v>
      </c>
      <c r="G427" s="37" t="n">
        <v>1</v>
      </c>
      <c r="H427" s="37" t="n">
        <v>0</v>
      </c>
      <c r="I427" s="37" t="n">
        <v>0</v>
      </c>
      <c r="J427" s="37" t="n">
        <v>3</v>
      </c>
      <c r="K427" s="16" t="n">
        <v>36</v>
      </c>
    </row>
    <row r="428">
      <c r="A428" s="30" t="n">
        <v>46314.77083333334</v>
      </c>
      <c r="B428" s="30" t="n">
        <v>46314.81041666667</v>
      </c>
      <c r="C428" s="9" t="n">
        <v>46318</v>
      </c>
      <c r="D428" s="10" t="n">
        <v>0.8854166666666666</v>
      </c>
      <c r="E428" s="36" t="n">
        <v>1</v>
      </c>
      <c r="F428" s="36" t="n">
        <v>0</v>
      </c>
      <c r="G428" s="36" t="n">
        <v>0</v>
      </c>
      <c r="H428" s="36" t="n">
        <v>0</v>
      </c>
      <c r="I428" s="36" t="n">
        <v>1</v>
      </c>
      <c r="J428" s="36" t="n">
        <v>5</v>
      </c>
      <c r="K428" s="12" t="n">
        <v>60</v>
      </c>
    </row>
    <row r="429">
      <c r="A429" s="33" t="n">
        <v>46314.77083333334</v>
      </c>
      <c r="B429" s="33" t="n">
        <v>46314.81041666667</v>
      </c>
      <c r="C429" s="13" t="n">
        <v>46319</v>
      </c>
      <c r="D429" s="14" t="n">
        <v>0.84375</v>
      </c>
      <c r="E429" s="37" t="n">
        <v>1</v>
      </c>
      <c r="F429" s="37" t="n">
        <v>0</v>
      </c>
      <c r="G429" s="37" t="n">
        <v>1</v>
      </c>
      <c r="H429" s="37" t="n">
        <v>0</v>
      </c>
      <c r="I429" s="37" t="n">
        <v>0</v>
      </c>
      <c r="J429" s="37" t="n">
        <v>3</v>
      </c>
      <c r="K429" s="16" t="n">
        <v>36</v>
      </c>
    </row>
    <row r="430">
      <c r="A430" s="30" t="n">
        <v>46314.77083333334</v>
      </c>
      <c r="B430" s="30" t="n">
        <v>46314.81041666667</v>
      </c>
      <c r="C430" s="9" t="n">
        <v>46319</v>
      </c>
      <c r="D430" s="10" t="n">
        <v>0.96875</v>
      </c>
      <c r="E430" s="36" t="n">
        <v>1</v>
      </c>
      <c r="F430" s="36" t="n">
        <v>1</v>
      </c>
      <c r="G430" s="36" t="n">
        <v>0</v>
      </c>
      <c r="H430" s="36" t="n">
        <v>0</v>
      </c>
      <c r="I430" s="36" t="n">
        <v>0</v>
      </c>
      <c r="J430" s="36" t="n">
        <v>2</v>
      </c>
      <c r="K430" s="12" t="n">
        <v>24</v>
      </c>
    </row>
    <row r="431">
      <c r="A431" s="33" t="n">
        <v>46314.77083333334</v>
      </c>
      <c r="B431" s="33" t="n">
        <v>46314.81041666667</v>
      </c>
      <c r="C431" s="13" t="n">
        <v>46324</v>
      </c>
      <c r="D431" s="14" t="n">
        <v>0.9993055555555556</v>
      </c>
      <c r="E431" s="37" t="n">
        <v>1</v>
      </c>
      <c r="F431" s="37" t="n">
        <v>0</v>
      </c>
      <c r="G431" s="37" t="n">
        <v>0</v>
      </c>
      <c r="H431" s="37" t="n">
        <v>1</v>
      </c>
      <c r="I431" s="37" t="n">
        <v>0</v>
      </c>
      <c r="J431" s="37" t="n">
        <v>4</v>
      </c>
      <c r="K431" s="16" t="n">
        <v>48</v>
      </c>
    </row>
    <row r="432">
      <c r="A432" s="30" t="n">
        <v>46314.81041666667</v>
      </c>
      <c r="B432" s="30" t="n">
        <v>46314.85347222222</v>
      </c>
      <c r="C432" s="9" t="n">
        <v>46318</v>
      </c>
      <c r="D432" s="10" t="n">
        <v>0.84375</v>
      </c>
      <c r="E432" s="36" t="n">
        <v>1</v>
      </c>
      <c r="F432" s="36" t="n">
        <v>1</v>
      </c>
      <c r="G432" s="36" t="n">
        <v>0</v>
      </c>
      <c r="H432" s="36" t="n">
        <v>0</v>
      </c>
      <c r="I432" s="36" t="n">
        <v>0</v>
      </c>
      <c r="J432" s="36" t="n">
        <v>2</v>
      </c>
      <c r="K432" s="12" t="n">
        <v>24</v>
      </c>
    </row>
    <row r="433">
      <c r="A433" s="33" t="n">
        <v>46314.81041666667</v>
      </c>
      <c r="B433" s="33" t="n">
        <v>46314.85347222222</v>
      </c>
      <c r="C433" s="13" t="n">
        <v>46318</v>
      </c>
      <c r="D433" s="14" t="n">
        <v>0.96875</v>
      </c>
      <c r="E433" s="37" t="n">
        <v>1</v>
      </c>
      <c r="F433" s="37" t="n">
        <v>0</v>
      </c>
      <c r="G433" s="37" t="n">
        <v>0</v>
      </c>
      <c r="H433" s="37" t="n">
        <v>1</v>
      </c>
      <c r="I433" s="37" t="n">
        <v>0</v>
      </c>
      <c r="J433" s="37" t="n">
        <v>4</v>
      </c>
      <c r="K433" s="16" t="n">
        <v>48</v>
      </c>
    </row>
    <row r="434">
      <c r="A434" s="30" t="n">
        <v>46314.81041666667</v>
      </c>
      <c r="B434" s="30" t="n">
        <v>46314.85347222222</v>
      </c>
      <c r="C434" s="9" t="n">
        <v>46318</v>
      </c>
      <c r="D434" s="10" t="n">
        <v>0.9986111111111111</v>
      </c>
      <c r="E434" s="36" t="n">
        <v>1</v>
      </c>
      <c r="F434" s="36" t="n">
        <v>0</v>
      </c>
      <c r="G434" s="36" t="n">
        <v>0</v>
      </c>
      <c r="H434" s="36" t="n">
        <v>1</v>
      </c>
      <c r="I434" s="36" t="n">
        <v>0</v>
      </c>
      <c r="J434" s="36" t="n">
        <v>4</v>
      </c>
      <c r="K434" s="12" t="n">
        <v>48</v>
      </c>
    </row>
    <row r="435">
      <c r="A435" s="33" t="n">
        <v>46314.81041666667</v>
      </c>
      <c r="B435" s="33" t="n">
        <v>46314.85347222222</v>
      </c>
      <c r="C435" s="13" t="n">
        <v>46319</v>
      </c>
      <c r="D435" s="14" t="n">
        <v>0.8854166666666666</v>
      </c>
      <c r="E435" s="37" t="n">
        <v>1</v>
      </c>
      <c r="F435" s="37" t="n">
        <v>0</v>
      </c>
      <c r="G435" s="37" t="n">
        <v>1</v>
      </c>
      <c r="H435" s="37" t="n">
        <v>0</v>
      </c>
      <c r="I435" s="37" t="n">
        <v>0</v>
      </c>
      <c r="J435" s="37" t="n">
        <v>3</v>
      </c>
      <c r="K435" s="16" t="n">
        <v>36</v>
      </c>
    </row>
    <row r="436">
      <c r="A436" s="30" t="n">
        <v>46314.81041666667</v>
      </c>
      <c r="B436" s="30" t="n">
        <v>46314.85347222222</v>
      </c>
      <c r="C436" s="9" t="n">
        <v>46324</v>
      </c>
      <c r="D436" s="10" t="n">
        <v>0.96875</v>
      </c>
      <c r="E436" s="36" t="n">
        <v>1</v>
      </c>
      <c r="F436" s="36" t="n">
        <v>1</v>
      </c>
      <c r="G436" s="36" t="n">
        <v>0</v>
      </c>
      <c r="H436" s="36" t="n">
        <v>0</v>
      </c>
      <c r="I436" s="36" t="n">
        <v>0</v>
      </c>
      <c r="J436" s="36" t="n">
        <v>2</v>
      </c>
      <c r="K436" s="12" t="n">
        <v>24</v>
      </c>
    </row>
    <row r="437">
      <c r="A437" s="33" t="n">
        <v>46314.81041666667</v>
      </c>
      <c r="B437" s="33" t="n">
        <v>46314.85347222222</v>
      </c>
      <c r="C437" s="13" t="n">
        <v>46326</v>
      </c>
      <c r="D437" s="14" t="n">
        <v>0.96875</v>
      </c>
      <c r="E437" s="37" t="n">
        <v>1</v>
      </c>
      <c r="F437" s="37" t="n">
        <v>0</v>
      </c>
      <c r="G437" s="37" t="n">
        <v>0</v>
      </c>
      <c r="H437" s="37" t="n">
        <v>1</v>
      </c>
      <c r="I437" s="37" t="n">
        <v>0</v>
      </c>
      <c r="J437" s="37" t="n">
        <v>4</v>
      </c>
      <c r="K437" s="16" t="n">
        <v>48</v>
      </c>
    </row>
    <row r="438">
      <c r="A438" s="30" t="n">
        <v>46314.85347222222</v>
      </c>
      <c r="B438" s="30" t="n">
        <v>46314.89583333334</v>
      </c>
      <c r="C438" s="9" t="n">
        <v>46318</v>
      </c>
      <c r="D438" s="10" t="n">
        <v>0.9270833333333334</v>
      </c>
      <c r="E438" s="36" t="n">
        <v>1</v>
      </c>
      <c r="F438" s="36" t="n">
        <v>1</v>
      </c>
      <c r="G438" s="36" t="n">
        <v>0</v>
      </c>
      <c r="H438" s="36" t="n">
        <v>0</v>
      </c>
      <c r="I438" s="36" t="n">
        <v>0</v>
      </c>
      <c r="J438" s="36" t="n">
        <v>2</v>
      </c>
      <c r="K438" s="12" t="n">
        <v>24</v>
      </c>
    </row>
    <row r="439">
      <c r="A439" s="33" t="n">
        <v>46314.85347222222</v>
      </c>
      <c r="B439" s="33" t="n">
        <v>46314.89583333334</v>
      </c>
      <c r="C439" s="13" t="n">
        <v>46318</v>
      </c>
      <c r="D439" s="14" t="n">
        <v>0.96875</v>
      </c>
      <c r="E439" s="37" t="n">
        <v>2</v>
      </c>
      <c r="F439" s="37" t="n">
        <v>1</v>
      </c>
      <c r="G439" s="37" t="n">
        <v>0</v>
      </c>
      <c r="H439" s="37" t="n">
        <v>0</v>
      </c>
      <c r="I439" s="37" t="n">
        <v>1</v>
      </c>
      <c r="J439" s="37" t="n">
        <v>7</v>
      </c>
      <c r="K439" s="16" t="n">
        <v>84</v>
      </c>
    </row>
    <row r="440">
      <c r="A440" s="30" t="n">
        <v>46314.85347222222</v>
      </c>
      <c r="B440" s="30" t="n">
        <v>46314.89583333334</v>
      </c>
      <c r="C440" s="9" t="n">
        <v>46319</v>
      </c>
      <c r="D440" s="10" t="n">
        <v>0.8854166666666666</v>
      </c>
      <c r="E440" s="36" t="n">
        <v>1</v>
      </c>
      <c r="F440" s="36" t="n">
        <v>1</v>
      </c>
      <c r="G440" s="36" t="n">
        <v>0</v>
      </c>
      <c r="H440" s="36" t="n">
        <v>0</v>
      </c>
      <c r="I440" s="36" t="n">
        <v>0</v>
      </c>
      <c r="J440" s="36" t="n">
        <v>2</v>
      </c>
      <c r="K440" s="12" t="n">
        <v>24</v>
      </c>
    </row>
    <row r="441">
      <c r="A441" s="33" t="n">
        <v>46314.85347222222</v>
      </c>
      <c r="B441" s="33" t="n">
        <v>46314.89583333334</v>
      </c>
      <c r="C441" s="13" t="n">
        <v>46319</v>
      </c>
      <c r="D441" s="14" t="n">
        <v>0.9993055555555556</v>
      </c>
      <c r="E441" s="37" t="n">
        <v>1</v>
      </c>
      <c r="F441" s="37" t="n">
        <v>1</v>
      </c>
      <c r="G441" s="37" t="n">
        <v>0</v>
      </c>
      <c r="H441" s="37" t="n">
        <v>0</v>
      </c>
      <c r="I441" s="37" t="n">
        <v>0</v>
      </c>
      <c r="J441" s="37" t="n">
        <v>2</v>
      </c>
      <c r="K441" s="16" t="n">
        <v>24</v>
      </c>
    </row>
    <row r="442">
      <c r="A442" s="30" t="n">
        <v>46314.85347222222</v>
      </c>
      <c r="B442" s="30" t="n">
        <v>46314.89583333334</v>
      </c>
      <c r="C442" s="9" t="n">
        <v>46320</v>
      </c>
      <c r="D442" s="10" t="n">
        <v>0.84375</v>
      </c>
      <c r="E442" s="36" t="n">
        <v>1</v>
      </c>
      <c r="F442" s="36" t="n">
        <v>0</v>
      </c>
      <c r="G442" s="36" t="n">
        <v>1</v>
      </c>
      <c r="H442" s="36" t="n">
        <v>0</v>
      </c>
      <c r="I442" s="36" t="n">
        <v>0</v>
      </c>
      <c r="J442" s="36" t="n">
        <v>3</v>
      </c>
      <c r="K442" s="12" t="n">
        <v>36</v>
      </c>
    </row>
    <row r="443">
      <c r="A443" s="33" t="n">
        <v>46314.85347222222</v>
      </c>
      <c r="B443" s="33" t="n">
        <v>46314.89583333334</v>
      </c>
      <c r="C443" s="13" t="n">
        <v>46325</v>
      </c>
      <c r="D443" s="14" t="n">
        <v>0.9270833333333334</v>
      </c>
      <c r="E443" s="37" t="n">
        <v>1</v>
      </c>
      <c r="F443" s="37" t="n">
        <v>0</v>
      </c>
      <c r="G443" s="37" t="n">
        <v>1</v>
      </c>
      <c r="H443" s="37" t="n">
        <v>0</v>
      </c>
      <c r="I443" s="37" t="n">
        <v>0</v>
      </c>
      <c r="J443" s="37" t="n">
        <v>3</v>
      </c>
      <c r="K443" s="16" t="n">
        <v>36</v>
      </c>
    </row>
    <row r="444">
      <c r="A444" s="30" t="n">
        <v>46314.89583333334</v>
      </c>
      <c r="B444" s="30" t="n">
        <v>46314.93611111111</v>
      </c>
      <c r="C444" s="9" t="n">
        <v>46318</v>
      </c>
      <c r="D444" s="10" t="n">
        <v>0.8854166666666666</v>
      </c>
      <c r="E444" s="36" t="n">
        <v>1</v>
      </c>
      <c r="F444" s="36" t="n">
        <v>0</v>
      </c>
      <c r="G444" s="36" t="n">
        <v>1</v>
      </c>
      <c r="H444" s="36" t="n">
        <v>0</v>
      </c>
      <c r="I444" s="36" t="n">
        <v>0</v>
      </c>
      <c r="J444" s="36" t="n">
        <v>3</v>
      </c>
      <c r="K444" s="12" t="n">
        <v>36</v>
      </c>
    </row>
    <row r="445">
      <c r="A445" s="33" t="n">
        <v>46314.89583333334</v>
      </c>
      <c r="B445" s="33" t="n">
        <v>46314.93611111111</v>
      </c>
      <c r="C445" s="13" t="n">
        <v>46318</v>
      </c>
      <c r="D445" s="14" t="n">
        <v>0.9270833333333334</v>
      </c>
      <c r="E445" s="37" t="n">
        <v>1</v>
      </c>
      <c r="F445" s="37" t="n">
        <v>1</v>
      </c>
      <c r="G445" s="37" t="n">
        <v>0</v>
      </c>
      <c r="H445" s="37" t="n">
        <v>0</v>
      </c>
      <c r="I445" s="37" t="n">
        <v>0</v>
      </c>
      <c r="J445" s="37" t="n">
        <v>2</v>
      </c>
      <c r="K445" s="16" t="n">
        <v>24</v>
      </c>
    </row>
    <row r="446">
      <c r="A446" s="30" t="n">
        <v>46314.89583333334</v>
      </c>
      <c r="B446" s="30" t="n">
        <v>46314.93611111111</v>
      </c>
      <c r="C446" s="9" t="n">
        <v>46320</v>
      </c>
      <c r="D446" s="10" t="n">
        <v>0.8854166666666666</v>
      </c>
      <c r="E446" s="36" t="n">
        <v>2</v>
      </c>
      <c r="F446" s="36" t="n">
        <v>0</v>
      </c>
      <c r="G446" s="36" t="n">
        <v>0</v>
      </c>
      <c r="H446" s="36" t="n">
        <v>2</v>
      </c>
      <c r="I446" s="36" t="n">
        <v>0</v>
      </c>
      <c r="J446" s="36" t="n">
        <v>8</v>
      </c>
      <c r="K446" s="12" t="n">
        <v>96</v>
      </c>
    </row>
    <row r="447">
      <c r="A447" s="33" t="n">
        <v>46314.89583333334</v>
      </c>
      <c r="B447" s="33" t="n">
        <v>46314.93611111111</v>
      </c>
      <c r="C447" s="13" t="n">
        <v>46325</v>
      </c>
      <c r="D447" s="14" t="n">
        <v>0.96875</v>
      </c>
      <c r="E447" s="37" t="n">
        <v>1</v>
      </c>
      <c r="F447" s="37" t="n">
        <v>0</v>
      </c>
      <c r="G447" s="37" t="n">
        <v>1</v>
      </c>
      <c r="H447" s="37" t="n">
        <v>0</v>
      </c>
      <c r="I447" s="37" t="n">
        <v>0</v>
      </c>
      <c r="J447" s="37" t="n">
        <v>3</v>
      </c>
      <c r="K447" s="16" t="n">
        <v>36</v>
      </c>
    </row>
    <row r="448">
      <c r="A448" s="30" t="n">
        <v>46314.89583333334</v>
      </c>
      <c r="B448" s="30" t="n">
        <v>46314.93611111111</v>
      </c>
      <c r="C448" s="9" t="n">
        <v>46326</v>
      </c>
      <c r="D448" s="10" t="n">
        <v>0.84375</v>
      </c>
      <c r="E448" s="36" t="n">
        <v>1</v>
      </c>
      <c r="F448" s="36" t="n">
        <v>0</v>
      </c>
      <c r="G448" s="36" t="n">
        <v>0</v>
      </c>
      <c r="H448" s="36" t="n">
        <v>1</v>
      </c>
      <c r="I448" s="36" t="n">
        <v>0</v>
      </c>
      <c r="J448" s="36" t="n">
        <v>4</v>
      </c>
      <c r="K448" s="12" t="n">
        <v>48</v>
      </c>
    </row>
    <row r="449">
      <c r="A449" s="33" t="n">
        <v>46314.89583333334</v>
      </c>
      <c r="B449" s="33" t="n">
        <v>46314.93611111111</v>
      </c>
      <c r="C449" s="13" t="n">
        <v>46327</v>
      </c>
      <c r="D449" s="14" t="n">
        <v>0.96875</v>
      </c>
      <c r="E449" s="37" t="n">
        <v>1</v>
      </c>
      <c r="F449" s="37" t="n">
        <v>1</v>
      </c>
      <c r="G449" s="37" t="n">
        <v>0</v>
      </c>
      <c r="H449" s="37" t="n">
        <v>0</v>
      </c>
      <c r="I449" s="37" t="n">
        <v>0</v>
      </c>
      <c r="J449" s="37" t="n">
        <v>2</v>
      </c>
      <c r="K449" s="16" t="n">
        <v>24</v>
      </c>
    </row>
    <row r="450">
      <c r="A450" s="30" t="n">
        <v>46314.93611111111</v>
      </c>
      <c r="B450" s="30" t="n">
        <v>46314.97638888889</v>
      </c>
      <c r="C450" s="9" t="n">
        <v>46318</v>
      </c>
      <c r="D450" s="10" t="n">
        <v>0.9270833333333334</v>
      </c>
      <c r="E450" s="36" t="n">
        <v>2</v>
      </c>
      <c r="F450" s="36" t="n">
        <v>1</v>
      </c>
      <c r="G450" s="36" t="n">
        <v>0</v>
      </c>
      <c r="H450" s="36" t="n">
        <v>0</v>
      </c>
      <c r="I450" s="36" t="n">
        <v>1</v>
      </c>
      <c r="J450" s="36" t="n">
        <v>7</v>
      </c>
      <c r="K450" s="12" t="n">
        <v>84</v>
      </c>
    </row>
    <row r="451">
      <c r="A451" s="33" t="n">
        <v>46314.93611111111</v>
      </c>
      <c r="B451" s="33" t="n">
        <v>46314.97638888889</v>
      </c>
      <c r="C451" s="13" t="n">
        <v>46319</v>
      </c>
      <c r="D451" s="14" t="n">
        <v>0.84375</v>
      </c>
      <c r="E451" s="37" t="n">
        <v>1</v>
      </c>
      <c r="F451" s="37" t="n">
        <v>0</v>
      </c>
      <c r="G451" s="37" t="n">
        <v>0</v>
      </c>
      <c r="H451" s="37" t="n">
        <v>0</v>
      </c>
      <c r="I451" s="37" t="n">
        <v>1</v>
      </c>
      <c r="J451" s="37" t="n">
        <v>5</v>
      </c>
      <c r="K451" s="16" t="n">
        <v>60</v>
      </c>
    </row>
    <row r="452">
      <c r="A452" s="30" t="n">
        <v>46314.93611111111</v>
      </c>
      <c r="B452" s="30" t="n">
        <v>46314.97638888889</v>
      </c>
      <c r="C452" s="9" t="n">
        <v>46320</v>
      </c>
      <c r="D452" s="10" t="n">
        <v>0.9270833333333334</v>
      </c>
      <c r="E452" s="36" t="n">
        <v>1</v>
      </c>
      <c r="F452" s="36" t="n">
        <v>0</v>
      </c>
      <c r="G452" s="36" t="n">
        <v>0</v>
      </c>
      <c r="H452" s="36" t="n">
        <v>1</v>
      </c>
      <c r="I452" s="36" t="n">
        <v>0</v>
      </c>
      <c r="J452" s="36" t="n">
        <v>4</v>
      </c>
      <c r="K452" s="12" t="n">
        <v>48</v>
      </c>
    </row>
    <row r="453">
      <c r="A453" s="33" t="n">
        <v>46314.93611111111</v>
      </c>
      <c r="B453" s="33" t="n">
        <v>46314.97638888889</v>
      </c>
      <c r="C453" s="13" t="n">
        <v>46324</v>
      </c>
      <c r="D453" s="14" t="n">
        <v>0.9270833333333334</v>
      </c>
      <c r="E453" s="37" t="n">
        <v>1</v>
      </c>
      <c r="F453" s="37" t="n">
        <v>0</v>
      </c>
      <c r="G453" s="37" t="n">
        <v>0</v>
      </c>
      <c r="H453" s="37" t="n">
        <v>1</v>
      </c>
      <c r="I453" s="37" t="n">
        <v>0</v>
      </c>
      <c r="J453" s="37" t="n">
        <v>4</v>
      </c>
      <c r="K453" s="16" t="n">
        <v>48</v>
      </c>
    </row>
    <row r="454">
      <c r="A454" s="30" t="n">
        <v>46314.93611111111</v>
      </c>
      <c r="B454" s="30" t="n">
        <v>46314.97638888889</v>
      </c>
      <c r="C454" s="9" t="n">
        <v>46327</v>
      </c>
      <c r="D454" s="10" t="n">
        <v>0.8854166666666666</v>
      </c>
      <c r="E454" s="36" t="n">
        <v>1</v>
      </c>
      <c r="F454" s="36" t="n">
        <v>0</v>
      </c>
      <c r="G454" s="36" t="n">
        <v>1</v>
      </c>
      <c r="H454" s="36" t="n">
        <v>0</v>
      </c>
      <c r="I454" s="36" t="n">
        <v>0</v>
      </c>
      <c r="J454" s="36" t="n">
        <v>3</v>
      </c>
      <c r="K454" s="12" t="n">
        <v>36</v>
      </c>
    </row>
    <row r="455">
      <c r="A455" s="33" t="n">
        <v>46314.97638888889</v>
      </c>
      <c r="B455" s="33" t="n">
        <v>46315.01805555556</v>
      </c>
      <c r="C455" s="13" t="n">
        <v>46318</v>
      </c>
      <c r="D455" s="14" t="n">
        <v>0.8854166666666666</v>
      </c>
      <c r="E455" s="37" t="n">
        <v>1</v>
      </c>
      <c r="F455" s="37" t="n">
        <v>0</v>
      </c>
      <c r="G455" s="37" t="n">
        <v>0</v>
      </c>
      <c r="H455" s="37" t="n">
        <v>1</v>
      </c>
      <c r="I455" s="37" t="n">
        <v>0</v>
      </c>
      <c r="J455" s="37" t="n">
        <v>4</v>
      </c>
      <c r="K455" s="16" t="n">
        <v>48</v>
      </c>
    </row>
    <row r="456">
      <c r="A456" s="30" t="n">
        <v>46314.97638888889</v>
      </c>
      <c r="B456" s="30" t="n">
        <v>46315.01805555556</v>
      </c>
      <c r="C456" s="9" t="n">
        <v>46324</v>
      </c>
      <c r="D456" s="10" t="n">
        <v>0.8854166666666666</v>
      </c>
      <c r="E456" s="36" t="n">
        <v>1</v>
      </c>
      <c r="F456" s="36" t="n">
        <v>0</v>
      </c>
      <c r="G456" s="36" t="n">
        <v>0</v>
      </c>
      <c r="H456" s="36" t="n">
        <v>1</v>
      </c>
      <c r="I456" s="36" t="n">
        <v>0</v>
      </c>
      <c r="J456" s="36" t="n">
        <v>4</v>
      </c>
      <c r="K456" s="12" t="n">
        <v>48</v>
      </c>
    </row>
    <row r="457">
      <c r="A457" s="33" t="n">
        <v>46314.97638888889</v>
      </c>
      <c r="B457" s="33" t="n">
        <v>46315.01805555556</v>
      </c>
      <c r="C457" s="13" t="n">
        <v>46326</v>
      </c>
      <c r="D457" s="14" t="n">
        <v>0.96875</v>
      </c>
      <c r="E457" s="37" t="n">
        <v>1</v>
      </c>
      <c r="F457" s="37" t="n">
        <v>1</v>
      </c>
      <c r="G457" s="37" t="n">
        <v>0</v>
      </c>
      <c r="H457" s="37" t="n">
        <v>0</v>
      </c>
      <c r="I457" s="37" t="n">
        <v>0</v>
      </c>
      <c r="J457" s="37" t="n">
        <v>2</v>
      </c>
      <c r="K457" s="16" t="n">
        <v>24</v>
      </c>
    </row>
    <row r="458">
      <c r="A458" s="30" t="n">
        <v>46315.26944444444</v>
      </c>
      <c r="B458" s="30" t="n">
        <v>46315.31041666667</v>
      </c>
      <c r="C458" s="9" t="n">
        <v>46320</v>
      </c>
      <c r="D458" s="10" t="n">
        <v>0.96875</v>
      </c>
      <c r="E458" s="36" t="n">
        <v>1</v>
      </c>
      <c r="F458" s="36" t="n">
        <v>0</v>
      </c>
      <c r="G458" s="36" t="n">
        <v>0</v>
      </c>
      <c r="H458" s="36" t="n">
        <v>1</v>
      </c>
      <c r="I458" s="36" t="n">
        <v>0</v>
      </c>
      <c r="J458" s="36" t="n">
        <v>4</v>
      </c>
      <c r="K458" s="12" t="n">
        <v>48</v>
      </c>
    </row>
    <row r="459">
      <c r="A459" s="33" t="n">
        <v>46315.31041666667</v>
      </c>
      <c r="B459" s="33" t="n">
        <v>46315.35555555556</v>
      </c>
      <c r="C459" s="13" t="n">
        <v>46326</v>
      </c>
      <c r="D459" s="14" t="n">
        <v>0.9993055555555556</v>
      </c>
      <c r="E459" s="37" t="n">
        <v>2</v>
      </c>
      <c r="F459" s="37" t="n">
        <v>0</v>
      </c>
      <c r="G459" s="37" t="n">
        <v>1</v>
      </c>
      <c r="H459" s="37" t="n">
        <v>1</v>
      </c>
      <c r="I459" s="37" t="n">
        <v>0</v>
      </c>
      <c r="J459" s="37" t="n">
        <v>7</v>
      </c>
      <c r="K459" s="16" t="n">
        <v>84</v>
      </c>
    </row>
    <row r="460">
      <c r="A460" s="30" t="n">
        <v>46315.35555555556</v>
      </c>
      <c r="B460" s="30" t="n">
        <v>46315.40138888889</v>
      </c>
      <c r="C460" s="9" t="n">
        <v>46320</v>
      </c>
      <c r="D460" s="10" t="n">
        <v>0.8854166666666666</v>
      </c>
      <c r="E460" s="36" t="n">
        <v>1</v>
      </c>
      <c r="F460" s="36" t="n">
        <v>0</v>
      </c>
      <c r="G460" s="36" t="n">
        <v>0</v>
      </c>
      <c r="H460" s="36" t="n">
        <v>0</v>
      </c>
      <c r="I460" s="36" t="n">
        <v>1</v>
      </c>
      <c r="J460" s="36" t="n">
        <v>5</v>
      </c>
      <c r="K460" s="12" t="n">
        <v>60</v>
      </c>
    </row>
    <row r="461">
      <c r="A461" s="33" t="n">
        <v>46315.40138888889</v>
      </c>
      <c r="B461" s="33" t="n">
        <v>46315.4375</v>
      </c>
      <c r="C461" s="13" t="n">
        <v>46318</v>
      </c>
      <c r="D461" s="14" t="n">
        <v>0.9270833333333334</v>
      </c>
      <c r="E461" s="37" t="n">
        <v>1</v>
      </c>
      <c r="F461" s="37" t="n">
        <v>1</v>
      </c>
      <c r="G461" s="37" t="n">
        <v>0</v>
      </c>
      <c r="H461" s="37" t="n">
        <v>0</v>
      </c>
      <c r="I461" s="37" t="n">
        <v>0</v>
      </c>
      <c r="J461" s="37" t="n">
        <v>2</v>
      </c>
      <c r="K461" s="16" t="n">
        <v>24</v>
      </c>
    </row>
    <row r="462">
      <c r="A462" s="30" t="n">
        <v>46315.40138888889</v>
      </c>
      <c r="B462" s="30" t="n">
        <v>46315.4375</v>
      </c>
      <c r="C462" s="9" t="n">
        <v>46324</v>
      </c>
      <c r="D462" s="10" t="n">
        <v>0.9270833333333334</v>
      </c>
      <c r="E462" s="36" t="n">
        <v>1</v>
      </c>
      <c r="F462" s="36" t="n">
        <v>1</v>
      </c>
      <c r="G462" s="36" t="n">
        <v>0</v>
      </c>
      <c r="H462" s="36" t="n">
        <v>0</v>
      </c>
      <c r="I462" s="36" t="n">
        <v>0</v>
      </c>
      <c r="J462" s="36" t="n">
        <v>2</v>
      </c>
      <c r="K462" s="12" t="n">
        <v>24</v>
      </c>
    </row>
    <row r="463">
      <c r="A463" s="33" t="n">
        <v>46315.47916666666</v>
      </c>
      <c r="B463" s="33" t="n">
        <v>46315.50277777778</v>
      </c>
      <c r="C463" s="13" t="n">
        <v>46318</v>
      </c>
      <c r="D463" s="14" t="n">
        <v>0.8854166666666666</v>
      </c>
      <c r="E463" s="37" t="n">
        <v>2</v>
      </c>
      <c r="F463" s="37" t="n">
        <v>1</v>
      </c>
      <c r="G463" s="37" t="n">
        <v>0</v>
      </c>
      <c r="H463" s="37" t="n">
        <v>1</v>
      </c>
      <c r="I463" s="37" t="n">
        <v>0</v>
      </c>
      <c r="J463" s="37" t="n">
        <v>6</v>
      </c>
      <c r="K463" s="16" t="n">
        <v>72</v>
      </c>
    </row>
    <row r="464">
      <c r="A464" s="30" t="n">
        <v>46315.47916666666</v>
      </c>
      <c r="B464" s="30" t="n">
        <v>46315.50277777778</v>
      </c>
      <c r="C464" s="9" t="n">
        <v>46318</v>
      </c>
      <c r="D464" s="10" t="n">
        <v>0.96875</v>
      </c>
      <c r="E464" s="36" t="n">
        <v>1</v>
      </c>
      <c r="F464" s="36" t="n">
        <v>1</v>
      </c>
      <c r="G464" s="36" t="n">
        <v>0</v>
      </c>
      <c r="H464" s="36" t="n">
        <v>0</v>
      </c>
      <c r="I464" s="36" t="n">
        <v>0</v>
      </c>
      <c r="J464" s="36" t="n">
        <v>2</v>
      </c>
      <c r="K464" s="12" t="n">
        <v>24</v>
      </c>
    </row>
    <row r="465">
      <c r="A465" s="33" t="n">
        <v>46315.51805555556</v>
      </c>
      <c r="B465" s="33" t="n">
        <v>46315.56041666667</v>
      </c>
      <c r="C465" s="13" t="n">
        <v>46319</v>
      </c>
      <c r="D465" s="14" t="n">
        <v>0.9993055555555556</v>
      </c>
      <c r="E465" s="37" t="n">
        <v>1</v>
      </c>
      <c r="F465" s="37" t="n">
        <v>0</v>
      </c>
      <c r="G465" s="37" t="n">
        <v>0</v>
      </c>
      <c r="H465" s="37" t="n">
        <v>0</v>
      </c>
      <c r="I465" s="37" t="n">
        <v>1</v>
      </c>
      <c r="J465" s="37" t="n">
        <v>5</v>
      </c>
      <c r="K465" s="16" t="n">
        <v>60</v>
      </c>
    </row>
    <row r="466">
      <c r="A466" s="30" t="n">
        <v>46315.51805555556</v>
      </c>
      <c r="B466" s="30" t="n">
        <v>46315.56041666667</v>
      </c>
      <c r="C466" s="9" t="n">
        <v>46326</v>
      </c>
      <c r="D466" s="10" t="n">
        <v>0.8854166666666666</v>
      </c>
      <c r="E466" s="36" t="n">
        <v>1</v>
      </c>
      <c r="F466" s="36" t="n">
        <v>1</v>
      </c>
      <c r="G466" s="36" t="n">
        <v>0</v>
      </c>
      <c r="H466" s="36" t="n">
        <v>0</v>
      </c>
      <c r="I466" s="36" t="n">
        <v>0</v>
      </c>
      <c r="J466" s="36" t="n">
        <v>2</v>
      </c>
      <c r="K466" s="12" t="n">
        <v>24</v>
      </c>
    </row>
    <row r="467">
      <c r="A467" s="33" t="n">
        <v>46315.56041666667</v>
      </c>
      <c r="B467" s="33" t="n">
        <v>46315.60625</v>
      </c>
      <c r="C467" s="13" t="n">
        <v>46318</v>
      </c>
      <c r="D467" s="14" t="n">
        <v>0.8854166666666666</v>
      </c>
      <c r="E467" s="37" t="n">
        <v>1</v>
      </c>
      <c r="F467" s="37" t="n">
        <v>0</v>
      </c>
      <c r="G467" s="37" t="n">
        <v>1</v>
      </c>
      <c r="H467" s="37" t="n">
        <v>0</v>
      </c>
      <c r="I467" s="37" t="n">
        <v>0</v>
      </c>
      <c r="J467" s="37" t="n">
        <v>3</v>
      </c>
      <c r="K467" s="16" t="n">
        <v>36</v>
      </c>
    </row>
    <row r="468">
      <c r="A468" s="30" t="n">
        <v>46315.56041666667</v>
      </c>
      <c r="B468" s="30" t="n">
        <v>46315.60625</v>
      </c>
      <c r="C468" s="9" t="n">
        <v>46319</v>
      </c>
      <c r="D468" s="10" t="n">
        <v>0.9270833333333334</v>
      </c>
      <c r="E468" s="36" t="n">
        <v>1</v>
      </c>
      <c r="F468" s="36" t="n">
        <v>1</v>
      </c>
      <c r="G468" s="36" t="n">
        <v>0</v>
      </c>
      <c r="H468" s="36" t="n">
        <v>0</v>
      </c>
      <c r="I468" s="36" t="n">
        <v>0</v>
      </c>
      <c r="J468" s="36" t="n">
        <v>2</v>
      </c>
      <c r="K468" s="12" t="n">
        <v>24</v>
      </c>
    </row>
    <row r="469">
      <c r="A469" s="33" t="n">
        <v>46315.56041666667</v>
      </c>
      <c r="B469" s="33" t="n">
        <v>46315.60625</v>
      </c>
      <c r="C469" s="13" t="n">
        <v>46319</v>
      </c>
      <c r="D469" s="14" t="n">
        <v>0.96875</v>
      </c>
      <c r="E469" s="37" t="n">
        <v>1</v>
      </c>
      <c r="F469" s="37" t="n">
        <v>0</v>
      </c>
      <c r="G469" s="37" t="n">
        <v>1</v>
      </c>
      <c r="H469" s="37" t="n">
        <v>0</v>
      </c>
      <c r="I469" s="37" t="n">
        <v>0</v>
      </c>
      <c r="J469" s="37" t="n">
        <v>3</v>
      </c>
      <c r="K469" s="16" t="n">
        <v>36</v>
      </c>
    </row>
    <row r="470">
      <c r="A470" s="30" t="n">
        <v>46315.56041666667</v>
      </c>
      <c r="B470" s="30" t="n">
        <v>46315.60625</v>
      </c>
      <c r="C470" s="9" t="n">
        <v>46319</v>
      </c>
      <c r="D470" s="10" t="n">
        <v>0.9993055555555556</v>
      </c>
      <c r="E470" s="36" t="n">
        <v>1</v>
      </c>
      <c r="F470" s="36" t="n">
        <v>0</v>
      </c>
      <c r="G470" s="36" t="n">
        <v>0</v>
      </c>
      <c r="H470" s="36" t="n">
        <v>1</v>
      </c>
      <c r="I470" s="36" t="n">
        <v>0</v>
      </c>
      <c r="J470" s="36" t="n">
        <v>4</v>
      </c>
      <c r="K470" s="12" t="n">
        <v>48</v>
      </c>
    </row>
    <row r="471">
      <c r="A471" s="33" t="n">
        <v>46315.56041666667</v>
      </c>
      <c r="B471" s="33" t="n">
        <v>46315.60625</v>
      </c>
      <c r="C471" s="13" t="n">
        <v>46325</v>
      </c>
      <c r="D471" s="14" t="n">
        <v>0.8854166666666666</v>
      </c>
      <c r="E471" s="37" t="n">
        <v>1</v>
      </c>
      <c r="F471" s="37" t="n">
        <v>1</v>
      </c>
      <c r="G471" s="37" t="n">
        <v>0</v>
      </c>
      <c r="H471" s="37" t="n">
        <v>0</v>
      </c>
      <c r="I471" s="37" t="n">
        <v>0</v>
      </c>
      <c r="J471" s="37" t="n">
        <v>2</v>
      </c>
      <c r="K471" s="16" t="n">
        <v>24</v>
      </c>
    </row>
    <row r="472">
      <c r="A472" s="30" t="n">
        <v>46315.56041666667</v>
      </c>
      <c r="B472" s="30" t="n">
        <v>46315.60625</v>
      </c>
      <c r="C472" s="9" t="n">
        <v>46325</v>
      </c>
      <c r="D472" s="10" t="n">
        <v>0.9993055555555556</v>
      </c>
      <c r="E472" s="36" t="n">
        <v>1</v>
      </c>
      <c r="F472" s="36" t="n">
        <v>1</v>
      </c>
      <c r="G472" s="36" t="n">
        <v>0</v>
      </c>
      <c r="H472" s="36" t="n">
        <v>0</v>
      </c>
      <c r="I472" s="36" t="n">
        <v>0</v>
      </c>
      <c r="J472" s="36" t="n">
        <v>2</v>
      </c>
      <c r="K472" s="12" t="n">
        <v>24</v>
      </c>
    </row>
    <row r="473">
      <c r="A473" s="33" t="n">
        <v>46315.60625</v>
      </c>
      <c r="B473" s="33" t="n">
        <v>46315.65416666667</v>
      </c>
      <c r="C473" s="13" t="n">
        <v>46318</v>
      </c>
      <c r="D473" s="14" t="n">
        <v>0.96875</v>
      </c>
      <c r="E473" s="37" t="n">
        <v>1</v>
      </c>
      <c r="F473" s="37" t="n">
        <v>1</v>
      </c>
      <c r="G473" s="37" t="n">
        <v>0</v>
      </c>
      <c r="H473" s="37" t="n">
        <v>0</v>
      </c>
      <c r="I473" s="37" t="n">
        <v>0</v>
      </c>
      <c r="J473" s="37" t="n">
        <v>2</v>
      </c>
      <c r="K473" s="16" t="n">
        <v>24</v>
      </c>
    </row>
    <row r="474">
      <c r="A474" s="30" t="n">
        <v>46315.60625</v>
      </c>
      <c r="B474" s="30" t="n">
        <v>46315.65416666667</v>
      </c>
      <c r="C474" s="9" t="n">
        <v>46319</v>
      </c>
      <c r="D474" s="10" t="n">
        <v>0.9270833333333334</v>
      </c>
      <c r="E474" s="36" t="n">
        <v>1</v>
      </c>
      <c r="F474" s="36" t="n">
        <v>1</v>
      </c>
      <c r="G474" s="36" t="n">
        <v>0</v>
      </c>
      <c r="H474" s="36" t="n">
        <v>0</v>
      </c>
      <c r="I474" s="36" t="n">
        <v>0</v>
      </c>
      <c r="J474" s="36" t="n">
        <v>2</v>
      </c>
      <c r="K474" s="12" t="n">
        <v>24</v>
      </c>
    </row>
    <row r="475">
      <c r="A475" s="33" t="n">
        <v>46315.60625</v>
      </c>
      <c r="B475" s="33" t="n">
        <v>46315.65416666667</v>
      </c>
      <c r="C475" s="13" t="n">
        <v>46319</v>
      </c>
      <c r="D475" s="14" t="n">
        <v>0.96875</v>
      </c>
      <c r="E475" s="37" t="n">
        <v>1</v>
      </c>
      <c r="F475" s="37" t="n">
        <v>0</v>
      </c>
      <c r="G475" s="37" t="n">
        <v>0</v>
      </c>
      <c r="H475" s="37" t="n">
        <v>1</v>
      </c>
      <c r="I475" s="37" t="n">
        <v>0</v>
      </c>
      <c r="J475" s="37" t="n">
        <v>4</v>
      </c>
      <c r="K475" s="16" t="n">
        <v>48</v>
      </c>
    </row>
    <row r="476">
      <c r="A476" s="30" t="n">
        <v>46315.65416666667</v>
      </c>
      <c r="B476" s="30" t="n">
        <v>46315.68680555555</v>
      </c>
      <c r="C476" s="9" t="n">
        <v>46325</v>
      </c>
      <c r="D476" s="10" t="n">
        <v>0.9270833333333334</v>
      </c>
      <c r="E476" s="36" t="n">
        <v>1</v>
      </c>
      <c r="F476" s="36" t="n">
        <v>0</v>
      </c>
      <c r="G476" s="36" t="n">
        <v>1</v>
      </c>
      <c r="H476" s="36" t="n">
        <v>0</v>
      </c>
      <c r="I476" s="36" t="n">
        <v>0</v>
      </c>
      <c r="J476" s="36" t="n">
        <v>3</v>
      </c>
      <c r="K476" s="12" t="n">
        <v>36</v>
      </c>
    </row>
    <row r="477">
      <c r="A477" s="33" t="n">
        <v>46315.65416666667</v>
      </c>
      <c r="B477" s="33" t="n">
        <v>46315.68680555555</v>
      </c>
      <c r="C477" s="13" t="n">
        <v>46326</v>
      </c>
      <c r="D477" s="14" t="n">
        <v>0.8854166666666666</v>
      </c>
      <c r="E477" s="37" t="n">
        <v>1</v>
      </c>
      <c r="F477" s="37" t="n">
        <v>0</v>
      </c>
      <c r="G477" s="37" t="n">
        <v>0</v>
      </c>
      <c r="H477" s="37" t="n">
        <v>1</v>
      </c>
      <c r="I477" s="37" t="n">
        <v>0</v>
      </c>
      <c r="J477" s="37" t="n">
        <v>4</v>
      </c>
      <c r="K477" s="16" t="n">
        <v>48</v>
      </c>
    </row>
    <row r="478">
      <c r="A478" s="30" t="n">
        <v>46315.68680555555</v>
      </c>
      <c r="B478" s="30" t="n">
        <v>46315.72916666666</v>
      </c>
      <c r="C478" s="9" t="n">
        <v>46319</v>
      </c>
      <c r="D478" s="10" t="n">
        <v>0.8854166666666666</v>
      </c>
      <c r="E478" s="36" t="n">
        <v>1</v>
      </c>
      <c r="F478" s="36" t="n">
        <v>1</v>
      </c>
      <c r="G478" s="36" t="n">
        <v>0</v>
      </c>
      <c r="H478" s="36" t="n">
        <v>0</v>
      </c>
      <c r="I478" s="36" t="n">
        <v>0</v>
      </c>
      <c r="J478" s="36" t="n">
        <v>2</v>
      </c>
      <c r="K478" s="12" t="n">
        <v>24</v>
      </c>
    </row>
    <row r="479">
      <c r="A479" s="33" t="n">
        <v>46315.68680555555</v>
      </c>
      <c r="B479" s="33" t="n">
        <v>46315.72916666666</v>
      </c>
      <c r="C479" s="13" t="n">
        <v>46320</v>
      </c>
      <c r="D479" s="14" t="n">
        <v>0.8854166666666666</v>
      </c>
      <c r="E479" s="37" t="n">
        <v>1</v>
      </c>
      <c r="F479" s="37" t="n">
        <v>1</v>
      </c>
      <c r="G479" s="37" t="n">
        <v>0</v>
      </c>
      <c r="H479" s="37" t="n">
        <v>0</v>
      </c>
      <c r="I479" s="37" t="n">
        <v>0</v>
      </c>
      <c r="J479" s="37" t="n">
        <v>2</v>
      </c>
      <c r="K479" s="16" t="n">
        <v>24</v>
      </c>
    </row>
    <row r="480">
      <c r="A480" s="30" t="n">
        <v>46315.72916666666</v>
      </c>
      <c r="B480" s="30" t="n">
        <v>46315.74513888889</v>
      </c>
      <c r="C480" s="9" t="n">
        <v>46320</v>
      </c>
      <c r="D480" s="10" t="n">
        <v>0.9270833333333334</v>
      </c>
      <c r="E480" s="36" t="n">
        <v>1</v>
      </c>
      <c r="F480" s="36" t="n">
        <v>1</v>
      </c>
      <c r="G480" s="36" t="n">
        <v>0</v>
      </c>
      <c r="H480" s="36" t="n">
        <v>0</v>
      </c>
      <c r="I480" s="36" t="n">
        <v>0</v>
      </c>
      <c r="J480" s="36" t="n">
        <v>2</v>
      </c>
      <c r="K480" s="12" t="n">
        <v>24</v>
      </c>
    </row>
    <row r="481">
      <c r="A481" s="33" t="n">
        <v>46315.77083333334</v>
      </c>
      <c r="B481" s="33" t="n">
        <v>46315.81805555556</v>
      </c>
      <c r="C481" s="13" t="n">
        <v>46318</v>
      </c>
      <c r="D481" s="14" t="n">
        <v>0.9986111111111111</v>
      </c>
      <c r="E481" s="37" t="n">
        <v>1</v>
      </c>
      <c r="F481" s="37" t="n">
        <v>1</v>
      </c>
      <c r="G481" s="37" t="n">
        <v>0</v>
      </c>
      <c r="H481" s="37" t="n">
        <v>0</v>
      </c>
      <c r="I481" s="37" t="n">
        <v>0</v>
      </c>
      <c r="J481" s="37" t="n">
        <v>2</v>
      </c>
      <c r="K481" s="16" t="n">
        <v>24</v>
      </c>
    </row>
    <row r="482">
      <c r="A482" s="30" t="n">
        <v>46315.77083333334</v>
      </c>
      <c r="B482" s="30" t="n">
        <v>46315.81805555556</v>
      </c>
      <c r="C482" s="9" t="n">
        <v>46319</v>
      </c>
      <c r="D482" s="10" t="n">
        <v>0.96875</v>
      </c>
      <c r="E482" s="36" t="n">
        <v>4</v>
      </c>
      <c r="F482" s="36" t="n">
        <v>2</v>
      </c>
      <c r="G482" s="36" t="n">
        <v>0</v>
      </c>
      <c r="H482" s="36" t="n">
        <v>2</v>
      </c>
      <c r="I482" s="36" t="n">
        <v>0</v>
      </c>
      <c r="J482" s="36" t="n">
        <v>12</v>
      </c>
      <c r="K482" s="12" t="n">
        <v>144</v>
      </c>
    </row>
    <row r="483">
      <c r="A483" s="33" t="n">
        <v>46315.77083333334</v>
      </c>
      <c r="B483" s="33" t="n">
        <v>46315.81805555556</v>
      </c>
      <c r="C483" s="13" t="n">
        <v>46319</v>
      </c>
      <c r="D483" s="14" t="n">
        <v>0.9993055555555556</v>
      </c>
      <c r="E483" s="37" t="n">
        <v>1</v>
      </c>
      <c r="F483" s="37" t="n">
        <v>0</v>
      </c>
      <c r="G483" s="37" t="n">
        <v>0</v>
      </c>
      <c r="H483" s="37" t="n">
        <v>1</v>
      </c>
      <c r="I483" s="37" t="n">
        <v>0</v>
      </c>
      <c r="J483" s="37" t="n">
        <v>4</v>
      </c>
      <c r="K483" s="16" t="n">
        <v>48</v>
      </c>
    </row>
    <row r="484">
      <c r="A484" s="30" t="n">
        <v>46315.77083333334</v>
      </c>
      <c r="B484" s="30" t="n">
        <v>46315.81805555556</v>
      </c>
      <c r="C484" s="9" t="n">
        <v>46326</v>
      </c>
      <c r="D484" s="10" t="n">
        <v>0.8854166666666666</v>
      </c>
      <c r="E484" s="36" t="n">
        <v>1</v>
      </c>
      <c r="F484" s="36" t="n">
        <v>0</v>
      </c>
      <c r="G484" s="36" t="n">
        <v>0</v>
      </c>
      <c r="H484" s="36" t="n">
        <v>1</v>
      </c>
      <c r="I484" s="36" t="n">
        <v>0</v>
      </c>
      <c r="J484" s="36" t="n">
        <v>4</v>
      </c>
      <c r="K484" s="12" t="n">
        <v>48</v>
      </c>
    </row>
    <row r="485">
      <c r="A485" s="33" t="n">
        <v>46315.77083333334</v>
      </c>
      <c r="B485" s="33" t="n">
        <v>46315.81805555556</v>
      </c>
      <c r="C485" s="13" t="n">
        <v>46326</v>
      </c>
      <c r="D485" s="14" t="n">
        <v>0.9993055555555556</v>
      </c>
      <c r="E485" s="37" t="n">
        <v>1</v>
      </c>
      <c r="F485" s="37" t="n">
        <v>1</v>
      </c>
      <c r="G485" s="37" t="n">
        <v>0</v>
      </c>
      <c r="H485" s="37" t="n">
        <v>0</v>
      </c>
      <c r="I485" s="37" t="n">
        <v>0</v>
      </c>
      <c r="J485" s="37" t="n">
        <v>2</v>
      </c>
      <c r="K485" s="16" t="n">
        <v>24</v>
      </c>
    </row>
    <row r="486">
      <c r="A486" s="30" t="n">
        <v>46315.83263888889</v>
      </c>
      <c r="B486" s="30" t="n">
        <v>46315.85416666666</v>
      </c>
      <c r="C486" s="9" t="n">
        <v>46318</v>
      </c>
      <c r="D486" s="10" t="n">
        <v>0.9270833333333334</v>
      </c>
      <c r="E486" s="36" t="n">
        <v>1</v>
      </c>
      <c r="F486" s="36" t="n">
        <v>0</v>
      </c>
      <c r="G486" s="36" t="n">
        <v>0</v>
      </c>
      <c r="H486" s="36" t="n">
        <v>1</v>
      </c>
      <c r="I486" s="36" t="n">
        <v>0</v>
      </c>
      <c r="J486" s="36" t="n">
        <v>4</v>
      </c>
      <c r="K486" s="12" t="n">
        <v>48</v>
      </c>
    </row>
    <row r="487">
      <c r="A487" s="33" t="n">
        <v>46315.85416666666</v>
      </c>
      <c r="B487" s="33" t="n">
        <v>46315.89652777778</v>
      </c>
      <c r="C487" s="13" t="n">
        <v>46320</v>
      </c>
      <c r="D487" s="14" t="n">
        <v>0.96875</v>
      </c>
      <c r="E487" s="37" t="n">
        <v>1</v>
      </c>
      <c r="F487" s="37" t="n">
        <v>0</v>
      </c>
      <c r="G487" s="37" t="n">
        <v>0</v>
      </c>
      <c r="H487" s="37" t="n">
        <v>1</v>
      </c>
      <c r="I487" s="37" t="n">
        <v>0</v>
      </c>
      <c r="J487" s="37" t="n">
        <v>4</v>
      </c>
      <c r="K487" s="16" t="n">
        <v>48</v>
      </c>
    </row>
    <row r="488">
      <c r="A488" s="30" t="n">
        <v>46315.85416666666</v>
      </c>
      <c r="B488" s="30" t="n">
        <v>46315.89652777778</v>
      </c>
      <c r="C488" s="9" t="n">
        <v>46324</v>
      </c>
      <c r="D488" s="10" t="n">
        <v>0.9270833333333334</v>
      </c>
      <c r="E488" s="36" t="n">
        <v>1</v>
      </c>
      <c r="F488" s="36" t="n">
        <v>0</v>
      </c>
      <c r="G488" s="36" t="n">
        <v>1</v>
      </c>
      <c r="H488" s="36" t="n">
        <v>0</v>
      </c>
      <c r="I488" s="36" t="n">
        <v>0</v>
      </c>
      <c r="J488" s="36" t="n">
        <v>3</v>
      </c>
      <c r="K488" s="12" t="n">
        <v>36</v>
      </c>
    </row>
    <row r="489">
      <c r="A489" s="33" t="n">
        <v>46315.85416666666</v>
      </c>
      <c r="B489" s="33" t="n">
        <v>46315.89652777778</v>
      </c>
      <c r="C489" s="13" t="n">
        <v>46325</v>
      </c>
      <c r="D489" s="14" t="n">
        <v>0.84375</v>
      </c>
      <c r="E489" s="37" t="n">
        <v>1</v>
      </c>
      <c r="F489" s="37" t="n">
        <v>1</v>
      </c>
      <c r="G489" s="37" t="n">
        <v>0</v>
      </c>
      <c r="H489" s="37" t="n">
        <v>0</v>
      </c>
      <c r="I489" s="37" t="n">
        <v>0</v>
      </c>
      <c r="J489" s="37" t="n">
        <v>2</v>
      </c>
      <c r="K489" s="16" t="n">
        <v>24</v>
      </c>
    </row>
    <row r="490">
      <c r="A490" s="30" t="n">
        <v>46315.85416666666</v>
      </c>
      <c r="B490" s="30" t="n">
        <v>46315.89652777778</v>
      </c>
      <c r="C490" s="9" t="n">
        <v>46325</v>
      </c>
      <c r="D490" s="10" t="n">
        <v>0.9270833333333334</v>
      </c>
      <c r="E490" s="36" t="n">
        <v>1</v>
      </c>
      <c r="F490" s="36" t="n">
        <v>1</v>
      </c>
      <c r="G490" s="36" t="n">
        <v>0</v>
      </c>
      <c r="H490" s="36" t="n">
        <v>0</v>
      </c>
      <c r="I490" s="36" t="n">
        <v>0</v>
      </c>
      <c r="J490" s="36" t="n">
        <v>2</v>
      </c>
      <c r="K490" s="12" t="n">
        <v>24</v>
      </c>
    </row>
    <row r="491">
      <c r="A491" s="33" t="n">
        <v>46315.85416666666</v>
      </c>
      <c r="B491" s="33" t="n">
        <v>46315.89652777778</v>
      </c>
      <c r="C491" s="13" t="n">
        <v>46326</v>
      </c>
      <c r="D491" s="14" t="n">
        <v>0.96875</v>
      </c>
      <c r="E491" s="37" t="n">
        <v>1</v>
      </c>
      <c r="F491" s="37" t="n">
        <v>0</v>
      </c>
      <c r="G491" s="37" t="n">
        <v>0</v>
      </c>
      <c r="H491" s="37" t="n">
        <v>0</v>
      </c>
      <c r="I491" s="37" t="n">
        <v>1</v>
      </c>
      <c r="J491" s="37" t="n">
        <v>5</v>
      </c>
      <c r="K491" s="16" t="n">
        <v>60</v>
      </c>
    </row>
    <row r="492">
      <c r="A492" s="30" t="n">
        <v>46315.89652777778</v>
      </c>
      <c r="B492" s="30" t="n">
        <v>46315.93472222222</v>
      </c>
      <c r="C492" s="9" t="n">
        <v>46318</v>
      </c>
      <c r="D492" s="10" t="n">
        <v>0.8854166666666666</v>
      </c>
      <c r="E492" s="36" t="n">
        <v>1</v>
      </c>
      <c r="F492" s="36" t="n">
        <v>0</v>
      </c>
      <c r="G492" s="36" t="n">
        <v>0</v>
      </c>
      <c r="H492" s="36" t="n">
        <v>1</v>
      </c>
      <c r="I492" s="36" t="n">
        <v>0</v>
      </c>
      <c r="J492" s="36" t="n">
        <v>4</v>
      </c>
      <c r="K492" s="12" t="n">
        <v>48</v>
      </c>
    </row>
    <row r="493">
      <c r="A493" s="33" t="n">
        <v>46315.89652777778</v>
      </c>
      <c r="B493" s="33" t="n">
        <v>46315.93472222222</v>
      </c>
      <c r="C493" s="13" t="n">
        <v>46318</v>
      </c>
      <c r="D493" s="14" t="n">
        <v>0.9270833333333334</v>
      </c>
      <c r="E493" s="37" t="n">
        <v>1</v>
      </c>
      <c r="F493" s="37" t="n">
        <v>0</v>
      </c>
      <c r="G493" s="37" t="n">
        <v>0</v>
      </c>
      <c r="H493" s="37" t="n">
        <v>1</v>
      </c>
      <c r="I493" s="37" t="n">
        <v>0</v>
      </c>
      <c r="J493" s="37" t="n">
        <v>4</v>
      </c>
      <c r="K493" s="16" t="n">
        <v>48</v>
      </c>
    </row>
    <row r="494">
      <c r="A494" s="30" t="n">
        <v>46315.89652777778</v>
      </c>
      <c r="B494" s="30" t="n">
        <v>46315.93472222222</v>
      </c>
      <c r="C494" s="9" t="n">
        <v>46319</v>
      </c>
      <c r="D494" s="10" t="n">
        <v>0.9993055555555556</v>
      </c>
      <c r="E494" s="36" t="n">
        <v>1</v>
      </c>
      <c r="F494" s="36" t="n">
        <v>1</v>
      </c>
      <c r="G494" s="36" t="n">
        <v>0</v>
      </c>
      <c r="H494" s="36" t="n">
        <v>0</v>
      </c>
      <c r="I494" s="36" t="n">
        <v>0</v>
      </c>
      <c r="J494" s="36" t="n">
        <v>2</v>
      </c>
      <c r="K494" s="12" t="n">
        <v>24</v>
      </c>
    </row>
    <row r="495">
      <c r="A495" s="33" t="n">
        <v>46315.89652777778</v>
      </c>
      <c r="B495" s="33" t="n">
        <v>46315.93472222222</v>
      </c>
      <c r="C495" s="13" t="n">
        <v>46320</v>
      </c>
      <c r="D495" s="14" t="n">
        <v>0.96875</v>
      </c>
      <c r="E495" s="37" t="n">
        <v>1</v>
      </c>
      <c r="F495" s="37" t="n">
        <v>1</v>
      </c>
      <c r="G495" s="37" t="n">
        <v>0</v>
      </c>
      <c r="H495" s="37" t="n">
        <v>0</v>
      </c>
      <c r="I495" s="37" t="n">
        <v>0</v>
      </c>
      <c r="J495" s="37" t="n">
        <v>2</v>
      </c>
      <c r="K495" s="16" t="n">
        <v>24</v>
      </c>
    </row>
    <row r="496">
      <c r="A496" s="30" t="n">
        <v>46315.96388888889</v>
      </c>
      <c r="B496" s="30" t="n">
        <v>46315.97708333333</v>
      </c>
      <c r="C496" s="9" t="n">
        <v>46319</v>
      </c>
      <c r="D496" s="10" t="n">
        <v>0.96875</v>
      </c>
      <c r="E496" s="36" t="n">
        <v>1</v>
      </c>
      <c r="F496" s="36" t="n">
        <v>1</v>
      </c>
      <c r="G496" s="36" t="n">
        <v>0</v>
      </c>
      <c r="H496" s="36" t="n">
        <v>0</v>
      </c>
      <c r="I496" s="36" t="n">
        <v>0</v>
      </c>
      <c r="J496" s="36" t="n">
        <v>2</v>
      </c>
      <c r="K496" s="12" t="n">
        <v>24</v>
      </c>
    </row>
    <row r="497">
      <c r="A497" s="33" t="n">
        <v>46315.97708333333</v>
      </c>
      <c r="B497" s="33" t="n">
        <v>46315.99652777778</v>
      </c>
      <c r="C497" s="13" t="n">
        <v>46319</v>
      </c>
      <c r="D497" s="14" t="n">
        <v>0.8854166666666666</v>
      </c>
      <c r="E497" s="37" t="n">
        <v>1</v>
      </c>
      <c r="F497" s="37" t="n">
        <v>1</v>
      </c>
      <c r="G497" s="37" t="n">
        <v>0</v>
      </c>
      <c r="H497" s="37" t="n">
        <v>0</v>
      </c>
      <c r="I497" s="37" t="n">
        <v>0</v>
      </c>
      <c r="J497" s="37" t="n">
        <v>2</v>
      </c>
      <c r="K497" s="16" t="n">
        <v>24</v>
      </c>
    </row>
    <row r="498">
      <c r="A498" s="30" t="n">
        <v>46315.97708333333</v>
      </c>
      <c r="B498" s="30" t="n">
        <v>46315.99652777778</v>
      </c>
      <c r="C498" s="9" t="n">
        <v>46326</v>
      </c>
      <c r="D498" s="10" t="n">
        <v>0.84375</v>
      </c>
      <c r="E498" s="36" t="n">
        <v>2</v>
      </c>
      <c r="F498" s="36" t="n">
        <v>0</v>
      </c>
      <c r="G498" s="36" t="n">
        <v>1</v>
      </c>
      <c r="H498" s="36" t="n">
        <v>1</v>
      </c>
      <c r="I498" s="36" t="n">
        <v>0</v>
      </c>
      <c r="J498" s="36" t="n">
        <v>7</v>
      </c>
      <c r="K498" s="12" t="n">
        <v>84</v>
      </c>
    </row>
    <row r="499">
      <c r="A499" s="33" t="n">
        <v>46315.99652777778</v>
      </c>
      <c r="B499" s="33" t="n">
        <v>46316.0125</v>
      </c>
      <c r="C499" s="13" t="n">
        <v>46320</v>
      </c>
      <c r="D499" s="14" t="n">
        <v>0.8854166666666666</v>
      </c>
      <c r="E499" s="37" t="n">
        <v>1</v>
      </c>
      <c r="F499" s="37" t="n">
        <v>1</v>
      </c>
      <c r="G499" s="37" t="n">
        <v>0</v>
      </c>
      <c r="H499" s="37" t="n">
        <v>0</v>
      </c>
      <c r="I499" s="37" t="n">
        <v>0</v>
      </c>
      <c r="J499" s="37" t="n">
        <v>2</v>
      </c>
      <c r="K499" s="16" t="n">
        <v>24</v>
      </c>
    </row>
    <row r="500">
      <c r="A500" s="30" t="n">
        <v>46316.01736111111</v>
      </c>
      <c r="B500" s="30" t="n">
        <v>46316.05763888889</v>
      </c>
      <c r="C500" s="9" t="n">
        <v>46324</v>
      </c>
      <c r="D500" s="10" t="n">
        <v>0.9270833333333334</v>
      </c>
      <c r="E500" s="36" t="n">
        <v>1</v>
      </c>
      <c r="F500" s="36" t="n">
        <v>1</v>
      </c>
      <c r="G500" s="36" t="n">
        <v>0</v>
      </c>
      <c r="H500" s="36" t="n">
        <v>0</v>
      </c>
      <c r="I500" s="36" t="n">
        <v>0</v>
      </c>
      <c r="J500" s="36" t="n">
        <v>2</v>
      </c>
      <c r="K500" s="12" t="n">
        <v>24</v>
      </c>
    </row>
    <row r="501">
      <c r="A501" s="33" t="n">
        <v>46316.05763888889</v>
      </c>
      <c r="B501" s="33" t="n">
        <v>46316.10555555556</v>
      </c>
      <c r="C501" s="13" t="n">
        <v>46318</v>
      </c>
      <c r="D501" s="14" t="n">
        <v>0.96875</v>
      </c>
      <c r="E501" s="37" t="n">
        <v>1</v>
      </c>
      <c r="F501" s="37" t="n">
        <v>1</v>
      </c>
      <c r="G501" s="37" t="n">
        <v>0</v>
      </c>
      <c r="H501" s="37" t="n">
        <v>0</v>
      </c>
      <c r="I501" s="37" t="n">
        <v>0</v>
      </c>
      <c r="J501" s="37" t="n">
        <v>2</v>
      </c>
      <c r="K501" s="16" t="n">
        <v>24</v>
      </c>
    </row>
    <row r="502">
      <c r="A502" s="30" t="n">
        <v>46316.05763888889</v>
      </c>
      <c r="B502" s="30" t="n">
        <v>46316.10555555556</v>
      </c>
      <c r="C502" s="9" t="n">
        <v>46319</v>
      </c>
      <c r="D502" s="10" t="n">
        <v>0.96875</v>
      </c>
      <c r="E502" s="36" t="n">
        <v>1</v>
      </c>
      <c r="F502" s="36" t="n">
        <v>1</v>
      </c>
      <c r="G502" s="36" t="n">
        <v>0</v>
      </c>
      <c r="H502" s="36" t="n">
        <v>0</v>
      </c>
      <c r="I502" s="36" t="n">
        <v>0</v>
      </c>
      <c r="J502" s="36" t="n">
        <v>2</v>
      </c>
      <c r="K502" s="12" t="n">
        <v>24</v>
      </c>
    </row>
    <row r="503">
      <c r="A503" s="33" t="n">
        <v>46316.31111111111</v>
      </c>
      <c r="B503" s="33" t="n">
        <v>46316.35625</v>
      </c>
      <c r="C503" s="13" t="n">
        <v>46327</v>
      </c>
      <c r="D503" s="14" t="n">
        <v>0.9993055555555556</v>
      </c>
      <c r="E503" s="37" t="n">
        <v>1</v>
      </c>
      <c r="F503" s="37" t="n">
        <v>1</v>
      </c>
      <c r="G503" s="37" t="n">
        <v>0</v>
      </c>
      <c r="H503" s="37" t="n">
        <v>0</v>
      </c>
      <c r="I503" s="37" t="n">
        <v>0</v>
      </c>
      <c r="J503" s="37" t="n">
        <v>2</v>
      </c>
      <c r="K503" s="16" t="n">
        <v>24</v>
      </c>
    </row>
    <row r="504">
      <c r="A504" s="30" t="n">
        <v>46316.35625</v>
      </c>
      <c r="B504" s="30" t="n">
        <v>46316.40277777778</v>
      </c>
      <c r="C504" s="9" t="n">
        <v>46320</v>
      </c>
      <c r="D504" s="10" t="n">
        <v>0.9270833333333334</v>
      </c>
      <c r="E504" s="36" t="n">
        <v>2</v>
      </c>
      <c r="F504" s="36" t="n">
        <v>2</v>
      </c>
      <c r="G504" s="36" t="n">
        <v>0</v>
      </c>
      <c r="H504" s="36" t="n">
        <v>0</v>
      </c>
      <c r="I504" s="36" t="n">
        <v>0</v>
      </c>
      <c r="J504" s="36" t="n">
        <v>4</v>
      </c>
      <c r="K504" s="12" t="n">
        <v>48</v>
      </c>
    </row>
    <row r="505">
      <c r="A505" s="33" t="n">
        <v>46316.35625</v>
      </c>
      <c r="B505" s="33" t="n">
        <v>46316.40277777778</v>
      </c>
      <c r="C505" s="13" t="n">
        <v>46326</v>
      </c>
      <c r="D505" s="14" t="n">
        <v>0.9993055555555556</v>
      </c>
      <c r="E505" s="37" t="n">
        <v>1</v>
      </c>
      <c r="F505" s="37" t="n">
        <v>1</v>
      </c>
      <c r="G505" s="37" t="n">
        <v>0</v>
      </c>
      <c r="H505" s="37" t="n">
        <v>0</v>
      </c>
      <c r="I505" s="37" t="n">
        <v>0</v>
      </c>
      <c r="J505" s="37" t="n">
        <v>2</v>
      </c>
      <c r="K505" s="16" t="n">
        <v>24</v>
      </c>
    </row>
    <row r="506">
      <c r="A506" s="30" t="n">
        <v>46316.40277777778</v>
      </c>
      <c r="B506" s="30" t="n">
        <v>46316.43888888889</v>
      </c>
      <c r="C506" s="9" t="n">
        <v>46318</v>
      </c>
      <c r="D506" s="10" t="n">
        <v>0.84375</v>
      </c>
      <c r="E506" s="36" t="n">
        <v>1</v>
      </c>
      <c r="F506" s="36" t="n">
        <v>1</v>
      </c>
      <c r="G506" s="36" t="n">
        <v>0</v>
      </c>
      <c r="H506" s="36" t="n">
        <v>0</v>
      </c>
      <c r="I506" s="36" t="n">
        <v>0</v>
      </c>
      <c r="J506" s="36" t="n">
        <v>2</v>
      </c>
      <c r="K506" s="12" t="n">
        <v>24</v>
      </c>
    </row>
    <row r="507">
      <c r="A507" s="33" t="n">
        <v>46316.40277777778</v>
      </c>
      <c r="B507" s="33" t="n">
        <v>46316.43888888889</v>
      </c>
      <c r="C507" s="13" t="n">
        <v>46320</v>
      </c>
      <c r="D507" s="14" t="n">
        <v>0.9270833333333334</v>
      </c>
      <c r="E507" s="37" t="n">
        <v>1</v>
      </c>
      <c r="F507" s="37" t="n">
        <v>1</v>
      </c>
      <c r="G507" s="37" t="n">
        <v>0</v>
      </c>
      <c r="H507" s="37" t="n">
        <v>0</v>
      </c>
      <c r="I507" s="37" t="n">
        <v>0</v>
      </c>
      <c r="J507" s="37" t="n">
        <v>2</v>
      </c>
      <c r="K507" s="16" t="n">
        <v>24</v>
      </c>
    </row>
    <row r="508">
      <c r="A508" s="30" t="n">
        <v>46316.47847222222</v>
      </c>
      <c r="B508" s="30" t="n">
        <v>46316.52083333334</v>
      </c>
      <c r="C508" s="9" t="n">
        <v>46326</v>
      </c>
      <c r="D508" s="10" t="n">
        <v>0.9270833333333334</v>
      </c>
      <c r="E508" s="36" t="n">
        <v>2</v>
      </c>
      <c r="F508" s="36" t="n">
        <v>2</v>
      </c>
      <c r="G508" s="36" t="n">
        <v>0</v>
      </c>
      <c r="H508" s="36" t="n">
        <v>0</v>
      </c>
      <c r="I508" s="36" t="n">
        <v>0</v>
      </c>
      <c r="J508" s="36" t="n">
        <v>4</v>
      </c>
      <c r="K508" s="12" t="n">
        <v>48</v>
      </c>
    </row>
    <row r="509">
      <c r="A509" s="33" t="n">
        <v>46316.47847222222</v>
      </c>
      <c r="B509" s="33" t="n">
        <v>46316.52083333334</v>
      </c>
      <c r="C509" s="13" t="n">
        <v>46326</v>
      </c>
      <c r="D509" s="14" t="n">
        <v>0.96875</v>
      </c>
      <c r="E509" s="37" t="n">
        <v>1</v>
      </c>
      <c r="F509" s="37" t="n">
        <v>1</v>
      </c>
      <c r="G509" s="37" t="n">
        <v>0</v>
      </c>
      <c r="H509" s="37" t="n">
        <v>0</v>
      </c>
      <c r="I509" s="37" t="n">
        <v>0</v>
      </c>
      <c r="J509" s="37" t="n">
        <v>2</v>
      </c>
      <c r="K509" s="16" t="n">
        <v>24</v>
      </c>
    </row>
    <row r="510">
      <c r="A510" s="30" t="n">
        <v>46316.52083333334</v>
      </c>
      <c r="B510" s="30" t="n">
        <v>46316.56111111111</v>
      </c>
      <c r="C510" s="9" t="n">
        <v>46319</v>
      </c>
      <c r="D510" s="10" t="n">
        <v>0.9270833333333334</v>
      </c>
      <c r="E510" s="36" t="n">
        <v>1</v>
      </c>
      <c r="F510" s="36" t="n">
        <v>1</v>
      </c>
      <c r="G510" s="36" t="n">
        <v>0</v>
      </c>
      <c r="H510" s="36" t="n">
        <v>0</v>
      </c>
      <c r="I510" s="36" t="n">
        <v>0</v>
      </c>
      <c r="J510" s="36" t="n">
        <v>2</v>
      </c>
      <c r="K510" s="12" t="n">
        <v>24</v>
      </c>
    </row>
    <row r="511">
      <c r="A511" s="33" t="n">
        <v>46316.52083333334</v>
      </c>
      <c r="B511" s="33" t="n">
        <v>46316.56111111111</v>
      </c>
      <c r="C511" s="13" t="n">
        <v>46325</v>
      </c>
      <c r="D511" s="14" t="n">
        <v>0.9270833333333334</v>
      </c>
      <c r="E511" s="37" t="n">
        <v>1</v>
      </c>
      <c r="F511" s="37" t="n">
        <v>1</v>
      </c>
      <c r="G511" s="37" t="n">
        <v>0</v>
      </c>
      <c r="H511" s="37" t="n">
        <v>0</v>
      </c>
      <c r="I511" s="37" t="n">
        <v>0</v>
      </c>
      <c r="J511" s="37" t="n">
        <v>2</v>
      </c>
      <c r="K511" s="16" t="n">
        <v>24</v>
      </c>
    </row>
    <row r="512">
      <c r="A512" s="30" t="n">
        <v>46316.56111111111</v>
      </c>
      <c r="B512" s="30" t="n">
        <v>46316.60694444444</v>
      </c>
      <c r="C512" s="9" t="n">
        <v>46318</v>
      </c>
      <c r="D512" s="10" t="n">
        <v>0.8854166666666666</v>
      </c>
      <c r="E512" s="36" t="n">
        <v>1</v>
      </c>
      <c r="F512" s="36" t="n">
        <v>0</v>
      </c>
      <c r="G512" s="36" t="n">
        <v>0</v>
      </c>
      <c r="H512" s="36" t="n">
        <v>1</v>
      </c>
      <c r="I512" s="36" t="n">
        <v>0</v>
      </c>
      <c r="J512" s="36" t="n">
        <v>4</v>
      </c>
      <c r="K512" s="12" t="n">
        <v>48</v>
      </c>
    </row>
    <row r="513">
      <c r="A513" s="33" t="n">
        <v>46316.56111111111</v>
      </c>
      <c r="B513" s="33" t="n">
        <v>46316.60694444444</v>
      </c>
      <c r="C513" s="13" t="n">
        <v>46318</v>
      </c>
      <c r="D513" s="14" t="n">
        <v>0.9270833333333334</v>
      </c>
      <c r="E513" s="37" t="n">
        <v>2</v>
      </c>
      <c r="F513" s="37" t="n">
        <v>0</v>
      </c>
      <c r="G513" s="37" t="n">
        <v>0</v>
      </c>
      <c r="H513" s="37" t="n">
        <v>1</v>
      </c>
      <c r="I513" s="37" t="n">
        <v>1</v>
      </c>
      <c r="J513" s="37" t="n">
        <v>9</v>
      </c>
      <c r="K513" s="16" t="n">
        <v>108</v>
      </c>
    </row>
    <row r="514">
      <c r="A514" s="30" t="n">
        <v>46316.56111111111</v>
      </c>
      <c r="B514" s="30" t="n">
        <v>46316.60694444444</v>
      </c>
      <c r="C514" s="9" t="n">
        <v>46319</v>
      </c>
      <c r="D514" s="10" t="n">
        <v>0.9270833333333334</v>
      </c>
      <c r="E514" s="36" t="n">
        <v>1</v>
      </c>
      <c r="F514" s="36" t="n">
        <v>1</v>
      </c>
      <c r="G514" s="36" t="n">
        <v>0</v>
      </c>
      <c r="H514" s="36" t="n">
        <v>0</v>
      </c>
      <c r="I514" s="36" t="n">
        <v>0</v>
      </c>
      <c r="J514" s="36" t="n">
        <v>2</v>
      </c>
      <c r="K514" s="12" t="n">
        <v>24</v>
      </c>
    </row>
    <row r="515">
      <c r="A515" s="33" t="n">
        <v>46316.56111111111</v>
      </c>
      <c r="B515" s="33" t="n">
        <v>46316.60694444444</v>
      </c>
      <c r="C515" s="13" t="n">
        <v>46320</v>
      </c>
      <c r="D515" s="14" t="n">
        <v>0.96875</v>
      </c>
      <c r="E515" s="37" t="n">
        <v>1</v>
      </c>
      <c r="F515" s="37" t="n">
        <v>0</v>
      </c>
      <c r="G515" s="37" t="n">
        <v>0</v>
      </c>
      <c r="H515" s="37" t="n">
        <v>1</v>
      </c>
      <c r="I515" s="37" t="n">
        <v>0</v>
      </c>
      <c r="J515" s="37" t="n">
        <v>4</v>
      </c>
      <c r="K515" s="16" t="n">
        <v>48</v>
      </c>
    </row>
    <row r="516">
      <c r="A516" s="30" t="n">
        <v>46316.56111111111</v>
      </c>
      <c r="B516" s="30" t="n">
        <v>46316.60694444444</v>
      </c>
      <c r="C516" s="9" t="n">
        <v>46324</v>
      </c>
      <c r="D516" s="10" t="n">
        <v>0.9270833333333334</v>
      </c>
      <c r="E516" s="36" t="n">
        <v>2</v>
      </c>
      <c r="F516" s="36" t="n">
        <v>2</v>
      </c>
      <c r="G516" s="36" t="n">
        <v>0</v>
      </c>
      <c r="H516" s="36" t="n">
        <v>0</v>
      </c>
      <c r="I516" s="36" t="n">
        <v>0</v>
      </c>
      <c r="J516" s="36" t="n">
        <v>4</v>
      </c>
      <c r="K516" s="12" t="n">
        <v>48</v>
      </c>
    </row>
    <row r="517">
      <c r="A517" s="33" t="n">
        <v>46316.56111111111</v>
      </c>
      <c r="B517" s="33" t="n">
        <v>46316.60694444444</v>
      </c>
      <c r="C517" s="13" t="n">
        <v>46326</v>
      </c>
      <c r="D517" s="14" t="n">
        <v>0.9993055555555556</v>
      </c>
      <c r="E517" s="37" t="n">
        <v>1</v>
      </c>
      <c r="F517" s="37" t="n">
        <v>0</v>
      </c>
      <c r="G517" s="37" t="n">
        <v>0</v>
      </c>
      <c r="H517" s="37" t="n">
        <v>0</v>
      </c>
      <c r="I517" s="37" t="n">
        <v>1</v>
      </c>
      <c r="J517" s="37" t="n">
        <v>5</v>
      </c>
      <c r="K517" s="16" t="n">
        <v>60</v>
      </c>
    </row>
    <row r="518">
      <c r="A518" s="30" t="n">
        <v>46316.60694444444</v>
      </c>
      <c r="B518" s="30" t="n">
        <v>46316.65069444444</v>
      </c>
      <c r="C518" s="9" t="n">
        <v>46324</v>
      </c>
      <c r="D518" s="10" t="n">
        <v>0.84375</v>
      </c>
      <c r="E518" s="36" t="n">
        <v>1</v>
      </c>
      <c r="F518" s="36" t="n">
        <v>1</v>
      </c>
      <c r="G518" s="36" t="n">
        <v>0</v>
      </c>
      <c r="H518" s="36" t="n">
        <v>0</v>
      </c>
      <c r="I518" s="36" t="n">
        <v>0</v>
      </c>
      <c r="J518" s="36" t="n">
        <v>2</v>
      </c>
      <c r="K518" s="12" t="n">
        <v>24</v>
      </c>
    </row>
    <row r="519">
      <c r="A519" s="33" t="n">
        <v>46316.60694444444</v>
      </c>
      <c r="B519" s="33" t="n">
        <v>46316.65069444444</v>
      </c>
      <c r="C519" s="13" t="n">
        <v>46326</v>
      </c>
      <c r="D519" s="14" t="n">
        <v>0.9993055555555556</v>
      </c>
      <c r="E519" s="37" t="n">
        <v>1</v>
      </c>
      <c r="F519" s="37" t="n">
        <v>0</v>
      </c>
      <c r="G519" s="37" t="n">
        <v>0</v>
      </c>
      <c r="H519" s="37" t="n">
        <v>1</v>
      </c>
      <c r="I519" s="37" t="n">
        <v>0</v>
      </c>
      <c r="J519" s="37" t="n">
        <v>4</v>
      </c>
      <c r="K519" s="16" t="n">
        <v>48</v>
      </c>
    </row>
    <row r="520">
      <c r="A520" s="30" t="n">
        <v>46316.67013888889</v>
      </c>
      <c r="B520" s="30" t="n">
        <v>46316.6875</v>
      </c>
      <c r="C520" s="9" t="n">
        <v>46319</v>
      </c>
      <c r="D520" s="10" t="n">
        <v>0.96875</v>
      </c>
      <c r="E520" s="36" t="n">
        <v>1</v>
      </c>
      <c r="F520" s="36" t="n">
        <v>1</v>
      </c>
      <c r="G520" s="36" t="n">
        <v>0</v>
      </c>
      <c r="H520" s="36" t="n">
        <v>0</v>
      </c>
      <c r="I520" s="36" t="n">
        <v>0</v>
      </c>
      <c r="J520" s="36" t="n">
        <v>2</v>
      </c>
      <c r="K520" s="12" t="n">
        <v>24</v>
      </c>
    </row>
    <row r="521">
      <c r="A521" s="33" t="n">
        <v>46316.6875</v>
      </c>
      <c r="B521" s="33" t="n">
        <v>46316.72361111111</v>
      </c>
      <c r="C521" s="13" t="n">
        <v>46319</v>
      </c>
      <c r="D521" s="14" t="n">
        <v>0.9270833333333334</v>
      </c>
      <c r="E521" s="37" t="n">
        <v>1</v>
      </c>
      <c r="F521" s="37" t="n">
        <v>1</v>
      </c>
      <c r="G521" s="37" t="n">
        <v>0</v>
      </c>
      <c r="H521" s="37" t="n">
        <v>0</v>
      </c>
      <c r="I521" s="37" t="n">
        <v>0</v>
      </c>
      <c r="J521" s="37" t="n">
        <v>2</v>
      </c>
      <c r="K521" s="16" t="n">
        <v>24</v>
      </c>
    </row>
    <row r="522">
      <c r="A522" s="30" t="n">
        <v>46316.6875</v>
      </c>
      <c r="B522" s="30" t="n">
        <v>46316.72361111111</v>
      </c>
      <c r="C522" s="9" t="n">
        <v>46319</v>
      </c>
      <c r="D522" s="10" t="n">
        <v>0.9993055555555556</v>
      </c>
      <c r="E522" s="36" t="n">
        <v>1</v>
      </c>
      <c r="F522" s="36" t="n">
        <v>0</v>
      </c>
      <c r="G522" s="36" t="n">
        <v>0</v>
      </c>
      <c r="H522" s="36" t="n">
        <v>1</v>
      </c>
      <c r="I522" s="36" t="n">
        <v>0</v>
      </c>
      <c r="J522" s="36" t="n">
        <v>4</v>
      </c>
      <c r="K522" s="12" t="n">
        <v>48</v>
      </c>
    </row>
    <row r="523">
      <c r="A523" s="33" t="n">
        <v>46316.6875</v>
      </c>
      <c r="B523" s="33" t="n">
        <v>46316.72361111111</v>
      </c>
      <c r="C523" s="13" t="n">
        <v>46326</v>
      </c>
      <c r="D523" s="14" t="n">
        <v>0.9270833333333334</v>
      </c>
      <c r="E523" s="37" t="n">
        <v>1</v>
      </c>
      <c r="F523" s="37" t="n">
        <v>1</v>
      </c>
      <c r="G523" s="37" t="n">
        <v>0</v>
      </c>
      <c r="H523" s="37" t="n">
        <v>0</v>
      </c>
      <c r="I523" s="37" t="n">
        <v>0</v>
      </c>
      <c r="J523" s="37" t="n">
        <v>2</v>
      </c>
      <c r="K523" s="16" t="n">
        <v>24</v>
      </c>
    </row>
    <row r="524">
      <c r="A524" s="30" t="n">
        <v>46316.77013888889</v>
      </c>
      <c r="B524" s="30" t="n">
        <v>46316.81041666667</v>
      </c>
      <c r="C524" s="9" t="n">
        <v>46326</v>
      </c>
      <c r="D524" s="10" t="n">
        <v>0.84375</v>
      </c>
      <c r="E524" s="36" t="n">
        <v>1</v>
      </c>
      <c r="F524" s="36" t="n">
        <v>1</v>
      </c>
      <c r="G524" s="36" t="n">
        <v>0</v>
      </c>
      <c r="H524" s="36" t="n">
        <v>0</v>
      </c>
      <c r="I524" s="36" t="n">
        <v>0</v>
      </c>
      <c r="J524" s="36" t="n">
        <v>2</v>
      </c>
      <c r="K524" s="12" t="n">
        <v>24</v>
      </c>
    </row>
    <row r="525">
      <c r="A525" s="33" t="n">
        <v>46316.89583333334</v>
      </c>
      <c r="B525" s="33" t="n">
        <v>46316.93402777778</v>
      </c>
      <c r="C525" s="13" t="n">
        <v>46318</v>
      </c>
      <c r="D525" s="14" t="n">
        <v>0.9270833333333334</v>
      </c>
      <c r="E525" s="37" t="n">
        <v>1</v>
      </c>
      <c r="F525" s="37" t="n">
        <v>1</v>
      </c>
      <c r="G525" s="37" t="n">
        <v>0</v>
      </c>
      <c r="H525" s="37" t="n">
        <v>0</v>
      </c>
      <c r="I525" s="37" t="n">
        <v>0</v>
      </c>
      <c r="J525" s="37" t="n">
        <v>2</v>
      </c>
      <c r="K525" s="16" t="n">
        <v>24</v>
      </c>
    </row>
    <row r="526">
      <c r="A526" s="30" t="n">
        <v>46316.89583333334</v>
      </c>
      <c r="B526" s="30" t="n">
        <v>46316.93402777778</v>
      </c>
      <c r="C526" s="9" t="n">
        <v>46319</v>
      </c>
      <c r="D526" s="10" t="n">
        <v>0.84375</v>
      </c>
      <c r="E526" s="36" t="n">
        <v>1</v>
      </c>
      <c r="F526" s="36" t="n">
        <v>1</v>
      </c>
      <c r="G526" s="36" t="n">
        <v>0</v>
      </c>
      <c r="H526" s="36" t="n">
        <v>0</v>
      </c>
      <c r="I526" s="36" t="n">
        <v>0</v>
      </c>
      <c r="J526" s="36" t="n">
        <v>2</v>
      </c>
      <c r="K526" s="12" t="n">
        <v>24</v>
      </c>
    </row>
    <row r="527">
      <c r="A527" s="33" t="n">
        <v>46316.93402777778</v>
      </c>
      <c r="B527" s="33" t="n">
        <v>46316.97708333333</v>
      </c>
      <c r="C527" s="13" t="n">
        <v>46319</v>
      </c>
      <c r="D527" s="14" t="n">
        <v>0.96875</v>
      </c>
      <c r="E527" s="37" t="n">
        <v>2</v>
      </c>
      <c r="F527" s="37" t="n">
        <v>0</v>
      </c>
      <c r="G527" s="37" t="n">
        <v>2</v>
      </c>
      <c r="H527" s="37" t="n">
        <v>0</v>
      </c>
      <c r="I527" s="37" t="n">
        <v>0</v>
      </c>
      <c r="J527" s="37" t="n">
        <v>6</v>
      </c>
      <c r="K527" s="16" t="n">
        <v>72</v>
      </c>
    </row>
    <row r="528">
      <c r="A528" s="30" t="n">
        <v>46316.93402777778</v>
      </c>
      <c r="B528" s="30" t="n">
        <v>46316.97708333333</v>
      </c>
      <c r="C528" s="9" t="n">
        <v>46326</v>
      </c>
      <c r="D528" s="10" t="n">
        <v>0.9270833333333334</v>
      </c>
      <c r="E528" s="36" t="n">
        <v>1</v>
      </c>
      <c r="F528" s="36" t="n">
        <v>0</v>
      </c>
      <c r="G528" s="36" t="n">
        <v>0</v>
      </c>
      <c r="H528" s="36" t="n">
        <v>1</v>
      </c>
      <c r="I528" s="36" t="n">
        <v>0</v>
      </c>
      <c r="J528" s="36" t="n">
        <v>4</v>
      </c>
      <c r="K528" s="12" t="n">
        <v>48</v>
      </c>
    </row>
    <row r="529">
      <c r="A529" s="33" t="n">
        <v>46316.93402777778</v>
      </c>
      <c r="B529" s="33" t="n">
        <v>46316.97708333333</v>
      </c>
      <c r="C529" s="13" t="n">
        <v>46326</v>
      </c>
      <c r="D529" s="14" t="n">
        <v>0.96875</v>
      </c>
      <c r="E529" s="37" t="n">
        <v>2</v>
      </c>
      <c r="F529" s="37" t="n">
        <v>0</v>
      </c>
      <c r="G529" s="37" t="n">
        <v>1</v>
      </c>
      <c r="H529" s="37" t="n">
        <v>0</v>
      </c>
      <c r="I529" s="37" t="n">
        <v>1</v>
      </c>
      <c r="J529" s="37" t="n">
        <v>8</v>
      </c>
      <c r="K529" s="16" t="n">
        <v>96</v>
      </c>
    </row>
    <row r="530">
      <c r="A530" s="30" t="n">
        <v>46316.93402777778</v>
      </c>
      <c r="B530" s="30" t="n">
        <v>46316.97708333333</v>
      </c>
      <c r="C530" s="9" t="n">
        <v>46327</v>
      </c>
      <c r="D530" s="10" t="n">
        <v>0.8854166666666666</v>
      </c>
      <c r="E530" s="36" t="n">
        <v>1</v>
      </c>
      <c r="F530" s="36" t="n">
        <v>0</v>
      </c>
      <c r="G530" s="36" t="n">
        <v>0</v>
      </c>
      <c r="H530" s="36" t="n">
        <v>1</v>
      </c>
      <c r="I530" s="36" t="n">
        <v>0</v>
      </c>
      <c r="J530" s="36" t="n">
        <v>4</v>
      </c>
      <c r="K530" s="12" t="n">
        <v>48</v>
      </c>
    </row>
    <row r="531">
      <c r="A531" s="33" t="n">
        <v>46317.18611111111</v>
      </c>
      <c r="B531" s="33" t="n">
        <v>46317.22777777778</v>
      </c>
      <c r="C531" s="13" t="n">
        <v>46318</v>
      </c>
      <c r="D531" s="14" t="n">
        <v>0.96875</v>
      </c>
      <c r="E531" s="37" t="n">
        <v>1</v>
      </c>
      <c r="F531" s="37" t="n">
        <v>1</v>
      </c>
      <c r="G531" s="37" t="n">
        <v>0</v>
      </c>
      <c r="H531" s="37" t="n">
        <v>0</v>
      </c>
      <c r="I531" s="37" t="n">
        <v>0</v>
      </c>
      <c r="J531" s="37" t="n">
        <v>2</v>
      </c>
      <c r="K531" s="16" t="n">
        <v>24</v>
      </c>
    </row>
    <row r="532">
      <c r="A532" s="30" t="n">
        <v>46317.44027777778</v>
      </c>
      <c r="B532" s="30" t="n">
        <v>46317.48263888889</v>
      </c>
      <c r="C532" s="9" t="n">
        <v>46318</v>
      </c>
      <c r="D532" s="10" t="n">
        <v>0.8854166666666666</v>
      </c>
      <c r="E532" s="36" t="n">
        <v>1</v>
      </c>
      <c r="F532" s="36" t="n">
        <v>0</v>
      </c>
      <c r="G532" s="36" t="n">
        <v>0</v>
      </c>
      <c r="H532" s="36" t="n">
        <v>1</v>
      </c>
      <c r="I532" s="36" t="n">
        <v>0</v>
      </c>
      <c r="J532" s="36" t="n">
        <v>4</v>
      </c>
      <c r="K532" s="12" t="n">
        <v>48</v>
      </c>
    </row>
    <row r="533">
      <c r="A533" s="33" t="n">
        <v>46317.44027777778</v>
      </c>
      <c r="B533" s="33" t="n">
        <v>46317.48263888889</v>
      </c>
      <c r="C533" s="13" t="n">
        <v>46318</v>
      </c>
      <c r="D533" s="14" t="n">
        <v>0.9270833333333334</v>
      </c>
      <c r="E533" s="37" t="n">
        <v>1</v>
      </c>
      <c r="F533" s="37" t="n">
        <v>1</v>
      </c>
      <c r="G533" s="37" t="n">
        <v>0</v>
      </c>
      <c r="H533" s="37" t="n">
        <v>0</v>
      </c>
      <c r="I533" s="37" t="n">
        <v>0</v>
      </c>
      <c r="J533" s="37" t="n">
        <v>2</v>
      </c>
      <c r="K533" s="16" t="n">
        <v>24</v>
      </c>
    </row>
    <row r="534">
      <c r="A534" s="30" t="n">
        <v>46317.44027777778</v>
      </c>
      <c r="B534" s="30" t="n">
        <v>46317.48263888889</v>
      </c>
      <c r="C534" s="9" t="n">
        <v>46319</v>
      </c>
      <c r="D534" s="10" t="n">
        <v>0.9270833333333334</v>
      </c>
      <c r="E534" s="36" t="n">
        <v>1</v>
      </c>
      <c r="F534" s="36" t="n">
        <v>1</v>
      </c>
      <c r="G534" s="36" t="n">
        <v>0</v>
      </c>
      <c r="H534" s="36" t="n">
        <v>0</v>
      </c>
      <c r="I534" s="36" t="n">
        <v>0</v>
      </c>
      <c r="J534" s="36" t="n">
        <v>2</v>
      </c>
      <c r="K534" s="12" t="n">
        <v>24</v>
      </c>
    </row>
    <row r="535">
      <c r="A535" s="33" t="n">
        <v>46317.61527777778</v>
      </c>
      <c r="B535" s="33" t="n">
        <v>46317.64305555556</v>
      </c>
      <c r="C535" s="13" t="n">
        <v>46318</v>
      </c>
      <c r="D535" s="14" t="n">
        <v>0.84375</v>
      </c>
      <c r="E535" s="37" t="n">
        <v>1</v>
      </c>
      <c r="F535" s="37" t="n">
        <v>0</v>
      </c>
      <c r="G535" s="37" t="n">
        <v>1</v>
      </c>
      <c r="H535" s="37" t="n">
        <v>0</v>
      </c>
      <c r="I535" s="37" t="n">
        <v>0</v>
      </c>
      <c r="J535" s="37" t="n">
        <v>3</v>
      </c>
      <c r="K535" s="16" t="n">
        <v>36</v>
      </c>
    </row>
    <row r="536">
      <c r="A536" s="30" t="n">
        <v>46317.65347222222</v>
      </c>
      <c r="B536" s="30" t="n">
        <v>46317.66527777778</v>
      </c>
      <c r="C536" s="9" t="n">
        <v>46319</v>
      </c>
      <c r="D536" s="10" t="n">
        <v>0.9270833333333334</v>
      </c>
      <c r="E536" s="36" t="n">
        <v>1</v>
      </c>
      <c r="F536" s="36" t="n">
        <v>1</v>
      </c>
      <c r="G536" s="36" t="n">
        <v>0</v>
      </c>
      <c r="H536" s="36" t="n">
        <v>0</v>
      </c>
      <c r="I536" s="36" t="n">
        <v>0</v>
      </c>
      <c r="J536" s="36" t="n">
        <v>2</v>
      </c>
      <c r="K536" s="12" t="n">
        <v>24</v>
      </c>
    </row>
    <row r="537">
      <c r="A537" s="33" t="n">
        <v>46317.65347222222</v>
      </c>
      <c r="B537" s="33" t="n">
        <v>46317.66527777778</v>
      </c>
      <c r="C537" s="13" t="n">
        <v>46327</v>
      </c>
      <c r="D537" s="14" t="n">
        <v>0.84375</v>
      </c>
      <c r="E537" s="37" t="n">
        <v>2</v>
      </c>
      <c r="F537" s="37" t="n">
        <v>0</v>
      </c>
      <c r="G537" s="37" t="n">
        <v>1</v>
      </c>
      <c r="H537" s="37" t="n">
        <v>1</v>
      </c>
      <c r="I537" s="37" t="n">
        <v>0</v>
      </c>
      <c r="J537" s="37" t="n">
        <v>7</v>
      </c>
      <c r="K537" s="16" t="n">
        <v>84</v>
      </c>
    </row>
    <row r="538">
      <c r="A538" s="30" t="n">
        <v>46317.775</v>
      </c>
      <c r="B538" s="30" t="n">
        <v>46317.81041666667</v>
      </c>
      <c r="C538" s="9" t="n">
        <v>46319</v>
      </c>
      <c r="D538" s="10" t="n">
        <v>0.96875</v>
      </c>
      <c r="E538" s="36" t="n">
        <v>1</v>
      </c>
      <c r="F538" s="36" t="n">
        <v>0</v>
      </c>
      <c r="G538" s="36" t="n">
        <v>0</v>
      </c>
      <c r="H538" s="36" t="n">
        <v>1</v>
      </c>
      <c r="I538" s="36" t="n">
        <v>0</v>
      </c>
      <c r="J538" s="36" t="n">
        <v>4</v>
      </c>
      <c r="K538" s="12" t="n">
        <v>48</v>
      </c>
    </row>
    <row r="539">
      <c r="A539" s="33" t="n">
        <v>46317.81041666667</v>
      </c>
      <c r="B539" s="33" t="n">
        <v>46317.85347222222</v>
      </c>
      <c r="C539" s="13" t="n">
        <v>46318</v>
      </c>
      <c r="D539" s="14" t="n">
        <v>0.8854166666666666</v>
      </c>
      <c r="E539" s="37" t="n">
        <v>1</v>
      </c>
      <c r="F539" s="37" t="n">
        <v>0</v>
      </c>
      <c r="G539" s="37" t="n">
        <v>0</v>
      </c>
      <c r="H539" s="37" t="n">
        <v>1</v>
      </c>
      <c r="I539" s="37" t="n">
        <v>0</v>
      </c>
      <c r="J539" s="37" t="n">
        <v>4</v>
      </c>
      <c r="K539" s="16" t="n">
        <v>48</v>
      </c>
    </row>
    <row r="540">
      <c r="A540" s="30" t="n">
        <v>46317.81041666667</v>
      </c>
      <c r="B540" s="30" t="n">
        <v>46317.85347222222</v>
      </c>
      <c r="C540" s="9" t="n">
        <v>46318</v>
      </c>
      <c r="D540" s="10" t="n">
        <v>0.9270833333333334</v>
      </c>
      <c r="E540" s="36" t="n">
        <v>1</v>
      </c>
      <c r="F540" s="36" t="n">
        <v>1</v>
      </c>
      <c r="G540" s="36" t="n">
        <v>0</v>
      </c>
      <c r="H540" s="36" t="n">
        <v>0</v>
      </c>
      <c r="I540" s="36" t="n">
        <v>0</v>
      </c>
      <c r="J540" s="36" t="n">
        <v>2</v>
      </c>
      <c r="K540" s="12" t="n">
        <v>24</v>
      </c>
    </row>
    <row r="541">
      <c r="A541" s="33" t="n">
        <v>46317.81041666667</v>
      </c>
      <c r="B541" s="33" t="n">
        <v>46317.85347222222</v>
      </c>
      <c r="C541" s="13" t="n">
        <v>46318</v>
      </c>
      <c r="D541" s="14" t="n">
        <v>0.9986111111111111</v>
      </c>
      <c r="E541" s="37" t="n">
        <v>1</v>
      </c>
      <c r="F541" s="37" t="n">
        <v>0</v>
      </c>
      <c r="G541" s="37" t="n">
        <v>1</v>
      </c>
      <c r="H541" s="37" t="n">
        <v>0</v>
      </c>
      <c r="I541" s="37" t="n">
        <v>0</v>
      </c>
      <c r="J541" s="37" t="n">
        <v>3</v>
      </c>
      <c r="K541" s="16" t="n">
        <v>36</v>
      </c>
    </row>
    <row r="542">
      <c r="A542" s="30" t="n">
        <v>46317.81041666667</v>
      </c>
      <c r="B542" s="30" t="n">
        <v>46317.85347222222</v>
      </c>
      <c r="C542" s="9" t="n">
        <v>46320</v>
      </c>
      <c r="D542" s="10" t="n">
        <v>0.8854166666666666</v>
      </c>
      <c r="E542" s="36" t="n">
        <v>1</v>
      </c>
      <c r="F542" s="36" t="n">
        <v>0</v>
      </c>
      <c r="G542" s="36" t="n">
        <v>0</v>
      </c>
      <c r="H542" s="36" t="n">
        <v>1</v>
      </c>
      <c r="I542" s="36" t="n">
        <v>0</v>
      </c>
      <c r="J542" s="36" t="n">
        <v>4</v>
      </c>
      <c r="K542" s="12" t="n">
        <v>48</v>
      </c>
    </row>
    <row r="543">
      <c r="A543" s="33" t="n">
        <v>46317.81041666667</v>
      </c>
      <c r="B543" s="33" t="n">
        <v>46317.85347222222</v>
      </c>
      <c r="C543" s="13" t="n">
        <v>46327</v>
      </c>
      <c r="D543" s="14" t="n">
        <v>0.84375</v>
      </c>
      <c r="E543" s="37" t="n">
        <v>1</v>
      </c>
      <c r="F543" s="37" t="n">
        <v>1</v>
      </c>
      <c r="G543" s="37" t="n">
        <v>0</v>
      </c>
      <c r="H543" s="37" t="n">
        <v>0</v>
      </c>
      <c r="I543" s="37" t="n">
        <v>0</v>
      </c>
      <c r="J543" s="37" t="n">
        <v>2</v>
      </c>
      <c r="K543" s="16" t="n">
        <v>24</v>
      </c>
    </row>
    <row r="544">
      <c r="A544" s="30" t="n">
        <v>46317.85347222222</v>
      </c>
      <c r="B544" s="30" t="n">
        <v>46317.90069444444</v>
      </c>
      <c r="C544" s="9" t="n">
        <v>46320</v>
      </c>
      <c r="D544" s="10" t="n">
        <v>0.9270833333333334</v>
      </c>
      <c r="E544" s="36" t="n">
        <v>1</v>
      </c>
      <c r="F544" s="36" t="n">
        <v>0</v>
      </c>
      <c r="G544" s="36" t="n">
        <v>1</v>
      </c>
      <c r="H544" s="36" t="n">
        <v>0</v>
      </c>
      <c r="I544" s="36" t="n">
        <v>0</v>
      </c>
      <c r="J544" s="36" t="n">
        <v>3</v>
      </c>
      <c r="K544" s="12" t="n">
        <v>36</v>
      </c>
    </row>
    <row r="545">
      <c r="A545" s="33" t="n">
        <v>46317.85347222222</v>
      </c>
      <c r="B545" s="33" t="n">
        <v>46317.90069444444</v>
      </c>
      <c r="C545" s="13" t="n">
        <v>46324</v>
      </c>
      <c r="D545" s="14" t="n">
        <v>0.84375</v>
      </c>
      <c r="E545" s="37" t="n">
        <v>1</v>
      </c>
      <c r="F545" s="37" t="n">
        <v>1</v>
      </c>
      <c r="G545" s="37" t="n">
        <v>0</v>
      </c>
      <c r="H545" s="37" t="n">
        <v>0</v>
      </c>
      <c r="I545" s="37" t="n">
        <v>0</v>
      </c>
      <c r="J545" s="37" t="n">
        <v>2</v>
      </c>
      <c r="K545" s="16" t="n">
        <v>24</v>
      </c>
    </row>
    <row r="546">
      <c r="A546" s="30" t="n">
        <v>46317.85347222222</v>
      </c>
      <c r="B546" s="30" t="n">
        <v>46317.90069444444</v>
      </c>
      <c r="C546" s="9" t="n">
        <v>46326</v>
      </c>
      <c r="D546" s="10" t="n">
        <v>0.8854166666666666</v>
      </c>
      <c r="E546" s="36" t="n">
        <v>2</v>
      </c>
      <c r="F546" s="36" t="n">
        <v>0</v>
      </c>
      <c r="G546" s="36" t="n">
        <v>1</v>
      </c>
      <c r="H546" s="36" t="n">
        <v>1</v>
      </c>
      <c r="I546" s="36" t="n">
        <v>0</v>
      </c>
      <c r="J546" s="36" t="n">
        <v>7</v>
      </c>
      <c r="K546" s="12" t="n">
        <v>84</v>
      </c>
    </row>
    <row r="547">
      <c r="A547" s="33" t="n">
        <v>46317.90069444444</v>
      </c>
      <c r="B547" s="33" t="n">
        <v>46317.93472222222</v>
      </c>
      <c r="C547" s="13" t="n">
        <v>46318</v>
      </c>
      <c r="D547" s="14" t="n">
        <v>0.9270833333333334</v>
      </c>
      <c r="E547" s="37" t="n">
        <v>2</v>
      </c>
      <c r="F547" s="37" t="n">
        <v>2</v>
      </c>
      <c r="G547" s="37" t="n">
        <v>0</v>
      </c>
      <c r="H547" s="37" t="n">
        <v>0</v>
      </c>
      <c r="I547" s="37" t="n">
        <v>0</v>
      </c>
      <c r="J547" s="37" t="n">
        <v>4</v>
      </c>
      <c r="K547" s="16" t="n">
        <v>48</v>
      </c>
    </row>
    <row r="548">
      <c r="A548" s="30" t="n">
        <v>46317.90069444444</v>
      </c>
      <c r="B548" s="30" t="n">
        <v>46317.93472222222</v>
      </c>
      <c r="C548" s="9" t="n">
        <v>46324</v>
      </c>
      <c r="D548" s="10" t="n">
        <v>0.8854166666666666</v>
      </c>
      <c r="E548" s="36" t="n">
        <v>1</v>
      </c>
      <c r="F548" s="36" t="n">
        <v>1</v>
      </c>
      <c r="G548" s="36" t="n">
        <v>0</v>
      </c>
      <c r="H548" s="36" t="n">
        <v>0</v>
      </c>
      <c r="I548" s="36" t="n">
        <v>0</v>
      </c>
      <c r="J548" s="36" t="n">
        <v>2</v>
      </c>
      <c r="K548" s="12" t="n">
        <v>24</v>
      </c>
    </row>
    <row r="549">
      <c r="A549" s="33" t="n">
        <v>46317.93472222222</v>
      </c>
      <c r="B549" s="33" t="n">
        <v>46317.97708333333</v>
      </c>
      <c r="C549" s="13" t="n">
        <v>46318</v>
      </c>
      <c r="D549" s="14" t="n">
        <v>0.84375</v>
      </c>
      <c r="E549" s="37" t="n">
        <v>1</v>
      </c>
      <c r="F549" s="37" t="n">
        <v>1</v>
      </c>
      <c r="G549" s="37" t="n">
        <v>0</v>
      </c>
      <c r="H549" s="37" t="n">
        <v>0</v>
      </c>
      <c r="I549" s="37" t="n">
        <v>0</v>
      </c>
      <c r="J549" s="37" t="n">
        <v>2</v>
      </c>
      <c r="K549" s="16" t="n">
        <v>24</v>
      </c>
    </row>
    <row r="550">
      <c r="A550" s="30" t="n">
        <v>46317.93472222222</v>
      </c>
      <c r="B550" s="30" t="n">
        <v>46317.97708333333</v>
      </c>
      <c r="C550" s="9" t="n">
        <v>46318</v>
      </c>
      <c r="D550" s="10" t="n">
        <v>0.9270833333333334</v>
      </c>
      <c r="E550" s="36" t="n">
        <v>3</v>
      </c>
      <c r="F550" s="36" t="n">
        <v>1</v>
      </c>
      <c r="G550" s="36" t="n">
        <v>0</v>
      </c>
      <c r="H550" s="36" t="n">
        <v>2</v>
      </c>
      <c r="I550" s="36" t="n">
        <v>0</v>
      </c>
      <c r="J550" s="36" t="n">
        <v>10</v>
      </c>
      <c r="K550" s="12" t="n">
        <v>120</v>
      </c>
    </row>
    <row r="551">
      <c r="A551" s="33" t="n">
        <v>46317.93472222222</v>
      </c>
      <c r="B551" s="33" t="n">
        <v>46317.97708333333</v>
      </c>
      <c r="C551" s="13" t="n">
        <v>46318</v>
      </c>
      <c r="D551" s="14" t="n">
        <v>0.96875</v>
      </c>
      <c r="E551" s="37" t="n">
        <v>3</v>
      </c>
      <c r="F551" s="37" t="n">
        <v>2</v>
      </c>
      <c r="G551" s="37" t="n">
        <v>0</v>
      </c>
      <c r="H551" s="37" t="n">
        <v>1</v>
      </c>
      <c r="I551" s="37" t="n">
        <v>0</v>
      </c>
      <c r="J551" s="37" t="n">
        <v>8</v>
      </c>
      <c r="K551" s="16" t="n">
        <v>96</v>
      </c>
    </row>
    <row r="552">
      <c r="A552" s="30" t="n">
        <v>46317.93472222222</v>
      </c>
      <c r="B552" s="30" t="n">
        <v>46317.97708333333</v>
      </c>
      <c r="C552" s="9" t="n">
        <v>46320</v>
      </c>
      <c r="D552" s="10" t="n">
        <v>0.9270833333333334</v>
      </c>
      <c r="E552" s="36" t="n">
        <v>1</v>
      </c>
      <c r="F552" s="36" t="n">
        <v>0</v>
      </c>
      <c r="G552" s="36" t="n">
        <v>0</v>
      </c>
      <c r="H552" s="36" t="n">
        <v>0</v>
      </c>
      <c r="I552" s="36" t="n">
        <v>1</v>
      </c>
      <c r="J552" s="36" t="n">
        <v>5</v>
      </c>
      <c r="K552" s="12" t="n">
        <v>60</v>
      </c>
    </row>
    <row r="553">
      <c r="A553" s="33" t="n">
        <v>46317.97708333333</v>
      </c>
      <c r="B553" s="33" t="n">
        <v>46318.025</v>
      </c>
      <c r="C553" s="13" t="n">
        <v>46318</v>
      </c>
      <c r="D553" s="14" t="n">
        <v>0.9270833333333334</v>
      </c>
      <c r="E553" s="37" t="n">
        <v>1</v>
      </c>
      <c r="F553" s="37" t="n">
        <v>1</v>
      </c>
      <c r="G553" s="37" t="n">
        <v>0</v>
      </c>
      <c r="H553" s="37" t="n">
        <v>0</v>
      </c>
      <c r="I553" s="37" t="n">
        <v>0</v>
      </c>
      <c r="J553" s="37" t="n">
        <v>2</v>
      </c>
      <c r="K553" s="16" t="n">
        <v>24</v>
      </c>
    </row>
    <row r="554">
      <c r="A554" s="30" t="n">
        <v>46317.97708333333</v>
      </c>
      <c r="B554" s="30" t="n">
        <v>46318.025</v>
      </c>
      <c r="C554" s="9" t="n">
        <v>46319</v>
      </c>
      <c r="D554" s="10" t="n">
        <v>0.9270833333333334</v>
      </c>
      <c r="E554" s="36" t="n">
        <v>1</v>
      </c>
      <c r="F554" s="36" t="n">
        <v>1</v>
      </c>
      <c r="G554" s="36" t="n">
        <v>0</v>
      </c>
      <c r="H554" s="36" t="n">
        <v>0</v>
      </c>
      <c r="I554" s="36" t="n">
        <v>0</v>
      </c>
      <c r="J554" s="36" t="n">
        <v>2</v>
      </c>
      <c r="K554" s="12" t="n">
        <v>24</v>
      </c>
    </row>
    <row r="555">
      <c r="A555" s="33" t="n">
        <v>46318.35625</v>
      </c>
      <c r="B555" s="33" t="n">
        <v>46318.40277777778</v>
      </c>
      <c r="C555" s="13" t="n">
        <v>46318</v>
      </c>
      <c r="D555" s="14" t="n">
        <v>0.84375</v>
      </c>
      <c r="E555" s="37" t="n">
        <v>1</v>
      </c>
      <c r="F555" s="37" t="n">
        <v>1</v>
      </c>
      <c r="G555" s="37" t="n">
        <v>0</v>
      </c>
      <c r="H555" s="37" t="n">
        <v>0</v>
      </c>
      <c r="I555" s="37" t="n">
        <v>0</v>
      </c>
      <c r="J555" s="37" t="n">
        <v>2</v>
      </c>
      <c r="K555" s="16" t="n">
        <v>24</v>
      </c>
    </row>
    <row r="556">
      <c r="A556" s="30" t="n">
        <v>46318.40277777778</v>
      </c>
      <c r="B556" s="30" t="n">
        <v>46318.44027777778</v>
      </c>
      <c r="C556" s="9" t="n">
        <v>46318</v>
      </c>
      <c r="D556" s="10" t="n">
        <v>0.8854166666666666</v>
      </c>
      <c r="E556" s="36" t="n">
        <v>1</v>
      </c>
      <c r="F556" s="36" t="n">
        <v>0</v>
      </c>
      <c r="G556" s="36" t="n">
        <v>0</v>
      </c>
      <c r="H556" s="36" t="n">
        <v>1</v>
      </c>
      <c r="I556" s="36" t="n">
        <v>0</v>
      </c>
      <c r="J556" s="36" t="n">
        <v>4</v>
      </c>
      <c r="K556" s="12" t="n">
        <v>48</v>
      </c>
    </row>
    <row r="557">
      <c r="A557" s="33" t="n">
        <v>46318.40277777778</v>
      </c>
      <c r="B557" s="33" t="n">
        <v>46318.44027777778</v>
      </c>
      <c r="C557" s="13" t="n">
        <v>46318</v>
      </c>
      <c r="D557" s="14" t="n">
        <v>0.9270833333333334</v>
      </c>
      <c r="E557" s="37" t="n">
        <v>1</v>
      </c>
      <c r="F557" s="37" t="n">
        <v>1</v>
      </c>
      <c r="G557" s="37" t="n">
        <v>0</v>
      </c>
      <c r="H557" s="37" t="n">
        <v>0</v>
      </c>
      <c r="I557" s="37" t="n">
        <v>0</v>
      </c>
      <c r="J557" s="37" t="n">
        <v>2</v>
      </c>
      <c r="K557" s="16" t="n">
        <v>24</v>
      </c>
    </row>
    <row r="558">
      <c r="A558" s="30" t="n">
        <v>46318.40277777778</v>
      </c>
      <c r="B558" s="30" t="n">
        <v>46318.44027777778</v>
      </c>
      <c r="C558" s="9" t="n">
        <v>46318</v>
      </c>
      <c r="D558" s="10" t="n">
        <v>0.96875</v>
      </c>
      <c r="E558" s="36" t="n">
        <v>1</v>
      </c>
      <c r="F558" s="36" t="n">
        <v>1</v>
      </c>
      <c r="G558" s="36" t="n">
        <v>0</v>
      </c>
      <c r="H558" s="36" t="n">
        <v>0</v>
      </c>
      <c r="I558" s="36" t="n">
        <v>0</v>
      </c>
      <c r="J558" s="36" t="n">
        <v>2</v>
      </c>
      <c r="K558" s="12" t="n">
        <v>24</v>
      </c>
    </row>
    <row r="559">
      <c r="A559" s="33" t="n">
        <v>46318.40277777778</v>
      </c>
      <c r="B559" s="33" t="n">
        <v>46318.44027777778</v>
      </c>
      <c r="C559" s="13" t="n">
        <v>46319</v>
      </c>
      <c r="D559" s="14" t="n">
        <v>0.84375</v>
      </c>
      <c r="E559" s="37" t="n">
        <v>1</v>
      </c>
      <c r="F559" s="37" t="n">
        <v>0</v>
      </c>
      <c r="G559" s="37" t="n">
        <v>1</v>
      </c>
      <c r="H559" s="37" t="n">
        <v>0</v>
      </c>
      <c r="I559" s="37" t="n">
        <v>0</v>
      </c>
      <c r="J559" s="37" t="n">
        <v>3</v>
      </c>
      <c r="K559" s="16" t="n">
        <v>36</v>
      </c>
    </row>
    <row r="560">
      <c r="A560" s="30" t="n">
        <v>46318.40277777778</v>
      </c>
      <c r="B560" s="30" t="n">
        <v>46318.44027777778</v>
      </c>
      <c r="C560" s="9" t="n">
        <v>46319</v>
      </c>
      <c r="D560" s="10" t="n">
        <v>0.8854166666666666</v>
      </c>
      <c r="E560" s="36" t="n">
        <v>1</v>
      </c>
      <c r="F560" s="36" t="n">
        <v>0</v>
      </c>
      <c r="G560" s="36" t="n">
        <v>0</v>
      </c>
      <c r="H560" s="36" t="n">
        <v>0</v>
      </c>
      <c r="I560" s="36" t="n">
        <v>1</v>
      </c>
      <c r="J560" s="36" t="n">
        <v>5</v>
      </c>
      <c r="K560" s="12" t="n">
        <v>60</v>
      </c>
    </row>
    <row r="561">
      <c r="A561" s="33" t="n">
        <v>46318.40277777778</v>
      </c>
      <c r="B561" s="33" t="n">
        <v>46318.44027777778</v>
      </c>
      <c r="C561" s="13" t="n">
        <v>46325</v>
      </c>
      <c r="D561" s="14" t="n">
        <v>0.9270833333333334</v>
      </c>
      <c r="E561" s="37" t="n">
        <v>1</v>
      </c>
      <c r="F561" s="37" t="n">
        <v>0</v>
      </c>
      <c r="G561" s="37" t="n">
        <v>0</v>
      </c>
      <c r="H561" s="37" t="n">
        <v>1</v>
      </c>
      <c r="I561" s="37" t="n">
        <v>0</v>
      </c>
      <c r="J561" s="37" t="n">
        <v>4</v>
      </c>
      <c r="K561" s="16" t="n">
        <v>48</v>
      </c>
    </row>
    <row r="562">
      <c r="A562" s="30" t="n">
        <v>46318.44027777778</v>
      </c>
      <c r="B562" s="30" t="n">
        <v>46318.47916666666</v>
      </c>
      <c r="C562" s="9" t="n">
        <v>46318</v>
      </c>
      <c r="D562" s="10" t="n">
        <v>0.96875</v>
      </c>
      <c r="E562" s="36" t="n">
        <v>2</v>
      </c>
      <c r="F562" s="36" t="n">
        <v>1</v>
      </c>
      <c r="G562" s="36" t="n">
        <v>0</v>
      </c>
      <c r="H562" s="36" t="n">
        <v>1</v>
      </c>
      <c r="I562" s="36" t="n">
        <v>0</v>
      </c>
      <c r="J562" s="36" t="n">
        <v>6</v>
      </c>
      <c r="K562" s="12" t="n">
        <v>72</v>
      </c>
    </row>
    <row r="563">
      <c r="A563" s="33" t="n">
        <v>46318.44027777778</v>
      </c>
      <c r="B563" s="33" t="n">
        <v>46318.47916666666</v>
      </c>
      <c r="C563" s="13" t="n">
        <v>46319</v>
      </c>
      <c r="D563" s="14" t="n">
        <v>0.9270833333333334</v>
      </c>
      <c r="E563" s="37" t="n">
        <v>3</v>
      </c>
      <c r="F563" s="37" t="n">
        <v>3</v>
      </c>
      <c r="G563" s="37" t="n">
        <v>0</v>
      </c>
      <c r="H563" s="37" t="n">
        <v>0</v>
      </c>
      <c r="I563" s="37" t="n">
        <v>0</v>
      </c>
      <c r="J563" s="37" t="n">
        <v>6</v>
      </c>
      <c r="K563" s="16" t="n">
        <v>72</v>
      </c>
    </row>
    <row r="564">
      <c r="A564" s="30" t="n">
        <v>46318.44027777778</v>
      </c>
      <c r="B564" s="30" t="n">
        <v>46318.47916666666</v>
      </c>
      <c r="C564" s="9" t="n">
        <v>46319</v>
      </c>
      <c r="D564" s="10" t="n">
        <v>0.9993055555555556</v>
      </c>
      <c r="E564" s="36" t="n">
        <v>1</v>
      </c>
      <c r="F564" s="36" t="n">
        <v>1</v>
      </c>
      <c r="G564" s="36" t="n">
        <v>0</v>
      </c>
      <c r="H564" s="36" t="n">
        <v>0</v>
      </c>
      <c r="I564" s="36" t="n">
        <v>0</v>
      </c>
      <c r="J564" s="36" t="n">
        <v>2</v>
      </c>
      <c r="K564" s="12" t="n">
        <v>24</v>
      </c>
    </row>
    <row r="565">
      <c r="A565" s="33" t="n">
        <v>46318.47916666666</v>
      </c>
      <c r="B565" s="33" t="n">
        <v>46318.51944444444</v>
      </c>
      <c r="C565" s="13" t="n">
        <v>46319</v>
      </c>
      <c r="D565" s="14" t="n">
        <v>0.9270833333333334</v>
      </c>
      <c r="E565" s="37" t="n">
        <v>1</v>
      </c>
      <c r="F565" s="37" t="n">
        <v>0</v>
      </c>
      <c r="G565" s="37" t="n">
        <v>0</v>
      </c>
      <c r="H565" s="37" t="n">
        <v>1</v>
      </c>
      <c r="I565" s="37" t="n">
        <v>0</v>
      </c>
      <c r="J565" s="37" t="n">
        <v>4</v>
      </c>
      <c r="K565" s="16" t="n">
        <v>48</v>
      </c>
    </row>
    <row r="566">
      <c r="A566" s="30" t="n">
        <v>46318.51944444444</v>
      </c>
      <c r="B566" s="30" t="n">
        <v>46318.56805555556</v>
      </c>
      <c r="C566" s="9" t="n">
        <v>46318</v>
      </c>
      <c r="D566" s="10" t="n">
        <v>0.8854166666666666</v>
      </c>
      <c r="E566" s="36" t="n">
        <v>-1</v>
      </c>
      <c r="F566" s="36" t="n">
        <v>0</v>
      </c>
      <c r="G566" s="36" t="n">
        <v>0</v>
      </c>
      <c r="H566" s="36" t="n">
        <v>-1</v>
      </c>
      <c r="I566" s="36" t="n">
        <v>0</v>
      </c>
      <c r="J566" s="36" t="n">
        <v>-4</v>
      </c>
      <c r="K566" s="12" t="n">
        <v>-48</v>
      </c>
    </row>
    <row r="567">
      <c r="A567" s="33" t="n">
        <v>46318.51944444444</v>
      </c>
      <c r="B567" s="33" t="n">
        <v>46318.56805555556</v>
      </c>
      <c r="C567" s="13" t="n">
        <v>46318</v>
      </c>
      <c r="D567" s="14" t="n">
        <v>0.9270833333333334</v>
      </c>
      <c r="E567" s="37" t="n">
        <v>3</v>
      </c>
      <c r="F567" s="37" t="n">
        <v>0</v>
      </c>
      <c r="G567" s="37" t="n">
        <v>2</v>
      </c>
      <c r="H567" s="37" t="n">
        <v>1</v>
      </c>
      <c r="I567" s="37" t="n">
        <v>0</v>
      </c>
      <c r="J567" s="37" t="n">
        <v>10</v>
      </c>
      <c r="K567" s="16" t="n">
        <v>120</v>
      </c>
    </row>
    <row r="568">
      <c r="A568" s="30" t="n">
        <v>46318.51944444444</v>
      </c>
      <c r="B568" s="30" t="n">
        <v>46318.56805555556</v>
      </c>
      <c r="C568" s="9" t="n">
        <v>46318</v>
      </c>
      <c r="D568" s="10" t="n">
        <v>0.96875</v>
      </c>
      <c r="E568" s="36" t="n">
        <v>1</v>
      </c>
      <c r="F568" s="36" t="n">
        <v>1</v>
      </c>
      <c r="G568" s="36" t="n">
        <v>0</v>
      </c>
      <c r="H568" s="36" t="n">
        <v>0</v>
      </c>
      <c r="I568" s="36" t="n">
        <v>0</v>
      </c>
      <c r="J568" s="36" t="n">
        <v>2</v>
      </c>
      <c r="K568" s="12" t="n">
        <v>24</v>
      </c>
    </row>
    <row r="569">
      <c r="A569" s="33" t="n">
        <v>46318.51944444444</v>
      </c>
      <c r="B569" s="33" t="n">
        <v>46318.56805555556</v>
      </c>
      <c r="C569" s="13" t="n">
        <v>46325</v>
      </c>
      <c r="D569" s="14" t="n">
        <v>0.96875</v>
      </c>
      <c r="E569" s="37" t="n">
        <v>1</v>
      </c>
      <c r="F569" s="37" t="n">
        <v>1</v>
      </c>
      <c r="G569" s="37" t="n">
        <v>0</v>
      </c>
      <c r="H569" s="37" t="n">
        <v>0</v>
      </c>
      <c r="I569" s="37" t="n">
        <v>0</v>
      </c>
      <c r="J569" s="37" t="n">
        <v>2</v>
      </c>
      <c r="K569" s="16" t="n">
        <v>24</v>
      </c>
    </row>
    <row r="570">
      <c r="A570" s="30" t="n">
        <v>46318.56805555556</v>
      </c>
      <c r="B570" s="30" t="n">
        <v>46318.61319444444</v>
      </c>
      <c r="C570" s="9" t="n">
        <v>46318</v>
      </c>
      <c r="D570" s="10" t="n">
        <v>0.84375</v>
      </c>
      <c r="E570" s="36" t="n">
        <v>1</v>
      </c>
      <c r="F570" s="36" t="n">
        <v>1</v>
      </c>
      <c r="G570" s="36" t="n">
        <v>0</v>
      </c>
      <c r="H570" s="36" t="n">
        <v>0</v>
      </c>
      <c r="I570" s="36" t="n">
        <v>0</v>
      </c>
      <c r="J570" s="36" t="n">
        <v>2</v>
      </c>
      <c r="K570" s="12" t="n">
        <v>24</v>
      </c>
    </row>
    <row r="571">
      <c r="A571" s="33" t="n">
        <v>46318.56805555556</v>
      </c>
      <c r="B571" s="33" t="n">
        <v>46318.61319444444</v>
      </c>
      <c r="C571" s="13" t="n">
        <v>46318</v>
      </c>
      <c r="D571" s="14" t="n">
        <v>0.9270833333333334</v>
      </c>
      <c r="E571" s="37" t="n">
        <v>2</v>
      </c>
      <c r="F571" s="37" t="n">
        <v>1</v>
      </c>
      <c r="G571" s="37" t="n">
        <v>0</v>
      </c>
      <c r="H571" s="37" t="n">
        <v>1</v>
      </c>
      <c r="I571" s="37" t="n">
        <v>0</v>
      </c>
      <c r="J571" s="37" t="n">
        <v>6</v>
      </c>
      <c r="K571" s="16" t="n">
        <v>72</v>
      </c>
    </row>
    <row r="572">
      <c r="A572" s="30" t="n">
        <v>46318.56805555556</v>
      </c>
      <c r="B572" s="30" t="n">
        <v>46318.61319444444</v>
      </c>
      <c r="C572" s="9" t="n">
        <v>46318</v>
      </c>
      <c r="D572" s="10" t="n">
        <v>0.96875</v>
      </c>
      <c r="E572" s="36" t="n">
        <v>1</v>
      </c>
      <c r="F572" s="36" t="n">
        <v>0</v>
      </c>
      <c r="G572" s="36" t="n">
        <v>0</v>
      </c>
      <c r="H572" s="36" t="n">
        <v>0</v>
      </c>
      <c r="I572" s="36" t="n">
        <v>1</v>
      </c>
      <c r="J572" s="36" t="n">
        <v>5</v>
      </c>
      <c r="K572" s="12" t="n">
        <v>60</v>
      </c>
    </row>
    <row r="573">
      <c r="A573" s="33" t="n">
        <v>46318.56805555556</v>
      </c>
      <c r="B573" s="33" t="n">
        <v>46318.61319444444</v>
      </c>
      <c r="C573" s="13" t="n">
        <v>46320</v>
      </c>
      <c r="D573" s="14" t="n">
        <v>0.9270833333333334</v>
      </c>
      <c r="E573" s="37" t="n">
        <v>1</v>
      </c>
      <c r="F573" s="37" t="n">
        <v>1</v>
      </c>
      <c r="G573" s="37" t="n">
        <v>0</v>
      </c>
      <c r="H573" s="37" t="n">
        <v>0</v>
      </c>
      <c r="I573" s="37" t="n">
        <v>0</v>
      </c>
      <c r="J573" s="37" t="n">
        <v>2</v>
      </c>
      <c r="K573" s="16" t="n">
        <v>24</v>
      </c>
    </row>
    <row r="574">
      <c r="A574" s="30" t="n">
        <v>46318.56805555556</v>
      </c>
      <c r="B574" s="30" t="n">
        <v>46318.61319444444</v>
      </c>
      <c r="C574" s="9" t="n">
        <v>46326</v>
      </c>
      <c r="D574" s="10" t="n">
        <v>0.9993055555555556</v>
      </c>
      <c r="E574" s="36" t="n">
        <v>1</v>
      </c>
      <c r="F574" s="36" t="n">
        <v>0</v>
      </c>
      <c r="G574" s="36" t="n">
        <v>0</v>
      </c>
      <c r="H574" s="36" t="n">
        <v>1</v>
      </c>
      <c r="I574" s="36" t="n">
        <v>0</v>
      </c>
      <c r="J574" s="36" t="n">
        <v>4</v>
      </c>
      <c r="K574" s="12" t="n">
        <v>48</v>
      </c>
    </row>
    <row r="575">
      <c r="A575" s="33" t="n">
        <v>46318.61319444444</v>
      </c>
      <c r="B575" s="33" t="n">
        <v>46318.63541666666</v>
      </c>
      <c r="C575" s="13" t="n">
        <v>46318</v>
      </c>
      <c r="D575" s="14" t="n">
        <v>0.9270833333333334</v>
      </c>
      <c r="E575" s="37" t="n">
        <v>1</v>
      </c>
      <c r="F575" s="37" t="n">
        <v>1</v>
      </c>
      <c r="G575" s="37" t="n">
        <v>0</v>
      </c>
      <c r="H575" s="37" t="n">
        <v>0</v>
      </c>
      <c r="I575" s="37" t="n">
        <v>0</v>
      </c>
      <c r="J575" s="37" t="n">
        <v>2</v>
      </c>
      <c r="K575" s="16" t="n">
        <v>24</v>
      </c>
    </row>
    <row r="576">
      <c r="A576" s="30" t="n">
        <v>46318.61319444444</v>
      </c>
      <c r="B576" s="30" t="n">
        <v>46318.63541666666</v>
      </c>
      <c r="C576" s="9" t="n">
        <v>46318</v>
      </c>
      <c r="D576" s="10" t="n">
        <v>0.96875</v>
      </c>
      <c r="E576" s="36" t="n">
        <v>1</v>
      </c>
      <c r="F576" s="36" t="n">
        <v>0</v>
      </c>
      <c r="G576" s="36" t="n">
        <v>0</v>
      </c>
      <c r="H576" s="36" t="n">
        <v>1</v>
      </c>
      <c r="I576" s="36" t="n">
        <v>0</v>
      </c>
      <c r="J576" s="36" t="n">
        <v>4</v>
      </c>
      <c r="K576" s="12" t="n">
        <v>48</v>
      </c>
    </row>
    <row r="577">
      <c r="A577" s="33" t="n">
        <v>46318.61319444444</v>
      </c>
      <c r="B577" s="33" t="n">
        <v>46318.63541666666</v>
      </c>
      <c r="C577" s="13" t="n">
        <v>46320</v>
      </c>
      <c r="D577" s="14" t="n">
        <v>0.9270833333333334</v>
      </c>
      <c r="E577" s="37" t="n">
        <v>2</v>
      </c>
      <c r="F577" s="37" t="n">
        <v>0</v>
      </c>
      <c r="G577" s="37" t="n">
        <v>0</v>
      </c>
      <c r="H577" s="37" t="n">
        <v>1</v>
      </c>
      <c r="I577" s="37" t="n">
        <v>1</v>
      </c>
      <c r="J577" s="37" t="n">
        <v>9</v>
      </c>
      <c r="K577" s="16" t="n">
        <v>108</v>
      </c>
    </row>
    <row r="578">
      <c r="A578" s="30" t="n">
        <v>46318.61319444444</v>
      </c>
      <c r="B578" s="30" t="n">
        <v>46318.63541666666</v>
      </c>
      <c r="C578" s="9" t="n">
        <v>46324</v>
      </c>
      <c r="D578" s="10" t="n">
        <v>0.8854166666666666</v>
      </c>
      <c r="E578" s="36" t="n">
        <v>1</v>
      </c>
      <c r="F578" s="36" t="n">
        <v>1</v>
      </c>
      <c r="G578" s="36" t="n">
        <v>0</v>
      </c>
      <c r="H578" s="36" t="n">
        <v>0</v>
      </c>
      <c r="I578" s="36" t="n">
        <v>0</v>
      </c>
      <c r="J578" s="36" t="n">
        <v>2</v>
      </c>
      <c r="K578" s="12" t="n">
        <v>24</v>
      </c>
    </row>
    <row r="579">
      <c r="A579" s="33" t="n">
        <v>46318.63541666666</v>
      </c>
      <c r="B579" s="33" t="n">
        <v>46318.64236111111</v>
      </c>
      <c r="C579" s="13" t="n">
        <v>46318</v>
      </c>
      <c r="D579" s="14" t="n">
        <v>0.9270833333333334</v>
      </c>
      <c r="E579" s="37" t="n">
        <v>1</v>
      </c>
      <c r="F579" s="37" t="n">
        <v>1</v>
      </c>
      <c r="G579" s="37" t="n">
        <v>0</v>
      </c>
      <c r="H579" s="37" t="n">
        <v>0</v>
      </c>
      <c r="I579" s="37" t="n">
        <v>0</v>
      </c>
      <c r="J579" s="37" t="n">
        <v>2</v>
      </c>
      <c r="K579" s="16" t="n">
        <v>24</v>
      </c>
    </row>
    <row r="580">
      <c r="A580" s="30" t="n">
        <v>46318.64236111111</v>
      </c>
      <c r="B580" s="30" t="n">
        <v>46318.65</v>
      </c>
      <c r="C580" s="9" t="n">
        <v>46320</v>
      </c>
      <c r="D580" s="10" t="n">
        <v>0.8854166666666666</v>
      </c>
      <c r="E580" s="36" t="n">
        <v>1</v>
      </c>
      <c r="F580" s="36" t="n">
        <v>0</v>
      </c>
      <c r="G580" s="36" t="n">
        <v>0</v>
      </c>
      <c r="H580" s="36" t="n">
        <v>1</v>
      </c>
      <c r="I580" s="36" t="n">
        <v>0</v>
      </c>
      <c r="J580" s="36" t="n">
        <v>4</v>
      </c>
      <c r="K580" s="12" t="n">
        <v>48</v>
      </c>
    </row>
    <row r="581">
      <c r="A581" s="33" t="n">
        <v>46318.65</v>
      </c>
      <c r="B581" s="33" t="n">
        <v>46318.67569444444</v>
      </c>
      <c r="C581" s="13" t="n">
        <v>46318</v>
      </c>
      <c r="D581" s="14" t="n">
        <v>0.8854166666666666</v>
      </c>
      <c r="E581" s="37" t="n">
        <v>0</v>
      </c>
      <c r="F581" s="37" t="n">
        <v>1</v>
      </c>
      <c r="G581" s="37" t="n">
        <v>0</v>
      </c>
      <c r="H581" s="37" t="n">
        <v>-1</v>
      </c>
      <c r="I581" s="37" t="n">
        <v>0</v>
      </c>
      <c r="J581" s="37" t="n">
        <v>-2</v>
      </c>
      <c r="K581" s="16" t="n">
        <v>-24</v>
      </c>
    </row>
    <row r="582">
      <c r="A582" s="30" t="n">
        <v>46318.65</v>
      </c>
      <c r="B582" s="30" t="n">
        <v>46318.67569444444</v>
      </c>
      <c r="C582" s="9" t="n">
        <v>46318</v>
      </c>
      <c r="D582" s="10" t="n">
        <v>0.9270833333333334</v>
      </c>
      <c r="E582" s="36" t="n">
        <v>1</v>
      </c>
      <c r="F582" s="36" t="n">
        <v>0</v>
      </c>
      <c r="G582" s="36" t="n">
        <v>0</v>
      </c>
      <c r="H582" s="36" t="n">
        <v>1</v>
      </c>
      <c r="I582" s="36" t="n">
        <v>0</v>
      </c>
      <c r="J582" s="36" t="n">
        <v>4</v>
      </c>
      <c r="K582" s="12" t="n">
        <v>48</v>
      </c>
    </row>
    <row r="583">
      <c r="A583" s="33" t="n">
        <v>46318.65</v>
      </c>
      <c r="B583" s="33" t="n">
        <v>46318.67569444444</v>
      </c>
      <c r="C583" s="13" t="n">
        <v>46318</v>
      </c>
      <c r="D583" s="14" t="n">
        <v>0.96875</v>
      </c>
      <c r="E583" s="37" t="n">
        <v>0</v>
      </c>
      <c r="F583" s="37" t="n">
        <v>-1</v>
      </c>
      <c r="G583" s="37" t="n">
        <v>0</v>
      </c>
      <c r="H583" s="37" t="n">
        <v>0</v>
      </c>
      <c r="I583" s="37" t="n">
        <v>1</v>
      </c>
      <c r="J583" s="37" t="n">
        <v>3</v>
      </c>
      <c r="K583" s="16" t="n">
        <v>36</v>
      </c>
    </row>
    <row r="584">
      <c r="A584" s="30" t="n">
        <v>46318.65</v>
      </c>
      <c r="B584" s="30" t="n">
        <v>46318.67569444444</v>
      </c>
      <c r="C584" s="9" t="n">
        <v>46327</v>
      </c>
      <c r="D584" s="10" t="n">
        <v>0.96875</v>
      </c>
      <c r="E584" s="36" t="n">
        <v>1</v>
      </c>
      <c r="F584" s="36" t="n">
        <v>1</v>
      </c>
      <c r="G584" s="36" t="n">
        <v>0</v>
      </c>
      <c r="H584" s="36" t="n">
        <v>0</v>
      </c>
      <c r="I584" s="36" t="n">
        <v>0</v>
      </c>
      <c r="J584" s="36" t="n">
        <v>2</v>
      </c>
      <c r="K584" s="12" t="n">
        <v>24</v>
      </c>
    </row>
    <row r="585">
      <c r="A585" s="33" t="n">
        <v>46318.67569444444</v>
      </c>
      <c r="B585" s="33" t="n">
        <v>46318.70277777778</v>
      </c>
      <c r="C585" s="13" t="n">
        <v>46318</v>
      </c>
      <c r="D585" s="14" t="n">
        <v>0.84375</v>
      </c>
      <c r="E585" s="37" t="n">
        <v>1</v>
      </c>
      <c r="F585" s="37" t="n">
        <v>1</v>
      </c>
      <c r="G585" s="37" t="n">
        <v>0</v>
      </c>
      <c r="H585" s="37" t="n">
        <v>0</v>
      </c>
      <c r="I585" s="37" t="n">
        <v>0</v>
      </c>
      <c r="J585" s="37" t="n">
        <v>2</v>
      </c>
      <c r="K585" s="16" t="n">
        <v>24</v>
      </c>
    </row>
    <row r="586">
      <c r="A586" s="30" t="n">
        <v>46318.67569444444</v>
      </c>
      <c r="B586" s="30" t="n">
        <v>46318.70277777778</v>
      </c>
      <c r="C586" s="9" t="n">
        <v>46318</v>
      </c>
      <c r="D586" s="10" t="n">
        <v>0.9270833333333334</v>
      </c>
      <c r="E586" s="36" t="n">
        <v>3</v>
      </c>
      <c r="F586" s="36" t="n">
        <v>2</v>
      </c>
      <c r="G586" s="36" t="n">
        <v>0</v>
      </c>
      <c r="H586" s="36" t="n">
        <v>1</v>
      </c>
      <c r="I586" s="36" t="n">
        <v>0</v>
      </c>
      <c r="J586" s="36" t="n">
        <v>8</v>
      </c>
      <c r="K586" s="12" t="n">
        <v>96</v>
      </c>
    </row>
    <row r="587">
      <c r="A587" s="33" t="n">
        <v>46318.67569444444</v>
      </c>
      <c r="B587" s="33" t="n">
        <v>46318.70277777778</v>
      </c>
      <c r="C587" s="13" t="n">
        <v>46318</v>
      </c>
      <c r="D587" s="14" t="n">
        <v>0.96875</v>
      </c>
      <c r="E587" s="37" t="n">
        <v>5</v>
      </c>
      <c r="F587" s="37" t="n">
        <v>2</v>
      </c>
      <c r="G587" s="37" t="n">
        <v>1</v>
      </c>
      <c r="H587" s="37" t="n">
        <v>2</v>
      </c>
      <c r="I587" s="37" t="n">
        <v>0</v>
      </c>
      <c r="J587" s="37" t="n">
        <v>15</v>
      </c>
      <c r="K587" s="16" t="n">
        <v>180</v>
      </c>
    </row>
    <row r="588">
      <c r="A588" s="30" t="n">
        <v>46318.67569444444</v>
      </c>
      <c r="B588" s="30" t="n">
        <v>46318.70277777778</v>
      </c>
      <c r="C588" s="9" t="n">
        <v>46320</v>
      </c>
      <c r="D588" s="10" t="n">
        <v>0.96875</v>
      </c>
      <c r="E588" s="36" t="n">
        <v>1</v>
      </c>
      <c r="F588" s="36" t="n">
        <v>0</v>
      </c>
      <c r="G588" s="36" t="n">
        <v>0</v>
      </c>
      <c r="H588" s="36" t="n">
        <v>1</v>
      </c>
      <c r="I588" s="36" t="n">
        <v>0</v>
      </c>
      <c r="J588" s="36" t="n">
        <v>4</v>
      </c>
      <c r="K588" s="12" t="n">
        <v>48</v>
      </c>
    </row>
    <row r="589">
      <c r="A589" s="33" t="n">
        <v>46318.70277777778</v>
      </c>
      <c r="B589" s="33" t="n">
        <v>46318.72916666666</v>
      </c>
      <c r="C589" s="13" t="n">
        <v>46318</v>
      </c>
      <c r="D589" s="14" t="n">
        <v>0.8854166666666666</v>
      </c>
      <c r="E589" s="37" t="n">
        <v>1</v>
      </c>
      <c r="F589" s="37" t="n">
        <v>0</v>
      </c>
      <c r="G589" s="37" t="n">
        <v>0</v>
      </c>
      <c r="H589" s="37" t="n">
        <v>1</v>
      </c>
      <c r="I589" s="37" t="n">
        <v>0</v>
      </c>
      <c r="J589" s="37" t="n">
        <v>4</v>
      </c>
      <c r="K589" s="16" t="n">
        <v>48</v>
      </c>
    </row>
    <row r="590">
      <c r="A590" s="30" t="n">
        <v>46318.70277777778</v>
      </c>
      <c r="B590" s="30" t="n">
        <v>46318.72916666666</v>
      </c>
      <c r="C590" s="9" t="n">
        <v>46318</v>
      </c>
      <c r="D590" s="10" t="n">
        <v>0.9270833333333334</v>
      </c>
      <c r="E590" s="36" t="n">
        <v>1</v>
      </c>
      <c r="F590" s="36" t="n">
        <v>1</v>
      </c>
      <c r="G590" s="36" t="n">
        <v>0</v>
      </c>
      <c r="H590" s="36" t="n">
        <v>0</v>
      </c>
      <c r="I590" s="36" t="n">
        <v>0</v>
      </c>
      <c r="J590" s="36" t="n">
        <v>2</v>
      </c>
      <c r="K590" s="12" t="n">
        <v>24</v>
      </c>
    </row>
    <row r="591">
      <c r="A591" s="33" t="n">
        <v>46318.70277777778</v>
      </c>
      <c r="B591" s="33" t="n">
        <v>46318.72916666666</v>
      </c>
      <c r="C591" s="13" t="n">
        <v>46324</v>
      </c>
      <c r="D591" s="14" t="n">
        <v>0.9270833333333334</v>
      </c>
      <c r="E591" s="37" t="n">
        <v>1</v>
      </c>
      <c r="F591" s="37" t="n">
        <v>1</v>
      </c>
      <c r="G591" s="37" t="n">
        <v>0</v>
      </c>
      <c r="H591" s="37" t="n">
        <v>0</v>
      </c>
      <c r="I591" s="37" t="n">
        <v>0</v>
      </c>
      <c r="J591" s="37" t="n">
        <v>2</v>
      </c>
      <c r="K591" s="16" t="n">
        <v>24</v>
      </c>
    </row>
    <row r="592">
      <c r="A592" s="30" t="n">
        <v>46318.72916666666</v>
      </c>
      <c r="B592" s="30" t="n">
        <v>46318.75069444445</v>
      </c>
      <c r="C592" s="9" t="n">
        <v>46318</v>
      </c>
      <c r="D592" s="10" t="n">
        <v>0.84375</v>
      </c>
      <c r="E592" s="36" t="n">
        <v>1</v>
      </c>
      <c r="F592" s="36" t="n">
        <v>1</v>
      </c>
      <c r="G592" s="36" t="n">
        <v>0</v>
      </c>
      <c r="H592" s="36" t="n">
        <v>0</v>
      </c>
      <c r="I592" s="36" t="n">
        <v>0</v>
      </c>
      <c r="J592" s="36" t="n">
        <v>2</v>
      </c>
      <c r="K592" s="12" t="n">
        <v>24</v>
      </c>
    </row>
    <row r="593">
      <c r="A593" s="33" t="n">
        <v>46318.72916666666</v>
      </c>
      <c r="B593" s="33" t="n">
        <v>46318.75069444445</v>
      </c>
      <c r="C593" s="13" t="n">
        <v>46318</v>
      </c>
      <c r="D593" s="14" t="n">
        <v>0.9270833333333334</v>
      </c>
      <c r="E593" s="37" t="n">
        <v>1</v>
      </c>
      <c r="F593" s="37" t="n">
        <v>0</v>
      </c>
      <c r="G593" s="37" t="n">
        <v>1</v>
      </c>
      <c r="H593" s="37" t="n">
        <v>0</v>
      </c>
      <c r="I593" s="37" t="n">
        <v>0</v>
      </c>
      <c r="J593" s="37" t="n">
        <v>3</v>
      </c>
      <c r="K593" s="16" t="n">
        <v>36</v>
      </c>
    </row>
    <row r="594">
      <c r="A594" s="30" t="n">
        <v>46318.72916666666</v>
      </c>
      <c r="B594" s="30" t="n">
        <v>46318.75069444445</v>
      </c>
      <c r="C594" s="9" t="n">
        <v>46318</v>
      </c>
      <c r="D594" s="10" t="n">
        <v>0.96875</v>
      </c>
      <c r="E594" s="36" t="n">
        <v>1</v>
      </c>
      <c r="F594" s="36" t="n">
        <v>1</v>
      </c>
      <c r="G594" s="36" t="n">
        <v>0</v>
      </c>
      <c r="H594" s="36" t="n">
        <v>0</v>
      </c>
      <c r="I594" s="36" t="n">
        <v>0</v>
      </c>
      <c r="J594" s="36" t="n">
        <v>2</v>
      </c>
      <c r="K594" s="12" t="n">
        <v>24</v>
      </c>
    </row>
    <row r="595">
      <c r="A595" s="33" t="n">
        <v>46318.72916666666</v>
      </c>
      <c r="B595" s="33" t="n">
        <v>46318.75069444445</v>
      </c>
      <c r="C595" s="13" t="n">
        <v>46324</v>
      </c>
      <c r="D595" s="14" t="n">
        <v>0.8854166666666666</v>
      </c>
      <c r="E595" s="37" t="n">
        <v>1</v>
      </c>
      <c r="F595" s="37" t="n">
        <v>1</v>
      </c>
      <c r="G595" s="37" t="n">
        <v>0</v>
      </c>
      <c r="H595" s="37" t="n">
        <v>0</v>
      </c>
      <c r="I595" s="37" t="n">
        <v>0</v>
      </c>
      <c r="J595" s="37" t="n">
        <v>2</v>
      </c>
      <c r="K595" s="16" t="n">
        <v>24</v>
      </c>
    </row>
    <row r="596">
      <c r="A596" s="30" t="n">
        <v>46318.72916666666</v>
      </c>
      <c r="B596" s="30" t="n">
        <v>46318.75069444445</v>
      </c>
      <c r="C596" s="9" t="n">
        <v>46327</v>
      </c>
      <c r="D596" s="10" t="n">
        <v>0.8854166666666666</v>
      </c>
      <c r="E596" s="36" t="n">
        <v>1</v>
      </c>
      <c r="F596" s="36" t="n">
        <v>0</v>
      </c>
      <c r="G596" s="36" t="n">
        <v>1</v>
      </c>
      <c r="H596" s="36" t="n">
        <v>0</v>
      </c>
      <c r="I596" s="36" t="n">
        <v>0</v>
      </c>
      <c r="J596" s="36" t="n">
        <v>3</v>
      </c>
      <c r="K596" s="12" t="n">
        <v>36</v>
      </c>
    </row>
    <row r="597">
      <c r="A597" s="33" t="n">
        <v>46318.75069444445</v>
      </c>
      <c r="B597" s="33" t="n">
        <v>46318.76527777778</v>
      </c>
      <c r="C597" s="13" t="n">
        <v>46318</v>
      </c>
      <c r="D597" s="14" t="n">
        <v>0.8854166666666666</v>
      </c>
      <c r="E597" s="37" t="n">
        <v>1</v>
      </c>
      <c r="F597" s="37" t="n">
        <v>1</v>
      </c>
      <c r="G597" s="37" t="n">
        <v>0</v>
      </c>
      <c r="H597" s="37" t="n">
        <v>0</v>
      </c>
      <c r="I597" s="37" t="n">
        <v>0</v>
      </c>
      <c r="J597" s="37" t="n">
        <v>2</v>
      </c>
      <c r="K597" s="16" t="n">
        <v>24</v>
      </c>
    </row>
    <row r="598">
      <c r="A598" s="30" t="n">
        <v>46318.75069444445</v>
      </c>
      <c r="B598" s="30" t="n">
        <v>46318.76527777778</v>
      </c>
      <c r="C598" s="9" t="n">
        <v>46318</v>
      </c>
      <c r="D598" s="10" t="n">
        <v>0.9270833333333334</v>
      </c>
      <c r="E598" s="36" t="n">
        <v>3</v>
      </c>
      <c r="F598" s="36" t="n">
        <v>1</v>
      </c>
      <c r="G598" s="36" t="n">
        <v>0</v>
      </c>
      <c r="H598" s="36" t="n">
        <v>2</v>
      </c>
      <c r="I598" s="36" t="n">
        <v>0</v>
      </c>
      <c r="J598" s="36" t="n">
        <v>10</v>
      </c>
      <c r="K598" s="12" t="n">
        <v>120</v>
      </c>
    </row>
    <row r="599">
      <c r="A599" s="33" t="n">
        <v>46318.75069444445</v>
      </c>
      <c r="B599" s="33" t="n">
        <v>46318.76527777778</v>
      </c>
      <c r="C599" s="13" t="n">
        <v>46318</v>
      </c>
      <c r="D599" s="14" t="n">
        <v>0.96875</v>
      </c>
      <c r="E599" s="37" t="n">
        <v>3</v>
      </c>
      <c r="F599" s="37" t="n">
        <v>3</v>
      </c>
      <c r="G599" s="37" t="n">
        <v>0</v>
      </c>
      <c r="H599" s="37" t="n">
        <v>0</v>
      </c>
      <c r="I599" s="37" t="n">
        <v>0</v>
      </c>
      <c r="J599" s="37" t="n">
        <v>6</v>
      </c>
      <c r="K599" s="16" t="n">
        <v>72</v>
      </c>
    </row>
    <row r="600">
      <c r="A600" s="30" t="n">
        <v>46318.75069444445</v>
      </c>
      <c r="B600" s="30" t="n">
        <v>46318.76527777778</v>
      </c>
      <c r="C600" s="9" t="n">
        <v>46318</v>
      </c>
      <c r="D600" s="10" t="n">
        <v>0.9986111111111111</v>
      </c>
      <c r="E600" s="36" t="n">
        <v>1</v>
      </c>
      <c r="F600" s="36" t="n">
        <v>1</v>
      </c>
      <c r="G600" s="36" t="n">
        <v>0</v>
      </c>
      <c r="H600" s="36" t="n">
        <v>0</v>
      </c>
      <c r="I600" s="36" t="n">
        <v>0</v>
      </c>
      <c r="J600" s="36" t="n">
        <v>2</v>
      </c>
      <c r="K600" s="12" t="n">
        <v>24</v>
      </c>
    </row>
    <row r="601">
      <c r="A601" s="33" t="n">
        <v>46318.75069444445</v>
      </c>
      <c r="B601" s="33" t="n">
        <v>46318.76527777778</v>
      </c>
      <c r="C601" s="13" t="n">
        <v>46319</v>
      </c>
      <c r="D601" s="14" t="n">
        <v>0.96875</v>
      </c>
      <c r="E601" s="37" t="n">
        <v>3</v>
      </c>
      <c r="F601" s="37" t="n">
        <v>3</v>
      </c>
      <c r="G601" s="37" t="n">
        <v>0</v>
      </c>
      <c r="H601" s="37" t="n">
        <v>0</v>
      </c>
      <c r="I601" s="37" t="n">
        <v>0</v>
      </c>
      <c r="J601" s="37" t="n">
        <v>6</v>
      </c>
      <c r="K601" s="16" t="n">
        <v>72</v>
      </c>
    </row>
    <row r="602">
      <c r="A602" s="30" t="n">
        <v>46318.76527777778</v>
      </c>
      <c r="B602" s="30" t="n">
        <v>46318.77222222222</v>
      </c>
      <c r="C602" s="9" t="n">
        <v>46326</v>
      </c>
      <c r="D602" s="10" t="n">
        <v>0.9270833333333334</v>
      </c>
      <c r="E602" s="36" t="n">
        <v>1</v>
      </c>
      <c r="F602" s="36" t="n">
        <v>0</v>
      </c>
      <c r="G602" s="36" t="n">
        <v>1</v>
      </c>
      <c r="H602" s="36" t="n">
        <v>0</v>
      </c>
      <c r="I602" s="36" t="n">
        <v>0</v>
      </c>
      <c r="J602" s="36" t="n">
        <v>3</v>
      </c>
      <c r="K602" s="12" t="n">
        <v>36</v>
      </c>
    </row>
    <row r="603">
      <c r="A603" s="33" t="n">
        <v>46318.77222222222</v>
      </c>
      <c r="B603" s="33" t="n">
        <v>46318.80763888889</v>
      </c>
      <c r="C603" s="13" t="n">
        <v>46318</v>
      </c>
      <c r="D603" s="14" t="n">
        <v>0.84375</v>
      </c>
      <c r="E603" s="37" t="n">
        <v>1</v>
      </c>
      <c r="F603" s="37" t="n">
        <v>1</v>
      </c>
      <c r="G603" s="37" t="n">
        <v>0</v>
      </c>
      <c r="H603" s="37" t="n">
        <v>0</v>
      </c>
      <c r="I603" s="37" t="n">
        <v>0</v>
      </c>
      <c r="J603" s="37" t="n">
        <v>2</v>
      </c>
      <c r="K603" s="16" t="n">
        <v>24</v>
      </c>
    </row>
    <row r="604">
      <c r="A604" s="30" t="n">
        <v>46318.77222222222</v>
      </c>
      <c r="B604" s="30" t="n">
        <v>46318.80763888889</v>
      </c>
      <c r="C604" s="9" t="n">
        <v>46318</v>
      </c>
      <c r="D604" s="10" t="n">
        <v>0.9270833333333334</v>
      </c>
      <c r="E604" s="36" t="n">
        <v>3</v>
      </c>
      <c r="F604" s="36" t="n">
        <v>1</v>
      </c>
      <c r="G604" s="36" t="n">
        <v>2</v>
      </c>
      <c r="H604" s="36" t="n">
        <v>0</v>
      </c>
      <c r="I604" s="36" t="n">
        <v>0</v>
      </c>
      <c r="J604" s="36" t="n">
        <v>8</v>
      </c>
      <c r="K604" s="12" t="n">
        <v>96</v>
      </c>
    </row>
    <row r="605">
      <c r="A605" s="33" t="n">
        <v>46318.77222222222</v>
      </c>
      <c r="B605" s="33" t="n">
        <v>46318.80763888889</v>
      </c>
      <c r="C605" s="13" t="n">
        <v>46318</v>
      </c>
      <c r="D605" s="14" t="n">
        <v>0.96875</v>
      </c>
      <c r="E605" s="37" t="n">
        <v>3</v>
      </c>
      <c r="F605" s="37" t="n">
        <v>2</v>
      </c>
      <c r="G605" s="37" t="n">
        <v>0</v>
      </c>
      <c r="H605" s="37" t="n">
        <v>1</v>
      </c>
      <c r="I605" s="37" t="n">
        <v>0</v>
      </c>
      <c r="J605" s="37" t="n">
        <v>8</v>
      </c>
      <c r="K605" s="16" t="n">
        <v>96</v>
      </c>
    </row>
    <row r="606">
      <c r="A606" s="30" t="n">
        <v>46318.77222222222</v>
      </c>
      <c r="B606" s="30" t="n">
        <v>46318.80763888889</v>
      </c>
      <c r="C606" s="9" t="n">
        <v>46318</v>
      </c>
      <c r="D606" s="10" t="n">
        <v>0.9986111111111111</v>
      </c>
      <c r="E606" s="36" t="n">
        <v>3</v>
      </c>
      <c r="F606" s="36" t="n">
        <v>1</v>
      </c>
      <c r="G606" s="36" t="n">
        <v>2</v>
      </c>
      <c r="H606" s="36" t="n">
        <v>0</v>
      </c>
      <c r="I606" s="36" t="n">
        <v>0</v>
      </c>
      <c r="J606" s="36" t="n">
        <v>8</v>
      </c>
      <c r="K606" s="12" t="n">
        <v>96</v>
      </c>
    </row>
    <row r="607">
      <c r="A607" s="33" t="n">
        <v>46318.77222222222</v>
      </c>
      <c r="B607" s="33" t="n">
        <v>46318.80763888889</v>
      </c>
      <c r="C607" s="13" t="n">
        <v>46319</v>
      </c>
      <c r="D607" s="14" t="n">
        <v>0.8854166666666666</v>
      </c>
      <c r="E607" s="37" t="n">
        <v>1</v>
      </c>
      <c r="F607" s="37" t="n">
        <v>0</v>
      </c>
      <c r="G607" s="37" t="n">
        <v>1</v>
      </c>
      <c r="H607" s="37" t="n">
        <v>0</v>
      </c>
      <c r="I607" s="37" t="n">
        <v>0</v>
      </c>
      <c r="J607" s="37" t="n">
        <v>3</v>
      </c>
      <c r="K607" s="16" t="n">
        <v>36</v>
      </c>
    </row>
    <row r="608">
      <c r="A608" s="30" t="n">
        <v>46318.77222222222</v>
      </c>
      <c r="B608" s="30" t="n">
        <v>46318.80763888889</v>
      </c>
      <c r="C608" s="9" t="n">
        <v>46319</v>
      </c>
      <c r="D608" s="10" t="n">
        <v>0.9270833333333334</v>
      </c>
      <c r="E608" s="36" t="n">
        <v>1</v>
      </c>
      <c r="F608" s="36" t="n">
        <v>0</v>
      </c>
      <c r="G608" s="36" t="n">
        <v>0</v>
      </c>
      <c r="H608" s="36" t="n">
        <v>1</v>
      </c>
      <c r="I608" s="36" t="n">
        <v>0</v>
      </c>
      <c r="J608" s="36" t="n">
        <v>4</v>
      </c>
      <c r="K608" s="12" t="n">
        <v>48</v>
      </c>
    </row>
    <row r="609">
      <c r="A609" s="33" t="n">
        <v>46318.77222222222</v>
      </c>
      <c r="B609" s="33" t="n">
        <v>46318.80763888889</v>
      </c>
      <c r="C609" s="13" t="n">
        <v>46319</v>
      </c>
      <c r="D609" s="14" t="n">
        <v>0.9993055555555556</v>
      </c>
      <c r="E609" s="37" t="n">
        <v>1</v>
      </c>
      <c r="F609" s="37" t="n">
        <v>0</v>
      </c>
      <c r="G609" s="37" t="n">
        <v>0</v>
      </c>
      <c r="H609" s="37" t="n">
        <v>1</v>
      </c>
      <c r="I609" s="37" t="n">
        <v>0</v>
      </c>
      <c r="J609" s="37" t="n">
        <v>4</v>
      </c>
      <c r="K609" s="16" t="n">
        <v>48</v>
      </c>
    </row>
    <row r="610">
      <c r="A610" s="30" t="n">
        <v>46318.77222222222</v>
      </c>
      <c r="B610" s="30" t="n">
        <v>46318.80763888889</v>
      </c>
      <c r="C610" s="9" t="n">
        <v>46320</v>
      </c>
      <c r="D610" s="10" t="n">
        <v>0.8854166666666666</v>
      </c>
      <c r="E610" s="36" t="n">
        <v>2</v>
      </c>
      <c r="F610" s="36" t="n">
        <v>0</v>
      </c>
      <c r="G610" s="36" t="n">
        <v>0</v>
      </c>
      <c r="H610" s="36" t="n">
        <v>1</v>
      </c>
      <c r="I610" s="36" t="n">
        <v>1</v>
      </c>
      <c r="J610" s="36" t="n">
        <v>9</v>
      </c>
      <c r="K610" s="12" t="n">
        <v>108</v>
      </c>
    </row>
    <row r="611">
      <c r="A611" s="33" t="n">
        <v>46318.77222222222</v>
      </c>
      <c r="B611" s="33" t="n">
        <v>46318.80763888889</v>
      </c>
      <c r="C611" s="13" t="n">
        <v>46324</v>
      </c>
      <c r="D611" s="14" t="n">
        <v>0.9270833333333334</v>
      </c>
      <c r="E611" s="37" t="n">
        <v>1</v>
      </c>
      <c r="F611" s="37" t="n">
        <v>1</v>
      </c>
      <c r="G611" s="37" t="n">
        <v>0</v>
      </c>
      <c r="H611" s="37" t="n">
        <v>0</v>
      </c>
      <c r="I611" s="37" t="n">
        <v>0</v>
      </c>
      <c r="J611" s="37" t="n">
        <v>2</v>
      </c>
      <c r="K611" s="16" t="n">
        <v>24</v>
      </c>
    </row>
    <row r="612">
      <c r="A612" s="30" t="n">
        <v>46318.77222222222</v>
      </c>
      <c r="B612" s="30" t="n">
        <v>46318.80763888889</v>
      </c>
      <c r="C612" s="9" t="n">
        <v>46326</v>
      </c>
      <c r="D612" s="10" t="n">
        <v>0.9270833333333334</v>
      </c>
      <c r="E612" s="36" t="n">
        <v>1</v>
      </c>
      <c r="F612" s="36" t="n">
        <v>0</v>
      </c>
      <c r="G612" s="36" t="n">
        <v>0</v>
      </c>
      <c r="H612" s="36" t="n">
        <v>1</v>
      </c>
      <c r="I612" s="36" t="n">
        <v>0</v>
      </c>
      <c r="J612" s="36" t="n">
        <v>4</v>
      </c>
      <c r="K612" s="12" t="n">
        <v>48</v>
      </c>
    </row>
    <row r="613">
      <c r="A613" s="33" t="n">
        <v>46318.77222222222</v>
      </c>
      <c r="B613" s="33" t="n">
        <v>46318.80763888889</v>
      </c>
      <c r="C613" s="13" t="n">
        <v>46326</v>
      </c>
      <c r="D613" s="14" t="n">
        <v>0.9993055555555556</v>
      </c>
      <c r="E613" s="37" t="n">
        <v>1</v>
      </c>
      <c r="F613" s="37" t="n">
        <v>0</v>
      </c>
      <c r="G613" s="37" t="n">
        <v>0</v>
      </c>
      <c r="H613" s="37" t="n">
        <v>1</v>
      </c>
      <c r="I613" s="37" t="n">
        <v>0</v>
      </c>
      <c r="J613" s="37" t="n">
        <v>4</v>
      </c>
      <c r="K613" s="16" t="n">
        <v>48</v>
      </c>
    </row>
    <row r="614">
      <c r="A614" s="30" t="n">
        <v>46318.80763888889</v>
      </c>
      <c r="B614" s="30" t="n">
        <v>46318.85277777778</v>
      </c>
      <c r="C614" s="9" t="n">
        <v>46318</v>
      </c>
      <c r="D614" s="10" t="n">
        <v>0.8854166666666666</v>
      </c>
      <c r="E614" s="36" t="n">
        <v>2</v>
      </c>
      <c r="F614" s="36" t="n">
        <v>1</v>
      </c>
      <c r="G614" s="36" t="n">
        <v>0</v>
      </c>
      <c r="H614" s="36" t="n">
        <v>1</v>
      </c>
      <c r="I614" s="36" t="n">
        <v>0</v>
      </c>
      <c r="J614" s="36" t="n">
        <v>6</v>
      </c>
      <c r="K614" s="12" t="n">
        <v>72</v>
      </c>
    </row>
    <row r="615">
      <c r="A615" s="33" t="n">
        <v>46318.80763888889</v>
      </c>
      <c r="B615" s="33" t="n">
        <v>46318.85277777778</v>
      </c>
      <c r="C615" s="13" t="n">
        <v>46318</v>
      </c>
      <c r="D615" s="14" t="n">
        <v>0.9270833333333334</v>
      </c>
      <c r="E615" s="37" t="n">
        <v>1</v>
      </c>
      <c r="F615" s="37" t="n">
        <v>1</v>
      </c>
      <c r="G615" s="37" t="n">
        <v>0</v>
      </c>
      <c r="H615" s="37" t="n">
        <v>0</v>
      </c>
      <c r="I615" s="37" t="n">
        <v>0</v>
      </c>
      <c r="J615" s="37" t="n">
        <v>2</v>
      </c>
      <c r="K615" s="16" t="n">
        <v>24</v>
      </c>
    </row>
    <row r="616">
      <c r="A616" s="30" t="n">
        <v>46318.80763888889</v>
      </c>
      <c r="B616" s="30" t="n">
        <v>46318.85277777778</v>
      </c>
      <c r="C616" s="9" t="n">
        <v>46318</v>
      </c>
      <c r="D616" s="10" t="n">
        <v>0.96875</v>
      </c>
      <c r="E616" s="36" t="n">
        <v>3</v>
      </c>
      <c r="F616" s="36" t="n">
        <v>1</v>
      </c>
      <c r="G616" s="36" t="n">
        <v>2</v>
      </c>
      <c r="H616" s="36" t="n">
        <v>0</v>
      </c>
      <c r="I616" s="36" t="n">
        <v>0</v>
      </c>
      <c r="J616" s="36" t="n">
        <v>8</v>
      </c>
      <c r="K616" s="12" t="n">
        <v>96</v>
      </c>
    </row>
    <row r="617">
      <c r="A617" s="33" t="n">
        <v>46318.80763888889</v>
      </c>
      <c r="B617" s="33" t="n">
        <v>46318.85277777778</v>
      </c>
      <c r="C617" s="13" t="n">
        <v>46318</v>
      </c>
      <c r="D617" s="14" t="n">
        <v>0.9986111111111111</v>
      </c>
      <c r="E617" s="37" t="n">
        <v>3</v>
      </c>
      <c r="F617" s="37" t="n">
        <v>0</v>
      </c>
      <c r="G617" s="37" t="n">
        <v>0</v>
      </c>
      <c r="H617" s="37" t="n">
        <v>1</v>
      </c>
      <c r="I617" s="37" t="n">
        <v>2</v>
      </c>
      <c r="J617" s="37" t="n">
        <v>14</v>
      </c>
      <c r="K617" s="16" t="n">
        <v>168</v>
      </c>
    </row>
    <row r="618">
      <c r="A618" s="30" t="n">
        <v>46318.80763888889</v>
      </c>
      <c r="B618" s="30" t="n">
        <v>46318.85277777778</v>
      </c>
      <c r="C618" s="9" t="n">
        <v>46319</v>
      </c>
      <c r="D618" s="10" t="n">
        <v>0.9993055555555556</v>
      </c>
      <c r="E618" s="36" t="n">
        <v>1</v>
      </c>
      <c r="F618" s="36" t="n">
        <v>1</v>
      </c>
      <c r="G618" s="36" t="n">
        <v>0</v>
      </c>
      <c r="H618" s="36" t="n">
        <v>0</v>
      </c>
      <c r="I618" s="36" t="n">
        <v>0</v>
      </c>
      <c r="J618" s="36" t="n">
        <v>2</v>
      </c>
      <c r="K618" s="12" t="n">
        <v>24</v>
      </c>
    </row>
    <row r="619">
      <c r="A619" s="33" t="n">
        <v>46318.80763888889</v>
      </c>
      <c r="B619" s="33" t="n">
        <v>46318.85277777778</v>
      </c>
      <c r="C619" s="13" t="n">
        <v>46326</v>
      </c>
      <c r="D619" s="14" t="n">
        <v>0.96875</v>
      </c>
      <c r="E619" s="37" t="n">
        <v>2</v>
      </c>
      <c r="F619" s="37" t="n">
        <v>1</v>
      </c>
      <c r="G619" s="37" t="n">
        <v>0</v>
      </c>
      <c r="H619" s="37" t="n">
        <v>1</v>
      </c>
      <c r="I619" s="37" t="n">
        <v>0</v>
      </c>
      <c r="J619" s="37" t="n">
        <v>6</v>
      </c>
      <c r="K619" s="16" t="n">
        <v>72</v>
      </c>
    </row>
    <row r="620">
      <c r="A620" s="30" t="n">
        <v>46318.80763888889</v>
      </c>
      <c r="B620" s="30" t="n">
        <v>46318.85277777778</v>
      </c>
      <c r="C620" s="9" t="n">
        <v>46326</v>
      </c>
      <c r="D620" s="10" t="n">
        <v>0.9993055555555556</v>
      </c>
      <c r="E620" s="36" t="n">
        <v>1</v>
      </c>
      <c r="F620" s="36" t="n">
        <v>0</v>
      </c>
      <c r="G620" s="36" t="n">
        <v>0</v>
      </c>
      <c r="H620" s="36" t="n">
        <v>1</v>
      </c>
      <c r="I620" s="36" t="n">
        <v>0</v>
      </c>
      <c r="J620" s="36" t="n">
        <v>4</v>
      </c>
      <c r="K620" s="12" t="n">
        <v>48</v>
      </c>
    </row>
    <row r="621">
      <c r="A621" s="33" t="n">
        <v>46318.85277777778</v>
      </c>
      <c r="B621" s="33" t="n">
        <v>46318.88263888889</v>
      </c>
      <c r="C621" s="13" t="n">
        <v>46318</v>
      </c>
      <c r="D621" s="14" t="n">
        <v>0.8854166666666666</v>
      </c>
      <c r="E621" s="37" t="n">
        <v>1</v>
      </c>
      <c r="F621" s="37" t="n">
        <v>1</v>
      </c>
      <c r="G621" s="37" t="n">
        <v>0</v>
      </c>
      <c r="H621" s="37" t="n">
        <v>0</v>
      </c>
      <c r="I621" s="37" t="n">
        <v>0</v>
      </c>
      <c r="J621" s="37" t="n">
        <v>2</v>
      </c>
      <c r="K621" s="16" t="n">
        <v>24</v>
      </c>
    </row>
    <row r="622">
      <c r="A622" s="30" t="n">
        <v>46318.85277777778</v>
      </c>
      <c r="B622" s="30" t="n">
        <v>46318.88263888889</v>
      </c>
      <c r="C622" s="9" t="n">
        <v>46318</v>
      </c>
      <c r="D622" s="10" t="n">
        <v>0.96875</v>
      </c>
      <c r="E622" s="36" t="n">
        <v>2</v>
      </c>
      <c r="F622" s="36" t="n">
        <v>1</v>
      </c>
      <c r="G622" s="36" t="n">
        <v>0</v>
      </c>
      <c r="H622" s="36" t="n">
        <v>1</v>
      </c>
      <c r="I622" s="36" t="n">
        <v>0</v>
      </c>
      <c r="J622" s="36" t="n">
        <v>6</v>
      </c>
      <c r="K622" s="12" t="n">
        <v>72</v>
      </c>
    </row>
    <row r="623">
      <c r="A623" s="33" t="n">
        <v>46318.85277777778</v>
      </c>
      <c r="B623" s="33" t="n">
        <v>46318.88263888889</v>
      </c>
      <c r="C623" s="13" t="n">
        <v>46318</v>
      </c>
      <c r="D623" s="14" t="n">
        <v>0.9986111111111111</v>
      </c>
      <c r="E623" s="37" t="n">
        <v>1</v>
      </c>
      <c r="F623" s="37" t="n">
        <v>1</v>
      </c>
      <c r="G623" s="37" t="n">
        <v>0</v>
      </c>
      <c r="H623" s="37" t="n">
        <v>0</v>
      </c>
      <c r="I623" s="37" t="n">
        <v>0</v>
      </c>
      <c r="J623" s="37" t="n">
        <v>2</v>
      </c>
      <c r="K623" s="16" t="n">
        <v>24</v>
      </c>
    </row>
    <row r="624">
      <c r="A624" s="30" t="n">
        <v>46318.85277777778</v>
      </c>
      <c r="B624" s="30" t="n">
        <v>46318.88263888889</v>
      </c>
      <c r="C624" s="9" t="n">
        <v>46319</v>
      </c>
      <c r="D624" s="10" t="n">
        <v>0.84375</v>
      </c>
      <c r="E624" s="36" t="n">
        <v>1</v>
      </c>
      <c r="F624" s="36" t="n">
        <v>0</v>
      </c>
      <c r="G624" s="36" t="n">
        <v>1</v>
      </c>
      <c r="H624" s="36" t="n">
        <v>0</v>
      </c>
      <c r="I624" s="36" t="n">
        <v>0</v>
      </c>
      <c r="J624" s="36" t="n">
        <v>3</v>
      </c>
      <c r="K624" s="12" t="n">
        <v>36</v>
      </c>
    </row>
    <row r="625">
      <c r="A625" s="33" t="n">
        <v>46318.85277777778</v>
      </c>
      <c r="B625" s="33" t="n">
        <v>46318.88263888889</v>
      </c>
      <c r="C625" s="13" t="n">
        <v>46319</v>
      </c>
      <c r="D625" s="14" t="n">
        <v>0.8854166666666666</v>
      </c>
      <c r="E625" s="37" t="n">
        <v>1</v>
      </c>
      <c r="F625" s="37" t="n">
        <v>1</v>
      </c>
      <c r="G625" s="37" t="n">
        <v>0</v>
      </c>
      <c r="H625" s="37" t="n">
        <v>0</v>
      </c>
      <c r="I625" s="37" t="n">
        <v>0</v>
      </c>
      <c r="J625" s="37" t="n">
        <v>2</v>
      </c>
      <c r="K625" s="16" t="n">
        <v>24</v>
      </c>
    </row>
    <row r="626">
      <c r="A626" s="30" t="n">
        <v>46318.85277777778</v>
      </c>
      <c r="B626" s="30" t="n">
        <v>46318.88263888889</v>
      </c>
      <c r="C626" s="9" t="n">
        <v>46320</v>
      </c>
      <c r="D626" s="10" t="n">
        <v>0.8854166666666666</v>
      </c>
      <c r="E626" s="36" t="n">
        <v>1</v>
      </c>
      <c r="F626" s="36" t="n">
        <v>0</v>
      </c>
      <c r="G626" s="36" t="n">
        <v>0</v>
      </c>
      <c r="H626" s="36" t="n">
        <v>1</v>
      </c>
      <c r="I626" s="36" t="n">
        <v>0</v>
      </c>
      <c r="J626" s="36" t="n">
        <v>4</v>
      </c>
      <c r="K626" s="12" t="n">
        <v>48</v>
      </c>
    </row>
    <row r="627">
      <c r="A627" s="33" t="n">
        <v>46318.88263888889</v>
      </c>
      <c r="B627" s="33" t="n">
        <v>46318.89583333334</v>
      </c>
      <c r="C627" s="13" t="n">
        <v>46318</v>
      </c>
      <c r="D627" s="14" t="n">
        <v>0.96875</v>
      </c>
      <c r="E627" s="37" t="n">
        <v>2</v>
      </c>
      <c r="F627" s="37" t="n">
        <v>2</v>
      </c>
      <c r="G627" s="37" t="n">
        <v>0</v>
      </c>
      <c r="H627" s="37" t="n">
        <v>0</v>
      </c>
      <c r="I627" s="37" t="n">
        <v>0</v>
      </c>
      <c r="J627" s="37" t="n">
        <v>4</v>
      </c>
      <c r="K627" s="16" t="n">
        <v>48</v>
      </c>
    </row>
    <row r="628">
      <c r="A628" s="30" t="n">
        <v>46318.88263888889</v>
      </c>
      <c r="B628" s="30" t="n">
        <v>46318.89583333334</v>
      </c>
      <c r="C628" s="9" t="n">
        <v>46319</v>
      </c>
      <c r="D628" s="10" t="n">
        <v>0.9270833333333334</v>
      </c>
      <c r="E628" s="36" t="n">
        <v>2</v>
      </c>
      <c r="F628" s="36" t="n">
        <v>0</v>
      </c>
      <c r="G628" s="36" t="n">
        <v>1</v>
      </c>
      <c r="H628" s="36" t="n">
        <v>1</v>
      </c>
      <c r="I628" s="36" t="n">
        <v>0</v>
      </c>
      <c r="J628" s="36" t="n">
        <v>7</v>
      </c>
      <c r="K628" s="12" t="n">
        <v>84</v>
      </c>
    </row>
    <row r="629">
      <c r="A629" s="33" t="n">
        <v>46318.88263888889</v>
      </c>
      <c r="B629" s="33" t="n">
        <v>46318.89583333334</v>
      </c>
      <c r="C629" s="13" t="n">
        <v>46319</v>
      </c>
      <c r="D629" s="14" t="n">
        <v>0.96875</v>
      </c>
      <c r="E629" s="37" t="n">
        <v>2</v>
      </c>
      <c r="F629" s="37" t="n">
        <v>0</v>
      </c>
      <c r="G629" s="37" t="n">
        <v>0</v>
      </c>
      <c r="H629" s="37" t="n">
        <v>2</v>
      </c>
      <c r="I629" s="37" t="n">
        <v>0</v>
      </c>
      <c r="J629" s="37" t="n">
        <v>8</v>
      </c>
      <c r="K629" s="16" t="n">
        <v>96</v>
      </c>
    </row>
    <row r="630">
      <c r="A630" s="30" t="n">
        <v>46318.89583333334</v>
      </c>
      <c r="B630" s="30" t="n">
        <v>46318.93194444444</v>
      </c>
      <c r="C630" s="9" t="n">
        <v>46318</v>
      </c>
      <c r="D630" s="10" t="n">
        <v>0.96875</v>
      </c>
      <c r="E630" s="36" t="n">
        <v>9</v>
      </c>
      <c r="F630" s="36" t="n">
        <v>6</v>
      </c>
      <c r="G630" s="36" t="n">
        <v>0</v>
      </c>
      <c r="H630" s="36" t="n">
        <v>2</v>
      </c>
      <c r="I630" s="36" t="n">
        <v>1</v>
      </c>
      <c r="J630" s="36" t="n">
        <v>25</v>
      </c>
      <c r="K630" s="12" t="n">
        <v>300</v>
      </c>
    </row>
    <row r="631">
      <c r="A631" s="33" t="n">
        <v>46318.89583333334</v>
      </c>
      <c r="B631" s="33" t="n">
        <v>46318.93194444444</v>
      </c>
      <c r="C631" s="13" t="n">
        <v>46318</v>
      </c>
      <c r="D631" s="14" t="n">
        <v>0.9986111111111111</v>
      </c>
      <c r="E631" s="37" t="n">
        <v>2</v>
      </c>
      <c r="F631" s="37" t="n">
        <v>1</v>
      </c>
      <c r="G631" s="37" t="n">
        <v>0</v>
      </c>
      <c r="H631" s="37" t="n">
        <v>1</v>
      </c>
      <c r="I631" s="37" t="n">
        <v>0</v>
      </c>
      <c r="J631" s="37" t="n">
        <v>6</v>
      </c>
      <c r="K631" s="16" t="n">
        <v>72</v>
      </c>
    </row>
    <row r="632">
      <c r="A632" s="30" t="n">
        <v>46318.89583333334</v>
      </c>
      <c r="B632" s="30" t="n">
        <v>46318.93194444444</v>
      </c>
      <c r="C632" s="9" t="n">
        <v>46319</v>
      </c>
      <c r="D632" s="10" t="n">
        <v>0.9993055555555556</v>
      </c>
      <c r="E632" s="36" t="n">
        <v>1</v>
      </c>
      <c r="F632" s="36" t="n">
        <v>0</v>
      </c>
      <c r="G632" s="36" t="n">
        <v>0</v>
      </c>
      <c r="H632" s="36" t="n">
        <v>0</v>
      </c>
      <c r="I632" s="36" t="n">
        <v>1</v>
      </c>
      <c r="J632" s="36" t="n">
        <v>5</v>
      </c>
      <c r="K632" s="12" t="n">
        <v>60</v>
      </c>
    </row>
    <row r="633">
      <c r="A633" s="33" t="n">
        <v>46318.89583333334</v>
      </c>
      <c r="B633" s="33" t="n">
        <v>46318.93194444444</v>
      </c>
      <c r="C633" s="13" t="n">
        <v>46320</v>
      </c>
      <c r="D633" s="14" t="n">
        <v>0.8854166666666666</v>
      </c>
      <c r="E633" s="37" t="n">
        <v>1</v>
      </c>
      <c r="F633" s="37" t="n">
        <v>1</v>
      </c>
      <c r="G633" s="37" t="n">
        <v>0</v>
      </c>
      <c r="H633" s="37" t="n">
        <v>0</v>
      </c>
      <c r="I633" s="37" t="n">
        <v>0</v>
      </c>
      <c r="J633" s="37" t="n">
        <v>2</v>
      </c>
      <c r="K633" s="16" t="n">
        <v>24</v>
      </c>
    </row>
    <row r="634">
      <c r="A634" s="30" t="n">
        <v>46318.89583333334</v>
      </c>
      <c r="B634" s="30" t="n">
        <v>46318.93194444444</v>
      </c>
      <c r="C634" s="9" t="n">
        <v>46320</v>
      </c>
      <c r="D634" s="10" t="n">
        <v>0.9270833333333334</v>
      </c>
      <c r="E634" s="36" t="n">
        <v>1</v>
      </c>
      <c r="F634" s="36" t="n">
        <v>1</v>
      </c>
      <c r="G634" s="36" t="n">
        <v>0</v>
      </c>
      <c r="H634" s="36" t="n">
        <v>0</v>
      </c>
      <c r="I634" s="36" t="n">
        <v>0</v>
      </c>
      <c r="J634" s="36" t="n">
        <v>2</v>
      </c>
      <c r="K634" s="12" t="n">
        <v>24</v>
      </c>
    </row>
    <row r="635">
      <c r="A635" s="33" t="n">
        <v>46318.89583333334</v>
      </c>
      <c r="B635" s="33" t="n">
        <v>46318.93194444444</v>
      </c>
      <c r="C635" s="13" t="n">
        <v>46328</v>
      </c>
      <c r="D635" s="14" t="n">
        <v>0.9270833333333334</v>
      </c>
      <c r="E635" s="37" t="n">
        <v>2</v>
      </c>
      <c r="F635" s="37" t="n">
        <v>0</v>
      </c>
      <c r="G635" s="37" t="n">
        <v>0</v>
      </c>
      <c r="H635" s="37" t="n">
        <v>2</v>
      </c>
      <c r="I635" s="37" t="n">
        <v>0</v>
      </c>
      <c r="J635" s="37" t="n">
        <v>8</v>
      </c>
      <c r="K635" s="16" t="n">
        <v>30</v>
      </c>
    </row>
    <row r="636">
      <c r="A636" s="30" t="n">
        <v>46318.93333333333</v>
      </c>
      <c r="B636" s="30" t="n">
        <v>46318.95277777778</v>
      </c>
      <c r="C636" s="9" t="n">
        <v>46318</v>
      </c>
      <c r="D636" s="10" t="n">
        <v>0.96875</v>
      </c>
      <c r="E636" s="36" t="n">
        <v>5</v>
      </c>
      <c r="F636" s="36" t="n">
        <v>2</v>
      </c>
      <c r="G636" s="36" t="n">
        <v>1</v>
      </c>
      <c r="H636" s="36" t="n">
        <v>0</v>
      </c>
      <c r="I636" s="36" t="n">
        <v>2</v>
      </c>
      <c r="J636" s="36" t="n">
        <v>17</v>
      </c>
      <c r="K636" s="12" t="n">
        <v>204</v>
      </c>
    </row>
    <row r="637">
      <c r="A637" s="33" t="n">
        <v>46318.93333333333</v>
      </c>
      <c r="B637" s="33" t="n">
        <v>46318.95277777778</v>
      </c>
      <c r="C637" s="13" t="n">
        <v>46318</v>
      </c>
      <c r="D637" s="14" t="n">
        <v>0.9986111111111111</v>
      </c>
      <c r="E637" s="37" t="n">
        <v>3</v>
      </c>
      <c r="F637" s="37" t="n">
        <v>3</v>
      </c>
      <c r="G637" s="37" t="n">
        <v>0</v>
      </c>
      <c r="H637" s="37" t="n">
        <v>0</v>
      </c>
      <c r="I637" s="37" t="n">
        <v>0</v>
      </c>
      <c r="J637" s="37" t="n">
        <v>6</v>
      </c>
      <c r="K637" s="16" t="n">
        <v>72</v>
      </c>
    </row>
    <row r="638">
      <c r="A638" s="30" t="n">
        <v>46318.93333333333</v>
      </c>
      <c r="B638" s="30" t="n">
        <v>46318.95277777778</v>
      </c>
      <c r="C638" s="9" t="n">
        <v>46319</v>
      </c>
      <c r="D638" s="10" t="n">
        <v>0.8854166666666666</v>
      </c>
      <c r="E638" s="36" t="n">
        <v>1</v>
      </c>
      <c r="F638" s="36" t="n">
        <v>0</v>
      </c>
      <c r="G638" s="36" t="n">
        <v>0</v>
      </c>
      <c r="H638" s="36" t="n">
        <v>1</v>
      </c>
      <c r="I638" s="36" t="n">
        <v>0</v>
      </c>
      <c r="J638" s="36" t="n">
        <v>4</v>
      </c>
      <c r="K638" s="12" t="n">
        <v>48</v>
      </c>
    </row>
    <row r="639">
      <c r="A639" s="33" t="n">
        <v>46318.93333333333</v>
      </c>
      <c r="B639" s="33" t="n">
        <v>46318.95277777778</v>
      </c>
      <c r="C639" s="13" t="n">
        <v>46319</v>
      </c>
      <c r="D639" s="14" t="n">
        <v>0.9270833333333334</v>
      </c>
      <c r="E639" s="37" t="n">
        <v>1</v>
      </c>
      <c r="F639" s="37" t="n">
        <v>1</v>
      </c>
      <c r="G639" s="37" t="n">
        <v>0</v>
      </c>
      <c r="H639" s="37" t="n">
        <v>0</v>
      </c>
      <c r="I639" s="37" t="n">
        <v>0</v>
      </c>
      <c r="J639" s="37" t="n">
        <v>2</v>
      </c>
      <c r="K639" s="16" t="n">
        <v>24</v>
      </c>
    </row>
    <row r="640">
      <c r="A640" s="30" t="n">
        <v>46318.93333333333</v>
      </c>
      <c r="B640" s="30" t="n">
        <v>46318.95277777778</v>
      </c>
      <c r="C640" s="9" t="n">
        <v>46320</v>
      </c>
      <c r="D640" s="10" t="n">
        <v>0.84375</v>
      </c>
      <c r="E640" s="36" t="n">
        <v>1</v>
      </c>
      <c r="F640" s="36" t="n">
        <v>0</v>
      </c>
      <c r="G640" s="36" t="n">
        <v>0</v>
      </c>
      <c r="H640" s="36" t="n">
        <v>0</v>
      </c>
      <c r="I640" s="36" t="n">
        <v>1</v>
      </c>
      <c r="J640" s="36" t="n">
        <v>5</v>
      </c>
      <c r="K640" s="12" t="n">
        <v>60</v>
      </c>
    </row>
    <row r="641">
      <c r="A641" s="33" t="n">
        <v>46318.93333333333</v>
      </c>
      <c r="B641" s="33" t="n">
        <v>46318.95277777778</v>
      </c>
      <c r="C641" s="13" t="n">
        <v>46326</v>
      </c>
      <c r="D641" s="14" t="n">
        <v>0.96875</v>
      </c>
      <c r="E641" s="37" t="n">
        <v>1</v>
      </c>
      <c r="F641" s="37" t="n">
        <v>0</v>
      </c>
      <c r="G641" s="37" t="n">
        <v>1</v>
      </c>
      <c r="H641" s="37" t="n">
        <v>0</v>
      </c>
      <c r="I641" s="37" t="n">
        <v>0</v>
      </c>
      <c r="J641" s="37" t="n">
        <v>3</v>
      </c>
      <c r="K641" s="16" t="n">
        <v>36</v>
      </c>
    </row>
    <row r="642">
      <c r="A642" s="30" t="n">
        <v>46318.93333333333</v>
      </c>
      <c r="B642" s="30" t="n">
        <v>46318.95277777778</v>
      </c>
      <c r="C642" s="9" t="n">
        <v>46326</v>
      </c>
      <c r="D642" s="10" t="n">
        <v>0.9993055555555556</v>
      </c>
      <c r="E642" s="36" t="n">
        <v>1</v>
      </c>
      <c r="F642" s="36" t="n">
        <v>0</v>
      </c>
      <c r="G642" s="36" t="n">
        <v>0</v>
      </c>
      <c r="H642" s="36" t="n">
        <v>1</v>
      </c>
      <c r="I642" s="36" t="n">
        <v>0</v>
      </c>
      <c r="J642" s="36" t="n">
        <v>4</v>
      </c>
      <c r="K642" s="12" t="n">
        <v>48</v>
      </c>
    </row>
    <row r="643">
      <c r="A643" s="33" t="n">
        <v>46318.93333333333</v>
      </c>
      <c r="B643" s="33" t="n">
        <v>46318.95277777778</v>
      </c>
      <c r="C643" s="13" t="n">
        <v>46328</v>
      </c>
      <c r="D643" s="14" t="n">
        <v>0.9270833333333334</v>
      </c>
      <c r="E643" s="37" t="n">
        <v>1</v>
      </c>
      <c r="F643" s="37" t="n">
        <v>0</v>
      </c>
      <c r="G643" s="37" t="n">
        <v>0</v>
      </c>
      <c r="H643" s="37" t="n">
        <v>1</v>
      </c>
      <c r="I643" s="37" t="n">
        <v>0</v>
      </c>
      <c r="J643" s="37" t="n">
        <v>4</v>
      </c>
      <c r="K643" s="16" t="n">
        <v>15</v>
      </c>
    </row>
    <row r="644">
      <c r="A644" s="30" t="n">
        <v>46318.95277777778</v>
      </c>
      <c r="B644" s="30" t="n">
        <v>46318.97916666666</v>
      </c>
      <c r="C644" s="9" t="n">
        <v>46318</v>
      </c>
      <c r="D644" s="10" t="n">
        <v>0.9986111111111111</v>
      </c>
      <c r="E644" s="36" t="n">
        <v>1</v>
      </c>
      <c r="F644" s="36" t="n">
        <v>1</v>
      </c>
      <c r="G644" s="36" t="n">
        <v>0</v>
      </c>
      <c r="H644" s="36" t="n">
        <v>0</v>
      </c>
      <c r="I644" s="36" t="n">
        <v>0</v>
      </c>
      <c r="J644" s="36" t="n">
        <v>2</v>
      </c>
      <c r="K644" s="12" t="n">
        <v>24</v>
      </c>
    </row>
    <row r="645">
      <c r="A645" s="33" t="n">
        <v>46318.95277777778</v>
      </c>
      <c r="B645" s="33" t="n">
        <v>46318.97916666666</v>
      </c>
      <c r="C645" s="13" t="n">
        <v>46319</v>
      </c>
      <c r="D645" s="14" t="n">
        <v>0.9270833333333334</v>
      </c>
      <c r="E645" s="37" t="n">
        <v>1</v>
      </c>
      <c r="F645" s="37" t="n">
        <v>1</v>
      </c>
      <c r="G645" s="37" t="n">
        <v>0</v>
      </c>
      <c r="H645" s="37" t="n">
        <v>0</v>
      </c>
      <c r="I645" s="37" t="n">
        <v>0</v>
      </c>
      <c r="J645" s="37" t="n">
        <v>2</v>
      </c>
      <c r="K645" s="16" t="n">
        <v>24</v>
      </c>
    </row>
    <row r="646">
      <c r="A646" s="30" t="n">
        <v>46318.95277777778</v>
      </c>
      <c r="B646" s="30" t="n">
        <v>46318.97916666666</v>
      </c>
      <c r="C646" s="9" t="n">
        <v>46320</v>
      </c>
      <c r="D646" s="10" t="n">
        <v>0.8854166666666666</v>
      </c>
      <c r="E646" s="36" t="n">
        <v>1</v>
      </c>
      <c r="F646" s="36" t="n">
        <v>0</v>
      </c>
      <c r="G646" s="36" t="n">
        <v>0</v>
      </c>
      <c r="H646" s="36" t="n">
        <v>1</v>
      </c>
      <c r="I646" s="36" t="n">
        <v>0</v>
      </c>
      <c r="J646" s="36" t="n">
        <v>4</v>
      </c>
      <c r="K646" s="12" t="n">
        <v>48</v>
      </c>
    </row>
    <row r="647">
      <c r="A647" s="33" t="n">
        <v>46318.95277777778</v>
      </c>
      <c r="B647" s="33" t="n">
        <v>46318.97916666666</v>
      </c>
      <c r="C647" s="13" t="n">
        <v>46326</v>
      </c>
      <c r="D647" s="14" t="n">
        <v>0.96875</v>
      </c>
      <c r="E647" s="37" t="n">
        <v>1</v>
      </c>
      <c r="F647" s="37" t="n">
        <v>0</v>
      </c>
      <c r="G647" s="37" t="n">
        <v>0</v>
      </c>
      <c r="H647" s="37" t="n">
        <v>1</v>
      </c>
      <c r="I647" s="37" t="n">
        <v>0</v>
      </c>
      <c r="J647" s="37" t="n">
        <v>4</v>
      </c>
      <c r="K647" s="16" t="n">
        <v>48</v>
      </c>
    </row>
    <row r="648">
      <c r="A648" s="30" t="n">
        <v>46318.95277777778</v>
      </c>
      <c r="B648" s="30" t="n">
        <v>46318.97916666666</v>
      </c>
      <c r="C648" s="9" t="n">
        <v>46326</v>
      </c>
      <c r="D648" s="10" t="n">
        <v>0.9993055555555556</v>
      </c>
      <c r="E648" s="36" t="n">
        <v>1</v>
      </c>
      <c r="F648" s="36" t="n">
        <v>0</v>
      </c>
      <c r="G648" s="36" t="n">
        <v>0</v>
      </c>
      <c r="H648" s="36" t="n">
        <v>1</v>
      </c>
      <c r="I648" s="36" t="n">
        <v>0</v>
      </c>
      <c r="J648" s="36" t="n">
        <v>4</v>
      </c>
      <c r="K648" s="12" t="n">
        <v>48</v>
      </c>
    </row>
    <row r="649">
      <c r="A649" s="33" t="n">
        <v>46318.97916666666</v>
      </c>
      <c r="B649" s="33" t="n">
        <v>46318.99722222222</v>
      </c>
      <c r="C649" s="13" t="n">
        <v>46319</v>
      </c>
      <c r="D649" s="14" t="n">
        <v>0.8854166666666666</v>
      </c>
      <c r="E649" s="37" t="n">
        <v>1</v>
      </c>
      <c r="F649" s="37" t="n">
        <v>0</v>
      </c>
      <c r="G649" s="37" t="n">
        <v>0</v>
      </c>
      <c r="H649" s="37" t="n">
        <v>0</v>
      </c>
      <c r="I649" s="37" t="n">
        <v>1</v>
      </c>
      <c r="J649" s="37" t="n">
        <v>5</v>
      </c>
      <c r="K649" s="16" t="n">
        <v>60</v>
      </c>
    </row>
    <row r="650">
      <c r="A650" s="30" t="n">
        <v>46318.97916666666</v>
      </c>
      <c r="B650" s="30" t="n">
        <v>46318.99722222222</v>
      </c>
      <c r="C650" s="9" t="n">
        <v>46328</v>
      </c>
      <c r="D650" s="10" t="n">
        <v>0.96875</v>
      </c>
      <c r="E650" s="36" t="n">
        <v>2</v>
      </c>
      <c r="F650" s="36" t="n">
        <v>0</v>
      </c>
      <c r="G650" s="36" t="n">
        <v>0</v>
      </c>
      <c r="H650" s="36" t="n">
        <v>2</v>
      </c>
      <c r="I650" s="36" t="n">
        <v>0</v>
      </c>
      <c r="J650" s="36" t="n">
        <v>8</v>
      </c>
      <c r="K650" s="12" t="n">
        <v>30</v>
      </c>
    </row>
    <row r="651">
      <c r="A651" s="33" t="n">
        <v>46318.99722222222</v>
      </c>
      <c r="B651" s="33" t="n">
        <v>46319.01805555556</v>
      </c>
      <c r="C651" s="13" t="n">
        <v>46320</v>
      </c>
      <c r="D651" s="14" t="n">
        <v>0.8854166666666666</v>
      </c>
      <c r="E651" s="37" t="n">
        <v>1</v>
      </c>
      <c r="F651" s="37" t="n">
        <v>0</v>
      </c>
      <c r="G651" s="37" t="n">
        <v>0</v>
      </c>
      <c r="H651" s="37" t="n">
        <v>1</v>
      </c>
      <c r="I651" s="37" t="n">
        <v>0</v>
      </c>
      <c r="J651" s="37" t="n">
        <v>4</v>
      </c>
      <c r="K651" s="16" t="n">
        <v>48</v>
      </c>
    </row>
    <row r="652">
      <c r="A652" s="30" t="n">
        <v>46318.99722222222</v>
      </c>
      <c r="B652" s="30" t="n">
        <v>46319.01805555556</v>
      </c>
      <c r="C652" s="9" t="n">
        <v>46320</v>
      </c>
      <c r="D652" s="10" t="n">
        <v>0.96875</v>
      </c>
      <c r="E652" s="36" t="n">
        <v>1</v>
      </c>
      <c r="F652" s="36" t="n">
        <v>0</v>
      </c>
      <c r="G652" s="36" t="n">
        <v>0</v>
      </c>
      <c r="H652" s="36" t="n">
        <v>1</v>
      </c>
      <c r="I652" s="36" t="n">
        <v>0</v>
      </c>
      <c r="J652" s="36" t="n">
        <v>4</v>
      </c>
      <c r="K652" s="12" t="n">
        <v>48</v>
      </c>
    </row>
    <row r="653">
      <c r="A653" s="33" t="n">
        <v>46318.99722222222</v>
      </c>
      <c r="B653" s="33" t="n">
        <v>46319.01805555556</v>
      </c>
      <c r="C653" s="13" t="n">
        <v>46327</v>
      </c>
      <c r="D653" s="14" t="n">
        <v>0.8854166666666666</v>
      </c>
      <c r="E653" s="37" t="n">
        <v>1</v>
      </c>
      <c r="F653" s="37" t="n">
        <v>0</v>
      </c>
      <c r="G653" s="37" t="n">
        <v>0</v>
      </c>
      <c r="H653" s="37" t="n">
        <v>1</v>
      </c>
      <c r="I653" s="37" t="n">
        <v>0</v>
      </c>
      <c r="J653" s="37" t="n">
        <v>4</v>
      </c>
      <c r="K653" s="16" t="n">
        <v>48</v>
      </c>
    </row>
    <row r="654">
      <c r="A654" s="30" t="n">
        <v>46319.01805555556</v>
      </c>
      <c r="B654" s="30" t="n">
        <v>46319.03888888889</v>
      </c>
      <c r="C654" s="9" t="n">
        <v>46319</v>
      </c>
      <c r="D654" s="10" t="n">
        <v>0.9993055555555556</v>
      </c>
      <c r="E654" s="36" t="n">
        <v>4</v>
      </c>
      <c r="F654" s="36" t="n">
        <v>1</v>
      </c>
      <c r="G654" s="36" t="n">
        <v>0</v>
      </c>
      <c r="H654" s="36" t="n">
        <v>3</v>
      </c>
      <c r="I654" s="36" t="n">
        <v>0</v>
      </c>
      <c r="J654" s="36" t="n">
        <v>14</v>
      </c>
      <c r="K654" s="12" t="n">
        <v>168</v>
      </c>
    </row>
    <row r="655">
      <c r="A655" s="33" t="n">
        <v>46319.04652777778</v>
      </c>
      <c r="B655" s="33" t="n">
        <v>46319.05763888889</v>
      </c>
      <c r="C655" s="13" t="n">
        <v>46319</v>
      </c>
      <c r="D655" s="14" t="n">
        <v>0.8854166666666666</v>
      </c>
      <c r="E655" s="37" t="n">
        <v>1</v>
      </c>
      <c r="F655" s="37" t="n">
        <v>0</v>
      </c>
      <c r="G655" s="37" t="n">
        <v>0</v>
      </c>
      <c r="H655" s="37" t="n">
        <v>1</v>
      </c>
      <c r="I655" s="37" t="n">
        <v>0</v>
      </c>
      <c r="J655" s="37" t="n">
        <v>4</v>
      </c>
      <c r="K655" s="16" t="n">
        <v>48</v>
      </c>
    </row>
    <row r="656">
      <c r="A656" s="30" t="n">
        <v>46319.05763888889</v>
      </c>
      <c r="B656" s="30" t="n">
        <v>46319.09791666667</v>
      </c>
      <c r="C656" s="9" t="n">
        <v>46320</v>
      </c>
      <c r="D656" s="10" t="n">
        <v>0.84375</v>
      </c>
      <c r="E656" s="36" t="n">
        <v>1</v>
      </c>
      <c r="F656" s="36" t="n">
        <v>1</v>
      </c>
      <c r="G656" s="36" t="n">
        <v>0</v>
      </c>
      <c r="H656" s="36" t="n">
        <v>0</v>
      </c>
      <c r="I656" s="36" t="n">
        <v>0</v>
      </c>
      <c r="J656" s="36" t="n">
        <v>2</v>
      </c>
      <c r="K656" s="12" t="n">
        <v>24</v>
      </c>
    </row>
    <row r="657">
      <c r="A657" s="33" t="n">
        <v>46319.10972222222</v>
      </c>
      <c r="B657" s="33" t="n">
        <v>46319.15069444444</v>
      </c>
      <c r="C657" s="13" t="n">
        <v>46320</v>
      </c>
      <c r="D657" s="14" t="n">
        <v>0.84375</v>
      </c>
      <c r="E657" s="37" t="n">
        <v>1</v>
      </c>
      <c r="F657" s="37" t="n">
        <v>1</v>
      </c>
      <c r="G657" s="37" t="n">
        <v>0</v>
      </c>
      <c r="H657" s="37" t="n">
        <v>0</v>
      </c>
      <c r="I657" s="37" t="n">
        <v>0</v>
      </c>
      <c r="J657" s="37" t="n">
        <v>2</v>
      </c>
      <c r="K657" s="16" t="n">
        <v>24</v>
      </c>
    </row>
  </sheetData>
  <autoFilter ref="A1:K6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3" customWidth="1" min="5" max="5"/>
    <col width="14" customWidth="1" min="6" max="6"/>
    <col width="9" customWidth="1" min="7" max="7"/>
    <col width="9" customWidth="1" min="8" max="8"/>
    <col width="12" customWidth="1" min="9" max="9"/>
    <col width="3" customWidth="1" min="10" max="10"/>
    <col width="14" customWidth="1" min="11" max="11"/>
    <col width="9" customWidth="1" min="12" max="12"/>
    <col width="9" customWidth="1" min="13" max="13"/>
    <col width="12" customWidth="1" min="14" max="14"/>
    <col width="3" customWidth="1" min="15" max="15"/>
  </cols>
  <sheetData>
    <row r="1">
      <c r="A1" s="3" t="inlineStr">
        <is>
          <t>Quando si vende · ogni vendita è collocata a metà della finestra tra due aggiornamenti</t>
        </is>
      </c>
    </row>
    <row r="3">
      <c r="A3" s="6" t="inlineStr">
        <is>
          <t>Giorno</t>
        </is>
      </c>
      <c r="B3" s="6" t="inlineStr">
        <is>
          <t>Auto</t>
        </is>
      </c>
      <c r="C3" s="6" t="inlineStr">
        <is>
          <t>Persone</t>
        </is>
      </c>
      <c r="D3" s="6" t="inlineStr">
        <is>
          <t>Incasso</t>
        </is>
      </c>
      <c r="F3" s="6" t="inlineStr">
        <is>
          <t>Fascia oraria</t>
        </is>
      </c>
      <c r="G3" s="6" t="inlineStr">
        <is>
          <t>Auto</t>
        </is>
      </c>
      <c r="H3" s="6" t="inlineStr">
        <is>
          <t>Persone</t>
        </is>
      </c>
      <c r="I3" s="6" t="inlineStr">
        <is>
          <t>Incasso</t>
        </is>
      </c>
      <c r="K3" s="6" t="inlineStr">
        <is>
          <t>Giorno settimana</t>
        </is>
      </c>
      <c r="L3" s="6" t="inlineStr">
        <is>
          <t>Auto</t>
        </is>
      </c>
      <c r="M3" s="6" t="inlineStr">
        <is>
          <t>Persone</t>
        </is>
      </c>
      <c r="N3" s="6" t="inlineStr">
        <is>
          <t>Incasso</t>
        </is>
      </c>
    </row>
    <row r="4">
      <c r="A4" s="9" t="n">
        <v>46300</v>
      </c>
      <c r="B4" s="11" t="n">
        <v>22</v>
      </c>
      <c r="C4" s="11" t="n">
        <v>59</v>
      </c>
      <c r="D4" s="12" t="n">
        <v>708</v>
      </c>
      <c r="F4" s="38" t="inlineStr">
        <is>
          <t>00:00-01:00</t>
        </is>
      </c>
      <c r="G4" s="11" t="n">
        <v>25</v>
      </c>
      <c r="H4" s="11" t="n">
        <v>88</v>
      </c>
      <c r="I4" s="12" t="n">
        <v>1056</v>
      </c>
      <c r="K4" s="38" t="inlineStr">
        <is>
          <t>Lunedì</t>
        </is>
      </c>
      <c r="L4" s="11" t="n">
        <v>127</v>
      </c>
      <c r="M4" s="11" t="n">
        <v>373</v>
      </c>
      <c r="N4" s="12" t="n">
        <v>4476</v>
      </c>
    </row>
    <row r="5">
      <c r="A5" s="9" t="n">
        <v>46301</v>
      </c>
      <c r="B5" s="11" t="n">
        <v>26</v>
      </c>
      <c r="C5" s="11" t="n">
        <v>75</v>
      </c>
      <c r="D5" s="12" t="n">
        <v>900</v>
      </c>
      <c r="F5" s="38" t="inlineStr">
        <is>
          <t>01:00-02:00</t>
        </is>
      </c>
      <c r="G5" s="11" t="n">
        <v>8</v>
      </c>
      <c r="H5" s="11" t="n">
        <v>20</v>
      </c>
      <c r="I5" s="12" t="n">
        <v>240</v>
      </c>
      <c r="K5" s="38" t="inlineStr">
        <is>
          <t>Martedì</t>
        </is>
      </c>
      <c r="L5" s="11" t="n">
        <v>98</v>
      </c>
      <c r="M5" s="11" t="n">
        <v>289</v>
      </c>
      <c r="N5" s="12" t="n">
        <v>3468</v>
      </c>
    </row>
    <row r="6">
      <c r="A6" s="9" t="n">
        <v>46302</v>
      </c>
      <c r="B6" s="11" t="n">
        <v>23</v>
      </c>
      <c r="C6" s="11" t="n">
        <v>68</v>
      </c>
      <c r="D6" s="12" t="n">
        <v>816</v>
      </c>
      <c r="F6" s="38" t="inlineStr">
        <is>
          <t>02:00-03:00</t>
        </is>
      </c>
      <c r="G6" s="11" t="n">
        <v>0</v>
      </c>
      <c r="H6" s="11" t="n">
        <v>0</v>
      </c>
      <c r="I6" s="12" t="n">
        <v>0</v>
      </c>
      <c r="K6" s="38" t="inlineStr">
        <is>
          <t>Mercoledì</t>
        </is>
      </c>
      <c r="L6" s="11" t="n">
        <v>92</v>
      </c>
      <c r="M6" s="11" t="n">
        <v>265</v>
      </c>
      <c r="N6" s="12" t="n">
        <v>3180</v>
      </c>
    </row>
    <row r="7">
      <c r="A7" s="9" t="n">
        <v>46303</v>
      </c>
      <c r="B7" s="11" t="n">
        <v>35</v>
      </c>
      <c r="C7" s="11" t="n">
        <v>113</v>
      </c>
      <c r="D7" s="12" t="n">
        <v>1356</v>
      </c>
      <c r="F7" s="38" t="inlineStr">
        <is>
          <t>03:00-04:00</t>
        </is>
      </c>
      <c r="G7" s="11" t="n">
        <v>5</v>
      </c>
      <c r="H7" s="11" t="n">
        <v>15</v>
      </c>
      <c r="I7" s="12" t="n">
        <v>180</v>
      </c>
      <c r="K7" s="38" t="inlineStr">
        <is>
          <t>Giovedì</t>
        </is>
      </c>
      <c r="L7" s="11" t="n">
        <v>100</v>
      </c>
      <c r="M7" s="11" t="n">
        <v>305</v>
      </c>
      <c r="N7" s="12" t="n">
        <v>3660</v>
      </c>
    </row>
    <row r="8">
      <c r="A8" s="9" t="n">
        <v>46304</v>
      </c>
      <c r="B8" s="11" t="n">
        <v>23</v>
      </c>
      <c r="C8" s="11" t="n">
        <v>72</v>
      </c>
      <c r="D8" s="12" t="n">
        <v>864</v>
      </c>
      <c r="F8" s="38" t="inlineStr">
        <is>
          <t>04:00-05:00</t>
        </is>
      </c>
      <c r="G8" s="11" t="n">
        <v>1</v>
      </c>
      <c r="H8" s="11" t="n">
        <v>2</v>
      </c>
      <c r="I8" s="12" t="n">
        <v>24</v>
      </c>
      <c r="K8" s="38" t="inlineStr">
        <is>
          <t>Venerdì</t>
        </is>
      </c>
      <c r="L8" s="11" t="n">
        <v>211</v>
      </c>
      <c r="M8" s="11" t="n">
        <v>641</v>
      </c>
      <c r="N8" s="12" t="n">
        <v>7527</v>
      </c>
    </row>
    <row r="9">
      <c r="A9" s="9" t="n">
        <v>46305</v>
      </c>
      <c r="B9" s="11" t="n">
        <v>19</v>
      </c>
      <c r="C9" s="11" t="n">
        <v>47</v>
      </c>
      <c r="D9" s="12" t="n">
        <v>564</v>
      </c>
      <c r="F9" s="38" t="inlineStr">
        <is>
          <t>05:00-06:00</t>
        </is>
      </c>
      <c r="G9" s="11" t="n">
        <v>0</v>
      </c>
      <c r="H9" s="11" t="n">
        <v>0</v>
      </c>
      <c r="I9" s="12" t="n">
        <v>0</v>
      </c>
      <c r="K9" s="38" t="inlineStr">
        <is>
          <t>Sabato</t>
        </is>
      </c>
      <c r="L9" s="11" t="n">
        <v>67</v>
      </c>
      <c r="M9" s="11" t="n">
        <v>201</v>
      </c>
      <c r="N9" s="12" t="n">
        <v>2412</v>
      </c>
    </row>
    <row r="10">
      <c r="A10" s="9" t="n">
        <v>46306</v>
      </c>
      <c r="B10" s="11" t="n">
        <v>21</v>
      </c>
      <c r="C10" s="11" t="n">
        <v>63</v>
      </c>
      <c r="D10" s="12" t="n">
        <v>756</v>
      </c>
      <c r="F10" s="38" t="inlineStr">
        <is>
          <t>06:00-07:00</t>
        </is>
      </c>
      <c r="G10" s="11" t="n">
        <v>2</v>
      </c>
      <c r="H10" s="11" t="n">
        <v>6</v>
      </c>
      <c r="I10" s="12" t="n">
        <v>72</v>
      </c>
      <c r="K10" s="38" t="inlineStr">
        <is>
          <t>Domenica</t>
        </is>
      </c>
      <c r="L10" s="11" t="n">
        <v>77</v>
      </c>
      <c r="M10" s="11" t="n">
        <v>249</v>
      </c>
      <c r="N10" s="12" t="n">
        <v>2988</v>
      </c>
    </row>
    <row r="11">
      <c r="A11" s="9" t="n">
        <v>46307</v>
      </c>
      <c r="B11" s="11" t="n">
        <v>27</v>
      </c>
      <c r="C11" s="11" t="n">
        <v>76</v>
      </c>
      <c r="D11" s="12" t="n">
        <v>912</v>
      </c>
      <c r="F11" s="38" t="inlineStr">
        <is>
          <t>07:00-08:00</t>
        </is>
      </c>
      <c r="G11" s="11" t="n">
        <v>6</v>
      </c>
      <c r="H11" s="11" t="n">
        <v>22</v>
      </c>
      <c r="I11" s="12" t="n">
        <v>264</v>
      </c>
    </row>
    <row r="12">
      <c r="A12" s="9" t="n">
        <v>46308</v>
      </c>
      <c r="B12" s="11" t="n">
        <v>25</v>
      </c>
      <c r="C12" s="11" t="n">
        <v>75</v>
      </c>
      <c r="D12" s="12" t="n">
        <v>900</v>
      </c>
      <c r="F12" s="38" t="inlineStr">
        <is>
          <t>08:00-09:00</t>
        </is>
      </c>
      <c r="G12" s="11" t="n">
        <v>5</v>
      </c>
      <c r="H12" s="11" t="n">
        <v>13</v>
      </c>
      <c r="I12" s="12" t="n">
        <v>156</v>
      </c>
    </row>
    <row r="13">
      <c r="A13" s="9" t="n">
        <v>46309</v>
      </c>
      <c r="B13" s="11" t="n">
        <v>31</v>
      </c>
      <c r="C13" s="11" t="n">
        <v>95</v>
      </c>
      <c r="D13" s="12" t="n">
        <v>1140</v>
      </c>
      <c r="F13" s="38" t="inlineStr">
        <is>
          <t>09:00-10:00</t>
        </is>
      </c>
      <c r="G13" s="11" t="n">
        <v>14</v>
      </c>
      <c r="H13" s="11" t="n">
        <v>45</v>
      </c>
      <c r="I13" s="12" t="n">
        <v>540</v>
      </c>
    </row>
    <row r="14">
      <c r="A14" s="9" t="n">
        <v>46310</v>
      </c>
      <c r="B14" s="11" t="n">
        <v>36</v>
      </c>
      <c r="C14" s="11" t="n">
        <v>108</v>
      </c>
      <c r="D14" s="12" t="n">
        <v>1296</v>
      </c>
      <c r="F14" s="38" t="inlineStr">
        <is>
          <t>10:00-11:00</t>
        </is>
      </c>
      <c r="G14" s="11" t="n">
        <v>31</v>
      </c>
      <c r="H14" s="11" t="n">
        <v>94</v>
      </c>
      <c r="I14" s="12" t="n">
        <v>1128</v>
      </c>
    </row>
    <row r="15">
      <c r="A15" s="9" t="n">
        <v>46311</v>
      </c>
      <c r="B15" s="11" t="n">
        <v>41</v>
      </c>
      <c r="C15" s="11" t="n">
        <v>130</v>
      </c>
      <c r="D15" s="12" t="n">
        <v>1560</v>
      </c>
      <c r="F15" s="38" t="inlineStr">
        <is>
          <t>11:00-12:00</t>
        </is>
      </c>
      <c r="G15" s="11" t="n">
        <v>34</v>
      </c>
      <c r="H15" s="11" t="n">
        <v>96</v>
      </c>
      <c r="I15" s="12" t="n">
        <v>1152</v>
      </c>
    </row>
    <row r="16">
      <c r="A16" s="9" t="n">
        <v>46312</v>
      </c>
      <c r="B16" s="11" t="n">
        <v>38</v>
      </c>
      <c r="C16" s="11" t="n">
        <v>120</v>
      </c>
      <c r="D16" s="12" t="n">
        <v>1440</v>
      </c>
      <c r="F16" s="38" t="inlineStr">
        <is>
          <t>12:00-13:00</t>
        </is>
      </c>
      <c r="G16" s="11" t="n">
        <v>32</v>
      </c>
      <c r="H16" s="11" t="n">
        <v>87</v>
      </c>
      <c r="I16" s="12" t="n">
        <v>1044</v>
      </c>
    </row>
    <row r="17">
      <c r="A17" s="9" t="n">
        <v>46313</v>
      </c>
      <c r="B17" s="11" t="n">
        <v>56</v>
      </c>
      <c r="C17" s="11" t="n">
        <v>186</v>
      </c>
      <c r="D17" s="12" t="n">
        <v>2232</v>
      </c>
      <c r="F17" s="38" t="inlineStr">
        <is>
          <t>13:00-14:00</t>
        </is>
      </c>
      <c r="G17" s="11" t="n">
        <v>25</v>
      </c>
      <c r="H17" s="11" t="n">
        <v>70</v>
      </c>
      <c r="I17" s="12" t="n">
        <v>840</v>
      </c>
    </row>
    <row r="18">
      <c r="A18" s="9" t="n">
        <v>46314</v>
      </c>
      <c r="B18" s="11" t="n">
        <v>78</v>
      </c>
      <c r="C18" s="11" t="n">
        <v>238</v>
      </c>
      <c r="D18" s="12" t="n">
        <v>2856</v>
      </c>
      <c r="F18" s="38" t="inlineStr">
        <is>
          <t>14:00-15:00</t>
        </is>
      </c>
      <c r="G18" s="11" t="n">
        <v>56</v>
      </c>
      <c r="H18" s="11" t="n">
        <v>176</v>
      </c>
      <c r="I18" s="12" t="n">
        <v>2112</v>
      </c>
    </row>
    <row r="19">
      <c r="A19" s="9" t="n">
        <v>46315</v>
      </c>
      <c r="B19" s="11" t="n">
        <v>47</v>
      </c>
      <c r="C19" s="11" t="n">
        <v>139</v>
      </c>
      <c r="D19" s="12" t="n">
        <v>1668</v>
      </c>
      <c r="F19" s="38" t="inlineStr">
        <is>
          <t>15:00-16:00</t>
        </is>
      </c>
      <c r="G19" s="11" t="n">
        <v>36</v>
      </c>
      <c r="H19" s="11" t="n">
        <v>105</v>
      </c>
      <c r="I19" s="12" t="n">
        <v>1260</v>
      </c>
    </row>
    <row r="20">
      <c r="A20" s="9" t="n">
        <v>46316</v>
      </c>
      <c r="B20" s="11" t="n">
        <v>38</v>
      </c>
      <c r="C20" s="11" t="n">
        <v>102</v>
      </c>
      <c r="D20" s="12" t="n">
        <v>1224</v>
      </c>
      <c r="F20" s="38" t="inlineStr">
        <is>
          <t>16:00-17:00</t>
        </is>
      </c>
      <c r="G20" s="11" t="n">
        <v>49</v>
      </c>
      <c r="H20" s="11" t="n">
        <v>145</v>
      </c>
      <c r="I20" s="12" t="n">
        <v>1740</v>
      </c>
    </row>
    <row r="21">
      <c r="A21" s="9" t="n">
        <v>46317</v>
      </c>
      <c r="B21" s="11" t="n">
        <v>29</v>
      </c>
      <c r="C21" s="11" t="n">
        <v>84</v>
      </c>
      <c r="D21" s="12" t="n">
        <v>1008</v>
      </c>
      <c r="F21" s="38" t="inlineStr">
        <is>
          <t>17:00-18:00</t>
        </is>
      </c>
      <c r="G21" s="11" t="n">
        <v>33</v>
      </c>
      <c r="H21" s="11" t="n">
        <v>92</v>
      </c>
      <c r="I21" s="12" t="n">
        <v>1104</v>
      </c>
    </row>
    <row r="22">
      <c r="A22" s="9" t="n">
        <v>46318</v>
      </c>
      <c r="B22" s="11" t="n">
        <v>147</v>
      </c>
      <c r="C22" s="11" t="n">
        <v>439</v>
      </c>
      <c r="D22" s="12" t="n">
        <v>5103</v>
      </c>
      <c r="F22" s="38" t="inlineStr">
        <is>
          <t>18:00-19:00</t>
        </is>
      </c>
      <c r="G22" s="11" t="n">
        <v>70</v>
      </c>
      <c r="H22" s="11" t="n">
        <v>197</v>
      </c>
      <c r="I22" s="12" t="n">
        <v>2364</v>
      </c>
    </row>
    <row r="23">
      <c r="A23" s="9" t="n">
        <v>46319</v>
      </c>
      <c r="B23" s="11" t="n">
        <v>10</v>
      </c>
      <c r="C23" s="11" t="n">
        <v>34</v>
      </c>
      <c r="D23" s="12" t="n">
        <v>408</v>
      </c>
      <c r="F23" s="38" t="inlineStr">
        <is>
          <t>19:00-20:00</t>
        </is>
      </c>
      <c r="G23" s="11" t="n">
        <v>67</v>
      </c>
      <c r="H23" s="11" t="n">
        <v>221</v>
      </c>
      <c r="I23" s="12" t="n">
        <v>2652</v>
      </c>
    </row>
    <row r="24">
      <c r="F24" s="38" t="inlineStr">
        <is>
          <t>20:00-21:00</t>
        </is>
      </c>
      <c r="G24" s="11" t="n">
        <v>54</v>
      </c>
      <c r="H24" s="11" t="n">
        <v>159</v>
      </c>
      <c r="I24" s="12" t="n">
        <v>1908</v>
      </c>
    </row>
    <row r="25">
      <c r="F25" s="38" t="inlineStr">
        <is>
          <t>21:00-22:00</t>
        </is>
      </c>
      <c r="G25" s="11" t="n">
        <v>86</v>
      </c>
      <c r="H25" s="11" t="n">
        <v>257</v>
      </c>
      <c r="I25" s="12" t="n">
        <v>3018</v>
      </c>
    </row>
    <row r="26">
      <c r="F26" s="38" t="inlineStr">
        <is>
          <t>22:00-23:00</t>
        </is>
      </c>
      <c r="G26" s="11" t="n">
        <v>99</v>
      </c>
      <c r="H26" s="11" t="n">
        <v>300</v>
      </c>
      <c r="I26" s="12" t="n">
        <v>3567</v>
      </c>
    </row>
    <row r="27">
      <c r="F27" s="38" t="inlineStr">
        <is>
          <t>23:00-00:00</t>
        </is>
      </c>
      <c r="G27" s="11" t="n">
        <v>34</v>
      </c>
      <c r="H27" s="11" t="n">
        <v>113</v>
      </c>
      <c r="I27" s="12" t="n">
        <v>1290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2026-10-24T01:37:11Z</dcterms:created>
  <dcterms:modified xsi:type="dcterms:W3CDTF">2026-10-24T01:37:12Z</dcterms:modified>
</cp:coreProperties>
</file>