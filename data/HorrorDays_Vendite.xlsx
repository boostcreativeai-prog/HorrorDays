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'Storico'!$A$1:$G$52</definedName>
    <definedName name="_xlnm._FilterDatabase" localSheetId="8" hidden="1">'Registro vendite'!$A$1:$K$42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'Storico'!$H$2:$H$52</f>
            </numRef>
          </cat>
          <val>
            <numRef>
              <f>'Storico'!$C$2:$C$52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3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2</v>
      </c>
      <c r="I16" s="11" t="n">
        <v>0</v>
      </c>
      <c r="J16" s="12" t="n">
        <v>48</v>
      </c>
      <c r="K16" s="12" t="n">
        <v>0</v>
      </c>
      <c r="L16" s="12" t="n">
        <v>43.64</v>
      </c>
      <c r="M16" s="12" t="n">
        <v>4.36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20261025_2115</t>
        </is>
      </c>
      <c r="B21" s="13" t="n">
        <v>46320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20261025_2215</t>
        </is>
      </c>
      <c r="B22" s="9" t="n">
        <v>46320</v>
      </c>
      <c r="C22" s="10" t="n">
        <v>0.9270833333333334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20261029_2215</t>
        </is>
      </c>
      <c r="B23" s="13" t="n">
        <v>46324</v>
      </c>
      <c r="C23" s="14" t="n">
        <v>0.9270833333333334</v>
      </c>
      <c r="D23" s="23" t="inlineStr">
        <is>
          <t>UN Unico</t>
        </is>
      </c>
      <c r="E23" s="23" t="inlineStr">
        <is>
          <t>I1</t>
        </is>
      </c>
      <c r="F23" s="23">
        <f>IFERROR(INDEX(Tariffe!$B$2:$B$200,MATCH(E23,Tariffe!$A$2:$A$200,0)),"DA DEFINIRE")</f>
        <v/>
      </c>
      <c r="G23" s="16" t="n">
        <v>48</v>
      </c>
      <c r="H23" s="15" t="n">
        <v>1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20261029_2215</t>
        </is>
      </c>
      <c r="B24" s="9" t="n">
        <v>46324</v>
      </c>
      <c r="C24" s="10" t="n">
        <v>0.9270833333333334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20261029_2215</t>
        </is>
      </c>
      <c r="B25" s="13" t="n">
        <v>46324</v>
      </c>
      <c r="C25" s="14" t="n">
        <v>0.9270833333333334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20261029_2359</t>
        </is>
      </c>
      <c r="B26" s="9" t="n">
        <v>46324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20261030_2215</t>
        </is>
      </c>
      <c r="B27" s="13" t="n">
        <v>46325</v>
      </c>
      <c r="C27" s="14" t="n">
        <v>0.9270833333333334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20261030_2315</t>
        </is>
      </c>
      <c r="B28" s="9" t="n">
        <v>46325</v>
      </c>
      <c r="C28" s="10" t="n">
        <v>0.96875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2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20261030_2359</t>
        </is>
      </c>
      <c r="B29" s="13" t="n">
        <v>46325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20261031_2315</t>
        </is>
      </c>
      <c r="B30" s="9" t="n">
        <v>46326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20261031_2315</t>
        </is>
      </c>
      <c r="B31" s="13" t="n">
        <v>46326</v>
      </c>
      <c r="C31" s="14" t="n">
        <v>0.96875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20261031_2359</t>
        </is>
      </c>
      <c r="B32" s="9" t="n">
        <v>46326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</sheetData>
  <autoFilter ref="A1:P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</sheetData>
  <autoFilter ref="A1:G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</sheetData>
  <autoFilter ref="A1:K4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18</v>
      </c>
      <c r="C5" s="11" t="n">
        <v>53</v>
      </c>
      <c r="D5" s="12" t="n">
        <v>636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18</v>
      </c>
      <c r="M5" s="11" t="n">
        <v>53</v>
      </c>
      <c r="N5" s="12" t="n">
        <v>636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2026-10-06T19:15:02Z</dcterms:created>
  <dcterms:modified xsi:type="dcterms:W3CDTF">2026-10-06T19:15:02Z</dcterms:modified>
</cp:coreProperties>
</file>