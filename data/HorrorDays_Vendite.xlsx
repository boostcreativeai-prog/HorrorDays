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'Vendite'!$A$1:$P$124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'Storico'!$A$1:$G$619</definedName>
    <definedName name="_xlnm._FilterDatabase" localSheetId="8" hidden="1">'Registro vendite'!$A$1:$K$699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'Storico'!$H$2:$H$619</f>
            </numRef>
          </cat>
          <val>
            <numRef>
              <f>'Storico'!$C$2:$C$619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MAX(Storico!A2:A619)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9</v>
      </c>
      <c r="I26" s="11" t="n">
        <v>0</v>
      </c>
      <c r="J26" s="12" t="n">
        <v>432</v>
      </c>
      <c r="K26" s="12" t="n">
        <v>0</v>
      </c>
      <c r="L26" s="12" t="n">
        <v>392.76</v>
      </c>
      <c r="M26" s="12" t="n">
        <v>39.24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4</v>
      </c>
      <c r="I27" s="15" t="n">
        <v>0</v>
      </c>
      <c r="J27" s="16" t="n">
        <v>144</v>
      </c>
      <c r="K27" s="16" t="n">
        <v>0</v>
      </c>
      <c r="L27" s="16" t="n">
        <v>130.92</v>
      </c>
      <c r="M27" s="16" t="n">
        <v>13.08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4</v>
      </c>
      <c r="I28" s="11" t="n">
        <v>4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18</v>
      </c>
      <c r="I29" s="15" t="n">
        <v>1</v>
      </c>
      <c r="J29" s="16" t="n">
        <v>432</v>
      </c>
      <c r="K29" s="16" t="n">
        <v>0</v>
      </c>
      <c r="L29" s="16" t="n">
        <v>392.76</v>
      </c>
      <c r="M29" s="16" t="n">
        <v>39.24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10</v>
      </c>
      <c r="I30" s="11" t="n">
        <v>0</v>
      </c>
      <c r="J30" s="12" t="n">
        <v>480</v>
      </c>
      <c r="K30" s="12" t="n">
        <v>0</v>
      </c>
      <c r="L30" s="12" t="n">
        <v>436.4</v>
      </c>
      <c r="M30" s="12" t="n">
        <v>43.6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5</v>
      </c>
      <c r="I31" s="15" t="n">
        <v>0</v>
      </c>
      <c r="J31" s="16" t="n">
        <v>180</v>
      </c>
      <c r="K31" s="16" t="n">
        <v>0</v>
      </c>
      <c r="L31" s="16" t="n">
        <v>163.65</v>
      </c>
      <c r="M31" s="16" t="n">
        <v>16.35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37</v>
      </c>
      <c r="I33" s="15" t="n">
        <v>0</v>
      </c>
      <c r="J33" s="16" t="n">
        <v>888</v>
      </c>
      <c r="K33" s="16" t="n">
        <v>0</v>
      </c>
      <c r="L33" s="16" t="n">
        <v>807.34</v>
      </c>
      <c r="M33" s="16" t="n">
        <v>80.66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12</v>
      </c>
      <c r="I34" s="11" t="n">
        <v>1</v>
      </c>
      <c r="J34" s="12" t="n">
        <v>576</v>
      </c>
      <c r="K34" s="12" t="n">
        <v>0</v>
      </c>
      <c r="L34" s="12" t="n">
        <v>523.6799999999999</v>
      </c>
      <c r="M34" s="12" t="n">
        <v>52.32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7</v>
      </c>
      <c r="I35" s="15" t="n">
        <v>0</v>
      </c>
      <c r="J35" s="16" t="n">
        <v>252</v>
      </c>
      <c r="K35" s="16" t="n">
        <v>0</v>
      </c>
      <c r="L35" s="16" t="n">
        <v>229.11</v>
      </c>
      <c r="M35" s="16" t="n">
        <v>22.89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8</v>
      </c>
      <c r="I36" s="11" t="n">
        <v>0</v>
      </c>
      <c r="J36" s="12" t="n">
        <v>480</v>
      </c>
      <c r="K36" s="12" t="n">
        <v>0</v>
      </c>
      <c r="L36" s="12" t="n">
        <v>436.4</v>
      </c>
      <c r="M36" s="12" t="n">
        <v>43.6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31</v>
      </c>
      <c r="I37" s="15" t="n">
        <v>0</v>
      </c>
      <c r="J37" s="16" t="n">
        <v>744</v>
      </c>
      <c r="K37" s="16" t="n">
        <v>0</v>
      </c>
      <c r="L37" s="16" t="n">
        <v>676.42</v>
      </c>
      <c r="M37" s="16" t="n">
        <v>67.58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18</v>
      </c>
      <c r="I38" s="11" t="n">
        <v>0</v>
      </c>
      <c r="J38" s="12" t="n">
        <v>864</v>
      </c>
      <c r="K38" s="12" t="n">
        <v>0</v>
      </c>
      <c r="L38" s="12" t="n">
        <v>785.52</v>
      </c>
      <c r="M38" s="12" t="n">
        <v>78.48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3</v>
      </c>
      <c r="I39" s="15" t="n">
        <v>0</v>
      </c>
      <c r="J39" s="16" t="n">
        <v>108</v>
      </c>
      <c r="K39" s="16" t="n">
        <v>0</v>
      </c>
      <c r="L39" s="16" t="n">
        <v>98.19</v>
      </c>
      <c r="M39" s="16" t="n">
        <v>9.81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5</v>
      </c>
      <c r="I40" s="11" t="n">
        <v>0</v>
      </c>
      <c r="J40" s="12" t="n">
        <v>300</v>
      </c>
      <c r="K40" s="12" t="n">
        <v>0</v>
      </c>
      <c r="L40" s="12" t="n">
        <v>272.75</v>
      </c>
      <c r="M40" s="12" t="n">
        <v>27.25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15</v>
      </c>
      <c r="I41" s="15" t="n">
        <v>0</v>
      </c>
      <c r="J41" s="16" t="n">
        <v>360</v>
      </c>
      <c r="K41" s="16" t="n">
        <v>0</v>
      </c>
      <c r="L41" s="16" t="n">
        <v>327.3</v>
      </c>
      <c r="M41" s="16" t="n">
        <v>32.7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5</v>
      </c>
      <c r="I42" s="11" t="n">
        <v>0</v>
      </c>
      <c r="J42" s="12" t="n">
        <v>240</v>
      </c>
      <c r="K42" s="12" t="n">
        <v>0</v>
      </c>
      <c r="L42" s="12" t="n">
        <v>218.2</v>
      </c>
      <c r="M42" s="12" t="n">
        <v>21.8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3</v>
      </c>
      <c r="I43" s="15" t="n">
        <v>0</v>
      </c>
      <c r="J43" s="16" t="n">
        <v>108</v>
      </c>
      <c r="K43" s="16" t="n">
        <v>0</v>
      </c>
      <c r="L43" s="16" t="n">
        <v>98.19</v>
      </c>
      <c r="M43" s="16" t="n">
        <v>9.81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15</v>
      </c>
      <c r="I46" s="11" t="n">
        <v>0</v>
      </c>
      <c r="J46" s="12" t="n">
        <v>720</v>
      </c>
      <c r="K46" s="12" t="n">
        <v>0</v>
      </c>
      <c r="L46" s="12" t="n">
        <v>654.6</v>
      </c>
      <c r="M46" s="12" t="n">
        <v>65.40000000000001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4</v>
      </c>
      <c r="I48" s="11" t="n">
        <v>0</v>
      </c>
      <c r="J48" s="12" t="n">
        <v>240</v>
      </c>
      <c r="K48" s="12" t="n">
        <v>0</v>
      </c>
      <c r="L48" s="12" t="n">
        <v>218.2</v>
      </c>
      <c r="M48" s="12" t="n">
        <v>21.8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14</v>
      </c>
      <c r="I49" s="15" t="n">
        <v>0</v>
      </c>
      <c r="J49" s="16" t="n">
        <v>336</v>
      </c>
      <c r="K49" s="16" t="n">
        <v>0</v>
      </c>
      <c r="L49" s="16" t="n">
        <v>305.48</v>
      </c>
      <c r="M49" s="16" t="n">
        <v>30.52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2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14</v>
      </c>
      <c r="I53" s="15" t="n">
        <v>0</v>
      </c>
      <c r="J53" s="16" t="n">
        <v>336</v>
      </c>
      <c r="K53" s="16" t="n">
        <v>0</v>
      </c>
      <c r="L53" s="16" t="n">
        <v>305.48</v>
      </c>
      <c r="M53" s="16" t="n">
        <v>30.52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8</v>
      </c>
      <c r="I54" s="11" t="n">
        <v>0</v>
      </c>
      <c r="J54" s="12" t="n">
        <v>384</v>
      </c>
      <c r="K54" s="12" t="n">
        <v>0</v>
      </c>
      <c r="L54" s="12" t="n">
        <v>349.12</v>
      </c>
      <c r="M54" s="12" t="n">
        <v>34.88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4</v>
      </c>
      <c r="I56" s="11" t="n">
        <v>0</v>
      </c>
      <c r="J56" s="12" t="n">
        <v>96</v>
      </c>
      <c r="K56" s="12" t="n">
        <v>0</v>
      </c>
      <c r="L56" s="12" t="n">
        <v>87.28</v>
      </c>
      <c r="M56" s="12" t="n">
        <v>8.720000000000001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3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2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4</v>
      </c>
      <c r="I66" s="11" t="n">
        <v>0</v>
      </c>
      <c r="J66" s="12" t="n">
        <v>96</v>
      </c>
      <c r="K66" s="12" t="n">
        <v>0</v>
      </c>
      <c r="L66" s="12" t="n">
        <v>87.28</v>
      </c>
      <c r="M66" s="12" t="n">
        <v>8.720000000000001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7</v>
      </c>
      <c r="I67" s="15" t="n">
        <v>0</v>
      </c>
      <c r="J67" s="16" t="n">
        <v>336</v>
      </c>
      <c r="K67" s="16" t="n">
        <v>0</v>
      </c>
      <c r="L67" s="16" t="n">
        <v>305.48</v>
      </c>
      <c r="M67" s="16" t="n">
        <v>30.52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4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13</v>
      </c>
      <c r="I69" s="15" t="n">
        <v>0</v>
      </c>
      <c r="J69" s="16" t="n">
        <v>312</v>
      </c>
      <c r="K69" s="16" t="n">
        <v>0</v>
      </c>
      <c r="L69" s="16" t="n">
        <v>283.66</v>
      </c>
      <c r="M69" s="16" t="n">
        <v>28.34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6</v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1</v>
      </c>
      <c r="I71" s="15" t="n">
        <v>0</v>
      </c>
      <c r="J71" s="16" t="n">
        <v>36</v>
      </c>
      <c r="K71" s="16" t="n">
        <v>0</v>
      </c>
      <c r="L71" s="16" t="n">
        <v>32.73</v>
      </c>
      <c r="M71" s="16" t="n">
        <v>3.27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4</v>
      </c>
      <c r="I72" s="11" t="n">
        <v>0</v>
      </c>
      <c r="J72" s="12" t="n">
        <v>240</v>
      </c>
      <c r="K72" s="12" t="n">
        <v>0</v>
      </c>
      <c r="L72" s="12" t="n">
        <v>218.2</v>
      </c>
      <c r="M72" s="12" t="n">
        <v>21.8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6</v>
      </c>
      <c r="I73" s="15" t="n">
        <v>0</v>
      </c>
      <c r="J73" s="16" t="n">
        <v>144</v>
      </c>
      <c r="K73" s="16" t="n">
        <v>0</v>
      </c>
      <c r="L73" s="16" t="n">
        <v>130.92</v>
      </c>
      <c r="M73" s="16" t="n">
        <v>13.08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20261029_2359</t>
        </is>
      </c>
      <c r="B74" s="9" t="n">
        <v>46324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20261030_2015</t>
        </is>
      </c>
      <c r="B76" s="9" t="n">
        <v>46325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2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20261030_2115</t>
        </is>
      </c>
      <c r="B78" s="9" t="n">
        <v>46325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4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9</v>
      </c>
      <c r="I80" s="11" t="n">
        <v>0</v>
      </c>
      <c r="J80" s="12" t="n">
        <v>432</v>
      </c>
      <c r="K80" s="12" t="n">
        <v>0</v>
      </c>
      <c r="L80" s="12" t="n">
        <v>392.76</v>
      </c>
      <c r="M80" s="12" t="n">
        <v>39.24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2</v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2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4</v>
      </c>
      <c r="I84" s="11" t="n">
        <v>0</v>
      </c>
      <c r="J84" s="12" t="n">
        <v>192</v>
      </c>
      <c r="K84" s="12" t="n">
        <v>0</v>
      </c>
      <c r="L84" s="12" t="n">
        <v>174.56</v>
      </c>
      <c r="M84" s="12" t="n">
        <v>17.44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1</v>
      </c>
      <c r="I85" s="15" t="n">
        <v>0</v>
      </c>
      <c r="J85" s="16" t="n">
        <v>36</v>
      </c>
      <c r="K85" s="16" t="n">
        <v>0</v>
      </c>
      <c r="L85" s="16" t="n">
        <v>32.73</v>
      </c>
      <c r="M85" s="16" t="n">
        <v>3.27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6</v>
      </c>
      <c r="I87" s="15" t="n">
        <v>0</v>
      </c>
      <c r="J87" s="16" t="n">
        <v>144</v>
      </c>
      <c r="K87" s="16" t="n">
        <v>0</v>
      </c>
      <c r="L87" s="16" t="n">
        <v>130.92</v>
      </c>
      <c r="M87" s="16" t="n">
        <v>13.08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7</v>
      </c>
      <c r="I90" s="11" t="n">
        <v>0</v>
      </c>
      <c r="J90" s="12" t="n">
        <v>168</v>
      </c>
      <c r="K90" s="12" t="n">
        <v>0</v>
      </c>
      <c r="L90" s="12" t="n">
        <v>152.74</v>
      </c>
      <c r="M90" s="12" t="n">
        <v>15.26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4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3</v>
      </c>
      <c r="I93" s="15" t="n">
        <v>2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2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9</v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1</v>
      </c>
      <c r="I96" s="11" t="n">
        <v>0</v>
      </c>
      <c r="J96" s="12" t="n">
        <v>36</v>
      </c>
      <c r="K96" s="12" t="n">
        <v>0</v>
      </c>
      <c r="L96" s="12" t="n">
        <v>32.73</v>
      </c>
      <c r="M96" s="12" t="n">
        <v>3.27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6</v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7</v>
      </c>
      <c r="I99" s="15" t="n">
        <v>3</v>
      </c>
      <c r="J99" s="16" t="n">
        <v>336</v>
      </c>
      <c r="K99" s="16" t="n">
        <v>0</v>
      </c>
      <c r="L99" s="16" t="n">
        <v>305.48</v>
      </c>
      <c r="M99" s="16" t="n">
        <v>30.52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3</v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21</v>
      </c>
      <c r="I101" s="15" t="n">
        <v>0</v>
      </c>
      <c r="J101" s="16" t="n">
        <v>504</v>
      </c>
      <c r="K101" s="16" t="n">
        <v>0</v>
      </c>
      <c r="L101" s="16" t="n">
        <v>458.22</v>
      </c>
      <c r="M101" s="16" t="n">
        <v>45.78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20261031_2315</t>
        </is>
      </c>
      <c r="B102" s="9" t="n">
        <v>46326</v>
      </c>
      <c r="C102" s="10" t="n">
        <v>0.96875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17</v>
      </c>
      <c r="I102" s="11" t="n">
        <v>0</v>
      </c>
      <c r="J102" s="12" t="n">
        <v>816</v>
      </c>
      <c r="K102" s="12" t="n">
        <v>0</v>
      </c>
      <c r="L102" s="12" t="n">
        <v>741.88</v>
      </c>
      <c r="M102" s="12" t="n">
        <v>74.12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2</v>
      </c>
      <c r="I103" s="15" t="n">
        <v>0</v>
      </c>
      <c r="J103" s="16" t="n">
        <v>72</v>
      </c>
      <c r="K103" s="16" t="n">
        <v>0</v>
      </c>
      <c r="L103" s="16" t="n">
        <v>65.45999999999999</v>
      </c>
      <c r="M103" s="16" t="n">
        <v>6.54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3</v>
      </c>
      <c r="I104" s="11" t="n">
        <v>0</v>
      </c>
      <c r="J104" s="12" t="n">
        <v>180</v>
      </c>
      <c r="K104" s="12" t="n">
        <v>0</v>
      </c>
      <c r="L104" s="12" t="n">
        <v>163.65</v>
      </c>
      <c r="M104" s="12" t="n">
        <v>16.35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17</v>
      </c>
      <c r="I105" s="15" t="n">
        <v>0</v>
      </c>
      <c r="J105" s="16" t="n">
        <v>408</v>
      </c>
      <c r="K105" s="16" t="n">
        <v>0</v>
      </c>
      <c r="L105" s="16" t="n">
        <v>370.94</v>
      </c>
      <c r="M105" s="16" t="n">
        <v>37.06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20261031_2359</t>
        </is>
      </c>
      <c r="B106" s="9" t="n">
        <v>46326</v>
      </c>
      <c r="C106" s="10" t="n">
        <v>0.9993055555555556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13</v>
      </c>
      <c r="I106" s="11" t="n">
        <v>0</v>
      </c>
      <c r="J106" s="12" t="n">
        <v>624</v>
      </c>
      <c r="K106" s="12" t="n">
        <v>0</v>
      </c>
      <c r="L106" s="12" t="n">
        <v>567.3200000000001</v>
      </c>
      <c r="M106" s="12" t="n">
        <v>56.68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I5</t>
        </is>
      </c>
      <c r="F108" s="22">
        <f>IFERROR(INDEX(Tariffe!$B$2:$B$200,MATCH(E108,Tariffe!$A$2:$A$200,0)),"DA DEFINIRE")</f>
        <v/>
      </c>
      <c r="G108" s="12" t="n">
        <v>60</v>
      </c>
      <c r="H108" s="11" t="n">
        <v>2</v>
      </c>
      <c r="I108" s="11" t="n">
        <v>0</v>
      </c>
      <c r="J108" s="12" t="n">
        <v>120</v>
      </c>
      <c r="K108" s="12" t="n">
        <v>0</v>
      </c>
      <c r="L108" s="12" t="n">
        <v>109.1</v>
      </c>
      <c r="M108" s="12" t="n">
        <v>10.9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9</v>
      </c>
      <c r="I109" s="15" t="n">
        <v>0</v>
      </c>
      <c r="J109" s="16" t="n">
        <v>216</v>
      </c>
      <c r="K109" s="16" t="n">
        <v>0</v>
      </c>
      <c r="L109" s="16" t="n">
        <v>196.38</v>
      </c>
      <c r="M109" s="16" t="n">
        <v>19.62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20261101_2015</t>
        </is>
      </c>
      <c r="B110" s="9" t="n">
        <v>46327</v>
      </c>
      <c r="C110" s="10" t="n">
        <v>0.84375</v>
      </c>
      <c r="D110" s="22" t="inlineStr">
        <is>
          <t>UN Unico</t>
        </is>
      </c>
      <c r="E110" s="22" t="inlineStr">
        <is>
          <t>I1</t>
        </is>
      </c>
      <c r="F110" s="22">
        <f>IFERROR(INDEX(Tariffe!$B$2:$B$200,MATCH(E110,Tariffe!$A$2:$A$200,0)),"DA DEFINIRE")</f>
        <v/>
      </c>
      <c r="G110" s="12" t="n">
        <v>48</v>
      </c>
      <c r="H110" s="11" t="n">
        <v>2</v>
      </c>
      <c r="I110" s="11" t="n">
        <v>0</v>
      </c>
      <c r="J110" s="12" t="n">
        <v>96</v>
      </c>
      <c r="K110" s="12" t="n">
        <v>0</v>
      </c>
      <c r="L110" s="12" t="n">
        <v>87.28</v>
      </c>
      <c r="M110" s="12" t="n">
        <v>8.720000000000001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20261101_2015</t>
        </is>
      </c>
      <c r="B111" s="13" t="n">
        <v>46327</v>
      </c>
      <c r="C111" s="14" t="n">
        <v>0.84375</v>
      </c>
      <c r="D111" s="23" t="inlineStr">
        <is>
          <t>UN Unico</t>
        </is>
      </c>
      <c r="E111" s="23" t="inlineStr">
        <is>
          <t>I2</t>
        </is>
      </c>
      <c r="F111" s="23">
        <f>IFERROR(INDEX(Tariffe!$B$2:$B$200,MATCH(E111,Tariffe!$A$2:$A$200,0)),"DA DEFINIRE")</f>
        <v/>
      </c>
      <c r="G111" s="16" t="n">
        <v>36</v>
      </c>
      <c r="H111" s="15" t="n">
        <v>1</v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2</v>
      </c>
      <c r="I112" s="11" t="n">
        <v>0</v>
      </c>
      <c r="J112" s="12" t="n">
        <v>48</v>
      </c>
      <c r="K112" s="12" t="n">
        <v>0</v>
      </c>
      <c r="L112" s="12" t="n">
        <v>43.64</v>
      </c>
      <c r="M112" s="12" t="n">
        <v>4.36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20261101_2115</t>
        </is>
      </c>
      <c r="B113" s="13" t="n">
        <v>46327</v>
      </c>
      <c r="C113" s="14" t="n">
        <v>0.8854166666666666</v>
      </c>
      <c r="D113" s="23" t="inlineStr">
        <is>
          <t>UN Unico</t>
        </is>
      </c>
      <c r="E113" s="23" t="inlineStr">
        <is>
          <t>I1</t>
        </is>
      </c>
      <c r="F113" s="23">
        <f>IFERROR(INDEX(Tariffe!$B$2:$B$200,MATCH(E113,Tariffe!$A$2:$A$200,0)),"DA DEFINIRE")</f>
        <v/>
      </c>
      <c r="G113" s="16" t="n">
        <v>48</v>
      </c>
      <c r="H113" s="15" t="n">
        <v>3</v>
      </c>
      <c r="I113" s="15" t="n">
        <v>0</v>
      </c>
      <c r="J113" s="16" t="n">
        <v>144</v>
      </c>
      <c r="K113" s="16" t="n">
        <v>0</v>
      </c>
      <c r="L113" s="16" t="n">
        <v>130.92</v>
      </c>
      <c r="M113" s="16" t="n">
        <v>13.08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20261101_2115</t>
        </is>
      </c>
      <c r="B114" s="9" t="n">
        <v>46327</v>
      </c>
      <c r="C114" s="10" t="n">
        <v>0.8854166666666666</v>
      </c>
      <c r="D114" s="22" t="inlineStr">
        <is>
          <t>UN Unico</t>
        </is>
      </c>
      <c r="E114" s="22" t="inlineStr">
        <is>
          <t>I2</t>
        </is>
      </c>
      <c r="F114" s="22">
        <f>IFERROR(INDEX(Tariffe!$B$2:$B$200,MATCH(E114,Tariffe!$A$2:$A$200,0)),"DA DEFINIRE")</f>
        <v/>
      </c>
      <c r="G114" s="12" t="n">
        <v>36</v>
      </c>
      <c r="H114" s="11" t="n">
        <v>2</v>
      </c>
      <c r="I114" s="11" t="n">
        <v>0</v>
      </c>
      <c r="J114" s="12" t="n">
        <v>72</v>
      </c>
      <c r="K114" s="12" t="n">
        <v>0</v>
      </c>
      <c r="L114" s="12" t="n">
        <v>65.45999999999999</v>
      </c>
      <c r="M114" s="12" t="n">
        <v>6.54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I8</t>
        </is>
      </c>
      <c r="F115" s="23">
        <f>IFERROR(INDEX(Tariffe!$B$2:$B$200,MATCH(E115,Tariffe!$A$2:$A$200,0)),"DA DEFINIRE")</f>
        <v/>
      </c>
      <c r="G115" s="16" t="n">
        <v>24</v>
      </c>
      <c r="H115" s="15" t="n">
        <v>3</v>
      </c>
      <c r="I115" s="15" t="n">
        <v>0</v>
      </c>
      <c r="J115" s="16" t="n">
        <v>72</v>
      </c>
      <c r="K115" s="16" t="n">
        <v>0</v>
      </c>
      <c r="L115" s="16" t="n">
        <v>65.45999999999999</v>
      </c>
      <c r="M115" s="16" t="n">
        <v>6.54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20261101_2215</t>
        </is>
      </c>
      <c r="B116" s="9" t="n">
        <v>46327</v>
      </c>
      <c r="C116" s="10" t="n">
        <v>0.9270833333333334</v>
      </c>
      <c r="D116" s="22" t="inlineStr">
        <is>
          <t>UN Unico</t>
        </is>
      </c>
      <c r="E116" s="22" t="inlineStr">
        <is>
          <t>I2</t>
        </is>
      </c>
      <c r="F116" s="22">
        <f>IFERROR(INDEX(Tariffe!$B$2:$B$200,MATCH(E116,Tariffe!$A$2:$A$200,0)),"DA DEFINIRE")</f>
        <v/>
      </c>
      <c r="G116" s="12" t="n">
        <v>36</v>
      </c>
      <c r="H116" s="11" t="n">
        <v>1</v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20261101_2215</t>
        </is>
      </c>
      <c r="B117" s="13" t="n">
        <v>46327</v>
      </c>
      <c r="C117" s="14" t="n">
        <v>0.9270833333333334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4</v>
      </c>
      <c r="I118" s="11" t="n">
        <v>0</v>
      </c>
      <c r="J118" s="12" t="n">
        <v>96</v>
      </c>
      <c r="K118" s="12" t="n">
        <v>0</v>
      </c>
      <c r="L118" s="12" t="n">
        <v>87.28</v>
      </c>
      <c r="M118" s="12" t="n">
        <v>8.720000000000001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20261101_2315</t>
        </is>
      </c>
      <c r="B119" s="13" t="n">
        <v>46327</v>
      </c>
      <c r="C119" s="14" t="n">
        <v>0.96875</v>
      </c>
      <c r="D119" s="23" t="inlineStr">
        <is>
          <t>UN Unico</t>
        </is>
      </c>
      <c r="E119" s="23" t="inlineStr">
        <is>
          <t>I2</t>
        </is>
      </c>
      <c r="F119" s="23">
        <f>IFERROR(INDEX(Tariffe!$B$2:$B$200,MATCH(E119,Tariffe!$A$2:$A$200,0)),"DA DEFINIRE")</f>
        <v/>
      </c>
      <c r="G119" s="16" t="n">
        <v>36</v>
      </c>
      <c r="H119" s="15" t="n">
        <v>1</v>
      </c>
      <c r="I119" s="15" t="n">
        <v>0</v>
      </c>
      <c r="J119" s="16" t="n">
        <v>36</v>
      </c>
      <c r="K119" s="16" t="n">
        <v>0</v>
      </c>
      <c r="L119" s="16" t="n">
        <v>32.73</v>
      </c>
      <c r="M119" s="16" t="n">
        <v>3.27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20261101_2315</t>
        </is>
      </c>
      <c r="B120" s="9" t="n">
        <v>46327</v>
      </c>
      <c r="C120" s="10" t="n">
        <v>0.96875</v>
      </c>
      <c r="D120" s="22" t="inlineStr">
        <is>
          <t>UN Unico</t>
        </is>
      </c>
      <c r="E120" s="22" t="inlineStr">
        <is>
          <t>I8</t>
        </is>
      </c>
      <c r="F120" s="22">
        <f>IFERROR(INDEX(Tariffe!$B$2:$B$200,MATCH(E120,Tariffe!$A$2:$A$200,0)),"DA DEFINIRE")</f>
        <v/>
      </c>
      <c r="G120" s="12" t="n">
        <v>24</v>
      </c>
      <c r="H120" s="11" t="n">
        <v>2</v>
      </c>
      <c r="I120" s="11" t="n">
        <v>0</v>
      </c>
      <c r="J120" s="12" t="n">
        <v>48</v>
      </c>
      <c r="K120" s="12" t="n">
        <v>0</v>
      </c>
      <c r="L120" s="12" t="n">
        <v>43.64</v>
      </c>
      <c r="M120" s="12" t="n">
        <v>4.36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20261101_2359</t>
        </is>
      </c>
      <c r="B121" s="13" t="n">
        <v>46327</v>
      </c>
      <c r="C121" s="14" t="n">
        <v>0.9993055555555556</v>
      </c>
      <c r="D121" s="23" t="inlineStr">
        <is>
          <t>UN Unico</t>
        </is>
      </c>
      <c r="E121" s="23" t="inlineStr">
        <is>
          <t>I5</t>
        </is>
      </c>
      <c r="F121" s="23">
        <f>IFERROR(INDEX(Tariffe!$B$2:$B$200,MATCH(E121,Tariffe!$A$2:$A$200,0)),"DA DEFINIRE")</f>
        <v/>
      </c>
      <c r="G121" s="16" t="n">
        <v>60</v>
      </c>
      <c r="H121" s="15" t="n">
        <v>1</v>
      </c>
      <c r="I121" s="15" t="n">
        <v>0</v>
      </c>
      <c r="J121" s="16" t="n">
        <v>60</v>
      </c>
      <c r="K121" s="16" t="n">
        <v>0</v>
      </c>
      <c r="L121" s="16" t="n">
        <v>54.55</v>
      </c>
      <c r="M121" s="16" t="n">
        <v>5.45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20261101_2359</t>
        </is>
      </c>
      <c r="B122" s="9" t="n">
        <v>46327</v>
      </c>
      <c r="C122" s="10" t="n">
        <v>0.9993055555555556</v>
      </c>
      <c r="D122" s="22" t="inlineStr">
        <is>
          <t>UN Unico</t>
        </is>
      </c>
      <c r="E122" s="22" t="inlineStr">
        <is>
          <t>I8</t>
        </is>
      </c>
      <c r="F122" s="22">
        <f>IFERROR(INDEX(Tariffe!$B$2:$B$200,MATCH(E122,Tariffe!$A$2:$A$200,0)),"DA DEFINIRE")</f>
        <v/>
      </c>
      <c r="G122" s="12" t="n">
        <v>24</v>
      </c>
      <c r="H122" s="11" t="n">
        <v>1</v>
      </c>
      <c r="I122" s="11" t="n">
        <v>0</v>
      </c>
      <c r="J122" s="12" t="n">
        <v>24</v>
      </c>
      <c r="K122" s="12" t="n">
        <v>0</v>
      </c>
      <c r="L122" s="12" t="n">
        <v>21.82</v>
      </c>
      <c r="M122" s="12" t="n">
        <v>2.18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20261102_2215</t>
        </is>
      </c>
      <c r="B123" s="13" t="n">
        <v>46328</v>
      </c>
      <c r="C123" s="14" t="n">
        <v>0.9270833333333334</v>
      </c>
      <c r="D123" s="23" t="inlineStr">
        <is>
          <t>UN Unico</t>
        </is>
      </c>
      <c r="E123" s="23" t="inlineStr">
        <is>
          <t>I1</t>
        </is>
      </c>
      <c r="F123" s="23">
        <f>IFERROR(INDEX(Tariffe!$B$2:$B$200,MATCH(E123,Tariffe!$A$2:$A$200,0)),"DA DEFINIRE")</f>
        <v/>
      </c>
      <c r="G123" s="16" t="n">
        <v>15</v>
      </c>
      <c r="H123" s="15" t="n">
        <v>3</v>
      </c>
      <c r="I123" s="15" t="n">
        <v>0</v>
      </c>
      <c r="J123" s="16" t="n">
        <v>45</v>
      </c>
      <c r="K123" s="16" t="n">
        <v>0</v>
      </c>
      <c r="L123" s="16" t="n">
        <v>40.92</v>
      </c>
      <c r="M123" s="16" t="n">
        <v>4.08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20261102_2315</t>
        </is>
      </c>
      <c r="B124" s="9" t="n">
        <v>46328</v>
      </c>
      <c r="C124" s="10" t="n">
        <v>0.96875</v>
      </c>
      <c r="D124" s="22" t="inlineStr">
        <is>
          <t>UN Unico</t>
        </is>
      </c>
      <c r="E124" s="22" t="inlineStr">
        <is>
          <t>I1</t>
        </is>
      </c>
      <c r="F124" s="22">
        <f>IFERROR(INDEX(Tariffe!$B$2:$B$200,MATCH(E124,Tariffe!$A$2:$A$200,0)),"DA DEFINIRE")</f>
        <v/>
      </c>
      <c r="G124" s="12" t="n">
        <v>15</v>
      </c>
      <c r="H124" s="11" t="n">
        <v>2</v>
      </c>
      <c r="I124" s="11" t="n">
        <v>0</v>
      </c>
      <c r="J124" s="12" t="n">
        <v>30</v>
      </c>
      <c r="K124" s="12" t="n">
        <v>0</v>
      </c>
      <c r="L124" s="12" t="n">
        <v>27.28</v>
      </c>
      <c r="M124" s="12" t="n">
        <v>2.72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</sheetData>
  <autoFilter ref="A1:P12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</sheetData>
  <autoFilter ref="A1:G61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</sheetData>
  <autoFilter ref="A1:K69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138</v>
      </c>
      <c r="M9" s="11" t="n">
        <v>416</v>
      </c>
      <c r="N9" s="12" t="n">
        <v>4992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45</v>
      </c>
      <c r="H19" s="11" t="n">
        <v>137</v>
      </c>
      <c r="I19" s="12" t="n">
        <v>1644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A23" s="9" t="n">
        <v>46319</v>
      </c>
      <c r="B23" s="11" t="n">
        <v>81</v>
      </c>
      <c r="C23" s="11" t="n">
        <v>249</v>
      </c>
      <c r="D23" s="12" t="n">
        <v>2988</v>
      </c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2026-10-24T13:28:29Z</dcterms:created>
  <dcterms:modified xsi:type="dcterms:W3CDTF">2026-10-24T13:28:29Z</dcterms:modified>
</cp:coreProperties>
</file>