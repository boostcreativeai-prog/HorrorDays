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'Spettacoli'!$A$1:$R$36</definedName>
    <definedName name="_xlnm._FilterDatabase" localSheetId="4" hidden="1">'Vendite'!$A$1:$P$99</definedName>
    <definedName name="_xlnm._FilterDatabase" localSheetId="5" hidden="1">'Per tariffa'!$A$1:$G$5</definedName>
    <definedName name="_xlnm._FilterDatabase" localSheetId="6" hidden="1">'Per serata'!$A$1:$S$8</definedName>
    <definedName name="_xlnm._FilterDatabase" localSheetId="7" hidden="1">'Storico'!$A$1:$G$455</definedName>
    <definedName name="_xlnm._FilterDatabase" localSheetId="8" hidden="1">'Registro vendite'!$A$1:$K$386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serata'!$R$2:$R$8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serata'!$S$2:$S$8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'Storico'!$H$2:$H$455</f>
            </numRef>
          </cat>
          <val>
            <numRef>
              <f>'Storico'!$C$2:$C$455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vendite'!$A$4:$A$17</f>
            </numRef>
          </cat>
          <val>
            <numRef>
              <f>'Picchi vendite'!$B$4:$B$17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INDEX(Spettacoli!$B$2:$B$36,MATCH(LARGE(Spettacoli!$R$2:$R$36,1),Spettacoli!$R$2:$R$36,0))</f>
        <v/>
      </c>
      <c r="L6" s="10">
        <f>INDEX(Spettacoli!$D$2:$D$36,MATCH(LARGE(Spettacoli!$R$2:$R$36,1),Spettacoli!$R$2:$R$36,0))</f>
        <v/>
      </c>
      <c r="M6" s="11">
        <f>INDEX(Spettacoli!$F$2:$F$36,MATCH(LARGE(Spettacoli!$R$2:$R$36,1),Spettacoli!$R$2:$R$36,0))</f>
        <v/>
      </c>
      <c r="N6" s="11">
        <f>INDEX(Spettacoli!$G$2:$G$36,MATCH(LARGE(Spettacoli!$R$2:$R$36,1),Spettacoli!$R$2:$R$36,0))</f>
        <v/>
      </c>
      <c r="O6" s="12">
        <f>INDEX(Spettacoli!$M$2:$M$36,MATCH(LARGE(Spettacoli!$R$2:$R$36,1),Spettacoli!$R$2:$R$36,0))</f>
        <v/>
      </c>
    </row>
    <row r="7">
      <c r="K7" s="13">
        <f>INDEX(Spettacoli!$B$2:$B$36,MATCH(LARGE(Spettacoli!$R$2:$R$36,2),Spettacoli!$R$2:$R$36,0))</f>
        <v/>
      </c>
      <c r="L7" s="14">
        <f>INDEX(Spettacoli!$D$2:$D$36,MATCH(LARGE(Spettacoli!$R$2:$R$36,2),Spettacoli!$R$2:$R$36,0))</f>
        <v/>
      </c>
      <c r="M7" s="15">
        <f>INDEX(Spettacoli!$F$2:$F$36,MATCH(LARGE(Spettacoli!$R$2:$R$36,2),Spettacoli!$R$2:$R$36,0))</f>
        <v/>
      </c>
      <c r="N7" s="15">
        <f>INDEX(Spettacoli!$G$2:$G$36,MATCH(LARGE(Spettacoli!$R$2:$R$36,2),Spettacoli!$R$2:$R$36,0))</f>
        <v/>
      </c>
      <c r="O7" s="16">
        <f>INDEX(Spettacoli!$M$2:$M$36,MATCH(LARGE(Spettacoli!$R$2:$R$36,2),Spettacoli!$R$2:$R$36,0))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INDEX(Spettacoli!$B$2:$B$36,MATCH(LARGE(Spettacoli!$R$2:$R$36,3),Spettacoli!$R$2:$R$36,0))</f>
        <v/>
      </c>
      <c r="L8" s="10">
        <f>INDEX(Spettacoli!$D$2:$D$36,MATCH(LARGE(Spettacoli!$R$2:$R$36,3),Spettacoli!$R$2:$R$36,0))</f>
        <v/>
      </c>
      <c r="M8" s="11">
        <f>INDEX(Spettacoli!$F$2:$F$36,MATCH(LARGE(Spettacoli!$R$2:$R$36,3),Spettacoli!$R$2:$R$36,0))</f>
        <v/>
      </c>
      <c r="N8" s="11">
        <f>INDEX(Spettacoli!$G$2:$G$36,MATCH(LARGE(Spettacoli!$R$2:$R$36,3),Spettacoli!$R$2:$R$36,0))</f>
        <v/>
      </c>
      <c r="O8" s="12">
        <f>INDEX(Spettacoli!$M$2:$M$36,MATCH(LARGE(Spettacoli!$R$2:$R$36,3),Spettacoli!$R$2:$R$36,0))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COUNTIF(Spettacoli!$Q$2:$Q$36,"Venduto")&amp;" / "&amp;COUNTA(Spettacoli!A2:A36)</f>
        <v/>
      </c>
      <c r="I9" s="5" t="n"/>
      <c r="K9" s="13">
        <f>INDEX(Spettacoli!$B$2:$B$36,MATCH(LARGE(Spettacoli!$R$2:$R$36,4),Spettacoli!$R$2:$R$36,0))</f>
        <v/>
      </c>
      <c r="L9" s="14">
        <f>INDEX(Spettacoli!$D$2:$D$36,MATCH(LARGE(Spettacoli!$R$2:$R$36,4),Spettacoli!$R$2:$R$36,0))</f>
        <v/>
      </c>
      <c r="M9" s="15">
        <f>INDEX(Spettacoli!$F$2:$F$36,MATCH(LARGE(Spettacoli!$R$2:$R$36,4),Spettacoli!$R$2:$R$36,0))</f>
        <v/>
      </c>
      <c r="N9" s="15">
        <f>INDEX(Spettacoli!$G$2:$G$36,MATCH(LARGE(Spettacoli!$R$2:$R$36,4),Spettacoli!$R$2:$R$36,0))</f>
        <v/>
      </c>
      <c r="O9" s="16">
        <f>INDEX(Spettacoli!$M$2:$M$36,MATCH(LARGE(Spettacoli!$R$2:$R$36,4),Spettacoli!$R$2:$R$36,0))</f>
        <v/>
      </c>
    </row>
    <row r="10">
      <c r="K10" s="9">
        <f>INDEX(Spettacoli!$B$2:$B$36,MATCH(LARGE(Spettacoli!$R$2:$R$36,5),Spettacoli!$R$2:$R$36,0))</f>
        <v/>
      </c>
      <c r="L10" s="10">
        <f>INDEX(Spettacoli!$D$2:$D$36,MATCH(LARGE(Spettacoli!$R$2:$R$36,5),Spettacoli!$R$2:$R$36,0))</f>
        <v/>
      </c>
      <c r="M10" s="11">
        <f>INDEX(Spettacoli!$F$2:$F$36,MATCH(LARGE(Spettacoli!$R$2:$R$36,5),Spettacoli!$R$2:$R$36,0))</f>
        <v/>
      </c>
      <c r="N10" s="11">
        <f>INDEX(Spettacoli!$G$2:$G$36,MATCH(LARGE(Spettacoli!$R$2:$R$36,5),Spettacoli!$R$2:$R$36,0))</f>
        <v/>
      </c>
      <c r="O10" s="12">
        <f>INDEX(Spettacoli!$M$2:$M$36,MATCH(LARGE(Spettacoli!$R$2:$R$36,5),Spettacoli!$R$2:$R$36,0))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MAX(Storico!A2:A455)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</sheetData>
  <autoFilter ref="A1:R36"/>
  <conditionalFormatting sqref="Q2:Q36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9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</t>
        </is>
      </c>
      <c r="F2" s="22">
        <f>IFERROR(INDEX(Tariffe!$B$2:$B$200,MATCH(E2,Tariffe!$A$2:$A$200,0)),"DA DEFINIRE")</f>
        <v/>
      </c>
      <c r="G2" s="12" t="n">
        <v>48</v>
      </c>
      <c r="H2" s="11" t="n">
        <v>4</v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</t>
        </is>
      </c>
      <c r="F3" s="23">
        <f>IFERROR(INDEX(Tariffe!$B$2:$B$200,MATCH(E3,Tariffe!$A$2:$A$200,0)),"DA DEFINIRE")</f>
        <v/>
      </c>
      <c r="G3" s="16" t="n">
        <v>36</v>
      </c>
      <c r="H3" s="15" t="n">
        <v>5</v>
      </c>
      <c r="I3" s="15" t="n">
        <v>0</v>
      </c>
      <c r="J3" s="16" t="n">
        <v>180</v>
      </c>
      <c r="K3" s="16" t="n">
        <v>0</v>
      </c>
      <c r="L3" s="16" t="n">
        <v>163.65</v>
      </c>
      <c r="M3" s="16" t="n">
        <v>16.35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</t>
        </is>
      </c>
      <c r="F4" s="22">
        <f>IFERROR(INDEX(Tariffe!$B$2:$B$200,MATCH(E4,Tariffe!$A$2:$A$200,0)),"DA DEFINIRE")</f>
        <v/>
      </c>
      <c r="G4" s="12" t="n">
        <v>60</v>
      </c>
      <c r="H4" s="11" t="n">
        <v>1</v>
      </c>
      <c r="I4" s="11" t="n">
        <v>0</v>
      </c>
      <c r="J4" s="12" t="n">
        <v>60</v>
      </c>
      <c r="K4" s="12" t="n">
        <v>0</v>
      </c>
      <c r="L4" s="12" t="n">
        <v>54.55</v>
      </c>
      <c r="M4" s="12" t="n">
        <v>5.45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</t>
        </is>
      </c>
      <c r="F5" s="23">
        <f>IFERROR(INDEX(Tariffe!$B$2:$B$200,MATCH(E5,Tariffe!$A$2:$A$200,0)),"DA DEFINIRE")</f>
        <v/>
      </c>
      <c r="G5" s="16" t="n">
        <v>24</v>
      </c>
      <c r="H5" s="15" t="n">
        <v>8</v>
      </c>
      <c r="I5" s="15" t="n">
        <v>0</v>
      </c>
      <c r="J5" s="16" t="n">
        <v>192</v>
      </c>
      <c r="K5" s="16" t="n">
        <v>0</v>
      </c>
      <c r="L5" s="16" t="n">
        <v>174.56</v>
      </c>
      <c r="M5" s="16" t="n">
        <v>17.44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</t>
        </is>
      </c>
      <c r="F6" s="22">
        <f>IFERROR(INDEX(Tariffe!$B$2:$B$200,MATCH(E6,Tariffe!$A$2:$A$200,0)),"DA DEFINIRE")</f>
        <v/>
      </c>
      <c r="G6" s="12" t="n">
        <v>48</v>
      </c>
      <c r="H6" s="11" t="n">
        <v>12</v>
      </c>
      <c r="I6" s="11" t="n">
        <v>1</v>
      </c>
      <c r="J6" s="12" t="n">
        <v>576</v>
      </c>
      <c r="K6" s="12" t="n">
        <v>0</v>
      </c>
      <c r="L6" s="12" t="n">
        <v>523.6799999999999</v>
      </c>
      <c r="M6" s="12" t="n">
        <v>52.32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</t>
        </is>
      </c>
      <c r="F7" s="23">
        <f>IFERROR(INDEX(Tariffe!$B$2:$B$200,MATCH(E7,Tariffe!$A$2:$A$200,0)),"DA DEFINIRE")</f>
        <v/>
      </c>
      <c r="G7" s="16" t="n">
        <v>36</v>
      </c>
      <c r="H7" s="15" t="n">
        <v>9</v>
      </c>
      <c r="I7" s="15" t="n">
        <v>0</v>
      </c>
      <c r="J7" s="16" t="n">
        <v>324</v>
      </c>
      <c r="K7" s="16" t="n">
        <v>0</v>
      </c>
      <c r="L7" s="16" t="n">
        <v>294.57</v>
      </c>
      <c r="M7" s="16" t="n">
        <v>29.43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</t>
        </is>
      </c>
      <c r="F8" s="22">
        <f>IFERROR(INDEX(Tariffe!$B$2:$B$200,MATCH(E8,Tariffe!$A$2:$A$200,0)),"DA DEFINIRE")</f>
        <v/>
      </c>
      <c r="G8" s="12" t="n">
        <v>60</v>
      </c>
      <c r="H8" s="11" t="n">
        <v>3</v>
      </c>
      <c r="I8" s="11" t="n">
        <v>0</v>
      </c>
      <c r="J8" s="12" t="n">
        <v>180</v>
      </c>
      <c r="K8" s="12" t="n">
        <v>0</v>
      </c>
      <c r="L8" s="12" t="n">
        <v>163.65</v>
      </c>
      <c r="M8" s="12" t="n">
        <v>16.35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</t>
        </is>
      </c>
      <c r="F9" s="23">
        <f>IFERROR(INDEX(Tariffe!$B$2:$B$200,MATCH(E9,Tariffe!$A$2:$A$200,0)),"DA DEFINIRE")</f>
        <v/>
      </c>
      <c r="G9" s="16" t="n">
        <v>24</v>
      </c>
      <c r="H9" s="15" t="n">
        <v>21</v>
      </c>
      <c r="I9" s="15" t="n">
        <v>0</v>
      </c>
      <c r="J9" s="16" t="n">
        <v>504</v>
      </c>
      <c r="K9" s="16" t="n">
        <v>0</v>
      </c>
      <c r="L9" s="16" t="n">
        <v>458.22</v>
      </c>
      <c r="M9" s="16" t="n">
        <v>45.78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</t>
        </is>
      </c>
      <c r="F10" s="22">
        <f>IFERROR(INDEX(Tariffe!$B$2:$B$200,MATCH(E10,Tariffe!$A$2:$A$200,0)),"DA DEFINIRE")</f>
        <v/>
      </c>
      <c r="G10" s="12" t="n">
        <v>48</v>
      </c>
      <c r="H10" s="11" t="n">
        <v>13</v>
      </c>
      <c r="I10" s="11" t="n">
        <v>0</v>
      </c>
      <c r="J10" s="12" t="n">
        <v>624</v>
      </c>
      <c r="K10" s="12" t="n">
        <v>0</v>
      </c>
      <c r="L10" s="12" t="n">
        <v>567.3200000000001</v>
      </c>
      <c r="M10" s="12" t="n">
        <v>56.68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</t>
        </is>
      </c>
      <c r="F11" s="23">
        <f>IFERROR(INDEX(Tariffe!$B$2:$B$200,MATCH(E11,Tariffe!$A$2:$A$200,0)),"DA DEFINIRE")</f>
        <v/>
      </c>
      <c r="G11" s="16" t="n">
        <v>36</v>
      </c>
      <c r="H11" s="15" t="n">
        <v>4</v>
      </c>
      <c r="I11" s="15" t="n">
        <v>0</v>
      </c>
      <c r="J11" s="16" t="n">
        <v>144</v>
      </c>
      <c r="K11" s="16" t="n">
        <v>0</v>
      </c>
      <c r="L11" s="16" t="n">
        <v>130.92</v>
      </c>
      <c r="M11" s="16" t="n">
        <v>13.08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</t>
        </is>
      </c>
      <c r="F12" s="22">
        <f>IFERROR(INDEX(Tariffe!$B$2:$B$200,MATCH(E12,Tariffe!$A$2:$A$200,0)),"DA DEFINIRE")</f>
        <v/>
      </c>
      <c r="G12" s="12" t="n">
        <v>60</v>
      </c>
      <c r="H12" s="11" t="n">
        <v>5</v>
      </c>
      <c r="I12" s="11" t="n">
        <v>0</v>
      </c>
      <c r="J12" s="12" t="n">
        <v>300</v>
      </c>
      <c r="K12" s="12" t="n">
        <v>0</v>
      </c>
      <c r="L12" s="12" t="n">
        <v>272.75</v>
      </c>
      <c r="M12" s="12" t="n">
        <v>27.25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</t>
        </is>
      </c>
      <c r="F13" s="23">
        <f>IFERROR(INDEX(Tariffe!$B$2:$B$200,MATCH(E13,Tariffe!$A$2:$A$200,0)),"DA DEFINIRE")</f>
        <v/>
      </c>
      <c r="G13" s="16" t="n">
        <v>24</v>
      </c>
      <c r="H13" s="15" t="n">
        <v>14</v>
      </c>
      <c r="I13" s="15" t="n">
        <v>0</v>
      </c>
      <c r="J13" s="16" t="n">
        <v>336</v>
      </c>
      <c r="K13" s="16" t="n">
        <v>0</v>
      </c>
      <c r="L13" s="16" t="n">
        <v>305.48</v>
      </c>
      <c r="M13" s="16" t="n">
        <v>30.52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</t>
        </is>
      </c>
      <c r="F14" s="22">
        <f>IFERROR(INDEX(Tariffe!$B$2:$B$200,MATCH(E14,Tariffe!$A$2:$A$200,0)),"DA DEFINIRE")</f>
        <v/>
      </c>
      <c r="G14" s="12" t="n">
        <v>48</v>
      </c>
      <c r="H14" s="11" t="n">
        <v>6</v>
      </c>
      <c r="I14" s="11" t="n">
        <v>1</v>
      </c>
      <c r="J14" s="12" t="n">
        <v>288</v>
      </c>
      <c r="K14" s="12" t="n">
        <v>0</v>
      </c>
      <c r="L14" s="12" t="n">
        <v>261.84</v>
      </c>
      <c r="M14" s="12" t="n">
        <v>26.16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</t>
        </is>
      </c>
      <c r="F15" s="23">
        <f>IFERROR(INDEX(Tariffe!$B$2:$B$200,MATCH(E15,Tariffe!$A$2:$A$200,0)),"DA DEFINIRE")</f>
        <v/>
      </c>
      <c r="G15" s="16" t="n">
        <v>36</v>
      </c>
      <c r="H15" s="15" t="n">
        <v>5</v>
      </c>
      <c r="I15" s="15" t="n">
        <v>0</v>
      </c>
      <c r="J15" s="16" t="n">
        <v>180</v>
      </c>
      <c r="K15" s="16" t="n">
        <v>0</v>
      </c>
      <c r="L15" s="16" t="n">
        <v>163.65</v>
      </c>
      <c r="M15" s="16" t="n">
        <v>16.35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</t>
        </is>
      </c>
      <c r="F16" s="22">
        <f>IFERROR(INDEX(Tariffe!$B$2:$B$200,MATCH(E16,Tariffe!$A$2:$A$200,0)),"DA DEFINIRE")</f>
        <v/>
      </c>
      <c r="G16" s="12" t="n">
        <v>60</v>
      </c>
      <c r="H16" s="11" t="n">
        <v>2</v>
      </c>
      <c r="I16" s="11" t="n">
        <v>0</v>
      </c>
      <c r="J16" s="12" t="n">
        <v>120</v>
      </c>
      <c r="K16" s="12" t="n">
        <v>0</v>
      </c>
      <c r="L16" s="12" t="n">
        <v>109.1</v>
      </c>
      <c r="M16" s="12" t="n">
        <v>10.9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</t>
        </is>
      </c>
      <c r="F17" s="23">
        <f>IFERROR(INDEX(Tariffe!$B$2:$B$200,MATCH(E17,Tariffe!$A$2:$A$200,0)),"DA DEFINIRE")</f>
        <v/>
      </c>
      <c r="G17" s="16" t="n">
        <v>24</v>
      </c>
      <c r="H17" s="15" t="n">
        <v>15</v>
      </c>
      <c r="I17" s="15" t="n">
        <v>0</v>
      </c>
      <c r="J17" s="16" t="n">
        <v>360</v>
      </c>
      <c r="K17" s="16" t="n">
        <v>0</v>
      </c>
      <c r="L17" s="16" t="n">
        <v>327.3</v>
      </c>
      <c r="M17" s="16" t="n">
        <v>32.7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I1</t>
        </is>
      </c>
      <c r="F18" s="22">
        <f>IFERROR(INDEX(Tariffe!$B$2:$B$200,MATCH(E18,Tariffe!$A$2:$A$200,0)),"DA DEFINIRE")</f>
        <v/>
      </c>
      <c r="G18" s="12" t="n">
        <v>48</v>
      </c>
      <c r="H18" s="11" t="n">
        <v>7</v>
      </c>
      <c r="I18" s="11" t="n">
        <v>0</v>
      </c>
      <c r="J18" s="12" t="n">
        <v>336</v>
      </c>
      <c r="K18" s="12" t="n">
        <v>0</v>
      </c>
      <c r="L18" s="12" t="n">
        <v>305.48</v>
      </c>
      <c r="M18" s="12" t="n">
        <v>30.52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I2</t>
        </is>
      </c>
      <c r="F19" s="23">
        <f>IFERROR(INDEX(Tariffe!$B$2:$B$200,MATCH(E19,Tariffe!$A$2:$A$200,0)),"DA DEFINIRE")</f>
        <v/>
      </c>
      <c r="G19" s="16" t="n">
        <v>36</v>
      </c>
      <c r="H19" s="15" t="n">
        <v>2</v>
      </c>
      <c r="I19" s="15" t="n">
        <v>1</v>
      </c>
      <c r="J19" s="16" t="n">
        <v>72</v>
      </c>
      <c r="K19" s="16" t="n">
        <v>0</v>
      </c>
      <c r="L19" s="16" t="n">
        <v>65.45999999999999</v>
      </c>
      <c r="M19" s="16" t="n">
        <v>6.54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20261023_2358</t>
        </is>
      </c>
      <c r="B20" s="9" t="n">
        <v>46318</v>
      </c>
      <c r="C20" s="10" t="n">
        <v>0.9986111111111111</v>
      </c>
      <c r="D20" s="22" t="inlineStr">
        <is>
          <t>UN Unico</t>
        </is>
      </c>
      <c r="E20" s="22" t="inlineStr">
        <is>
          <t>I5</t>
        </is>
      </c>
      <c r="F20" s="22">
        <f>IFERROR(INDEX(Tariffe!$B$2:$B$200,MATCH(E20,Tariffe!$A$2:$A$200,0)),"DA DEFINIRE")</f>
        <v/>
      </c>
      <c r="G20" s="12" t="n">
        <v>60</v>
      </c>
      <c r="H20" s="11" t="n">
        <v>2</v>
      </c>
      <c r="I20" s="11" t="n">
        <v>0</v>
      </c>
      <c r="J20" s="12" t="n">
        <v>120</v>
      </c>
      <c r="K20" s="12" t="n">
        <v>0</v>
      </c>
      <c r="L20" s="12" t="n">
        <v>109.1</v>
      </c>
      <c r="M20" s="12" t="n">
        <v>10.9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20261023_2358</t>
        </is>
      </c>
      <c r="B21" s="13" t="n">
        <v>46318</v>
      </c>
      <c r="C21" s="14" t="n">
        <v>0.9986111111111111</v>
      </c>
      <c r="D21" s="23" t="inlineStr">
        <is>
          <t>UN Unico</t>
        </is>
      </c>
      <c r="E21" s="23" t="inlineStr">
        <is>
          <t>I8</t>
        </is>
      </c>
      <c r="F21" s="23">
        <f>IFERROR(INDEX(Tariffe!$B$2:$B$200,MATCH(E21,Tariffe!$A$2:$A$200,0)),"DA DEFINIRE")</f>
        <v/>
      </c>
      <c r="G21" s="16" t="n">
        <v>24</v>
      </c>
      <c r="H21" s="15" t="n">
        <v>6</v>
      </c>
      <c r="I21" s="15" t="n">
        <v>0</v>
      </c>
      <c r="J21" s="16" t="n">
        <v>144</v>
      </c>
      <c r="K21" s="16" t="n">
        <v>0</v>
      </c>
      <c r="L21" s="16" t="n">
        <v>130.92</v>
      </c>
      <c r="M21" s="16" t="n">
        <v>13.08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I1</t>
        </is>
      </c>
      <c r="F22" s="22">
        <f>IFERROR(INDEX(Tariffe!$B$2:$B$200,MATCH(E22,Tariffe!$A$2:$A$200,0)),"DA DEFINIRE")</f>
        <v/>
      </c>
      <c r="G22" s="12" t="n">
        <v>48</v>
      </c>
      <c r="H22" s="11" t="n">
        <v>2</v>
      </c>
      <c r="I22" s="11" t="n">
        <v>0</v>
      </c>
      <c r="J22" s="12" t="n">
        <v>96</v>
      </c>
      <c r="K22" s="12" t="n">
        <v>0</v>
      </c>
      <c r="L22" s="12" t="n">
        <v>87.28</v>
      </c>
      <c r="M22" s="12" t="n">
        <v>8.720000000000001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I5</t>
        </is>
      </c>
      <c r="F23" s="23">
        <f>IFERROR(INDEX(Tariffe!$B$2:$B$200,MATCH(E23,Tariffe!$A$2:$A$200,0)),"DA DEFINIRE")</f>
        <v/>
      </c>
      <c r="G23" s="16" t="n">
        <v>60</v>
      </c>
      <c r="H23" s="15" t="n">
        <v>1</v>
      </c>
      <c r="I23" s="15" t="n">
        <v>0</v>
      </c>
      <c r="J23" s="16" t="n">
        <v>60</v>
      </c>
      <c r="K23" s="16" t="n">
        <v>0</v>
      </c>
      <c r="L23" s="16" t="n">
        <v>54.55</v>
      </c>
      <c r="M23" s="16" t="n">
        <v>5.45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20261024_2015</t>
        </is>
      </c>
      <c r="B24" s="9" t="n">
        <v>46319</v>
      </c>
      <c r="C24" s="10" t="n">
        <v>0.84375</v>
      </c>
      <c r="D24" s="22" t="inlineStr">
        <is>
          <t>UN Unico</t>
        </is>
      </c>
      <c r="E24" s="22" t="inlineStr">
        <is>
          <t>I8</t>
        </is>
      </c>
      <c r="F24" s="22">
        <f>IFERROR(INDEX(Tariffe!$B$2:$B$200,MATCH(E24,Tariffe!$A$2:$A$200,0)),"DA DEFINIRE")</f>
        <v/>
      </c>
      <c r="G24" s="12" t="n">
        <v>24</v>
      </c>
      <c r="H24" s="11" t="n">
        <v>3</v>
      </c>
      <c r="I24" s="11" t="n">
        <v>0</v>
      </c>
      <c r="J24" s="12" t="n">
        <v>72</v>
      </c>
      <c r="K24" s="12" t="n">
        <v>0</v>
      </c>
      <c r="L24" s="12" t="n">
        <v>65.45999999999999</v>
      </c>
      <c r="M24" s="12" t="n">
        <v>6.54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20261024_2115</t>
        </is>
      </c>
      <c r="B25" s="13" t="n">
        <v>46319</v>
      </c>
      <c r="C25" s="14" t="n">
        <v>0.8854166666666666</v>
      </c>
      <c r="D25" s="23" t="inlineStr">
        <is>
          <t>UN Unico</t>
        </is>
      </c>
      <c r="E25" s="23" t="inlineStr">
        <is>
          <t>I1</t>
        </is>
      </c>
      <c r="F25" s="23">
        <f>IFERROR(INDEX(Tariffe!$B$2:$B$200,MATCH(E25,Tariffe!$A$2:$A$200,0)),"DA DEFINIRE")</f>
        <v/>
      </c>
      <c r="G25" s="16" t="n">
        <v>48</v>
      </c>
      <c r="H25" s="15" t="n">
        <v>4</v>
      </c>
      <c r="I25" s="15" t="n">
        <v>0</v>
      </c>
      <c r="J25" s="16" t="n">
        <v>192</v>
      </c>
      <c r="K25" s="16" t="n">
        <v>0</v>
      </c>
      <c r="L25" s="16" t="n">
        <v>174.56</v>
      </c>
      <c r="M25" s="16" t="n">
        <v>17.44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I2</t>
        </is>
      </c>
      <c r="F26" s="22">
        <f>IFERROR(INDEX(Tariffe!$B$2:$B$200,MATCH(E26,Tariffe!$A$2:$A$200,0)),"DA DEFINIRE")</f>
        <v/>
      </c>
      <c r="G26" s="12" t="n">
        <v>36</v>
      </c>
      <c r="H26" s="11" t="n">
        <v>1</v>
      </c>
      <c r="I26" s="11" t="n">
        <v>0</v>
      </c>
      <c r="J26" s="12" t="n">
        <v>36</v>
      </c>
      <c r="K26" s="12" t="n">
        <v>0</v>
      </c>
      <c r="L26" s="12" t="n">
        <v>32.73</v>
      </c>
      <c r="M26" s="12" t="n">
        <v>3.27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I5</t>
        </is>
      </c>
      <c r="F27" s="23">
        <f>IFERROR(INDEX(Tariffe!$B$2:$B$200,MATCH(E27,Tariffe!$A$2:$A$200,0)),"DA DEFINIRE")</f>
        <v/>
      </c>
      <c r="G27" s="16" t="n">
        <v>60</v>
      </c>
      <c r="H27" s="15" t="n">
        <v>2</v>
      </c>
      <c r="I27" s="15" t="n">
        <v>4</v>
      </c>
      <c r="J27" s="16" t="n">
        <v>120</v>
      </c>
      <c r="K27" s="16" t="n">
        <v>0</v>
      </c>
      <c r="L27" s="16" t="n">
        <v>109.1</v>
      </c>
      <c r="M27" s="16" t="n">
        <v>10.9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20261024_2115</t>
        </is>
      </c>
      <c r="B28" s="9" t="n">
        <v>46319</v>
      </c>
      <c r="C28" s="10" t="n">
        <v>0.8854166666666666</v>
      </c>
      <c r="D28" s="22" t="inlineStr">
        <is>
          <t>UN Unico</t>
        </is>
      </c>
      <c r="E28" s="22" t="inlineStr">
        <is>
          <t>I8</t>
        </is>
      </c>
      <c r="F28" s="22">
        <f>IFERROR(INDEX(Tariffe!$B$2:$B$200,MATCH(E28,Tariffe!$A$2:$A$200,0)),"DA DEFINIRE")</f>
        <v/>
      </c>
      <c r="G28" s="12" t="n">
        <v>24</v>
      </c>
      <c r="H28" s="11" t="n">
        <v>10</v>
      </c>
      <c r="I28" s="11" t="n">
        <v>1</v>
      </c>
      <c r="J28" s="12" t="n">
        <v>240</v>
      </c>
      <c r="K28" s="12" t="n">
        <v>0</v>
      </c>
      <c r="L28" s="12" t="n">
        <v>218.2</v>
      </c>
      <c r="M28" s="12" t="n">
        <v>21.8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20261024_2215</t>
        </is>
      </c>
      <c r="B29" s="13" t="n">
        <v>46319</v>
      </c>
      <c r="C29" s="14" t="n">
        <v>0.9270833333333334</v>
      </c>
      <c r="D29" s="23" t="inlineStr">
        <is>
          <t>UN Unico</t>
        </is>
      </c>
      <c r="E29" s="23" t="inlineStr">
        <is>
          <t>I1</t>
        </is>
      </c>
      <c r="F29" s="23">
        <f>IFERROR(INDEX(Tariffe!$B$2:$B$200,MATCH(E29,Tariffe!$A$2:$A$200,0)),"DA DEFINIRE")</f>
        <v/>
      </c>
      <c r="G29" s="16" t="n">
        <v>48</v>
      </c>
      <c r="H29" s="15" t="n">
        <v>4</v>
      </c>
      <c r="I29" s="15" t="n">
        <v>0</v>
      </c>
      <c r="J29" s="16" t="n">
        <v>192</v>
      </c>
      <c r="K29" s="16" t="n">
        <v>0</v>
      </c>
      <c r="L29" s="16" t="n">
        <v>174.56</v>
      </c>
      <c r="M29" s="16" t="n">
        <v>17.44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I2</t>
        </is>
      </c>
      <c r="F30" s="22">
        <f>IFERROR(INDEX(Tariffe!$B$2:$B$200,MATCH(E30,Tariffe!$A$2:$A$200,0)),"DA DEFINIRE")</f>
        <v/>
      </c>
      <c r="G30" s="12" t="n">
        <v>36</v>
      </c>
      <c r="H30" s="11" t="n">
        <v>2</v>
      </c>
      <c r="I30" s="11" t="n">
        <v>0</v>
      </c>
      <c r="J30" s="12" t="n">
        <v>72</v>
      </c>
      <c r="K30" s="12" t="n">
        <v>0</v>
      </c>
      <c r="L30" s="12" t="n">
        <v>65.45999999999999</v>
      </c>
      <c r="M30" s="12" t="n">
        <v>6.54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I5</t>
        </is>
      </c>
      <c r="F31" s="23">
        <f>IFERROR(INDEX(Tariffe!$B$2:$B$200,MATCH(E31,Tariffe!$A$2:$A$200,0)),"DA DEFINIRE")</f>
        <v/>
      </c>
      <c r="G31" s="16" t="n">
        <v>60</v>
      </c>
      <c r="H31" s="15" t="n">
        <v>2</v>
      </c>
      <c r="I31" s="15" t="n">
        <v>0</v>
      </c>
      <c r="J31" s="16" t="n">
        <v>120</v>
      </c>
      <c r="K31" s="16" t="n">
        <v>0</v>
      </c>
      <c r="L31" s="16" t="n">
        <v>109.1</v>
      </c>
      <c r="M31" s="16" t="n">
        <v>10.9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20261024_2215</t>
        </is>
      </c>
      <c r="B32" s="9" t="n">
        <v>46319</v>
      </c>
      <c r="C32" s="10" t="n">
        <v>0.9270833333333334</v>
      </c>
      <c r="D32" s="22" t="inlineStr">
        <is>
          <t>UN Unico</t>
        </is>
      </c>
      <c r="E32" s="22" t="inlineStr">
        <is>
          <t>I8</t>
        </is>
      </c>
      <c r="F32" s="22">
        <f>IFERROR(INDEX(Tariffe!$B$2:$B$200,MATCH(E32,Tariffe!$A$2:$A$200,0)),"DA DEFINIRE")</f>
        <v/>
      </c>
      <c r="G32" s="12" t="n">
        <v>24</v>
      </c>
      <c r="H32" s="11" t="n">
        <v>13</v>
      </c>
      <c r="I32" s="11" t="n">
        <v>0</v>
      </c>
      <c r="J32" s="12" t="n">
        <v>312</v>
      </c>
      <c r="K32" s="12" t="n">
        <v>0</v>
      </c>
      <c r="L32" s="12" t="n">
        <v>283.66</v>
      </c>
      <c r="M32" s="12" t="n">
        <v>28.34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20261024_2315</t>
        </is>
      </c>
      <c r="B33" s="13" t="n">
        <v>46319</v>
      </c>
      <c r="C33" s="14" t="n">
        <v>0.96875</v>
      </c>
      <c r="D33" s="23" t="inlineStr">
        <is>
          <t>UN Unico</t>
        </is>
      </c>
      <c r="E33" s="23" t="inlineStr">
        <is>
          <t>I1</t>
        </is>
      </c>
      <c r="F33" s="23">
        <f>IFERROR(INDEX(Tariffe!$B$2:$B$200,MATCH(E33,Tariffe!$A$2:$A$200,0)),"DA DEFINIRE")</f>
        <v/>
      </c>
      <c r="G33" s="16" t="n">
        <v>48</v>
      </c>
      <c r="H33" s="15" t="n">
        <v>3</v>
      </c>
      <c r="I33" s="15" t="n">
        <v>0</v>
      </c>
      <c r="J33" s="16" t="n">
        <v>144</v>
      </c>
      <c r="K33" s="16" t="n">
        <v>0</v>
      </c>
      <c r="L33" s="16" t="n">
        <v>130.92</v>
      </c>
      <c r="M33" s="16" t="n">
        <v>13.08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I2</t>
        </is>
      </c>
      <c r="F34" s="22">
        <f>IFERROR(INDEX(Tariffe!$B$2:$B$200,MATCH(E34,Tariffe!$A$2:$A$200,0)),"DA DEFINIRE")</f>
        <v/>
      </c>
      <c r="G34" s="12" t="n">
        <v>36</v>
      </c>
      <c r="H34" s="11" t="n">
        <v>2</v>
      </c>
      <c r="I34" s="11" t="n">
        <v>0</v>
      </c>
      <c r="J34" s="12" t="n">
        <v>72</v>
      </c>
      <c r="K34" s="12" t="n">
        <v>0</v>
      </c>
      <c r="L34" s="12" t="n">
        <v>65.45999999999999</v>
      </c>
      <c r="M34" s="12" t="n">
        <v>6.54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I5</t>
        </is>
      </c>
      <c r="F35" s="23">
        <f>IFERROR(INDEX(Tariffe!$B$2:$B$200,MATCH(E35,Tariffe!$A$2:$A$200,0)),"DA DEFINIRE")</f>
        <v/>
      </c>
      <c r="G35" s="16" t="n">
        <v>60</v>
      </c>
      <c r="H35" s="15" t="n">
        <v>5</v>
      </c>
      <c r="I35" s="15" t="n">
        <v>0</v>
      </c>
      <c r="J35" s="16" t="n">
        <v>300</v>
      </c>
      <c r="K35" s="16" t="n">
        <v>0</v>
      </c>
      <c r="L35" s="16" t="n">
        <v>272.75</v>
      </c>
      <c r="M35" s="16" t="n">
        <v>27.25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20261024_2315</t>
        </is>
      </c>
      <c r="B36" s="9" t="n">
        <v>46319</v>
      </c>
      <c r="C36" s="10" t="n">
        <v>0.96875</v>
      </c>
      <c r="D36" s="22" t="inlineStr">
        <is>
          <t>UN Unico</t>
        </is>
      </c>
      <c r="E36" s="22" t="inlineStr">
        <is>
          <t>I8</t>
        </is>
      </c>
      <c r="F36" s="22">
        <f>IFERROR(INDEX(Tariffe!$B$2:$B$200,MATCH(E36,Tariffe!$A$2:$A$200,0)),"DA DEFINIRE")</f>
        <v/>
      </c>
      <c r="G36" s="12" t="n">
        <v>24</v>
      </c>
      <c r="H36" s="11" t="n">
        <v>13</v>
      </c>
      <c r="I36" s="11" t="n">
        <v>0</v>
      </c>
      <c r="J36" s="12" t="n">
        <v>312</v>
      </c>
      <c r="K36" s="12" t="n">
        <v>0</v>
      </c>
      <c r="L36" s="12" t="n">
        <v>283.66</v>
      </c>
      <c r="M36" s="12" t="n">
        <v>28.34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20261024_2359</t>
        </is>
      </c>
      <c r="B37" s="13" t="n">
        <v>46319</v>
      </c>
      <c r="C37" s="14" t="n">
        <v>0.9993055555555556</v>
      </c>
      <c r="D37" s="23" t="inlineStr">
        <is>
          <t>UN Unico</t>
        </is>
      </c>
      <c r="E37" s="23" t="inlineStr">
        <is>
          <t>I1</t>
        </is>
      </c>
      <c r="F37" s="23">
        <f>IFERROR(INDEX(Tariffe!$B$2:$B$200,MATCH(E37,Tariffe!$A$2:$A$200,0)),"DA DEFINIRE")</f>
        <v/>
      </c>
      <c r="G37" s="16" t="n">
        <v>48</v>
      </c>
      <c r="H37" s="15" t="n">
        <v>4</v>
      </c>
      <c r="I37" s="15" t="n">
        <v>0</v>
      </c>
      <c r="J37" s="16" t="n">
        <v>192</v>
      </c>
      <c r="K37" s="16" t="n">
        <v>0</v>
      </c>
      <c r="L37" s="16" t="n">
        <v>174.56</v>
      </c>
      <c r="M37" s="16" t="n">
        <v>17.44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20261024_2359</t>
        </is>
      </c>
      <c r="B38" s="9" t="n">
        <v>46319</v>
      </c>
      <c r="C38" s="10" t="n">
        <v>0.9993055555555556</v>
      </c>
      <c r="D38" s="22" t="inlineStr">
        <is>
          <t>UN Unico</t>
        </is>
      </c>
      <c r="E38" s="22" t="inlineStr">
        <is>
          <t>I8</t>
        </is>
      </c>
      <c r="F38" s="22">
        <f>IFERROR(INDEX(Tariffe!$B$2:$B$200,MATCH(E38,Tariffe!$A$2:$A$200,0)),"DA DEFINIRE")</f>
        <v/>
      </c>
      <c r="G38" s="12" t="n">
        <v>24</v>
      </c>
      <c r="H38" s="11" t="n">
        <v>8</v>
      </c>
      <c r="I38" s="11" t="n">
        <v>0</v>
      </c>
      <c r="J38" s="12" t="n">
        <v>192</v>
      </c>
      <c r="K38" s="12" t="n">
        <v>0</v>
      </c>
      <c r="L38" s="12" t="n">
        <v>174.56</v>
      </c>
      <c r="M38" s="12" t="n">
        <v>17.44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20261025_2015</t>
        </is>
      </c>
      <c r="B39" s="13" t="n">
        <v>46320</v>
      </c>
      <c r="C39" s="14" t="n">
        <v>0.84375</v>
      </c>
      <c r="D39" s="23" t="inlineStr">
        <is>
          <t>UN Unico</t>
        </is>
      </c>
      <c r="E39" s="23" t="inlineStr">
        <is>
          <t>I1</t>
        </is>
      </c>
      <c r="F39" s="23">
        <f>IFERROR(INDEX(Tariffe!$B$2:$B$200,MATCH(E39,Tariffe!$A$2:$A$200,0)),"DA DEFINIRE")</f>
        <v/>
      </c>
      <c r="G39" s="16" t="n">
        <v>48</v>
      </c>
      <c r="H39" s="15" t="n">
        <v>3</v>
      </c>
      <c r="I39" s="15" t="n">
        <v>0</v>
      </c>
      <c r="J39" s="16" t="n">
        <v>144</v>
      </c>
      <c r="K39" s="16" t="n">
        <v>0</v>
      </c>
      <c r="L39" s="16" t="n">
        <v>130.92</v>
      </c>
      <c r="M39" s="16" t="n">
        <v>13.08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20261025_2015</t>
        </is>
      </c>
      <c r="B40" s="9" t="n">
        <v>46320</v>
      </c>
      <c r="C40" s="10" t="n">
        <v>0.84375</v>
      </c>
      <c r="D40" s="22" t="inlineStr">
        <is>
          <t>UN Unico</t>
        </is>
      </c>
      <c r="E40" s="22" t="inlineStr">
        <is>
          <t>I2</t>
        </is>
      </c>
      <c r="F40" s="22">
        <f>IFERROR(INDEX(Tariffe!$B$2:$B$200,MATCH(E40,Tariffe!$A$2:$A$200,0)),"DA DEFINIRE")</f>
        <v/>
      </c>
      <c r="G40" s="12" t="n">
        <v>36</v>
      </c>
      <c r="H40" s="11" t="n">
        <v>1</v>
      </c>
      <c r="I40" s="11" t="n">
        <v>0</v>
      </c>
      <c r="J40" s="12" t="n">
        <v>36</v>
      </c>
      <c r="K40" s="12" t="n">
        <v>0</v>
      </c>
      <c r="L40" s="12" t="n">
        <v>32.73</v>
      </c>
      <c r="M40" s="12" t="n">
        <v>3.27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20261025_2015</t>
        </is>
      </c>
      <c r="B41" s="13" t="n">
        <v>46320</v>
      </c>
      <c r="C41" s="14" t="n">
        <v>0.84375</v>
      </c>
      <c r="D41" s="23" t="inlineStr">
        <is>
          <t>UN Unico</t>
        </is>
      </c>
      <c r="E41" s="23" t="inlineStr">
        <is>
          <t>I5</t>
        </is>
      </c>
      <c r="F41" s="23">
        <f>IFERROR(INDEX(Tariffe!$B$2:$B$200,MATCH(E41,Tariffe!$A$2:$A$200,0)),"DA DEFINIRE")</f>
        <v/>
      </c>
      <c r="G41" s="16" t="n">
        <v>60</v>
      </c>
      <c r="H41" s="15" t="n">
        <v>3</v>
      </c>
      <c r="I41" s="15" t="n">
        <v>0</v>
      </c>
      <c r="J41" s="16" t="n">
        <v>180</v>
      </c>
      <c r="K41" s="16" t="n">
        <v>0</v>
      </c>
      <c r="L41" s="16" t="n">
        <v>163.65</v>
      </c>
      <c r="M41" s="16" t="n">
        <v>16.35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20261025_2015</t>
        </is>
      </c>
      <c r="B42" s="9" t="n">
        <v>46320</v>
      </c>
      <c r="C42" s="10" t="n">
        <v>0.84375</v>
      </c>
      <c r="D42" s="22" t="inlineStr">
        <is>
          <t>UN Unico</t>
        </is>
      </c>
      <c r="E42" s="22" t="inlineStr">
        <is>
          <t>I8</t>
        </is>
      </c>
      <c r="F42" s="22">
        <f>IFERROR(INDEX(Tariffe!$B$2:$B$200,MATCH(E42,Tariffe!$A$2:$A$200,0)),"DA DEFINIRE")</f>
        <v/>
      </c>
      <c r="G42" s="12" t="n">
        <v>24</v>
      </c>
      <c r="H42" s="11" t="n">
        <v>2</v>
      </c>
      <c r="I42" s="11" t="n">
        <v>0</v>
      </c>
      <c r="J42" s="12" t="n">
        <v>48</v>
      </c>
      <c r="K42" s="12" t="n">
        <v>0</v>
      </c>
      <c r="L42" s="12" t="n">
        <v>43.64</v>
      </c>
      <c r="M42" s="12" t="n">
        <v>4.36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20261025_2115</t>
        </is>
      </c>
      <c r="B43" s="13" t="n">
        <v>46320</v>
      </c>
      <c r="C43" s="14" t="n">
        <v>0.8854166666666666</v>
      </c>
      <c r="D43" s="23" t="inlineStr">
        <is>
          <t>UN Unico</t>
        </is>
      </c>
      <c r="E43" s="23" t="inlineStr">
        <is>
          <t>I1</t>
        </is>
      </c>
      <c r="F43" s="23">
        <f>IFERROR(INDEX(Tariffe!$B$2:$B$200,MATCH(E43,Tariffe!$A$2:$A$200,0)),"DA DEFINIRE")</f>
        <v/>
      </c>
      <c r="G43" s="16" t="n">
        <v>48</v>
      </c>
      <c r="H43" s="15" t="n">
        <v>5</v>
      </c>
      <c r="I43" s="15" t="n">
        <v>0</v>
      </c>
      <c r="J43" s="16" t="n">
        <v>240</v>
      </c>
      <c r="K43" s="16" t="n">
        <v>0</v>
      </c>
      <c r="L43" s="16" t="n">
        <v>218.2</v>
      </c>
      <c r="M43" s="16" t="n">
        <v>21.8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20261025_2115</t>
        </is>
      </c>
      <c r="B44" s="9" t="n">
        <v>46320</v>
      </c>
      <c r="C44" s="10" t="n">
        <v>0.8854166666666666</v>
      </c>
      <c r="D44" s="22" t="inlineStr">
        <is>
          <t>UN Unico</t>
        </is>
      </c>
      <c r="E44" s="22" t="inlineStr">
        <is>
          <t>I5</t>
        </is>
      </c>
      <c r="F44" s="22">
        <f>IFERROR(INDEX(Tariffe!$B$2:$B$200,MATCH(E44,Tariffe!$A$2:$A$200,0)),"DA DEFINIRE")</f>
        <v/>
      </c>
      <c r="G44" s="12" t="n">
        <v>60</v>
      </c>
      <c r="H44" s="11" t="n">
        <v>2</v>
      </c>
      <c r="I44" s="11" t="n">
        <v>0</v>
      </c>
      <c r="J44" s="12" t="n">
        <v>120</v>
      </c>
      <c r="K44" s="12" t="n">
        <v>0</v>
      </c>
      <c r="L44" s="12" t="n">
        <v>109.1</v>
      </c>
      <c r="M44" s="12" t="n">
        <v>10.9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20261025_2115</t>
        </is>
      </c>
      <c r="B45" s="13" t="n">
        <v>46320</v>
      </c>
      <c r="C45" s="14" t="n">
        <v>0.8854166666666666</v>
      </c>
      <c r="D45" s="23" t="inlineStr">
        <is>
          <t>UN Unico</t>
        </is>
      </c>
      <c r="E45" s="23" t="inlineStr">
        <is>
          <t>I8</t>
        </is>
      </c>
      <c r="F45" s="23">
        <f>IFERROR(INDEX(Tariffe!$B$2:$B$200,MATCH(E45,Tariffe!$A$2:$A$200,0)),"DA DEFINIRE")</f>
        <v/>
      </c>
      <c r="G45" s="16" t="n">
        <v>24</v>
      </c>
      <c r="H45" s="15" t="n">
        <v>8</v>
      </c>
      <c r="I45" s="15" t="n">
        <v>0</v>
      </c>
      <c r="J45" s="16" t="n">
        <v>192</v>
      </c>
      <c r="K45" s="16" t="n">
        <v>0</v>
      </c>
      <c r="L45" s="16" t="n">
        <v>174.56</v>
      </c>
      <c r="M45" s="16" t="n">
        <v>17.44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20261025_2215</t>
        </is>
      </c>
      <c r="B46" s="9" t="n">
        <v>46320</v>
      </c>
      <c r="C46" s="10" t="n">
        <v>0.9270833333333334</v>
      </c>
      <c r="D46" s="22" t="inlineStr">
        <is>
          <t>UN Unico</t>
        </is>
      </c>
      <c r="E46" s="22" t="inlineStr">
        <is>
          <t>I1</t>
        </is>
      </c>
      <c r="F46" s="22">
        <f>IFERROR(INDEX(Tariffe!$B$2:$B$200,MATCH(E46,Tariffe!$A$2:$A$200,0)),"DA DEFINIRE")</f>
        <v/>
      </c>
      <c r="G46" s="12" t="n">
        <v>48</v>
      </c>
      <c r="H46" s="11" t="n">
        <v>1</v>
      </c>
      <c r="I46" s="11" t="n">
        <v>0</v>
      </c>
      <c r="J46" s="12" t="n">
        <v>48</v>
      </c>
      <c r="K46" s="12" t="n">
        <v>0</v>
      </c>
      <c r="L46" s="12" t="n">
        <v>43.64</v>
      </c>
      <c r="M46" s="12" t="n">
        <v>4.36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20261025_2215</t>
        </is>
      </c>
      <c r="B47" s="13" t="n">
        <v>46320</v>
      </c>
      <c r="C47" s="14" t="n">
        <v>0.9270833333333334</v>
      </c>
      <c r="D47" s="23" t="inlineStr">
        <is>
          <t>UN Unico</t>
        </is>
      </c>
      <c r="E47" s="23" t="inlineStr">
        <is>
          <t>I2</t>
        </is>
      </c>
      <c r="F47" s="23">
        <f>IFERROR(INDEX(Tariffe!$B$2:$B$200,MATCH(E47,Tariffe!$A$2:$A$200,0)),"DA DEFINIRE")</f>
        <v/>
      </c>
      <c r="G47" s="16" t="n">
        <v>36</v>
      </c>
      <c r="H47" s="15" t="n">
        <v>1</v>
      </c>
      <c r="I47" s="15" t="n">
        <v>0</v>
      </c>
      <c r="J47" s="16" t="n">
        <v>36</v>
      </c>
      <c r="K47" s="16" t="n">
        <v>0</v>
      </c>
      <c r="L47" s="16" t="n">
        <v>32.73</v>
      </c>
      <c r="M47" s="16" t="n">
        <v>3.27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20261025_2215</t>
        </is>
      </c>
      <c r="B48" s="9" t="n">
        <v>46320</v>
      </c>
      <c r="C48" s="10" t="n">
        <v>0.9270833333333334</v>
      </c>
      <c r="D48" s="22" t="inlineStr">
        <is>
          <t>UN Unico</t>
        </is>
      </c>
      <c r="E48" s="22" t="inlineStr">
        <is>
          <t>I8</t>
        </is>
      </c>
      <c r="F48" s="22">
        <f>IFERROR(INDEX(Tariffe!$B$2:$B$200,MATCH(E48,Tariffe!$A$2:$A$200,0)),"DA DEFINIRE")</f>
        <v/>
      </c>
      <c r="G48" s="12" t="n">
        <v>24</v>
      </c>
      <c r="H48" s="11" t="n">
        <v>6</v>
      </c>
      <c r="I48" s="11" t="n">
        <v>0</v>
      </c>
      <c r="J48" s="12" t="n">
        <v>144</v>
      </c>
      <c r="K48" s="12" t="n">
        <v>0</v>
      </c>
      <c r="L48" s="12" t="n">
        <v>130.92</v>
      </c>
      <c r="M48" s="12" t="n">
        <v>13.08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20261025_2315</t>
        </is>
      </c>
      <c r="B49" s="13" t="n">
        <v>46320</v>
      </c>
      <c r="C49" s="14" t="n">
        <v>0.96875</v>
      </c>
      <c r="D49" s="23" t="inlineStr">
        <is>
          <t>UN Unico</t>
        </is>
      </c>
      <c r="E49" s="23" t="inlineStr">
        <is>
          <t>I1</t>
        </is>
      </c>
      <c r="F49" s="23">
        <f>IFERROR(INDEX(Tariffe!$B$2:$B$200,MATCH(E49,Tariffe!$A$2:$A$200,0)),"DA DEFINIRE")</f>
        <v/>
      </c>
      <c r="G49" s="16" t="n">
        <v>48</v>
      </c>
      <c r="H49" s="15" t="n">
        <v>3</v>
      </c>
      <c r="I49" s="15" t="n">
        <v>0</v>
      </c>
      <c r="J49" s="16" t="n">
        <v>144</v>
      </c>
      <c r="K49" s="16" t="n">
        <v>0</v>
      </c>
      <c r="L49" s="16" t="n">
        <v>130.92</v>
      </c>
      <c r="M49" s="16" t="n">
        <v>13.08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20261025_2315</t>
        </is>
      </c>
      <c r="B50" s="9" t="n">
        <v>46320</v>
      </c>
      <c r="C50" s="10" t="n">
        <v>0.96875</v>
      </c>
      <c r="D50" s="22" t="inlineStr">
        <is>
          <t>UN Unico</t>
        </is>
      </c>
      <c r="E50" s="22" t="inlineStr">
        <is>
          <t>I2</t>
        </is>
      </c>
      <c r="F50" s="22">
        <f>IFERROR(INDEX(Tariffe!$B$2:$B$200,MATCH(E50,Tariffe!$A$2:$A$200,0)),"DA DEFINIRE")</f>
        <v/>
      </c>
      <c r="G50" s="12" t="n">
        <v>36</v>
      </c>
      <c r="H50" s="11" t="n">
        <v>2</v>
      </c>
      <c r="I50" s="11" t="n">
        <v>0</v>
      </c>
      <c r="J50" s="12" t="n">
        <v>72</v>
      </c>
      <c r="K50" s="12" t="n">
        <v>0</v>
      </c>
      <c r="L50" s="12" t="n">
        <v>65.45999999999999</v>
      </c>
      <c r="M50" s="12" t="n">
        <v>6.54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20261025_2315</t>
        </is>
      </c>
      <c r="B51" s="13" t="n">
        <v>46320</v>
      </c>
      <c r="C51" s="14" t="n">
        <v>0.96875</v>
      </c>
      <c r="D51" s="23" t="inlineStr">
        <is>
          <t>UN Unico</t>
        </is>
      </c>
      <c r="E51" s="23" t="inlineStr">
        <is>
          <t>I8</t>
        </is>
      </c>
      <c r="F51" s="23">
        <f>IFERROR(INDEX(Tariffe!$B$2:$B$200,MATCH(E51,Tariffe!$A$2:$A$200,0)),"DA DEFINIRE")</f>
        <v/>
      </c>
      <c r="G51" s="16" t="n">
        <v>24</v>
      </c>
      <c r="H51" s="15" t="n">
        <v>2</v>
      </c>
      <c r="I51" s="15" t="n">
        <v>0</v>
      </c>
      <c r="J51" s="16" t="n">
        <v>48</v>
      </c>
      <c r="K51" s="16" t="n">
        <v>0</v>
      </c>
      <c r="L51" s="16" t="n">
        <v>43.64</v>
      </c>
      <c r="M51" s="16" t="n">
        <v>4.36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20261025_2359</t>
        </is>
      </c>
      <c r="B52" s="9" t="n">
        <v>46320</v>
      </c>
      <c r="C52" s="10" t="n">
        <v>0.9993055555555556</v>
      </c>
      <c r="D52" s="22" t="inlineStr">
        <is>
          <t>UN Unico</t>
        </is>
      </c>
      <c r="E52" s="22" t="inlineStr">
        <is>
          <t>I5</t>
        </is>
      </c>
      <c r="F52" s="22">
        <f>IFERROR(INDEX(Tariffe!$B$2:$B$200,MATCH(E52,Tariffe!$A$2:$A$200,0)),"DA DEFINIRE")</f>
        <v/>
      </c>
      <c r="G52" s="12" t="n">
        <v>60</v>
      </c>
      <c r="H52" s="11" t="n">
        <v>1</v>
      </c>
      <c r="I52" s="11" t="n">
        <v>0</v>
      </c>
      <c r="J52" s="12" t="n">
        <v>60</v>
      </c>
      <c r="K52" s="12" t="n">
        <v>0</v>
      </c>
      <c r="L52" s="12" t="n">
        <v>54.55</v>
      </c>
      <c r="M52" s="12" t="n">
        <v>5.45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20261025_2359</t>
        </is>
      </c>
      <c r="B53" s="13" t="n">
        <v>46320</v>
      </c>
      <c r="C53" s="14" t="n">
        <v>0.9993055555555556</v>
      </c>
      <c r="D53" s="23" t="inlineStr">
        <is>
          <t>UN Unico</t>
        </is>
      </c>
      <c r="E53" s="23" t="inlineStr">
        <is>
          <t>I8</t>
        </is>
      </c>
      <c r="F53" s="23">
        <f>IFERROR(INDEX(Tariffe!$B$2:$B$200,MATCH(E53,Tariffe!$A$2:$A$200,0)),"DA DEFINIRE")</f>
        <v/>
      </c>
      <c r="G53" s="16" t="n">
        <v>24</v>
      </c>
      <c r="H53" s="15" t="n">
        <v>3</v>
      </c>
      <c r="I53" s="15" t="n">
        <v>0</v>
      </c>
      <c r="J53" s="16" t="n">
        <v>72</v>
      </c>
      <c r="K53" s="16" t="n">
        <v>0</v>
      </c>
      <c r="L53" s="16" t="n">
        <v>65.45999999999999</v>
      </c>
      <c r="M53" s="16" t="n">
        <v>6.54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20261029_2015</t>
        </is>
      </c>
      <c r="B54" s="9" t="n">
        <v>46324</v>
      </c>
      <c r="C54" s="10" t="n">
        <v>0.84375</v>
      </c>
      <c r="D54" s="22" t="inlineStr">
        <is>
          <t>UN Unico</t>
        </is>
      </c>
      <c r="E54" s="22" t="inlineStr">
        <is>
          <t>I1</t>
        </is>
      </c>
      <c r="F54" s="22">
        <f>IFERROR(INDEX(Tariffe!$B$2:$B$200,MATCH(E54,Tariffe!$A$2:$A$200,0)),"DA DEFINIRE")</f>
        <v/>
      </c>
      <c r="G54" s="12" t="n">
        <v>48</v>
      </c>
      <c r="H54" s="11" t="n">
        <v>1</v>
      </c>
      <c r="I54" s="11" t="n">
        <v>0</v>
      </c>
      <c r="J54" s="12" t="n">
        <v>48</v>
      </c>
      <c r="K54" s="12" t="n">
        <v>0</v>
      </c>
      <c r="L54" s="12" t="n">
        <v>43.64</v>
      </c>
      <c r="M54" s="12" t="n">
        <v>4.36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20261029_2015</t>
        </is>
      </c>
      <c r="B55" s="13" t="n">
        <v>46324</v>
      </c>
      <c r="C55" s="14" t="n">
        <v>0.84375</v>
      </c>
      <c r="D55" s="23" t="inlineStr">
        <is>
          <t>UN Unico</t>
        </is>
      </c>
      <c r="E55" s="23" t="inlineStr">
        <is>
          <t>I5</t>
        </is>
      </c>
      <c r="F55" s="23">
        <f>IFERROR(INDEX(Tariffe!$B$2:$B$200,MATCH(E55,Tariffe!$A$2:$A$200,0)),"DA DEFINIRE")</f>
        <v/>
      </c>
      <c r="G55" s="16" t="n">
        <v>60</v>
      </c>
      <c r="H55" s="15" t="n">
        <v>2</v>
      </c>
      <c r="I55" s="15" t="n">
        <v>0</v>
      </c>
      <c r="J55" s="16" t="n">
        <v>120</v>
      </c>
      <c r="K55" s="16" t="n">
        <v>0</v>
      </c>
      <c r="L55" s="16" t="n">
        <v>109.1</v>
      </c>
      <c r="M55" s="16" t="n">
        <v>10.9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20261029_2015</t>
        </is>
      </c>
      <c r="B56" s="9" t="n">
        <v>46324</v>
      </c>
      <c r="C56" s="10" t="n">
        <v>0.84375</v>
      </c>
      <c r="D56" s="22" t="inlineStr">
        <is>
          <t>UN Unico</t>
        </is>
      </c>
      <c r="E56" s="22" t="inlineStr">
        <is>
          <t>I8</t>
        </is>
      </c>
      <c r="F56" s="22">
        <f>IFERROR(INDEX(Tariffe!$B$2:$B$200,MATCH(E56,Tariffe!$A$2:$A$200,0)),"DA DEFINIRE")</f>
        <v/>
      </c>
      <c r="G56" s="12" t="n">
        <v>24</v>
      </c>
      <c r="H56" s="11" t="n">
        <v>1</v>
      </c>
      <c r="I56" s="11" t="n">
        <v>0</v>
      </c>
      <c r="J56" s="12" t="n">
        <v>24</v>
      </c>
      <c r="K56" s="12" t="n">
        <v>0</v>
      </c>
      <c r="L56" s="12" t="n">
        <v>21.82</v>
      </c>
      <c r="M56" s="12" t="n">
        <v>2.18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20261029_2115</t>
        </is>
      </c>
      <c r="B57" s="13" t="n">
        <v>46324</v>
      </c>
      <c r="C57" s="14" t="n">
        <v>0.8854166666666666</v>
      </c>
      <c r="D57" s="23" t="inlineStr">
        <is>
          <t>UN Unico</t>
        </is>
      </c>
      <c r="E57" s="23" t="inlineStr">
        <is>
          <t>I5</t>
        </is>
      </c>
      <c r="F57" s="23">
        <f>IFERROR(INDEX(Tariffe!$B$2:$B$200,MATCH(E57,Tariffe!$A$2:$A$200,0)),"DA DEFINIRE")</f>
        <v/>
      </c>
      <c r="G57" s="16" t="n">
        <v>60</v>
      </c>
      <c r="H57" s="15" t="n">
        <v>1</v>
      </c>
      <c r="I57" s="15" t="n">
        <v>0</v>
      </c>
      <c r="J57" s="16" t="n">
        <v>60</v>
      </c>
      <c r="K57" s="16" t="n">
        <v>0</v>
      </c>
      <c r="L57" s="16" t="n">
        <v>54.55</v>
      </c>
      <c r="M57" s="16" t="n">
        <v>5.45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20261029_2115</t>
        </is>
      </c>
      <c r="B58" s="9" t="n">
        <v>46324</v>
      </c>
      <c r="C58" s="10" t="n">
        <v>0.8854166666666666</v>
      </c>
      <c r="D58" s="22" t="inlineStr">
        <is>
          <t>UN Unico</t>
        </is>
      </c>
      <c r="E58" s="22" t="inlineStr">
        <is>
          <t>I8</t>
        </is>
      </c>
      <c r="F58" s="22">
        <f>IFERROR(INDEX(Tariffe!$B$2:$B$200,MATCH(E58,Tariffe!$A$2:$A$200,0)),"DA DEFINIRE")</f>
        <v/>
      </c>
      <c r="G58" s="12" t="n">
        <v>24</v>
      </c>
      <c r="H58" s="11" t="n">
        <v>1</v>
      </c>
      <c r="I58" s="11" t="n">
        <v>0</v>
      </c>
      <c r="J58" s="12" t="n">
        <v>24</v>
      </c>
      <c r="K58" s="12" t="n">
        <v>0</v>
      </c>
      <c r="L58" s="12" t="n">
        <v>21.82</v>
      </c>
      <c r="M58" s="12" t="n">
        <v>2.18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20261029_2215</t>
        </is>
      </c>
      <c r="B59" s="13" t="n">
        <v>46324</v>
      </c>
      <c r="C59" s="14" t="n">
        <v>0.9270833333333334</v>
      </c>
      <c r="D59" s="23" t="inlineStr">
        <is>
          <t>UN Unico</t>
        </is>
      </c>
      <c r="E59" s="23" t="inlineStr">
        <is>
          <t>I1</t>
        </is>
      </c>
      <c r="F59" s="23">
        <f>IFERROR(INDEX(Tariffe!$B$2:$B$200,MATCH(E59,Tariffe!$A$2:$A$200,0)),"DA DEFINIRE")</f>
        <v/>
      </c>
      <c r="G59" s="16" t="n">
        <v>48</v>
      </c>
      <c r="H59" s="15" t="n">
        <v>5</v>
      </c>
      <c r="I59" s="15" t="n">
        <v>0</v>
      </c>
      <c r="J59" s="16" t="n">
        <v>240</v>
      </c>
      <c r="K59" s="16" t="n">
        <v>0</v>
      </c>
      <c r="L59" s="16" t="n">
        <v>218.2</v>
      </c>
      <c r="M59" s="16" t="n">
        <v>21.8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20261029_2215</t>
        </is>
      </c>
      <c r="B60" s="9" t="n">
        <v>46324</v>
      </c>
      <c r="C60" s="10" t="n">
        <v>0.9270833333333334</v>
      </c>
      <c r="D60" s="22" t="inlineStr">
        <is>
          <t>UN Unico</t>
        </is>
      </c>
      <c r="E60" s="22" t="inlineStr">
        <is>
          <t>I2</t>
        </is>
      </c>
      <c r="F60" s="22">
        <f>IFERROR(INDEX(Tariffe!$B$2:$B$200,MATCH(E60,Tariffe!$A$2:$A$200,0)),"DA DEFINIRE")</f>
        <v/>
      </c>
      <c r="G60" s="12" t="n">
        <v>36</v>
      </c>
      <c r="H60" s="11" t="n">
        <v>2</v>
      </c>
      <c r="I60" s="11" t="n">
        <v>0</v>
      </c>
      <c r="J60" s="12" t="n">
        <v>72</v>
      </c>
      <c r="K60" s="12" t="n">
        <v>0</v>
      </c>
      <c r="L60" s="12" t="n">
        <v>65.45999999999999</v>
      </c>
      <c r="M60" s="12" t="n">
        <v>6.54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20261029_2215</t>
        </is>
      </c>
      <c r="B61" s="13" t="n">
        <v>46324</v>
      </c>
      <c r="C61" s="14" t="n">
        <v>0.9270833333333334</v>
      </c>
      <c r="D61" s="23" t="inlineStr">
        <is>
          <t>UN Unico</t>
        </is>
      </c>
      <c r="E61" s="23" t="inlineStr">
        <is>
          <t>I8</t>
        </is>
      </c>
      <c r="F61" s="23">
        <f>IFERROR(INDEX(Tariffe!$B$2:$B$200,MATCH(E61,Tariffe!$A$2:$A$200,0)),"DA DEFINIRE")</f>
        <v/>
      </c>
      <c r="G61" s="16" t="n">
        <v>24</v>
      </c>
      <c r="H61" s="15" t="n">
        <v>5</v>
      </c>
      <c r="I61" s="15" t="n">
        <v>0</v>
      </c>
      <c r="J61" s="16" t="n">
        <v>120</v>
      </c>
      <c r="K61" s="16" t="n">
        <v>0</v>
      </c>
      <c r="L61" s="16" t="n">
        <v>109.1</v>
      </c>
      <c r="M61" s="16" t="n">
        <v>10.9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20261029_2315</t>
        </is>
      </c>
      <c r="B62" s="9" t="n">
        <v>46324</v>
      </c>
      <c r="C62" s="10" t="n">
        <v>0.96875</v>
      </c>
      <c r="D62" s="22" t="inlineStr">
        <is>
          <t>UN Unico</t>
        </is>
      </c>
      <c r="E62" s="22" t="inlineStr">
        <is>
          <t>I1</t>
        </is>
      </c>
      <c r="F62" s="22">
        <f>IFERROR(INDEX(Tariffe!$B$2:$B$200,MATCH(E62,Tariffe!$A$2:$A$200,0)),"DA DEFINIRE")</f>
        <v/>
      </c>
      <c r="G62" s="12" t="n">
        <v>48</v>
      </c>
      <c r="H62" s="11" t="n">
        <v>6</v>
      </c>
      <c r="I62" s="11" t="n">
        <v>0</v>
      </c>
      <c r="J62" s="12" t="n">
        <v>288</v>
      </c>
      <c r="K62" s="12" t="n">
        <v>0</v>
      </c>
      <c r="L62" s="12" t="n">
        <v>261.84</v>
      </c>
      <c r="M62" s="12" t="n">
        <v>26.16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20261029_2315</t>
        </is>
      </c>
      <c r="B63" s="13" t="n">
        <v>46324</v>
      </c>
      <c r="C63" s="14" t="n">
        <v>0.96875</v>
      </c>
      <c r="D63" s="23" t="inlineStr">
        <is>
          <t>UN Unico</t>
        </is>
      </c>
      <c r="E63" s="23" t="inlineStr">
        <is>
          <t>I2</t>
        </is>
      </c>
      <c r="F63" s="23">
        <f>IFERROR(INDEX(Tariffe!$B$2:$B$200,MATCH(E63,Tariffe!$A$2:$A$200,0)),"DA DEFINIRE")</f>
        <v/>
      </c>
      <c r="G63" s="16" t="n">
        <v>36</v>
      </c>
      <c r="H63" s="15" t="n">
        <v>1</v>
      </c>
      <c r="I63" s="15" t="n">
        <v>0</v>
      </c>
      <c r="J63" s="16" t="n">
        <v>36</v>
      </c>
      <c r="K63" s="16" t="n">
        <v>0</v>
      </c>
      <c r="L63" s="16" t="n">
        <v>32.73</v>
      </c>
      <c r="M63" s="16" t="n">
        <v>3.27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20261029_2315</t>
        </is>
      </c>
      <c r="B64" s="9" t="n">
        <v>46324</v>
      </c>
      <c r="C64" s="10" t="n">
        <v>0.96875</v>
      </c>
      <c r="D64" s="22" t="inlineStr">
        <is>
          <t>UN Unico</t>
        </is>
      </c>
      <c r="E64" s="22" t="inlineStr">
        <is>
          <t>I5</t>
        </is>
      </c>
      <c r="F64" s="22">
        <f>IFERROR(INDEX(Tariffe!$B$2:$B$200,MATCH(E64,Tariffe!$A$2:$A$200,0)),"DA DEFINIRE")</f>
        <v/>
      </c>
      <c r="G64" s="12" t="n">
        <v>60</v>
      </c>
      <c r="H64" s="11" t="n">
        <v>4</v>
      </c>
      <c r="I64" s="11" t="n">
        <v>0</v>
      </c>
      <c r="J64" s="12" t="n">
        <v>240</v>
      </c>
      <c r="K64" s="12" t="n">
        <v>0</v>
      </c>
      <c r="L64" s="12" t="n">
        <v>218.2</v>
      </c>
      <c r="M64" s="12" t="n">
        <v>21.8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H64*O64</f>
        <v/>
      </c>
    </row>
    <row r="65">
      <c r="A65" s="23" t="inlineStr">
        <is>
          <t>20261029_2315</t>
        </is>
      </c>
      <c r="B65" s="13" t="n">
        <v>46324</v>
      </c>
      <c r="C65" s="14" t="n">
        <v>0.96875</v>
      </c>
      <c r="D65" s="23" t="inlineStr">
        <is>
          <t>UN Unico</t>
        </is>
      </c>
      <c r="E65" s="23" t="inlineStr">
        <is>
          <t>I8</t>
        </is>
      </c>
      <c r="F65" s="23">
        <f>IFERROR(INDEX(Tariffe!$B$2:$B$200,MATCH(E65,Tariffe!$A$2:$A$200,0)),"DA DEFINIRE")</f>
        <v/>
      </c>
      <c r="G65" s="16" t="n">
        <v>24</v>
      </c>
      <c r="H65" s="15" t="n">
        <v>3</v>
      </c>
      <c r="I65" s="15" t="n">
        <v>0</v>
      </c>
      <c r="J65" s="16" t="n">
        <v>72</v>
      </c>
      <c r="K65" s="16" t="n">
        <v>0</v>
      </c>
      <c r="L65" s="16" t="n">
        <v>65.45999999999999</v>
      </c>
      <c r="M65" s="16" t="n">
        <v>6.54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H65*O65</f>
        <v/>
      </c>
    </row>
    <row r="66">
      <c r="A66" s="22" t="inlineStr">
        <is>
          <t>20261029_2359</t>
        </is>
      </c>
      <c r="B66" s="9" t="n">
        <v>46324</v>
      </c>
      <c r="C66" s="10" t="n">
        <v>0.9993055555555556</v>
      </c>
      <c r="D66" s="22" t="inlineStr">
        <is>
          <t>UN Unico</t>
        </is>
      </c>
      <c r="E66" s="22" t="inlineStr">
        <is>
          <t>I8</t>
        </is>
      </c>
      <c r="F66" s="22">
        <f>IFERROR(INDEX(Tariffe!$B$2:$B$200,MATCH(E66,Tariffe!$A$2:$A$200,0)),"DA DEFINIRE")</f>
        <v/>
      </c>
      <c r="G66" s="12" t="n">
        <v>24</v>
      </c>
      <c r="H66" s="11" t="n">
        <v>3</v>
      </c>
      <c r="I66" s="11" t="n">
        <v>0</v>
      </c>
      <c r="J66" s="12" t="n">
        <v>72</v>
      </c>
      <c r="K66" s="12" t="n">
        <v>0</v>
      </c>
      <c r="L66" s="12" t="n">
        <v>65.45999999999999</v>
      </c>
      <c r="M66" s="12" t="n">
        <v>6.54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H66*O66</f>
        <v/>
      </c>
    </row>
    <row r="67">
      <c r="A67" s="23" t="inlineStr">
        <is>
          <t>20261030_2015</t>
        </is>
      </c>
      <c r="B67" s="13" t="n">
        <v>46325</v>
      </c>
      <c r="C67" s="14" t="n">
        <v>0.84375</v>
      </c>
      <c r="D67" s="23" t="inlineStr">
        <is>
          <t>UN Unico</t>
        </is>
      </c>
      <c r="E67" s="23" t="inlineStr">
        <is>
          <t>I1</t>
        </is>
      </c>
      <c r="F67" s="23">
        <f>IFERROR(INDEX(Tariffe!$B$2:$B$200,MATCH(E67,Tariffe!$A$2:$A$200,0)),"DA DEFINIRE")</f>
        <v/>
      </c>
      <c r="G67" s="16" t="n">
        <v>48</v>
      </c>
      <c r="H67" s="15" t="n">
        <v>1</v>
      </c>
      <c r="I67" s="15" t="n">
        <v>0</v>
      </c>
      <c r="J67" s="16" t="n">
        <v>48</v>
      </c>
      <c r="K67" s="16" t="n">
        <v>0</v>
      </c>
      <c r="L67" s="16" t="n">
        <v>43.64</v>
      </c>
      <c r="M67" s="16" t="n">
        <v>4.36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H67*O67</f>
        <v/>
      </c>
    </row>
    <row r="68">
      <c r="A68" s="22" t="inlineStr">
        <is>
          <t>20261030_2015</t>
        </is>
      </c>
      <c r="B68" s="9" t="n">
        <v>46325</v>
      </c>
      <c r="C68" s="10" t="n">
        <v>0.84375</v>
      </c>
      <c r="D68" s="22" t="inlineStr">
        <is>
          <t>UN Unico</t>
        </is>
      </c>
      <c r="E68" s="22" t="inlineStr">
        <is>
          <t>I8</t>
        </is>
      </c>
      <c r="F68" s="22">
        <f>IFERROR(INDEX(Tariffe!$B$2:$B$200,MATCH(E68,Tariffe!$A$2:$A$200,0)),"DA DEFINIRE")</f>
        <v/>
      </c>
      <c r="G68" s="12" t="n">
        <v>24</v>
      </c>
      <c r="H68" s="11" t="n">
        <v>1</v>
      </c>
      <c r="I68" s="11" t="n">
        <v>0</v>
      </c>
      <c r="J68" s="12" t="n">
        <v>24</v>
      </c>
      <c r="K68" s="12" t="n">
        <v>0</v>
      </c>
      <c r="L68" s="12" t="n">
        <v>21.82</v>
      </c>
      <c r="M68" s="12" t="n">
        <v>2.18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H68*O68</f>
        <v/>
      </c>
    </row>
    <row r="69">
      <c r="A69" s="23" t="inlineStr">
        <is>
          <t>20261030_2115</t>
        </is>
      </c>
      <c r="B69" s="13" t="n">
        <v>46325</v>
      </c>
      <c r="C69" s="14" t="n">
        <v>0.8854166666666666</v>
      </c>
      <c r="D69" s="23" t="inlineStr">
        <is>
          <t>UN Unico</t>
        </is>
      </c>
      <c r="E69" s="23" t="inlineStr">
        <is>
          <t>I1</t>
        </is>
      </c>
      <c r="F69" s="23">
        <f>IFERROR(INDEX(Tariffe!$B$2:$B$200,MATCH(E69,Tariffe!$A$2:$A$200,0)),"DA DEFINIRE")</f>
        <v/>
      </c>
      <c r="G69" s="16" t="n">
        <v>48</v>
      </c>
      <c r="H69" s="15" t="n">
        <v>1</v>
      </c>
      <c r="I69" s="15" t="n">
        <v>0</v>
      </c>
      <c r="J69" s="16" t="n">
        <v>48</v>
      </c>
      <c r="K69" s="16" t="n">
        <v>0</v>
      </c>
      <c r="L69" s="16" t="n">
        <v>43.64</v>
      </c>
      <c r="M69" s="16" t="n">
        <v>4.36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H69*O69</f>
        <v/>
      </c>
    </row>
    <row r="70">
      <c r="A70" s="22" t="inlineStr">
        <is>
          <t>20261030_2115</t>
        </is>
      </c>
      <c r="B70" s="9" t="n">
        <v>46325</v>
      </c>
      <c r="C70" s="10" t="n">
        <v>0.8854166666666666</v>
      </c>
      <c r="D70" s="22" t="inlineStr">
        <is>
          <t>UN Unico</t>
        </is>
      </c>
      <c r="E70" s="22" t="inlineStr">
        <is>
          <t>I8</t>
        </is>
      </c>
      <c r="F70" s="22">
        <f>IFERROR(INDEX(Tariffe!$B$2:$B$200,MATCH(E70,Tariffe!$A$2:$A$200,0)),"DA DEFINIRE")</f>
        <v/>
      </c>
      <c r="G70" s="12" t="n">
        <v>24</v>
      </c>
      <c r="H70" s="11" t="n">
        <v>3</v>
      </c>
      <c r="I70" s="11" t="n">
        <v>0</v>
      </c>
      <c r="J70" s="12" t="n">
        <v>72</v>
      </c>
      <c r="K70" s="12" t="n">
        <v>0</v>
      </c>
      <c r="L70" s="12" t="n">
        <v>65.45999999999999</v>
      </c>
      <c r="M70" s="12" t="n">
        <v>6.54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H70*O70</f>
        <v/>
      </c>
    </row>
    <row r="71">
      <c r="A71" s="23" t="inlineStr">
        <is>
          <t>20261030_2215</t>
        </is>
      </c>
      <c r="B71" s="13" t="n">
        <v>46325</v>
      </c>
      <c r="C71" s="14" t="n">
        <v>0.9270833333333334</v>
      </c>
      <c r="D71" s="23" t="inlineStr">
        <is>
          <t>UN Unico</t>
        </is>
      </c>
      <c r="E71" s="23" t="inlineStr">
        <is>
          <t>I1</t>
        </is>
      </c>
      <c r="F71" s="23">
        <f>IFERROR(INDEX(Tariffe!$B$2:$B$200,MATCH(E71,Tariffe!$A$2:$A$200,0)),"DA DEFINIRE")</f>
        <v/>
      </c>
      <c r="G71" s="16" t="n">
        <v>48</v>
      </c>
      <c r="H71" s="15" t="n">
        <v>7</v>
      </c>
      <c r="I71" s="15" t="n">
        <v>0</v>
      </c>
      <c r="J71" s="16" t="n">
        <v>336</v>
      </c>
      <c r="K71" s="16" t="n">
        <v>0</v>
      </c>
      <c r="L71" s="16" t="n">
        <v>305.48</v>
      </c>
      <c r="M71" s="16" t="n">
        <v>30.52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H71*O71</f>
        <v/>
      </c>
    </row>
    <row r="72">
      <c r="A72" s="22" t="inlineStr">
        <is>
          <t>20261030_2215</t>
        </is>
      </c>
      <c r="B72" s="9" t="n">
        <v>46325</v>
      </c>
      <c r="C72" s="10" t="n">
        <v>0.9270833333333334</v>
      </c>
      <c r="D72" s="22" t="inlineStr">
        <is>
          <t>UN Unico</t>
        </is>
      </c>
      <c r="E72" s="22" t="inlineStr">
        <is>
          <t>I8</t>
        </is>
      </c>
      <c r="F72" s="22">
        <f>IFERROR(INDEX(Tariffe!$B$2:$B$200,MATCH(E72,Tariffe!$A$2:$A$200,0)),"DA DEFINIRE")</f>
        <v/>
      </c>
      <c r="G72" s="12" t="n">
        <v>24</v>
      </c>
      <c r="H72" s="11" t="n">
        <v>6</v>
      </c>
      <c r="I72" s="11" t="n">
        <v>3</v>
      </c>
      <c r="J72" s="12" t="n">
        <v>144</v>
      </c>
      <c r="K72" s="12" t="n">
        <v>0</v>
      </c>
      <c r="L72" s="12" t="n">
        <v>130.92</v>
      </c>
      <c r="M72" s="12" t="n">
        <v>13.08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H72*O72</f>
        <v/>
      </c>
    </row>
    <row r="73">
      <c r="A73" s="23" t="inlineStr">
        <is>
          <t>20261030_2315</t>
        </is>
      </c>
      <c r="B73" s="13" t="n">
        <v>46325</v>
      </c>
      <c r="C73" s="14" t="n">
        <v>0.96875</v>
      </c>
      <c r="D73" s="23" t="inlineStr">
        <is>
          <t>UN Unico</t>
        </is>
      </c>
      <c r="E73" s="23" t="inlineStr">
        <is>
          <t>I1</t>
        </is>
      </c>
      <c r="F73" s="23">
        <f>IFERROR(INDEX(Tariffe!$B$2:$B$200,MATCH(E73,Tariffe!$A$2:$A$200,0)),"DA DEFINIRE")</f>
        <v/>
      </c>
      <c r="G73" s="16" t="n">
        <v>48</v>
      </c>
      <c r="H73" s="15" t="n">
        <v>4</v>
      </c>
      <c r="I73" s="15" t="n">
        <v>0</v>
      </c>
      <c r="J73" s="16" t="n">
        <v>192</v>
      </c>
      <c r="K73" s="16" t="n">
        <v>0</v>
      </c>
      <c r="L73" s="16" t="n">
        <v>174.56</v>
      </c>
      <c r="M73" s="16" t="n">
        <v>17.44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H73*O73</f>
        <v/>
      </c>
    </row>
    <row r="74">
      <c r="A74" s="22" t="inlineStr">
        <is>
          <t>20261030_2315</t>
        </is>
      </c>
      <c r="B74" s="9" t="n">
        <v>46325</v>
      </c>
      <c r="C74" s="10" t="n">
        <v>0.96875</v>
      </c>
      <c r="D74" s="22" t="inlineStr">
        <is>
          <t>UN Unico</t>
        </is>
      </c>
      <c r="E74" s="22" t="inlineStr">
        <is>
          <t>I5</t>
        </is>
      </c>
      <c r="F74" s="22">
        <f>IFERROR(INDEX(Tariffe!$B$2:$B$200,MATCH(E74,Tariffe!$A$2:$A$200,0)),"DA DEFINIRE")</f>
        <v/>
      </c>
      <c r="G74" s="12" t="n">
        <v>60</v>
      </c>
      <c r="H74" s="11" t="n">
        <v>1</v>
      </c>
      <c r="I74" s="11" t="n">
        <v>0</v>
      </c>
      <c r="J74" s="12" t="n">
        <v>60</v>
      </c>
      <c r="K74" s="12" t="n">
        <v>0</v>
      </c>
      <c r="L74" s="12" t="n">
        <v>54.55</v>
      </c>
      <c r="M74" s="12" t="n">
        <v>5.45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H74*O74</f>
        <v/>
      </c>
    </row>
    <row r="75">
      <c r="A75" s="23" t="inlineStr">
        <is>
          <t>20261030_2315</t>
        </is>
      </c>
      <c r="B75" s="13" t="n">
        <v>46325</v>
      </c>
      <c r="C75" s="14" t="n">
        <v>0.96875</v>
      </c>
      <c r="D75" s="23" t="inlineStr">
        <is>
          <t>UN Unico</t>
        </is>
      </c>
      <c r="E75" s="23" t="inlineStr">
        <is>
          <t>I8</t>
        </is>
      </c>
      <c r="F75" s="23">
        <f>IFERROR(INDEX(Tariffe!$B$2:$B$200,MATCH(E75,Tariffe!$A$2:$A$200,0)),"DA DEFINIRE")</f>
        <v/>
      </c>
      <c r="G75" s="16" t="n">
        <v>24</v>
      </c>
      <c r="H75" s="15" t="n">
        <v>4</v>
      </c>
      <c r="I75" s="15" t="n">
        <v>0</v>
      </c>
      <c r="J75" s="16" t="n">
        <v>96</v>
      </c>
      <c r="K75" s="16" t="n">
        <v>0</v>
      </c>
      <c r="L75" s="16" t="n">
        <v>87.28</v>
      </c>
      <c r="M75" s="16" t="n">
        <v>8.720000000000001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H75*O75</f>
        <v/>
      </c>
    </row>
    <row r="76">
      <c r="A76" s="22" t="inlineStr">
        <is>
          <t>20261030_2359</t>
        </is>
      </c>
      <c r="B76" s="9" t="n">
        <v>46325</v>
      </c>
      <c r="C76" s="10" t="n">
        <v>0.9993055555555556</v>
      </c>
      <c r="D76" s="22" t="inlineStr">
        <is>
          <t>UN Unico</t>
        </is>
      </c>
      <c r="E76" s="22" t="inlineStr">
        <is>
          <t>I1</t>
        </is>
      </c>
      <c r="F76" s="22">
        <f>IFERROR(INDEX(Tariffe!$B$2:$B$200,MATCH(E76,Tariffe!$A$2:$A$200,0)),"DA DEFINIRE")</f>
        <v/>
      </c>
      <c r="G76" s="12" t="n">
        <v>48</v>
      </c>
      <c r="H76" s="11" t="n">
        <v>1</v>
      </c>
      <c r="I76" s="11" t="n">
        <v>0</v>
      </c>
      <c r="J76" s="12" t="n">
        <v>48</v>
      </c>
      <c r="K76" s="12" t="n">
        <v>0</v>
      </c>
      <c r="L76" s="12" t="n">
        <v>43.64</v>
      </c>
      <c r="M76" s="12" t="n">
        <v>4.36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H76*O76</f>
        <v/>
      </c>
    </row>
    <row r="77">
      <c r="A77" s="23" t="inlineStr">
        <is>
          <t>20261030_2359</t>
        </is>
      </c>
      <c r="B77" s="13" t="n">
        <v>46325</v>
      </c>
      <c r="C77" s="14" t="n">
        <v>0.9993055555555556</v>
      </c>
      <c r="D77" s="23" t="inlineStr">
        <is>
          <t>UN Unico</t>
        </is>
      </c>
      <c r="E77" s="23" t="inlineStr">
        <is>
          <t>I5</t>
        </is>
      </c>
      <c r="F77" s="23">
        <f>IFERROR(INDEX(Tariffe!$B$2:$B$200,MATCH(E77,Tariffe!$A$2:$A$200,0)),"DA DEFINIRE")</f>
        <v/>
      </c>
      <c r="G77" s="16" t="n">
        <v>60</v>
      </c>
      <c r="H77" s="15" t="n">
        <v>1</v>
      </c>
      <c r="I77" s="15" t="n">
        <v>0</v>
      </c>
      <c r="J77" s="16" t="n">
        <v>60</v>
      </c>
      <c r="K77" s="16" t="n">
        <v>0</v>
      </c>
      <c r="L77" s="16" t="n">
        <v>54.55</v>
      </c>
      <c r="M77" s="16" t="n">
        <v>5.45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H77*O77</f>
        <v/>
      </c>
    </row>
    <row r="78">
      <c r="A78" s="22" t="inlineStr">
        <is>
          <t>20261030_2359</t>
        </is>
      </c>
      <c r="B78" s="9" t="n">
        <v>46325</v>
      </c>
      <c r="C78" s="10" t="n">
        <v>0.9993055555555556</v>
      </c>
      <c r="D78" s="22" t="inlineStr">
        <is>
          <t>UN Unico</t>
        </is>
      </c>
      <c r="E78" s="22" t="inlineStr">
        <is>
          <t>I8</t>
        </is>
      </c>
      <c r="F78" s="22">
        <f>IFERROR(INDEX(Tariffe!$B$2:$B$200,MATCH(E78,Tariffe!$A$2:$A$200,0)),"DA DEFINIRE")</f>
        <v/>
      </c>
      <c r="G78" s="12" t="n">
        <v>24</v>
      </c>
      <c r="H78" s="11" t="n">
        <v>6</v>
      </c>
      <c r="I78" s="11" t="n">
        <v>0</v>
      </c>
      <c r="J78" s="12" t="n">
        <v>144</v>
      </c>
      <c r="K78" s="12" t="n">
        <v>0</v>
      </c>
      <c r="L78" s="12" t="n">
        <v>130.92</v>
      </c>
      <c r="M78" s="12" t="n">
        <v>13.08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H78*O78</f>
        <v/>
      </c>
    </row>
    <row r="79">
      <c r="A79" s="23" t="inlineStr">
        <is>
          <t>20261031_2015</t>
        </is>
      </c>
      <c r="B79" s="13" t="n">
        <v>46326</v>
      </c>
      <c r="C79" s="14" t="n">
        <v>0.84375</v>
      </c>
      <c r="D79" s="23" t="inlineStr">
        <is>
          <t>UN Unico</t>
        </is>
      </c>
      <c r="E79" s="23" t="inlineStr">
        <is>
          <t>I1</t>
        </is>
      </c>
      <c r="F79" s="23">
        <f>IFERROR(INDEX(Tariffe!$B$2:$B$200,MATCH(E79,Tariffe!$A$2:$A$200,0)),"DA DEFINIRE")</f>
        <v/>
      </c>
      <c r="G79" s="16" t="n">
        <v>48</v>
      </c>
      <c r="H79" s="15" t="n">
        <v>2</v>
      </c>
      <c r="I79" s="15" t="n">
        <v>0</v>
      </c>
      <c r="J79" s="16" t="n">
        <v>96</v>
      </c>
      <c r="K79" s="16" t="n">
        <v>0</v>
      </c>
      <c r="L79" s="16" t="n">
        <v>87.28</v>
      </c>
      <c r="M79" s="16" t="n">
        <v>8.720000000000001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H79*O79</f>
        <v/>
      </c>
    </row>
    <row r="80">
      <c r="A80" s="22" t="inlineStr">
        <is>
          <t>20261031_2015</t>
        </is>
      </c>
      <c r="B80" s="9" t="n">
        <v>46326</v>
      </c>
      <c r="C80" s="10" t="n">
        <v>0.84375</v>
      </c>
      <c r="D80" s="22" t="inlineStr">
        <is>
          <t>UN Unico</t>
        </is>
      </c>
      <c r="E80" s="22" t="inlineStr">
        <is>
          <t>I5</t>
        </is>
      </c>
      <c r="F80" s="22">
        <f>IFERROR(INDEX(Tariffe!$B$2:$B$200,MATCH(E80,Tariffe!$A$2:$A$200,0)),"DA DEFINIRE")</f>
        <v/>
      </c>
      <c r="G80" s="12" t="n">
        <v>60</v>
      </c>
      <c r="H80" s="11" t="n">
        <v>3</v>
      </c>
      <c r="I80" s="11" t="n">
        <v>2</v>
      </c>
      <c r="J80" s="12" t="n">
        <v>180</v>
      </c>
      <c r="K80" s="12" t="n">
        <v>0</v>
      </c>
      <c r="L80" s="12" t="n">
        <v>163.65</v>
      </c>
      <c r="M80" s="12" t="n">
        <v>16.35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H80*O80</f>
        <v/>
      </c>
    </row>
    <row r="81">
      <c r="A81" s="23" t="inlineStr">
        <is>
          <t>20261031_2015</t>
        </is>
      </c>
      <c r="B81" s="13" t="n">
        <v>46326</v>
      </c>
      <c r="C81" s="14" t="n">
        <v>0.84375</v>
      </c>
      <c r="D81" s="23" t="inlineStr">
        <is>
          <t>UN Unico</t>
        </is>
      </c>
      <c r="E81" s="23" t="inlineStr">
        <is>
          <t>I8</t>
        </is>
      </c>
      <c r="F81" s="23">
        <f>IFERROR(INDEX(Tariffe!$B$2:$B$200,MATCH(E81,Tariffe!$A$2:$A$200,0)),"DA DEFINIRE")</f>
        <v/>
      </c>
      <c r="G81" s="16" t="n">
        <v>24</v>
      </c>
      <c r="H81" s="15" t="n">
        <v>1</v>
      </c>
      <c r="I81" s="15" t="n">
        <v>0</v>
      </c>
      <c r="J81" s="16" t="n">
        <v>24</v>
      </c>
      <c r="K81" s="16" t="n">
        <v>0</v>
      </c>
      <c r="L81" s="16" t="n">
        <v>21.82</v>
      </c>
      <c r="M81" s="16" t="n">
        <v>2.18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H81*O81</f>
        <v/>
      </c>
    </row>
    <row r="82">
      <c r="A82" s="22" t="inlineStr">
        <is>
          <t>20261031_2115</t>
        </is>
      </c>
      <c r="B82" s="9" t="n">
        <v>46326</v>
      </c>
      <c r="C82" s="10" t="n">
        <v>0.8854166666666666</v>
      </c>
      <c r="D82" s="22" t="inlineStr">
        <is>
          <t>UN Unico</t>
        </is>
      </c>
      <c r="E82" s="22" t="inlineStr">
        <is>
          <t>I1</t>
        </is>
      </c>
      <c r="F82" s="22">
        <f>IFERROR(INDEX(Tariffe!$B$2:$B$200,MATCH(E82,Tariffe!$A$2:$A$200,0)),"DA DEFINIRE")</f>
        <v/>
      </c>
      <c r="G82" s="12" t="n">
        <v>48</v>
      </c>
      <c r="H82" s="11" t="n">
        <v>6</v>
      </c>
      <c r="I82" s="11" t="n">
        <v>0</v>
      </c>
      <c r="J82" s="12" t="n">
        <v>288</v>
      </c>
      <c r="K82" s="12" t="n">
        <v>0</v>
      </c>
      <c r="L82" s="12" t="n">
        <v>261.84</v>
      </c>
      <c r="M82" s="12" t="n">
        <v>26.16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H82*O82</f>
        <v/>
      </c>
    </row>
    <row r="83">
      <c r="A83" s="23" t="inlineStr">
        <is>
          <t>20261031_2115</t>
        </is>
      </c>
      <c r="B83" s="13" t="n">
        <v>46326</v>
      </c>
      <c r="C83" s="14" t="n">
        <v>0.8854166666666666</v>
      </c>
      <c r="D83" s="23" t="inlineStr">
        <is>
          <t>UN Unico</t>
        </is>
      </c>
      <c r="E83" s="23" t="inlineStr">
        <is>
          <t>I5</t>
        </is>
      </c>
      <c r="F83" s="23">
        <f>IFERROR(INDEX(Tariffe!$B$2:$B$200,MATCH(E83,Tariffe!$A$2:$A$200,0)),"DA DEFINIRE")</f>
        <v/>
      </c>
      <c r="G83" s="16" t="n">
        <v>60</v>
      </c>
      <c r="H83" s="15" t="n">
        <v>2</v>
      </c>
      <c r="I83" s="15" t="n">
        <v>0</v>
      </c>
      <c r="J83" s="16" t="n">
        <v>120</v>
      </c>
      <c r="K83" s="16" t="n">
        <v>0</v>
      </c>
      <c r="L83" s="16" t="n">
        <v>109.1</v>
      </c>
      <c r="M83" s="16" t="n">
        <v>10.9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H83*O83</f>
        <v/>
      </c>
    </row>
    <row r="84">
      <c r="A84" s="22" t="inlineStr">
        <is>
          <t>20261031_2115</t>
        </is>
      </c>
      <c r="B84" s="9" t="n">
        <v>46326</v>
      </c>
      <c r="C84" s="10" t="n">
        <v>0.8854166666666666</v>
      </c>
      <c r="D84" s="22" t="inlineStr">
        <is>
          <t>UN Unico</t>
        </is>
      </c>
      <c r="E84" s="22" t="inlineStr">
        <is>
          <t>I8</t>
        </is>
      </c>
      <c r="F84" s="22">
        <f>IFERROR(INDEX(Tariffe!$B$2:$B$200,MATCH(E84,Tariffe!$A$2:$A$200,0)),"DA DEFINIRE")</f>
        <v/>
      </c>
      <c r="G84" s="12" t="n">
        <v>24</v>
      </c>
      <c r="H84" s="11" t="n">
        <v>5</v>
      </c>
      <c r="I84" s="11" t="n">
        <v>0</v>
      </c>
      <c r="J84" s="12" t="n">
        <v>120</v>
      </c>
      <c r="K84" s="12" t="n">
        <v>0</v>
      </c>
      <c r="L84" s="12" t="n">
        <v>109.1</v>
      </c>
      <c r="M84" s="12" t="n">
        <v>10.9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H84*O84</f>
        <v/>
      </c>
    </row>
    <row r="85">
      <c r="A85" s="23" t="inlineStr">
        <is>
          <t>20261031_2215</t>
        </is>
      </c>
      <c r="B85" s="13" t="n">
        <v>46326</v>
      </c>
      <c r="C85" s="14" t="n">
        <v>0.9270833333333334</v>
      </c>
      <c r="D85" s="23" t="inlineStr">
        <is>
          <t>UN Unico</t>
        </is>
      </c>
      <c r="E85" s="23" t="inlineStr">
        <is>
          <t>I1</t>
        </is>
      </c>
      <c r="F85" s="23">
        <f>IFERROR(INDEX(Tariffe!$B$2:$B$200,MATCH(E85,Tariffe!$A$2:$A$200,0)),"DA DEFINIRE")</f>
        <v/>
      </c>
      <c r="G85" s="16" t="n">
        <v>48</v>
      </c>
      <c r="H85" s="15" t="n">
        <v>5</v>
      </c>
      <c r="I85" s="15" t="n">
        <v>3</v>
      </c>
      <c r="J85" s="16" t="n">
        <v>240</v>
      </c>
      <c r="K85" s="16" t="n">
        <v>0</v>
      </c>
      <c r="L85" s="16" t="n">
        <v>218.2</v>
      </c>
      <c r="M85" s="16" t="n">
        <v>21.8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H85*O85</f>
        <v/>
      </c>
    </row>
    <row r="86">
      <c r="A86" s="22" t="inlineStr">
        <is>
          <t>20261031_2215</t>
        </is>
      </c>
      <c r="B86" s="9" t="n">
        <v>46326</v>
      </c>
      <c r="C86" s="10" t="n">
        <v>0.9270833333333334</v>
      </c>
      <c r="D86" s="22" t="inlineStr">
        <is>
          <t>UN Unico</t>
        </is>
      </c>
      <c r="E86" s="22" t="inlineStr">
        <is>
          <t>I2</t>
        </is>
      </c>
      <c r="F86" s="22">
        <f>IFERROR(INDEX(Tariffe!$B$2:$B$200,MATCH(E86,Tariffe!$A$2:$A$200,0)),"DA DEFINIRE")</f>
        <v/>
      </c>
      <c r="G86" s="12" t="n">
        <v>36</v>
      </c>
      <c r="H86" s="11" t="n">
        <v>2</v>
      </c>
      <c r="I86" s="11" t="n">
        <v>0</v>
      </c>
      <c r="J86" s="12" t="n">
        <v>72</v>
      </c>
      <c r="K86" s="12" t="n">
        <v>0</v>
      </c>
      <c r="L86" s="12" t="n">
        <v>65.45999999999999</v>
      </c>
      <c r="M86" s="12" t="n">
        <v>6.54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H86*O86</f>
        <v/>
      </c>
    </row>
    <row r="87">
      <c r="A87" s="23" t="inlineStr">
        <is>
          <t>20261031_2215</t>
        </is>
      </c>
      <c r="B87" s="13" t="n">
        <v>46326</v>
      </c>
      <c r="C87" s="14" t="n">
        <v>0.9270833333333334</v>
      </c>
      <c r="D87" s="23" t="inlineStr">
        <is>
          <t>UN Unico</t>
        </is>
      </c>
      <c r="E87" s="23" t="inlineStr">
        <is>
          <t>I8</t>
        </is>
      </c>
      <c r="F87" s="23">
        <f>IFERROR(INDEX(Tariffe!$B$2:$B$200,MATCH(E87,Tariffe!$A$2:$A$200,0)),"DA DEFINIRE")</f>
        <v/>
      </c>
      <c r="G87" s="16" t="n">
        <v>24</v>
      </c>
      <c r="H87" s="15" t="n">
        <v>14</v>
      </c>
      <c r="I87" s="15" t="n">
        <v>0</v>
      </c>
      <c r="J87" s="16" t="n">
        <v>336</v>
      </c>
      <c r="K87" s="16" t="n">
        <v>0</v>
      </c>
      <c r="L87" s="16" t="n">
        <v>305.48</v>
      </c>
      <c r="M87" s="16" t="n">
        <v>30.52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H87*O87</f>
        <v/>
      </c>
    </row>
    <row r="88">
      <c r="A88" s="22" t="inlineStr">
        <is>
          <t>20261031_2315</t>
        </is>
      </c>
      <c r="B88" s="9" t="n">
        <v>46326</v>
      </c>
      <c r="C88" s="10" t="n">
        <v>0.96875</v>
      </c>
      <c r="D88" s="22" t="inlineStr">
        <is>
          <t>UN Unico</t>
        </is>
      </c>
      <c r="E88" s="22" t="inlineStr">
        <is>
          <t>I1</t>
        </is>
      </c>
      <c r="F88" s="22">
        <f>IFERROR(INDEX(Tariffe!$B$2:$B$200,MATCH(E88,Tariffe!$A$2:$A$200,0)),"DA DEFINIRE")</f>
        <v/>
      </c>
      <c r="G88" s="12" t="n">
        <v>48</v>
      </c>
      <c r="H88" s="11" t="n">
        <v>14</v>
      </c>
      <c r="I88" s="11" t="n">
        <v>0</v>
      </c>
      <c r="J88" s="12" t="n">
        <v>672</v>
      </c>
      <c r="K88" s="12" t="n">
        <v>0</v>
      </c>
      <c r="L88" s="12" t="n">
        <v>610.96</v>
      </c>
      <c r="M88" s="12" t="n">
        <v>61.04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H88*O88</f>
        <v/>
      </c>
    </row>
    <row r="89">
      <c r="A89" s="23" t="inlineStr">
        <is>
          <t>20261031_2315</t>
        </is>
      </c>
      <c r="B89" s="13" t="n">
        <v>46326</v>
      </c>
      <c r="C89" s="14" t="n">
        <v>0.96875</v>
      </c>
      <c r="D89" s="23" t="inlineStr">
        <is>
          <t>UN Unico</t>
        </is>
      </c>
      <c r="E89" s="23" t="inlineStr">
        <is>
          <t>I5</t>
        </is>
      </c>
      <c r="F89" s="23">
        <f>IFERROR(INDEX(Tariffe!$B$2:$B$200,MATCH(E89,Tariffe!$A$2:$A$200,0)),"DA DEFINIRE")</f>
        <v/>
      </c>
      <c r="G89" s="16" t="n">
        <v>60</v>
      </c>
      <c r="H89" s="15" t="n">
        <v>1</v>
      </c>
      <c r="I89" s="15" t="n">
        <v>0</v>
      </c>
      <c r="J89" s="16" t="n">
        <v>60</v>
      </c>
      <c r="K89" s="16" t="n">
        <v>0</v>
      </c>
      <c r="L89" s="16" t="n">
        <v>54.55</v>
      </c>
      <c r="M89" s="16" t="n">
        <v>5.45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H89*O89</f>
        <v/>
      </c>
    </row>
    <row r="90">
      <c r="A90" s="22" t="inlineStr">
        <is>
          <t>20261031_2315</t>
        </is>
      </c>
      <c r="B90" s="9" t="n">
        <v>46326</v>
      </c>
      <c r="C90" s="10" t="n">
        <v>0.96875</v>
      </c>
      <c r="D90" s="22" t="inlineStr">
        <is>
          <t>UN Unico</t>
        </is>
      </c>
      <c r="E90" s="22" t="inlineStr">
        <is>
          <t>I8</t>
        </is>
      </c>
      <c r="F90" s="22">
        <f>IFERROR(INDEX(Tariffe!$B$2:$B$200,MATCH(E90,Tariffe!$A$2:$A$200,0)),"DA DEFINIRE")</f>
        <v/>
      </c>
      <c r="G90" s="12" t="n">
        <v>24</v>
      </c>
      <c r="H90" s="11" t="n">
        <v>12</v>
      </c>
      <c r="I90" s="11" t="n">
        <v>0</v>
      </c>
      <c r="J90" s="12" t="n">
        <v>288</v>
      </c>
      <c r="K90" s="12" t="n">
        <v>0</v>
      </c>
      <c r="L90" s="12" t="n">
        <v>261.84</v>
      </c>
      <c r="M90" s="12" t="n">
        <v>26.16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H90*O90</f>
        <v/>
      </c>
    </row>
    <row r="91">
      <c r="A91" s="23" t="inlineStr">
        <is>
          <t>20261031_2359</t>
        </is>
      </c>
      <c r="B91" s="13" t="n">
        <v>46326</v>
      </c>
      <c r="C91" s="14" t="n">
        <v>0.9993055555555556</v>
      </c>
      <c r="D91" s="23" t="inlineStr">
        <is>
          <t>UN Unico</t>
        </is>
      </c>
      <c r="E91" s="23" t="inlineStr">
        <is>
          <t>I1</t>
        </is>
      </c>
      <c r="F91" s="23">
        <f>IFERROR(INDEX(Tariffe!$B$2:$B$200,MATCH(E91,Tariffe!$A$2:$A$200,0)),"DA DEFINIRE")</f>
        <v/>
      </c>
      <c r="G91" s="16" t="n">
        <v>48</v>
      </c>
      <c r="H91" s="15" t="n">
        <v>6</v>
      </c>
      <c r="I91" s="15" t="n">
        <v>0</v>
      </c>
      <c r="J91" s="16" t="n">
        <v>288</v>
      </c>
      <c r="K91" s="16" t="n">
        <v>0</v>
      </c>
      <c r="L91" s="16" t="n">
        <v>261.84</v>
      </c>
      <c r="M91" s="16" t="n">
        <v>26.16</v>
      </c>
      <c r="N91" s="23" t="inlineStr">
        <is>
          <t>10/2026</t>
        </is>
      </c>
      <c r="O91" s="15">
        <f>IFERROR(INDEX(Tariffe!$D$2:$D$200,MATCH(E91,Tariffe!$A$2:$A$200,0))*1,0)</f>
        <v/>
      </c>
      <c r="P91" s="15">
        <f>H91*O91</f>
        <v/>
      </c>
    </row>
    <row r="92">
      <c r="A92" s="22" t="inlineStr">
        <is>
          <t>20261031_2359</t>
        </is>
      </c>
      <c r="B92" s="9" t="n">
        <v>46326</v>
      </c>
      <c r="C92" s="10" t="n">
        <v>0.9993055555555556</v>
      </c>
      <c r="D92" s="22" t="inlineStr">
        <is>
          <t>UN Unico</t>
        </is>
      </c>
      <c r="E92" s="22" t="inlineStr">
        <is>
          <t>I5</t>
        </is>
      </c>
      <c r="F92" s="22">
        <f>IFERROR(INDEX(Tariffe!$B$2:$B$200,MATCH(E92,Tariffe!$A$2:$A$200,0)),"DA DEFINIRE")</f>
        <v/>
      </c>
      <c r="G92" s="12" t="n">
        <v>60</v>
      </c>
      <c r="H92" s="11" t="n">
        <v>1</v>
      </c>
      <c r="I92" s="11" t="n">
        <v>0</v>
      </c>
      <c r="J92" s="12" t="n">
        <v>60</v>
      </c>
      <c r="K92" s="12" t="n">
        <v>0</v>
      </c>
      <c r="L92" s="12" t="n">
        <v>54.55</v>
      </c>
      <c r="M92" s="12" t="n">
        <v>5.45</v>
      </c>
      <c r="N92" s="22" t="inlineStr">
        <is>
          <t>10/2026</t>
        </is>
      </c>
      <c r="O92" s="11">
        <f>IFERROR(INDEX(Tariffe!$D$2:$D$200,MATCH(E92,Tariffe!$A$2:$A$200,0))*1,0)</f>
        <v/>
      </c>
      <c r="P92" s="11">
        <f>H92*O92</f>
        <v/>
      </c>
    </row>
    <row r="93">
      <c r="A93" s="23" t="inlineStr">
        <is>
          <t>20261031_2359</t>
        </is>
      </c>
      <c r="B93" s="13" t="n">
        <v>46326</v>
      </c>
      <c r="C93" s="14" t="n">
        <v>0.9993055555555556</v>
      </c>
      <c r="D93" s="23" t="inlineStr">
        <is>
          <t>UN Unico</t>
        </is>
      </c>
      <c r="E93" s="23" t="inlineStr">
        <is>
          <t>I8</t>
        </is>
      </c>
      <c r="F93" s="23">
        <f>IFERROR(INDEX(Tariffe!$B$2:$B$200,MATCH(E93,Tariffe!$A$2:$A$200,0)),"DA DEFINIRE")</f>
        <v/>
      </c>
      <c r="G93" s="16" t="n">
        <v>24</v>
      </c>
      <c r="H93" s="15" t="n">
        <v>5</v>
      </c>
      <c r="I93" s="15" t="n">
        <v>0</v>
      </c>
      <c r="J93" s="16" t="n">
        <v>120</v>
      </c>
      <c r="K93" s="16" t="n">
        <v>0</v>
      </c>
      <c r="L93" s="16" t="n">
        <v>109.1</v>
      </c>
      <c r="M93" s="16" t="n">
        <v>10.9</v>
      </c>
      <c r="N93" s="23" t="inlineStr">
        <is>
          <t>10/2026</t>
        </is>
      </c>
      <c r="O93" s="15">
        <f>IFERROR(INDEX(Tariffe!$D$2:$D$200,MATCH(E93,Tariffe!$A$2:$A$200,0))*1,0)</f>
        <v/>
      </c>
      <c r="P93" s="15">
        <f>H93*O93</f>
        <v/>
      </c>
    </row>
    <row r="94">
      <c r="A94" s="22" t="inlineStr">
        <is>
          <t>20261101_2015</t>
        </is>
      </c>
      <c r="B94" s="9" t="n">
        <v>46327</v>
      </c>
      <c r="C94" s="10" t="n">
        <v>0.84375</v>
      </c>
      <c r="D94" s="22" t="inlineStr">
        <is>
          <t>UN Unico</t>
        </is>
      </c>
      <c r="E94" s="22" t="inlineStr">
        <is>
          <t>I1</t>
        </is>
      </c>
      <c r="F94" s="22">
        <f>IFERROR(INDEX(Tariffe!$B$2:$B$200,MATCH(E94,Tariffe!$A$2:$A$200,0)),"DA DEFINIRE")</f>
        <v/>
      </c>
      <c r="G94" s="12" t="n">
        <v>48</v>
      </c>
      <c r="H94" s="11" t="n">
        <v>1</v>
      </c>
      <c r="I94" s="11" t="n">
        <v>0</v>
      </c>
      <c r="J94" s="12" t="n">
        <v>48</v>
      </c>
      <c r="K94" s="12" t="n">
        <v>0</v>
      </c>
      <c r="L94" s="12" t="n">
        <v>43.64</v>
      </c>
      <c r="M94" s="12" t="n">
        <v>4.36</v>
      </c>
      <c r="N94" s="22" t="inlineStr">
        <is>
          <t>11/2026</t>
        </is>
      </c>
      <c r="O94" s="11">
        <f>IFERROR(INDEX(Tariffe!$D$2:$D$200,MATCH(E94,Tariffe!$A$2:$A$200,0))*1,0)</f>
        <v/>
      </c>
      <c r="P94" s="11">
        <f>H94*O94</f>
        <v/>
      </c>
    </row>
    <row r="95">
      <c r="A95" s="23" t="inlineStr">
        <is>
          <t>20261101_2115</t>
        </is>
      </c>
      <c r="B95" s="13" t="n">
        <v>46327</v>
      </c>
      <c r="C95" s="14" t="n">
        <v>0.8854166666666666</v>
      </c>
      <c r="D95" s="23" t="inlineStr">
        <is>
          <t>UN Unico</t>
        </is>
      </c>
      <c r="E95" s="23" t="inlineStr">
        <is>
          <t>I8</t>
        </is>
      </c>
      <c r="F95" s="23">
        <f>IFERROR(INDEX(Tariffe!$B$2:$B$200,MATCH(E95,Tariffe!$A$2:$A$200,0)),"DA DEFINIRE")</f>
        <v/>
      </c>
      <c r="G95" s="16" t="n">
        <v>24</v>
      </c>
      <c r="H95" s="15" t="n">
        <v>3</v>
      </c>
      <c r="I95" s="15" t="n">
        <v>0</v>
      </c>
      <c r="J95" s="16" t="n">
        <v>72</v>
      </c>
      <c r="K95" s="16" t="n">
        <v>0</v>
      </c>
      <c r="L95" s="16" t="n">
        <v>65.45999999999999</v>
      </c>
      <c r="M95" s="16" t="n">
        <v>6.54</v>
      </c>
      <c r="N95" s="23" t="inlineStr">
        <is>
          <t>11/2026</t>
        </is>
      </c>
      <c r="O95" s="15">
        <f>IFERROR(INDEX(Tariffe!$D$2:$D$200,MATCH(E95,Tariffe!$A$2:$A$200,0))*1,0)</f>
        <v/>
      </c>
      <c r="P95" s="15">
        <f>H95*O95</f>
        <v/>
      </c>
    </row>
    <row r="96">
      <c r="A96" s="22" t="inlineStr">
        <is>
          <t>20261101_2215</t>
        </is>
      </c>
      <c r="B96" s="9" t="n">
        <v>46327</v>
      </c>
      <c r="C96" s="10" t="n">
        <v>0.9270833333333334</v>
      </c>
      <c r="D96" s="22" t="inlineStr">
        <is>
          <t>UN Unico</t>
        </is>
      </c>
      <c r="E96" s="22" t="inlineStr">
        <is>
          <t>I5</t>
        </is>
      </c>
      <c r="F96" s="22">
        <f>IFERROR(INDEX(Tariffe!$B$2:$B$200,MATCH(E96,Tariffe!$A$2:$A$200,0)),"DA DEFINIRE")</f>
        <v/>
      </c>
      <c r="G96" s="12" t="n">
        <v>60</v>
      </c>
      <c r="H96" s="11" t="n">
        <v>1</v>
      </c>
      <c r="I96" s="11" t="n">
        <v>0</v>
      </c>
      <c r="J96" s="12" t="n">
        <v>60</v>
      </c>
      <c r="K96" s="12" t="n">
        <v>0</v>
      </c>
      <c r="L96" s="12" t="n">
        <v>54.55</v>
      </c>
      <c r="M96" s="12" t="n">
        <v>5.45</v>
      </c>
      <c r="N96" s="22" t="inlineStr">
        <is>
          <t>11/2026</t>
        </is>
      </c>
      <c r="O96" s="11">
        <f>IFERROR(INDEX(Tariffe!$D$2:$D$200,MATCH(E96,Tariffe!$A$2:$A$200,0))*1,0)</f>
        <v/>
      </c>
      <c r="P96" s="11">
        <f>H96*O96</f>
        <v/>
      </c>
    </row>
    <row r="97">
      <c r="A97" s="23" t="inlineStr">
        <is>
          <t>20261101_2215</t>
        </is>
      </c>
      <c r="B97" s="13" t="n">
        <v>46327</v>
      </c>
      <c r="C97" s="14" t="n">
        <v>0.9270833333333334</v>
      </c>
      <c r="D97" s="23" t="inlineStr">
        <is>
          <t>UN Unico</t>
        </is>
      </c>
      <c r="E97" s="23" t="inlineStr">
        <is>
          <t>I8</t>
        </is>
      </c>
      <c r="F97" s="23">
        <f>IFERROR(INDEX(Tariffe!$B$2:$B$200,MATCH(E97,Tariffe!$A$2:$A$200,0)),"DA DEFINIRE")</f>
        <v/>
      </c>
      <c r="G97" s="16" t="n">
        <v>24</v>
      </c>
      <c r="H97" s="15" t="n">
        <v>4</v>
      </c>
      <c r="I97" s="15" t="n">
        <v>0</v>
      </c>
      <c r="J97" s="16" t="n">
        <v>96</v>
      </c>
      <c r="K97" s="16" t="n">
        <v>0</v>
      </c>
      <c r="L97" s="16" t="n">
        <v>87.28</v>
      </c>
      <c r="M97" s="16" t="n">
        <v>8.720000000000001</v>
      </c>
      <c r="N97" s="23" t="inlineStr">
        <is>
          <t>11/2026</t>
        </is>
      </c>
      <c r="O97" s="15">
        <f>IFERROR(INDEX(Tariffe!$D$2:$D$200,MATCH(E97,Tariffe!$A$2:$A$200,0))*1,0)</f>
        <v/>
      </c>
      <c r="P97" s="15">
        <f>H97*O97</f>
        <v/>
      </c>
    </row>
    <row r="98">
      <c r="A98" s="22" t="inlineStr">
        <is>
          <t>20261101_2315</t>
        </is>
      </c>
      <c r="B98" s="9" t="n">
        <v>46327</v>
      </c>
      <c r="C98" s="10" t="n">
        <v>0.96875</v>
      </c>
      <c r="D98" s="22" t="inlineStr">
        <is>
          <t>UN Unico</t>
        </is>
      </c>
      <c r="E98" s="22" t="inlineStr">
        <is>
          <t>I2</t>
        </is>
      </c>
      <c r="F98" s="22">
        <f>IFERROR(INDEX(Tariffe!$B$2:$B$200,MATCH(E98,Tariffe!$A$2:$A$200,0)),"DA DEFINIRE")</f>
        <v/>
      </c>
      <c r="G98" s="12" t="n">
        <v>36</v>
      </c>
      <c r="H98" s="11" t="n">
        <v>1</v>
      </c>
      <c r="I98" s="11" t="n">
        <v>0</v>
      </c>
      <c r="J98" s="12" t="n">
        <v>36</v>
      </c>
      <c r="K98" s="12" t="n">
        <v>0</v>
      </c>
      <c r="L98" s="12" t="n">
        <v>32.73</v>
      </c>
      <c r="M98" s="12" t="n">
        <v>3.27</v>
      </c>
      <c r="N98" s="22" t="inlineStr">
        <is>
          <t>11/2026</t>
        </is>
      </c>
      <c r="O98" s="11">
        <f>IFERROR(INDEX(Tariffe!$D$2:$D$200,MATCH(E98,Tariffe!$A$2:$A$200,0))*1,0)</f>
        <v/>
      </c>
      <c r="P98" s="11">
        <f>H98*O98</f>
        <v/>
      </c>
    </row>
    <row r="99">
      <c r="A99" s="23" t="inlineStr">
        <is>
          <t>20261101_2359</t>
        </is>
      </c>
      <c r="B99" s="13" t="n">
        <v>46327</v>
      </c>
      <c r="C99" s="14" t="n">
        <v>0.9993055555555556</v>
      </c>
      <c r="D99" s="23" t="inlineStr">
        <is>
          <t>UN Unico</t>
        </is>
      </c>
      <c r="E99" s="23" t="inlineStr">
        <is>
          <t>I5</t>
        </is>
      </c>
      <c r="F99" s="23">
        <f>IFERROR(INDEX(Tariffe!$B$2:$B$200,MATCH(E99,Tariffe!$A$2:$A$200,0)),"DA DEFINIRE")</f>
        <v/>
      </c>
      <c r="G99" s="16" t="n">
        <v>60</v>
      </c>
      <c r="H99" s="15" t="n">
        <v>1</v>
      </c>
      <c r="I99" s="15" t="n">
        <v>0</v>
      </c>
      <c r="J99" s="16" t="n">
        <v>60</v>
      </c>
      <c r="K99" s="16" t="n">
        <v>0</v>
      </c>
      <c r="L99" s="16" t="n">
        <v>54.55</v>
      </c>
      <c r="M99" s="16" t="n">
        <v>5.45</v>
      </c>
      <c r="N99" s="23" t="inlineStr">
        <is>
          <t>11/2026</t>
        </is>
      </c>
      <c r="O99" s="15">
        <f>IFERROR(INDEX(Tariffe!$D$2:$D$200,MATCH(E99,Tariffe!$A$2:$A$200,0))*1,0)</f>
        <v/>
      </c>
      <c r="P99" s="15">
        <f>H99*O99</f>
        <v/>
      </c>
    </row>
  </sheetData>
  <autoFilter ref="A1:P99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</sheetData>
  <autoFilter ref="A1:S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  <row r="428">
      <c r="A428" s="30" t="n">
        <v>46313.39513888889</v>
      </c>
      <c r="B428" s="11" t="n">
        <v>380</v>
      </c>
      <c r="C428" s="11" t="n">
        <v>1145</v>
      </c>
      <c r="D428" s="12" t="n">
        <v>13740</v>
      </c>
      <c r="E428" s="31">
        <f>B428-B427</f>
        <v/>
      </c>
      <c r="F428" s="31">
        <f>C428-C427</f>
        <v/>
      </c>
      <c r="G428" s="32">
        <f>D428-D427</f>
        <v/>
      </c>
      <c r="H428">
        <f>TEXT(A428,"DD/MM HH:MM")</f>
        <v/>
      </c>
    </row>
    <row r="429">
      <c r="A429" s="33" t="n">
        <v>46313.42222222222</v>
      </c>
      <c r="B429" s="15" t="n">
        <v>380</v>
      </c>
      <c r="C429" s="15" t="n">
        <v>1145</v>
      </c>
      <c r="D429" s="16" t="n">
        <v>13740</v>
      </c>
      <c r="E429" s="34">
        <f>B429-B428</f>
        <v/>
      </c>
      <c r="F429" s="34">
        <f>C429-C428</f>
        <v/>
      </c>
      <c r="G429" s="35">
        <f>D429-D428</f>
        <v/>
      </c>
      <c r="H429">
        <f>TEXT(A429,"DD/MM HH:MM")</f>
        <v/>
      </c>
    </row>
    <row r="430">
      <c r="A430" s="30" t="n">
        <v>46313.43263888889</v>
      </c>
      <c r="B430" s="11" t="n">
        <v>380</v>
      </c>
      <c r="C430" s="11" t="n">
        <v>1145</v>
      </c>
      <c r="D430" s="12" t="n">
        <v>13740</v>
      </c>
      <c r="E430" s="31">
        <f>B430-B429</f>
        <v/>
      </c>
      <c r="F430" s="31">
        <f>C430-C429</f>
        <v/>
      </c>
      <c r="G430" s="32">
        <f>D430-D429</f>
        <v/>
      </c>
      <c r="H430">
        <f>TEXT(A430,"DD/MM HH:MM")</f>
        <v/>
      </c>
    </row>
    <row r="431">
      <c r="A431" s="33" t="n">
        <v>46313.47430555556</v>
      </c>
      <c r="B431" s="15" t="n">
        <v>383</v>
      </c>
      <c r="C431" s="15" t="n">
        <v>1154</v>
      </c>
      <c r="D431" s="16" t="n">
        <v>13848</v>
      </c>
      <c r="E431" s="34">
        <f>B431-B430</f>
        <v/>
      </c>
      <c r="F431" s="34">
        <f>C431-C430</f>
        <v/>
      </c>
      <c r="G431" s="35">
        <f>D431-D430</f>
        <v/>
      </c>
      <c r="H431">
        <f>TEXT(A431,"DD/MM HH:MM")</f>
        <v/>
      </c>
    </row>
    <row r="432">
      <c r="A432" s="30" t="n">
        <v>46313.47777777778</v>
      </c>
      <c r="B432" s="11" t="n">
        <v>383</v>
      </c>
      <c r="C432" s="11" t="n">
        <v>1154</v>
      </c>
      <c r="D432" s="12" t="n">
        <v>13848</v>
      </c>
      <c r="E432" s="31">
        <f>B432-B431</f>
        <v/>
      </c>
      <c r="F432" s="31">
        <f>C432-C431</f>
        <v/>
      </c>
      <c r="G432" s="32">
        <f>D432-D431</f>
        <v/>
      </c>
      <c r="H432">
        <f>TEXT(A432,"DD/MM HH:MM")</f>
        <v/>
      </c>
    </row>
    <row r="433">
      <c r="A433" s="33" t="n">
        <v>46313.51527777778</v>
      </c>
      <c r="B433" s="15" t="n">
        <v>384</v>
      </c>
      <c r="C433" s="15" t="n">
        <v>1159</v>
      </c>
      <c r="D433" s="16" t="n">
        <v>13908</v>
      </c>
      <c r="E433" s="34">
        <f>B433-B432</f>
        <v/>
      </c>
      <c r="F433" s="34">
        <f>C433-C432</f>
        <v/>
      </c>
      <c r="G433" s="35">
        <f>D433-D432</f>
        <v/>
      </c>
      <c r="H433">
        <f>TEXT(A433,"DD/MM HH:MM")</f>
        <v/>
      </c>
    </row>
    <row r="434">
      <c r="A434" s="30" t="n">
        <v>46313.55625</v>
      </c>
      <c r="B434" s="11" t="n">
        <v>385</v>
      </c>
      <c r="C434" s="11" t="n">
        <v>1162</v>
      </c>
      <c r="D434" s="12" t="n">
        <v>13944</v>
      </c>
      <c r="E434" s="31">
        <f>B434-B433</f>
        <v/>
      </c>
      <c r="F434" s="31">
        <f>C434-C433</f>
        <v/>
      </c>
      <c r="G434" s="32">
        <f>D434-D433</f>
        <v/>
      </c>
      <c r="H434">
        <f>TEXT(A434,"DD/MM HH:MM")</f>
        <v/>
      </c>
    </row>
    <row r="435">
      <c r="A435" s="33" t="n">
        <v>46313.59513888889</v>
      </c>
      <c r="B435" s="15" t="n">
        <v>388</v>
      </c>
      <c r="C435" s="15" t="n">
        <v>1172</v>
      </c>
      <c r="D435" s="16" t="n">
        <v>14064</v>
      </c>
      <c r="E435" s="34">
        <f>B435-B434</f>
        <v/>
      </c>
      <c r="F435" s="34">
        <f>C435-C434</f>
        <v/>
      </c>
      <c r="G435" s="35">
        <f>D435-D434</f>
        <v/>
      </c>
      <c r="H435">
        <f>TEXT(A435,"DD/MM HH:MM")</f>
        <v/>
      </c>
    </row>
    <row r="436">
      <c r="A436" s="30" t="n">
        <v>46313.60069444445</v>
      </c>
      <c r="B436" s="11" t="n">
        <v>388</v>
      </c>
      <c r="C436" s="11" t="n">
        <v>1172</v>
      </c>
      <c r="D436" s="12" t="n">
        <v>14064</v>
      </c>
      <c r="E436" s="31">
        <f>B436-B435</f>
        <v/>
      </c>
      <c r="F436" s="31">
        <f>C436-C435</f>
        <v/>
      </c>
      <c r="G436" s="32">
        <f>D436-D435</f>
        <v/>
      </c>
      <c r="H436">
        <f>TEXT(A436,"DD/MM HH:MM")</f>
        <v/>
      </c>
    </row>
    <row r="437">
      <c r="A437" s="33" t="n">
        <v>46313.64305555556</v>
      </c>
      <c r="B437" s="15" t="n">
        <v>392</v>
      </c>
      <c r="C437" s="15" t="n">
        <v>1185</v>
      </c>
      <c r="D437" s="16" t="n">
        <v>14220</v>
      </c>
      <c r="E437" s="34">
        <f>B437-B436</f>
        <v/>
      </c>
      <c r="F437" s="34">
        <f>C437-C436</f>
        <v/>
      </c>
      <c r="G437" s="35">
        <f>D437-D436</f>
        <v/>
      </c>
      <c r="H437">
        <f>TEXT(A437,"DD/MM HH:MM")</f>
        <v/>
      </c>
    </row>
    <row r="438">
      <c r="A438" s="30" t="n">
        <v>46313.67291666667</v>
      </c>
      <c r="B438" s="11" t="n">
        <v>394</v>
      </c>
      <c r="C438" s="11" t="n">
        <v>1189</v>
      </c>
      <c r="D438" s="12" t="n">
        <v>14268</v>
      </c>
      <c r="E438" s="31">
        <f>B438-B437</f>
        <v/>
      </c>
      <c r="F438" s="31">
        <f>C438-C437</f>
        <v/>
      </c>
      <c r="G438" s="32">
        <f>D438-D437</f>
        <v/>
      </c>
      <c r="H438">
        <f>TEXT(A438,"DD/MM HH:MM")</f>
        <v/>
      </c>
    </row>
    <row r="439">
      <c r="A439" s="33" t="n">
        <v>46313.68194444444</v>
      </c>
      <c r="B439" s="15" t="n">
        <v>395</v>
      </c>
      <c r="C439" s="15" t="n">
        <v>1193</v>
      </c>
      <c r="D439" s="16" t="n">
        <v>14316</v>
      </c>
      <c r="E439" s="34">
        <f>B439-B438</f>
        <v/>
      </c>
      <c r="F439" s="34">
        <f>C439-C438</f>
        <v/>
      </c>
      <c r="G439" s="35">
        <f>D439-D438</f>
        <v/>
      </c>
      <c r="H439">
        <f>TEXT(A439,"DD/MM HH:MM")</f>
        <v/>
      </c>
    </row>
    <row r="440">
      <c r="A440" s="30" t="n">
        <v>46313.72361111111</v>
      </c>
      <c r="B440" s="11" t="n">
        <v>399</v>
      </c>
      <c r="C440" s="11" t="n">
        <v>1209</v>
      </c>
      <c r="D440" s="12" t="n">
        <v>14508</v>
      </c>
      <c r="E440" s="31">
        <f>B440-B439</f>
        <v/>
      </c>
      <c r="F440" s="31">
        <f>C440-C439</f>
        <v/>
      </c>
      <c r="G440" s="32">
        <f>D440-D439</f>
        <v/>
      </c>
      <c r="H440">
        <f>TEXT(A440,"DD/MM HH:MM")</f>
        <v/>
      </c>
    </row>
    <row r="441">
      <c r="A441" s="33" t="n">
        <v>46313.76597222222</v>
      </c>
      <c r="B441" s="15" t="n">
        <v>402</v>
      </c>
      <c r="C441" s="15" t="n">
        <v>1219</v>
      </c>
      <c r="D441" s="16" t="n">
        <v>14628</v>
      </c>
      <c r="E441" s="34">
        <f>B441-B440</f>
        <v/>
      </c>
      <c r="F441" s="34">
        <f>C441-C440</f>
        <v/>
      </c>
      <c r="G441" s="35">
        <f>D441-D440</f>
        <v/>
      </c>
      <c r="H441">
        <f>TEXT(A441,"DD/MM HH:MM")</f>
        <v/>
      </c>
    </row>
    <row r="442">
      <c r="A442" s="30" t="n">
        <v>46313.80625</v>
      </c>
      <c r="B442" s="11" t="n">
        <v>408</v>
      </c>
      <c r="C442" s="11" t="n">
        <v>1239</v>
      </c>
      <c r="D442" s="12" t="n">
        <v>14868</v>
      </c>
      <c r="E442" s="31">
        <f>B442-B441</f>
        <v/>
      </c>
      <c r="F442" s="31">
        <f>C442-C441</f>
        <v/>
      </c>
      <c r="G442" s="32">
        <f>D442-D441</f>
        <v/>
      </c>
      <c r="H442">
        <f>TEXT(A442,"DD/MM HH:MM")</f>
        <v/>
      </c>
    </row>
    <row r="443">
      <c r="A443" s="33" t="n">
        <v>46313.83819444444</v>
      </c>
      <c r="B443" s="15" t="n">
        <v>409</v>
      </c>
      <c r="C443" s="15" t="n">
        <v>1241</v>
      </c>
      <c r="D443" s="16" t="n">
        <v>14892</v>
      </c>
      <c r="E443" s="34">
        <f>B443-B442</f>
        <v/>
      </c>
      <c r="F443" s="34">
        <f>C443-C442</f>
        <v/>
      </c>
      <c r="G443" s="35">
        <f>D443-D442</f>
        <v/>
      </c>
      <c r="H443">
        <f>TEXT(A443,"DD/MM HH:MM")</f>
        <v/>
      </c>
    </row>
    <row r="444">
      <c r="A444" s="30" t="n">
        <v>46313.84930555556</v>
      </c>
      <c r="B444" s="11" t="n">
        <v>409</v>
      </c>
      <c r="C444" s="11" t="n">
        <v>1241</v>
      </c>
      <c r="D444" s="12" t="n">
        <v>14892</v>
      </c>
      <c r="E444" s="31">
        <f>B444-B443</f>
        <v/>
      </c>
      <c r="F444" s="31">
        <f>C444-C443</f>
        <v/>
      </c>
      <c r="G444" s="32">
        <f>D444-D443</f>
        <v/>
      </c>
      <c r="H444">
        <f>TEXT(A444,"DD/MM HH:MM")</f>
        <v/>
      </c>
    </row>
    <row r="445">
      <c r="A445" s="33" t="n">
        <v>46313.88125</v>
      </c>
      <c r="B445" s="15" t="n">
        <v>412</v>
      </c>
      <c r="C445" s="15" t="n">
        <v>1247</v>
      </c>
      <c r="D445" s="16" t="n">
        <v>14964</v>
      </c>
      <c r="E445" s="34">
        <f>B445-B444</f>
        <v/>
      </c>
      <c r="F445" s="34">
        <f>C445-C444</f>
        <v/>
      </c>
      <c r="G445" s="35">
        <f>D445-D444</f>
        <v/>
      </c>
      <c r="H445">
        <f>TEXT(A445,"DD/MM HH:MM")</f>
        <v/>
      </c>
    </row>
    <row r="446">
      <c r="A446" s="30" t="n">
        <v>46313.88888888889</v>
      </c>
      <c r="B446" s="11" t="n">
        <v>416</v>
      </c>
      <c r="C446" s="11" t="n">
        <v>1262</v>
      </c>
      <c r="D446" s="12" t="n">
        <v>15144</v>
      </c>
      <c r="E446" s="31">
        <f>B446-B445</f>
        <v/>
      </c>
      <c r="F446" s="31">
        <f>C446-C445</f>
        <v/>
      </c>
      <c r="G446" s="32">
        <f>D446-D445</f>
        <v/>
      </c>
      <c r="H446">
        <f>TEXT(A446,"DD/MM HH:MM")</f>
        <v/>
      </c>
    </row>
    <row r="447">
      <c r="A447" s="33" t="n">
        <v>46313.92986111111</v>
      </c>
      <c r="B447" s="15" t="n">
        <v>419</v>
      </c>
      <c r="C447" s="15" t="n">
        <v>1271</v>
      </c>
      <c r="D447" s="16" t="n">
        <v>15252</v>
      </c>
      <c r="E447" s="34">
        <f>B447-B446</f>
        <v/>
      </c>
      <c r="F447" s="34">
        <f>C447-C446</f>
        <v/>
      </c>
      <c r="G447" s="35">
        <f>D447-D446</f>
        <v/>
      </c>
      <c r="H447">
        <f>TEXT(A447,"DD/MM HH:MM")</f>
        <v/>
      </c>
    </row>
    <row r="448">
      <c r="A448" s="30" t="n">
        <v>46313.97291666667</v>
      </c>
      <c r="B448" s="11" t="n">
        <v>426</v>
      </c>
      <c r="C448" s="11" t="n">
        <v>1295</v>
      </c>
      <c r="D448" s="12" t="n">
        <v>15540</v>
      </c>
      <c r="E448" s="31">
        <f>B448-B447</f>
        <v/>
      </c>
      <c r="F448" s="31">
        <f>C448-C447</f>
        <v/>
      </c>
      <c r="G448" s="32">
        <f>D448-D447</f>
        <v/>
      </c>
      <c r="H448">
        <f>TEXT(A448,"DD/MM HH:MM")</f>
        <v/>
      </c>
    </row>
    <row r="449">
      <c r="A449" s="33" t="n">
        <v>46314.00347222222</v>
      </c>
      <c r="B449" s="15" t="n">
        <v>427</v>
      </c>
      <c r="C449" s="15" t="n">
        <v>1297</v>
      </c>
      <c r="D449" s="16" t="n">
        <v>15564</v>
      </c>
      <c r="E449" s="34">
        <f>B449-B448</f>
        <v/>
      </c>
      <c r="F449" s="34">
        <f>C449-C448</f>
        <v/>
      </c>
      <c r="G449" s="35">
        <f>D449-D448</f>
        <v/>
      </c>
      <c r="H449">
        <f>TEXT(A449,"DD/MM HH:MM")</f>
        <v/>
      </c>
    </row>
    <row r="450">
      <c r="A450" s="30" t="n">
        <v>46314.01388888889</v>
      </c>
      <c r="B450" s="11" t="n">
        <v>427</v>
      </c>
      <c r="C450" s="11" t="n">
        <v>1297</v>
      </c>
      <c r="D450" s="12" t="n">
        <v>15564</v>
      </c>
      <c r="E450" s="31">
        <f>B450-B449</f>
        <v/>
      </c>
      <c r="F450" s="31">
        <f>C450-C449</f>
        <v/>
      </c>
      <c r="G450" s="32">
        <f>D450-D449</f>
        <v/>
      </c>
      <c r="H450">
        <f>TEXT(A450,"DD/MM HH:MM")</f>
        <v/>
      </c>
    </row>
    <row r="451">
      <c r="A451" s="33" t="n">
        <v>46314.02222222222</v>
      </c>
      <c r="B451" s="15" t="n">
        <v>427</v>
      </c>
      <c r="C451" s="15" t="n">
        <v>1297</v>
      </c>
      <c r="D451" s="16" t="n">
        <v>15564</v>
      </c>
      <c r="E451" s="34">
        <f>B451-B450</f>
        <v/>
      </c>
      <c r="F451" s="34">
        <f>C451-C450</f>
        <v/>
      </c>
      <c r="G451" s="35">
        <f>D451-D450</f>
        <v/>
      </c>
      <c r="H451">
        <f>TEXT(A451,"DD/MM HH:MM")</f>
        <v/>
      </c>
    </row>
    <row r="452">
      <c r="A452" s="30" t="n">
        <v>46314.05416666667</v>
      </c>
      <c r="B452" s="11" t="n">
        <v>427</v>
      </c>
      <c r="C452" s="11" t="n">
        <v>1297</v>
      </c>
      <c r="D452" s="12" t="n">
        <v>15564</v>
      </c>
      <c r="E452" s="31">
        <f>B452-B451</f>
        <v/>
      </c>
      <c r="F452" s="31">
        <f>C452-C451</f>
        <v/>
      </c>
      <c r="G452" s="32">
        <f>D452-D451</f>
        <v/>
      </c>
      <c r="H452">
        <f>TEXT(A452,"DD/MM HH:MM")</f>
        <v/>
      </c>
    </row>
    <row r="453">
      <c r="A453" s="33" t="n">
        <v>46314.10486111111</v>
      </c>
      <c r="B453" s="15" t="n">
        <v>427</v>
      </c>
      <c r="C453" s="15" t="n">
        <v>1297</v>
      </c>
      <c r="D453" s="16" t="n">
        <v>15564</v>
      </c>
      <c r="E453" s="34">
        <f>B453-B452</f>
        <v/>
      </c>
      <c r="F453" s="34">
        <f>C453-C452</f>
        <v/>
      </c>
      <c r="G453" s="35">
        <f>D453-D452</f>
        <v/>
      </c>
      <c r="H453">
        <f>TEXT(A453,"DD/MM HH:MM")</f>
        <v/>
      </c>
    </row>
    <row r="454">
      <c r="A454" s="30" t="n">
        <v>46314.14722222222</v>
      </c>
      <c r="B454" s="11" t="n">
        <v>427</v>
      </c>
      <c r="C454" s="11" t="n">
        <v>1297</v>
      </c>
      <c r="D454" s="12" t="n">
        <v>15564</v>
      </c>
      <c r="E454" s="31">
        <f>B454-B453</f>
        <v/>
      </c>
      <c r="F454" s="31">
        <f>C454-C453</f>
        <v/>
      </c>
      <c r="G454" s="32">
        <f>D454-D453</f>
        <v/>
      </c>
      <c r="H454">
        <f>TEXT(A454,"DD/MM HH:MM")</f>
        <v/>
      </c>
    </row>
    <row r="455">
      <c r="A455" s="33" t="n">
        <v>46314.18541666667</v>
      </c>
      <c r="B455" s="15" t="n">
        <v>427</v>
      </c>
      <c r="C455" s="15" t="n">
        <v>1297</v>
      </c>
      <c r="D455" s="16" t="n">
        <v>15564</v>
      </c>
      <c r="E455" s="34">
        <f>B455-B454</f>
        <v/>
      </c>
      <c r="F455" s="34">
        <f>C455-C454</f>
        <v/>
      </c>
      <c r="G455" s="35">
        <f>D455-D454</f>
        <v/>
      </c>
      <c r="H455">
        <f>TEXT(A455,"DD/MM HH:MM")</f>
        <v/>
      </c>
    </row>
  </sheetData>
  <autoFilter ref="A1:G455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38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  <row r="348">
      <c r="A348" s="30" t="n">
        <v>46313.43263888889</v>
      </c>
      <c r="B348" s="30" t="n">
        <v>46313.47430555556</v>
      </c>
      <c r="C348" s="9" t="n">
        <v>46318</v>
      </c>
      <c r="D348" s="10" t="n">
        <v>0.84375</v>
      </c>
      <c r="E348" s="36" t="n">
        <v>1</v>
      </c>
      <c r="F348" s="36" t="n">
        <v>0</v>
      </c>
      <c r="G348" s="36" t="n">
        <v>1</v>
      </c>
      <c r="H348" s="36" t="n">
        <v>0</v>
      </c>
      <c r="I348" s="36" t="n">
        <v>0</v>
      </c>
      <c r="J348" s="36" t="n">
        <v>3</v>
      </c>
      <c r="K348" s="12" t="n">
        <v>36</v>
      </c>
    </row>
    <row r="349">
      <c r="A349" s="33" t="n">
        <v>46313.43263888889</v>
      </c>
      <c r="B349" s="33" t="n">
        <v>46313.47430555556</v>
      </c>
      <c r="C349" s="13" t="n">
        <v>46319</v>
      </c>
      <c r="D349" s="14" t="n">
        <v>0.96875</v>
      </c>
      <c r="E349" s="37" t="n">
        <v>1</v>
      </c>
      <c r="F349" s="37" t="n">
        <v>1</v>
      </c>
      <c r="G349" s="37" t="n">
        <v>0</v>
      </c>
      <c r="H349" s="37" t="n">
        <v>0</v>
      </c>
      <c r="I349" s="37" t="n">
        <v>0</v>
      </c>
      <c r="J349" s="37" t="n">
        <v>2</v>
      </c>
      <c r="K349" s="16" t="n">
        <v>24</v>
      </c>
    </row>
    <row r="350">
      <c r="A350" s="30" t="n">
        <v>46313.43263888889</v>
      </c>
      <c r="B350" s="30" t="n">
        <v>46313.47430555556</v>
      </c>
      <c r="C350" s="9" t="n">
        <v>46320</v>
      </c>
      <c r="D350" s="10" t="n">
        <v>0.8854166666666666</v>
      </c>
      <c r="E350" s="36" t="n">
        <v>1</v>
      </c>
      <c r="F350" s="36" t="n">
        <v>0</v>
      </c>
      <c r="G350" s="36" t="n">
        <v>0</v>
      </c>
      <c r="H350" s="36" t="n">
        <v>1</v>
      </c>
      <c r="I350" s="36" t="n">
        <v>0</v>
      </c>
      <c r="J350" s="36" t="n">
        <v>4</v>
      </c>
      <c r="K350" s="12" t="n">
        <v>48</v>
      </c>
    </row>
    <row r="351">
      <c r="A351" s="33" t="n">
        <v>46313.47777777778</v>
      </c>
      <c r="B351" s="33" t="n">
        <v>46313.51527777778</v>
      </c>
      <c r="C351" s="13" t="n">
        <v>46320</v>
      </c>
      <c r="D351" s="14" t="n">
        <v>0.84375</v>
      </c>
      <c r="E351" s="37" t="n">
        <v>1</v>
      </c>
      <c r="F351" s="37" t="n">
        <v>0</v>
      </c>
      <c r="G351" s="37" t="n">
        <v>0</v>
      </c>
      <c r="H351" s="37" t="n">
        <v>0</v>
      </c>
      <c r="I351" s="37" t="n">
        <v>1</v>
      </c>
      <c r="J351" s="37" t="n">
        <v>5</v>
      </c>
      <c r="K351" s="16" t="n">
        <v>60</v>
      </c>
    </row>
    <row r="352">
      <c r="A352" s="30" t="n">
        <v>46313.51527777778</v>
      </c>
      <c r="B352" s="30" t="n">
        <v>46313.55625</v>
      </c>
      <c r="C352" s="9" t="n">
        <v>46320</v>
      </c>
      <c r="D352" s="10" t="n">
        <v>0.96875</v>
      </c>
      <c r="E352" s="36" t="n">
        <v>1</v>
      </c>
      <c r="F352" s="36" t="n">
        <v>0</v>
      </c>
      <c r="G352" s="36" t="n">
        <v>1</v>
      </c>
      <c r="H352" s="36" t="n">
        <v>0</v>
      </c>
      <c r="I352" s="36" t="n">
        <v>0</v>
      </c>
      <c r="J352" s="36" t="n">
        <v>3</v>
      </c>
      <c r="K352" s="12" t="n">
        <v>36</v>
      </c>
    </row>
    <row r="353">
      <c r="A353" s="33" t="n">
        <v>46313.55625</v>
      </c>
      <c r="B353" s="33" t="n">
        <v>46313.59513888889</v>
      </c>
      <c r="C353" s="13" t="n">
        <v>46318</v>
      </c>
      <c r="D353" s="14" t="n">
        <v>0.9270833333333334</v>
      </c>
      <c r="E353" s="37" t="n">
        <v>1</v>
      </c>
      <c r="F353" s="37" t="n">
        <v>1</v>
      </c>
      <c r="G353" s="37" t="n">
        <v>0</v>
      </c>
      <c r="H353" s="37" t="n">
        <v>0</v>
      </c>
      <c r="I353" s="37" t="n">
        <v>0</v>
      </c>
      <c r="J353" s="37" t="n">
        <v>2</v>
      </c>
      <c r="K353" s="16" t="n">
        <v>24</v>
      </c>
    </row>
    <row r="354">
      <c r="A354" s="30" t="n">
        <v>46313.55625</v>
      </c>
      <c r="B354" s="30" t="n">
        <v>46313.59513888889</v>
      </c>
      <c r="C354" s="9" t="n">
        <v>46318</v>
      </c>
      <c r="D354" s="10" t="n">
        <v>0.9986111111111111</v>
      </c>
      <c r="E354" s="36" t="n">
        <v>1</v>
      </c>
      <c r="F354" s="36" t="n">
        <v>0</v>
      </c>
      <c r="G354" s="36" t="n">
        <v>0</v>
      </c>
      <c r="H354" s="36" t="n">
        <v>0</v>
      </c>
      <c r="I354" s="36" t="n">
        <v>1</v>
      </c>
      <c r="J354" s="36" t="n">
        <v>5</v>
      </c>
      <c r="K354" s="12" t="n">
        <v>60</v>
      </c>
    </row>
    <row r="355">
      <c r="A355" s="33" t="n">
        <v>46313.55625</v>
      </c>
      <c r="B355" s="33" t="n">
        <v>46313.59513888889</v>
      </c>
      <c r="C355" s="13" t="n">
        <v>46327</v>
      </c>
      <c r="D355" s="14" t="n">
        <v>0.96875</v>
      </c>
      <c r="E355" s="37" t="n">
        <v>1</v>
      </c>
      <c r="F355" s="37" t="n">
        <v>0</v>
      </c>
      <c r="G355" s="37" t="n">
        <v>1</v>
      </c>
      <c r="H355" s="37" t="n">
        <v>0</v>
      </c>
      <c r="I355" s="37" t="n">
        <v>0</v>
      </c>
      <c r="J355" s="37" t="n">
        <v>3</v>
      </c>
      <c r="K355" s="16" t="n">
        <v>36</v>
      </c>
    </row>
    <row r="356">
      <c r="A356" s="30" t="n">
        <v>46313.60069444445</v>
      </c>
      <c r="B356" s="30" t="n">
        <v>46313.64305555556</v>
      </c>
      <c r="C356" s="9" t="n">
        <v>46318</v>
      </c>
      <c r="D356" s="10" t="n">
        <v>0.8854166666666666</v>
      </c>
      <c r="E356" s="36" t="n">
        <v>1</v>
      </c>
      <c r="F356" s="36" t="n">
        <v>1</v>
      </c>
      <c r="G356" s="36" t="n">
        <v>0</v>
      </c>
      <c r="H356" s="36" t="n">
        <v>0</v>
      </c>
      <c r="I356" s="36" t="n">
        <v>0</v>
      </c>
      <c r="J356" s="36" t="n">
        <v>2</v>
      </c>
      <c r="K356" s="12" t="n">
        <v>24</v>
      </c>
    </row>
    <row r="357">
      <c r="A357" s="33" t="n">
        <v>46313.60069444445</v>
      </c>
      <c r="B357" s="33" t="n">
        <v>46313.64305555556</v>
      </c>
      <c r="C357" s="13" t="n">
        <v>46318</v>
      </c>
      <c r="D357" s="14" t="n">
        <v>0.9270833333333334</v>
      </c>
      <c r="E357" s="37" t="n">
        <v>1</v>
      </c>
      <c r="F357" s="37" t="n">
        <v>0</v>
      </c>
      <c r="G357" s="37" t="n">
        <v>0</v>
      </c>
      <c r="H357" s="37" t="n">
        <v>1</v>
      </c>
      <c r="I357" s="37" t="n">
        <v>0</v>
      </c>
      <c r="J357" s="37" t="n">
        <v>4</v>
      </c>
      <c r="K357" s="16" t="n">
        <v>48</v>
      </c>
    </row>
    <row r="358">
      <c r="A358" s="30" t="n">
        <v>46313.60069444445</v>
      </c>
      <c r="B358" s="30" t="n">
        <v>46313.64305555556</v>
      </c>
      <c r="C358" s="9" t="n">
        <v>46318</v>
      </c>
      <c r="D358" s="10" t="n">
        <v>0.9986111111111111</v>
      </c>
      <c r="E358" s="36" t="n">
        <v>2</v>
      </c>
      <c r="F358" s="36" t="n">
        <v>0</v>
      </c>
      <c r="G358" s="36" t="n">
        <v>1</v>
      </c>
      <c r="H358" s="36" t="n">
        <v>1</v>
      </c>
      <c r="I358" s="36" t="n">
        <v>0</v>
      </c>
      <c r="J358" s="36" t="n">
        <v>7</v>
      </c>
      <c r="K358" s="12" t="n">
        <v>84</v>
      </c>
    </row>
    <row r="359">
      <c r="A359" s="33" t="n">
        <v>46313.64305555556</v>
      </c>
      <c r="B359" s="33" t="n">
        <v>46313.67291666667</v>
      </c>
      <c r="C359" s="13" t="n">
        <v>46326</v>
      </c>
      <c r="D359" s="14" t="n">
        <v>0.9270833333333334</v>
      </c>
      <c r="E359" s="37" t="n">
        <v>2</v>
      </c>
      <c r="F359" s="37" t="n">
        <v>2</v>
      </c>
      <c r="G359" s="37" t="n">
        <v>0</v>
      </c>
      <c r="H359" s="37" t="n">
        <v>0</v>
      </c>
      <c r="I359" s="37" t="n">
        <v>0</v>
      </c>
      <c r="J359" s="37" t="n">
        <v>4</v>
      </c>
      <c r="K359" s="16" t="n">
        <v>48</v>
      </c>
    </row>
    <row r="360">
      <c r="A360" s="30" t="n">
        <v>46313.67291666667</v>
      </c>
      <c r="B360" s="30" t="n">
        <v>46313.68194444444</v>
      </c>
      <c r="C360" s="9" t="n">
        <v>46318</v>
      </c>
      <c r="D360" s="10" t="n">
        <v>0.8854166666666666</v>
      </c>
      <c r="E360" s="36" t="n">
        <v>1</v>
      </c>
      <c r="F360" s="36" t="n">
        <v>0</v>
      </c>
      <c r="G360" s="36" t="n">
        <v>0</v>
      </c>
      <c r="H360" s="36" t="n">
        <v>1</v>
      </c>
      <c r="I360" s="36" t="n">
        <v>0</v>
      </c>
      <c r="J360" s="36" t="n">
        <v>4</v>
      </c>
      <c r="K360" s="12" t="n">
        <v>48</v>
      </c>
    </row>
    <row r="361">
      <c r="A361" s="33" t="n">
        <v>46313.68194444444</v>
      </c>
      <c r="B361" s="33" t="n">
        <v>46313.72361111111</v>
      </c>
      <c r="C361" s="13" t="n">
        <v>46318</v>
      </c>
      <c r="D361" s="14" t="n">
        <v>0.8854166666666666</v>
      </c>
      <c r="E361" s="37" t="n">
        <v>1</v>
      </c>
      <c r="F361" s="37" t="n">
        <v>1</v>
      </c>
      <c r="G361" s="37" t="n">
        <v>0</v>
      </c>
      <c r="H361" s="37" t="n">
        <v>0</v>
      </c>
      <c r="I361" s="37" t="n">
        <v>0</v>
      </c>
      <c r="J361" s="37" t="n">
        <v>2</v>
      </c>
      <c r="K361" s="16" t="n">
        <v>24</v>
      </c>
    </row>
    <row r="362">
      <c r="A362" s="30" t="n">
        <v>46313.68194444444</v>
      </c>
      <c r="B362" s="30" t="n">
        <v>46313.72361111111</v>
      </c>
      <c r="C362" s="9" t="n">
        <v>46326</v>
      </c>
      <c r="D362" s="10" t="n">
        <v>0.8854166666666666</v>
      </c>
      <c r="E362" s="36" t="n">
        <v>1</v>
      </c>
      <c r="F362" s="36" t="n">
        <v>0</v>
      </c>
      <c r="G362" s="36" t="n">
        <v>0</v>
      </c>
      <c r="H362" s="36" t="n">
        <v>0</v>
      </c>
      <c r="I362" s="36" t="n">
        <v>1</v>
      </c>
      <c r="J362" s="36" t="n">
        <v>5</v>
      </c>
      <c r="K362" s="12" t="n">
        <v>60</v>
      </c>
    </row>
    <row r="363">
      <c r="A363" s="33" t="n">
        <v>46313.68194444444</v>
      </c>
      <c r="B363" s="33" t="n">
        <v>46313.72361111111</v>
      </c>
      <c r="C363" s="13" t="n">
        <v>46326</v>
      </c>
      <c r="D363" s="14" t="n">
        <v>0.96875</v>
      </c>
      <c r="E363" s="37" t="n">
        <v>2</v>
      </c>
      <c r="F363" s="37" t="n">
        <v>0</v>
      </c>
      <c r="G363" s="37" t="n">
        <v>0</v>
      </c>
      <c r="H363" s="37" t="n">
        <v>1</v>
      </c>
      <c r="I363" s="37" t="n">
        <v>1</v>
      </c>
      <c r="J363" s="37" t="n">
        <v>9</v>
      </c>
      <c r="K363" s="16" t="n">
        <v>108</v>
      </c>
    </row>
    <row r="364">
      <c r="A364" s="30" t="n">
        <v>46313.72361111111</v>
      </c>
      <c r="B364" s="30" t="n">
        <v>46313.76597222222</v>
      </c>
      <c r="C364" s="9" t="n">
        <v>46318</v>
      </c>
      <c r="D364" s="10" t="n">
        <v>0.8854166666666666</v>
      </c>
      <c r="E364" s="36" t="n">
        <v>1</v>
      </c>
      <c r="F364" s="36" t="n">
        <v>0</v>
      </c>
      <c r="G364" s="36" t="n">
        <v>0</v>
      </c>
      <c r="H364" s="36" t="n">
        <v>1</v>
      </c>
      <c r="I364" s="36" t="n">
        <v>0</v>
      </c>
      <c r="J364" s="36" t="n">
        <v>4</v>
      </c>
      <c r="K364" s="12" t="n">
        <v>48</v>
      </c>
    </row>
    <row r="365">
      <c r="A365" s="33" t="n">
        <v>46313.72361111111</v>
      </c>
      <c r="B365" s="33" t="n">
        <v>46313.76597222222</v>
      </c>
      <c r="C365" s="13" t="n">
        <v>46326</v>
      </c>
      <c r="D365" s="14" t="n">
        <v>0.96875</v>
      </c>
      <c r="E365" s="37" t="n">
        <v>1</v>
      </c>
      <c r="F365" s="37" t="n">
        <v>0</v>
      </c>
      <c r="G365" s="37" t="n">
        <v>0</v>
      </c>
      <c r="H365" s="37" t="n">
        <v>1</v>
      </c>
      <c r="I365" s="37" t="n">
        <v>0</v>
      </c>
      <c r="J365" s="37" t="n">
        <v>4</v>
      </c>
      <c r="K365" s="16" t="n">
        <v>48</v>
      </c>
    </row>
    <row r="366">
      <c r="A366" s="30" t="n">
        <v>46313.72361111111</v>
      </c>
      <c r="B366" s="30" t="n">
        <v>46313.76597222222</v>
      </c>
      <c r="C366" s="9" t="n">
        <v>46327</v>
      </c>
      <c r="D366" s="10" t="n">
        <v>0.9270833333333334</v>
      </c>
      <c r="E366" s="36" t="n">
        <v>1</v>
      </c>
      <c r="F366" s="36" t="n">
        <v>1</v>
      </c>
      <c r="G366" s="36" t="n">
        <v>0</v>
      </c>
      <c r="H366" s="36" t="n">
        <v>0</v>
      </c>
      <c r="I366" s="36" t="n">
        <v>0</v>
      </c>
      <c r="J366" s="36" t="n">
        <v>2</v>
      </c>
      <c r="K366" s="12" t="n">
        <v>24</v>
      </c>
    </row>
    <row r="367">
      <c r="A367" s="33" t="n">
        <v>46313.76597222222</v>
      </c>
      <c r="B367" s="33" t="n">
        <v>46313.80625</v>
      </c>
      <c r="C367" s="13" t="n">
        <v>46319</v>
      </c>
      <c r="D367" s="14" t="n">
        <v>0.8854166666666666</v>
      </c>
      <c r="E367" s="37" t="n">
        <v>1</v>
      </c>
      <c r="F367" s="37" t="n">
        <v>1</v>
      </c>
      <c r="G367" s="37" t="n">
        <v>0</v>
      </c>
      <c r="H367" s="37" t="n">
        <v>0</v>
      </c>
      <c r="I367" s="37" t="n">
        <v>0</v>
      </c>
      <c r="J367" s="37" t="n">
        <v>2</v>
      </c>
      <c r="K367" s="16" t="n">
        <v>24</v>
      </c>
    </row>
    <row r="368">
      <c r="A368" s="30" t="n">
        <v>46313.76597222222</v>
      </c>
      <c r="B368" s="30" t="n">
        <v>46313.80625</v>
      </c>
      <c r="C368" s="9" t="n">
        <v>46319</v>
      </c>
      <c r="D368" s="10" t="n">
        <v>0.9270833333333334</v>
      </c>
      <c r="E368" s="36" t="n">
        <v>1</v>
      </c>
      <c r="F368" s="36" t="n">
        <v>1</v>
      </c>
      <c r="G368" s="36" t="n">
        <v>0</v>
      </c>
      <c r="H368" s="36" t="n">
        <v>0</v>
      </c>
      <c r="I368" s="36" t="n">
        <v>0</v>
      </c>
      <c r="J368" s="36" t="n">
        <v>2</v>
      </c>
      <c r="K368" s="12" t="n">
        <v>24</v>
      </c>
    </row>
    <row r="369">
      <c r="A369" s="33" t="n">
        <v>46313.76597222222</v>
      </c>
      <c r="B369" s="33" t="n">
        <v>46313.80625</v>
      </c>
      <c r="C369" s="13" t="n">
        <v>46320</v>
      </c>
      <c r="D369" s="14" t="n">
        <v>0.84375</v>
      </c>
      <c r="E369" s="37" t="n">
        <v>1</v>
      </c>
      <c r="F369" s="37" t="n">
        <v>0</v>
      </c>
      <c r="G369" s="37" t="n">
        <v>0</v>
      </c>
      <c r="H369" s="37" t="n">
        <v>0</v>
      </c>
      <c r="I369" s="37" t="n">
        <v>1</v>
      </c>
      <c r="J369" s="37" t="n">
        <v>5</v>
      </c>
      <c r="K369" s="16" t="n">
        <v>60</v>
      </c>
    </row>
    <row r="370">
      <c r="A370" s="30" t="n">
        <v>46313.76597222222</v>
      </c>
      <c r="B370" s="30" t="n">
        <v>46313.80625</v>
      </c>
      <c r="C370" s="9" t="n">
        <v>46320</v>
      </c>
      <c r="D370" s="10" t="n">
        <v>0.8854166666666666</v>
      </c>
      <c r="E370" s="36" t="n">
        <v>2</v>
      </c>
      <c r="F370" s="36" t="n">
        <v>1</v>
      </c>
      <c r="G370" s="36" t="n">
        <v>0</v>
      </c>
      <c r="H370" s="36" t="n">
        <v>0</v>
      </c>
      <c r="I370" s="36" t="n">
        <v>1</v>
      </c>
      <c r="J370" s="36" t="n">
        <v>7</v>
      </c>
      <c r="K370" s="12" t="n">
        <v>84</v>
      </c>
    </row>
    <row r="371">
      <c r="A371" s="33" t="n">
        <v>46313.76597222222</v>
      </c>
      <c r="B371" s="33" t="n">
        <v>46313.80625</v>
      </c>
      <c r="C371" s="13" t="n">
        <v>46326</v>
      </c>
      <c r="D371" s="14" t="n">
        <v>0.8854166666666666</v>
      </c>
      <c r="E371" s="37" t="n">
        <v>1</v>
      </c>
      <c r="F371" s="37" t="n">
        <v>0</v>
      </c>
      <c r="G371" s="37" t="n">
        <v>0</v>
      </c>
      <c r="H371" s="37" t="n">
        <v>1</v>
      </c>
      <c r="I371" s="37" t="n">
        <v>0</v>
      </c>
      <c r="J371" s="37" t="n">
        <v>4</v>
      </c>
      <c r="K371" s="16" t="n">
        <v>48</v>
      </c>
    </row>
    <row r="372">
      <c r="A372" s="30" t="n">
        <v>46313.80625</v>
      </c>
      <c r="B372" s="30" t="n">
        <v>46313.83819444444</v>
      </c>
      <c r="C372" s="9" t="n">
        <v>46319</v>
      </c>
      <c r="D372" s="10" t="n">
        <v>0.96875</v>
      </c>
      <c r="E372" s="36" t="n">
        <v>1</v>
      </c>
      <c r="F372" s="36" t="n">
        <v>1</v>
      </c>
      <c r="G372" s="36" t="n">
        <v>0</v>
      </c>
      <c r="H372" s="36" t="n">
        <v>0</v>
      </c>
      <c r="I372" s="36" t="n">
        <v>0</v>
      </c>
      <c r="J372" s="36" t="n">
        <v>2</v>
      </c>
      <c r="K372" s="12" t="n">
        <v>24</v>
      </c>
    </row>
    <row r="373">
      <c r="A373" s="33" t="n">
        <v>46313.84930555556</v>
      </c>
      <c r="B373" s="33" t="n">
        <v>46313.88125</v>
      </c>
      <c r="C373" s="13" t="n">
        <v>46318</v>
      </c>
      <c r="D373" s="14" t="n">
        <v>0.9270833333333334</v>
      </c>
      <c r="E373" s="37" t="n">
        <v>1</v>
      </c>
      <c r="F373" s="37" t="n">
        <v>1</v>
      </c>
      <c r="G373" s="37" t="n">
        <v>0</v>
      </c>
      <c r="H373" s="37" t="n">
        <v>0</v>
      </c>
      <c r="I373" s="37" t="n">
        <v>0</v>
      </c>
      <c r="J373" s="37" t="n">
        <v>2</v>
      </c>
      <c r="K373" s="16" t="n">
        <v>24</v>
      </c>
    </row>
    <row r="374">
      <c r="A374" s="30" t="n">
        <v>46313.84930555556</v>
      </c>
      <c r="B374" s="30" t="n">
        <v>46313.88125</v>
      </c>
      <c r="C374" s="9" t="n">
        <v>46318</v>
      </c>
      <c r="D374" s="10" t="n">
        <v>0.96875</v>
      </c>
      <c r="E374" s="36" t="n">
        <v>1</v>
      </c>
      <c r="F374" s="36" t="n">
        <v>1</v>
      </c>
      <c r="G374" s="36" t="n">
        <v>0</v>
      </c>
      <c r="H374" s="36" t="n">
        <v>0</v>
      </c>
      <c r="I374" s="36" t="n">
        <v>0</v>
      </c>
      <c r="J374" s="36" t="n">
        <v>2</v>
      </c>
      <c r="K374" s="12" t="n">
        <v>24</v>
      </c>
    </row>
    <row r="375">
      <c r="A375" s="33" t="n">
        <v>46313.84930555556</v>
      </c>
      <c r="B375" s="33" t="n">
        <v>46313.88125</v>
      </c>
      <c r="C375" s="13" t="n">
        <v>46326</v>
      </c>
      <c r="D375" s="14" t="n">
        <v>0.9270833333333334</v>
      </c>
      <c r="E375" s="37" t="n">
        <v>1</v>
      </c>
      <c r="F375" s="37" t="n">
        <v>1</v>
      </c>
      <c r="G375" s="37" t="n">
        <v>0</v>
      </c>
      <c r="H375" s="37" t="n">
        <v>0</v>
      </c>
      <c r="I375" s="37" t="n">
        <v>0</v>
      </c>
      <c r="J375" s="37" t="n">
        <v>2</v>
      </c>
      <c r="K375" s="16" t="n">
        <v>24</v>
      </c>
    </row>
    <row r="376">
      <c r="A376" s="30" t="n">
        <v>46313.88125</v>
      </c>
      <c r="B376" s="30" t="n">
        <v>46313.88888888889</v>
      </c>
      <c r="C376" s="9" t="n">
        <v>46318</v>
      </c>
      <c r="D376" s="10" t="n">
        <v>0.9270833333333334</v>
      </c>
      <c r="E376" s="36" t="n">
        <v>1</v>
      </c>
      <c r="F376" s="36" t="n">
        <v>0</v>
      </c>
      <c r="G376" s="36" t="n">
        <v>1</v>
      </c>
      <c r="H376" s="36" t="n">
        <v>0</v>
      </c>
      <c r="I376" s="36" t="n">
        <v>0</v>
      </c>
      <c r="J376" s="36" t="n">
        <v>3</v>
      </c>
      <c r="K376" s="12" t="n">
        <v>36</v>
      </c>
    </row>
    <row r="377">
      <c r="A377" s="33" t="n">
        <v>46313.88125</v>
      </c>
      <c r="B377" s="33" t="n">
        <v>46313.88888888889</v>
      </c>
      <c r="C377" s="13" t="n">
        <v>46318</v>
      </c>
      <c r="D377" s="14" t="n">
        <v>0.9986111111111111</v>
      </c>
      <c r="E377" s="37" t="n">
        <v>1</v>
      </c>
      <c r="F377" s="37" t="n">
        <v>0</v>
      </c>
      <c r="G377" s="37" t="n">
        <v>0</v>
      </c>
      <c r="H377" s="37" t="n">
        <v>1</v>
      </c>
      <c r="I377" s="37" t="n">
        <v>0</v>
      </c>
      <c r="J377" s="37" t="n">
        <v>4</v>
      </c>
      <c r="K377" s="16" t="n">
        <v>48</v>
      </c>
    </row>
    <row r="378">
      <c r="A378" s="30" t="n">
        <v>46313.88125</v>
      </c>
      <c r="B378" s="30" t="n">
        <v>46313.88888888889</v>
      </c>
      <c r="C378" s="9" t="n">
        <v>46324</v>
      </c>
      <c r="D378" s="10" t="n">
        <v>0.9270833333333334</v>
      </c>
      <c r="E378" s="36" t="n">
        <v>2</v>
      </c>
      <c r="F378" s="36" t="n">
        <v>0</v>
      </c>
      <c r="G378" s="36" t="n">
        <v>0</v>
      </c>
      <c r="H378" s="36" t="n">
        <v>2</v>
      </c>
      <c r="I378" s="36" t="n">
        <v>0</v>
      </c>
      <c r="J378" s="36" t="n">
        <v>8</v>
      </c>
      <c r="K378" s="12" t="n">
        <v>96</v>
      </c>
    </row>
    <row r="379">
      <c r="A379" s="33" t="n">
        <v>46313.88888888889</v>
      </c>
      <c r="B379" s="33" t="n">
        <v>46313.92986111111</v>
      </c>
      <c r="C379" s="13" t="n">
        <v>46318</v>
      </c>
      <c r="D379" s="14" t="n">
        <v>0.9270833333333334</v>
      </c>
      <c r="E379" s="37" t="n">
        <v>1</v>
      </c>
      <c r="F379" s="37" t="n">
        <v>1</v>
      </c>
      <c r="G379" s="37" t="n">
        <v>0</v>
      </c>
      <c r="H379" s="37" t="n">
        <v>0</v>
      </c>
      <c r="I379" s="37" t="n">
        <v>0</v>
      </c>
      <c r="J379" s="37" t="n">
        <v>2</v>
      </c>
      <c r="K379" s="16" t="n">
        <v>24</v>
      </c>
    </row>
    <row r="380">
      <c r="A380" s="30" t="n">
        <v>46313.88888888889</v>
      </c>
      <c r="B380" s="30" t="n">
        <v>46313.92986111111</v>
      </c>
      <c r="C380" s="9" t="n">
        <v>46326</v>
      </c>
      <c r="D380" s="10" t="n">
        <v>0.84375</v>
      </c>
      <c r="E380" s="36" t="n">
        <v>1</v>
      </c>
      <c r="F380" s="36" t="n">
        <v>0</v>
      </c>
      <c r="G380" s="36" t="n">
        <v>0</v>
      </c>
      <c r="H380" s="36" t="n">
        <v>1</v>
      </c>
      <c r="I380" s="36" t="n">
        <v>0</v>
      </c>
      <c r="J380" s="36" t="n">
        <v>4</v>
      </c>
      <c r="K380" s="12" t="n">
        <v>48</v>
      </c>
    </row>
    <row r="381">
      <c r="A381" s="33" t="n">
        <v>46313.88888888889</v>
      </c>
      <c r="B381" s="33" t="n">
        <v>46313.92986111111</v>
      </c>
      <c r="C381" s="13" t="n">
        <v>46326</v>
      </c>
      <c r="D381" s="14" t="n">
        <v>0.9270833333333334</v>
      </c>
      <c r="E381" s="37" t="n">
        <v>1</v>
      </c>
      <c r="F381" s="37" t="n">
        <v>0</v>
      </c>
      <c r="G381" s="37" t="n">
        <v>1</v>
      </c>
      <c r="H381" s="37" t="n">
        <v>0</v>
      </c>
      <c r="I381" s="37" t="n">
        <v>0</v>
      </c>
      <c r="J381" s="37" t="n">
        <v>3</v>
      </c>
      <c r="K381" s="16" t="n">
        <v>36</v>
      </c>
    </row>
    <row r="382">
      <c r="A382" s="30" t="n">
        <v>46313.92986111111</v>
      </c>
      <c r="B382" s="30" t="n">
        <v>46313.97291666667</v>
      </c>
      <c r="C382" s="9" t="n">
        <v>46318</v>
      </c>
      <c r="D382" s="10" t="n">
        <v>0.8854166666666666</v>
      </c>
      <c r="E382" s="36" t="n">
        <v>4</v>
      </c>
      <c r="F382" s="36" t="n">
        <v>1</v>
      </c>
      <c r="G382" s="36" t="n">
        <v>2</v>
      </c>
      <c r="H382" s="36" t="n">
        <v>1</v>
      </c>
      <c r="I382" s="36" t="n">
        <v>0</v>
      </c>
      <c r="J382" s="36" t="n">
        <v>12</v>
      </c>
      <c r="K382" s="12" t="n">
        <v>144</v>
      </c>
    </row>
    <row r="383">
      <c r="A383" s="33" t="n">
        <v>46313.92986111111</v>
      </c>
      <c r="B383" s="33" t="n">
        <v>46313.97291666667</v>
      </c>
      <c r="C383" s="13" t="n">
        <v>46318</v>
      </c>
      <c r="D383" s="14" t="n">
        <v>0.9986111111111111</v>
      </c>
      <c r="E383" s="37" t="n">
        <v>1</v>
      </c>
      <c r="F383" s="37" t="n">
        <v>0</v>
      </c>
      <c r="G383" s="37" t="n">
        <v>0</v>
      </c>
      <c r="H383" s="37" t="n">
        <v>0</v>
      </c>
      <c r="I383" s="37" t="n">
        <v>1</v>
      </c>
      <c r="J383" s="37" t="n">
        <v>5</v>
      </c>
      <c r="K383" s="16" t="n">
        <v>60</v>
      </c>
    </row>
    <row r="384">
      <c r="A384" s="30" t="n">
        <v>46313.92986111111</v>
      </c>
      <c r="B384" s="30" t="n">
        <v>46313.97291666667</v>
      </c>
      <c r="C384" s="9" t="n">
        <v>46319</v>
      </c>
      <c r="D384" s="10" t="n">
        <v>0.8854166666666666</v>
      </c>
      <c r="E384" s="36" t="n">
        <v>1</v>
      </c>
      <c r="F384" s="36" t="n">
        <v>1</v>
      </c>
      <c r="G384" s="36" t="n">
        <v>0</v>
      </c>
      <c r="H384" s="36" t="n">
        <v>0</v>
      </c>
      <c r="I384" s="36" t="n">
        <v>0</v>
      </c>
      <c r="J384" s="36" t="n">
        <v>2</v>
      </c>
      <c r="K384" s="12" t="n">
        <v>24</v>
      </c>
    </row>
    <row r="385">
      <c r="A385" s="33" t="n">
        <v>46313.92986111111</v>
      </c>
      <c r="B385" s="33" t="n">
        <v>46313.97291666667</v>
      </c>
      <c r="C385" s="13" t="n">
        <v>46326</v>
      </c>
      <c r="D385" s="14" t="n">
        <v>0.8854166666666666</v>
      </c>
      <c r="E385" s="37" t="n">
        <v>1</v>
      </c>
      <c r="F385" s="37" t="n">
        <v>0</v>
      </c>
      <c r="G385" s="37" t="n">
        <v>0</v>
      </c>
      <c r="H385" s="37" t="n">
        <v>0</v>
      </c>
      <c r="I385" s="37" t="n">
        <v>1</v>
      </c>
      <c r="J385" s="37" t="n">
        <v>5</v>
      </c>
      <c r="K385" s="16" t="n">
        <v>60</v>
      </c>
    </row>
    <row r="386">
      <c r="A386" s="30" t="n">
        <v>46313.97291666667</v>
      </c>
      <c r="B386" s="30" t="n">
        <v>46314.00347222222</v>
      </c>
      <c r="C386" s="9" t="n">
        <v>46324</v>
      </c>
      <c r="D386" s="10" t="n">
        <v>0.9993055555555556</v>
      </c>
      <c r="E386" s="36" t="n">
        <v>1</v>
      </c>
      <c r="F386" s="36" t="n">
        <v>1</v>
      </c>
      <c r="G386" s="36" t="n">
        <v>0</v>
      </c>
      <c r="H386" s="36" t="n">
        <v>0</v>
      </c>
      <c r="I386" s="36" t="n">
        <v>0</v>
      </c>
      <c r="J386" s="36" t="n">
        <v>2</v>
      </c>
      <c r="K386" s="12" t="n">
        <v>24</v>
      </c>
    </row>
  </sheetData>
  <autoFilter ref="A1:K386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14</v>
      </c>
      <c r="H4" s="11" t="n">
        <v>54</v>
      </c>
      <c r="I4" s="12" t="n">
        <v>648</v>
      </c>
      <c r="K4" s="38" t="inlineStr">
        <is>
          <t>Lunedì</t>
        </is>
      </c>
      <c r="L4" s="11" t="n">
        <v>49</v>
      </c>
      <c r="M4" s="11" t="n">
        <v>135</v>
      </c>
      <c r="N4" s="12" t="n">
        <v>1620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4</v>
      </c>
      <c r="H5" s="11" t="n">
        <v>10</v>
      </c>
      <c r="I5" s="12" t="n">
        <v>120</v>
      </c>
      <c r="K5" s="38" t="inlineStr">
        <is>
          <t>Martedì</t>
        </is>
      </c>
      <c r="L5" s="11" t="n">
        <v>51</v>
      </c>
      <c r="M5" s="11" t="n">
        <v>150</v>
      </c>
      <c r="N5" s="12" t="n">
        <v>1800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54</v>
      </c>
      <c r="M6" s="11" t="n">
        <v>163</v>
      </c>
      <c r="N6" s="12" t="n">
        <v>1956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4</v>
      </c>
      <c r="H7" s="11" t="n">
        <v>13</v>
      </c>
      <c r="I7" s="12" t="n">
        <v>156</v>
      </c>
      <c r="K7" s="38" t="inlineStr">
        <is>
          <t>Giovedì</t>
        </is>
      </c>
      <c r="L7" s="11" t="n">
        <v>71</v>
      </c>
      <c r="M7" s="11" t="n">
        <v>221</v>
      </c>
      <c r="N7" s="12" t="n">
        <v>2652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64</v>
      </c>
      <c r="M8" s="11" t="n">
        <v>202</v>
      </c>
      <c r="N8" s="12" t="n">
        <v>2424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57</v>
      </c>
      <c r="M9" s="11" t="n">
        <v>167</v>
      </c>
      <c r="N9" s="12" t="n">
        <v>2004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1</v>
      </c>
      <c r="H10" s="11" t="n">
        <v>2</v>
      </c>
      <c r="I10" s="12" t="n">
        <v>24</v>
      </c>
      <c r="K10" s="38" t="inlineStr">
        <is>
          <t>Domenica</t>
        </is>
      </c>
      <c r="L10" s="11" t="n">
        <v>77</v>
      </c>
      <c r="M10" s="11" t="n">
        <v>249</v>
      </c>
      <c r="N10" s="12" t="n">
        <v>2988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4</v>
      </c>
      <c r="H11" s="11" t="n">
        <v>15</v>
      </c>
      <c r="I11" s="12" t="n">
        <v>180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2</v>
      </c>
      <c r="H12" s="11" t="n">
        <v>7</v>
      </c>
      <c r="I12" s="12" t="n">
        <v>84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7</v>
      </c>
      <c r="H13" s="11" t="n">
        <v>26</v>
      </c>
      <c r="I13" s="12" t="n">
        <v>312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16</v>
      </c>
      <c r="H14" s="11" t="n">
        <v>54</v>
      </c>
      <c r="I14" s="12" t="n">
        <v>648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18</v>
      </c>
      <c r="H15" s="11" t="n">
        <v>56</v>
      </c>
      <c r="I15" s="12" t="n">
        <v>672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23</v>
      </c>
      <c r="H16" s="11" t="n">
        <v>61</v>
      </c>
      <c r="I16" s="12" t="n">
        <v>732</v>
      </c>
    </row>
    <row r="17">
      <c r="A17" s="9" t="n">
        <v>46313</v>
      </c>
      <c r="B17" s="11" t="n">
        <v>56</v>
      </c>
      <c r="C17" s="11" t="n">
        <v>186</v>
      </c>
      <c r="D17" s="12" t="n">
        <v>2232</v>
      </c>
      <c r="F17" s="38" t="inlineStr">
        <is>
          <t>13:00-14:00</t>
        </is>
      </c>
      <c r="G17" s="11" t="n">
        <v>17</v>
      </c>
      <c r="H17" s="11" t="n">
        <v>45</v>
      </c>
      <c r="I17" s="12" t="n">
        <v>540</v>
      </c>
    </row>
    <row r="18">
      <c r="F18" s="38" t="inlineStr">
        <is>
          <t>14:00-15:00</t>
        </is>
      </c>
      <c r="G18" s="11" t="n">
        <v>24</v>
      </c>
      <c r="H18" s="11" t="n">
        <v>75</v>
      </c>
      <c r="I18" s="12" t="n">
        <v>900</v>
      </c>
    </row>
    <row r="19">
      <c r="F19" s="38" t="inlineStr">
        <is>
          <t>15:00-16:00</t>
        </is>
      </c>
      <c r="G19" s="11" t="n">
        <v>19</v>
      </c>
      <c r="H19" s="11" t="n">
        <v>53</v>
      </c>
      <c r="I19" s="12" t="n">
        <v>636</v>
      </c>
    </row>
    <row r="20">
      <c r="F20" s="38" t="inlineStr">
        <is>
          <t>16:00-17:00</t>
        </is>
      </c>
      <c r="G20" s="11" t="n">
        <v>24</v>
      </c>
      <c r="H20" s="11" t="n">
        <v>71</v>
      </c>
      <c r="I20" s="12" t="n">
        <v>852</v>
      </c>
    </row>
    <row r="21">
      <c r="F21" s="38" t="inlineStr">
        <is>
          <t>17:00-18:00</t>
        </is>
      </c>
      <c r="G21" s="11" t="n">
        <v>22</v>
      </c>
      <c r="H21" s="11" t="n">
        <v>66</v>
      </c>
      <c r="I21" s="12" t="n">
        <v>792</v>
      </c>
    </row>
    <row r="22">
      <c r="F22" s="38" t="inlineStr">
        <is>
          <t>18:00-19:00</t>
        </is>
      </c>
      <c r="G22" s="11" t="n">
        <v>28</v>
      </c>
      <c r="H22" s="11" t="n">
        <v>79</v>
      </c>
      <c r="I22" s="12" t="n">
        <v>948</v>
      </c>
    </row>
    <row r="23">
      <c r="F23" s="38" t="inlineStr">
        <is>
          <t>19:00-20:00</t>
        </is>
      </c>
      <c r="G23" s="11" t="n">
        <v>34</v>
      </c>
      <c r="H23" s="11" t="n">
        <v>117</v>
      </c>
      <c r="I23" s="12" t="n">
        <v>1404</v>
      </c>
    </row>
    <row r="24">
      <c r="F24" s="38" t="inlineStr">
        <is>
          <t>20:00-21:00</t>
        </is>
      </c>
      <c r="G24" s="11" t="n">
        <v>39</v>
      </c>
      <c r="H24" s="11" t="n">
        <v>117</v>
      </c>
      <c r="I24" s="12" t="n">
        <v>1404</v>
      </c>
    </row>
    <row r="25">
      <c r="F25" s="38" t="inlineStr">
        <is>
          <t>21:00-22:00</t>
        </is>
      </c>
      <c r="G25" s="11" t="n">
        <v>42</v>
      </c>
      <c r="H25" s="11" t="n">
        <v>124</v>
      </c>
      <c r="I25" s="12" t="n">
        <v>1488</v>
      </c>
    </row>
    <row r="26">
      <c r="F26" s="38" t="inlineStr">
        <is>
          <t>22:00-23:00</t>
        </is>
      </c>
      <c r="G26" s="11" t="n">
        <v>62</v>
      </c>
      <c r="H26" s="11" t="n">
        <v>179</v>
      </c>
      <c r="I26" s="12" t="n">
        <v>2148</v>
      </c>
    </row>
    <row r="27">
      <c r="F27" s="38" t="inlineStr">
        <is>
          <t>23:00-00:00</t>
        </is>
      </c>
      <c r="G27" s="11" t="n">
        <v>19</v>
      </c>
      <c r="H27" s="11" t="n">
        <v>63</v>
      </c>
      <c r="I27" s="12" t="n">
        <v>756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2026-10-19T02:27:02Z</dcterms:created>
  <dcterms:modified xsi:type="dcterms:W3CDTF">2026-10-19T02:27:02Z</dcterms:modified>
</cp:coreProperties>
</file>