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'Spettacoli'!$A$1:$R$53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serata'!$A$1:$U$10</definedName>
    <definedName name="_xlnm._FilterDatabase" localSheetId="7" hidden="1">'Storico'!$A$1:$G$890</definedName>
    <definedName name="_xlnm._FilterDatabase" localSheetId="8" hidden="1">'Registro vendite'!$A$1:$K$1689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serata'!$R$2:$R$10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serata'!$S$2:$S$10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serata'!$T$2:$T$10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serata'!$U$2:$U$10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'Storico'!$H$2:$H$890</f>
            </numRef>
          </cat>
          <val>
            <numRef>
              <f>'Storico'!$C$2:$C$890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INDEX(Spettacoli!$B$2:$B$53,MATCH(LARGE(Spettacoli!$R$2:$R$53,1),Spettacoli!$R$2:$R$53,0))</f>
        <v/>
      </c>
      <c r="L6" s="10">
        <f>INDEX(Spettacoli!$D$2:$D$53,MATCH(LARGE(Spettacoli!$R$2:$R$53,1),Spettacoli!$R$2:$R$53,0))</f>
        <v/>
      </c>
      <c r="M6" s="11">
        <f>INDEX(Spettacoli!$F$2:$F$53,MATCH(LARGE(Spettacoli!$R$2:$R$53,1),Spettacoli!$R$2:$R$53,0))</f>
        <v/>
      </c>
      <c r="N6" s="11">
        <f>INDEX(Spettacoli!$G$2:$G$53,MATCH(LARGE(Spettacoli!$R$2:$R$53,1),Spettacoli!$R$2:$R$53,0))</f>
        <v/>
      </c>
      <c r="O6" s="12">
        <f>INDEX(Spettacoli!$M$2:$M$53,MATCH(LARGE(Spettacoli!$R$2:$R$53,1),Spettacoli!$R$2:$R$53,0))</f>
        <v/>
      </c>
    </row>
    <row r="7">
      <c r="K7" s="13">
        <f>INDEX(Spettacoli!$B$2:$B$53,MATCH(LARGE(Spettacoli!$R$2:$R$53,2),Spettacoli!$R$2:$R$53,0))</f>
        <v/>
      </c>
      <c r="L7" s="14">
        <f>INDEX(Spettacoli!$D$2:$D$53,MATCH(LARGE(Spettacoli!$R$2:$R$53,2),Spettacoli!$R$2:$R$53,0))</f>
        <v/>
      </c>
      <c r="M7" s="15">
        <f>INDEX(Spettacoli!$F$2:$F$53,MATCH(LARGE(Spettacoli!$R$2:$R$53,2),Spettacoli!$R$2:$R$53,0))</f>
        <v/>
      </c>
      <c r="N7" s="15">
        <f>INDEX(Spettacoli!$G$2:$G$53,MATCH(LARGE(Spettacoli!$R$2:$R$53,2),Spettacoli!$R$2:$R$53,0))</f>
        <v/>
      </c>
      <c r="O7" s="16">
        <f>INDEX(Spettacoli!$M$2:$M$53,MATCH(LARGE(Spettacoli!$R$2:$R$53,2),Spettacoli!$R$2:$R$53,0))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INDEX(Spettacoli!$B$2:$B$53,MATCH(LARGE(Spettacoli!$R$2:$R$53,3),Spettacoli!$R$2:$R$53,0))</f>
        <v/>
      </c>
      <c r="L8" s="10">
        <f>INDEX(Spettacoli!$D$2:$D$53,MATCH(LARGE(Spettacoli!$R$2:$R$53,3),Spettacoli!$R$2:$R$53,0))</f>
        <v/>
      </c>
      <c r="M8" s="11">
        <f>INDEX(Spettacoli!$F$2:$F$53,MATCH(LARGE(Spettacoli!$R$2:$R$53,3),Spettacoli!$R$2:$R$53,0))</f>
        <v/>
      </c>
      <c r="N8" s="11">
        <f>INDEX(Spettacoli!$G$2:$G$53,MATCH(LARGE(Spettacoli!$R$2:$R$53,3),Spettacoli!$R$2:$R$53,0))</f>
        <v/>
      </c>
      <c r="O8" s="12">
        <f>INDEX(Spettacoli!$M$2:$M$53,MATCH(LARGE(Spettacoli!$R$2:$R$53,3),Spettacoli!$R$2:$R$53,0))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IF(SUM(Spettacoli!E2:E53)&gt;0,SUM(Spettacoli!F2:F53)/SUM(Spettacoli!E2:E53),0)</f>
        <v/>
      </c>
      <c r="F9" s="5" t="n"/>
      <c r="H9" s="19">
        <f>COUNTIF(Spettacoli!$Q$2:$Q$53,"Venduto")&amp;" / "&amp;COUNTA(Spettacoli!A2:A53)</f>
        <v/>
      </c>
      <c r="I9" s="5" t="n"/>
      <c r="K9" s="13">
        <f>INDEX(Spettacoli!$B$2:$B$53,MATCH(LARGE(Spettacoli!$R$2:$R$53,4),Spettacoli!$R$2:$R$53,0))</f>
        <v/>
      </c>
      <c r="L9" s="14">
        <f>INDEX(Spettacoli!$D$2:$D$53,MATCH(LARGE(Spettacoli!$R$2:$R$53,4),Spettacoli!$R$2:$R$53,0))</f>
        <v/>
      </c>
      <c r="M9" s="15">
        <f>INDEX(Spettacoli!$F$2:$F$53,MATCH(LARGE(Spettacoli!$R$2:$R$53,4),Spettacoli!$R$2:$R$53,0))</f>
        <v/>
      </c>
      <c r="N9" s="15">
        <f>INDEX(Spettacoli!$G$2:$G$53,MATCH(LARGE(Spettacoli!$R$2:$R$53,4),Spettacoli!$R$2:$R$53,0))</f>
        <v/>
      </c>
      <c r="O9" s="16">
        <f>INDEX(Spettacoli!$M$2:$M$53,MATCH(LARGE(Spettacoli!$R$2:$R$53,4),Spettacoli!$R$2:$R$53,0))</f>
        <v/>
      </c>
    </row>
    <row r="10">
      <c r="K10" s="9">
        <f>INDEX(Spettacoli!$B$2:$B$53,MATCH(LARGE(Spettacoli!$R$2:$R$53,5),Spettacoli!$R$2:$R$53,0))</f>
        <v/>
      </c>
      <c r="L10" s="10">
        <f>INDEX(Spettacoli!$D$2:$D$53,MATCH(LARGE(Spettacoli!$R$2:$R$53,5),Spettacoli!$R$2:$R$53,0))</f>
        <v/>
      </c>
      <c r="M10" s="11">
        <f>INDEX(Spettacoli!$F$2:$F$53,MATCH(LARGE(Spettacoli!$R$2:$R$53,5),Spettacoli!$R$2:$R$53,0))</f>
        <v/>
      </c>
      <c r="N10" s="11">
        <f>INDEX(Spettacoli!$G$2:$G$53,MATCH(LARGE(Spettacoli!$R$2:$R$53,5),Spettacoli!$R$2:$R$53,0))</f>
        <v/>
      </c>
      <c r="O10" s="12">
        <f>INDEX(Spettacoli!$M$2:$M$53,MATCH(LARGE(Spettacoli!$R$2:$R$53,5),Spettacoli!$R$2:$R$53,0))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20261102_2016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0.8444444444444444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20261102_2115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0.8854166666666666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20261102_2116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0.8861111111111111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20261102_2215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0.9270833333333334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  <row r="44">
      <c r="A44" s="22" t="inlineStr">
        <is>
          <t>20261102_2216</t>
        </is>
      </c>
      <c r="B44" s="9" t="n">
        <v>46328</v>
      </c>
      <c r="C44" s="22">
        <f>CHOOSE(WEEKDAY(B44,2),"Lunedì","Martedì","Mercoledì","Giovedì","Venerdì","Sabato","Domenica")</f>
        <v/>
      </c>
      <c r="D44" s="10" t="n">
        <v>0.9277777777777778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IF(F44&gt;0,"Venduto","Zero vendite")</f>
        <v/>
      </c>
      <c r="R44" s="22">
        <f>F44+M44/100000+(1000-ROW())/100000000</f>
        <v/>
      </c>
    </row>
    <row r="45">
      <c r="A45" s="23" t="inlineStr">
        <is>
          <t>20261102_2315</t>
        </is>
      </c>
      <c r="B45" s="13" t="n">
        <v>46328</v>
      </c>
      <c r="C45" s="23">
        <f>CHOOSE(WEEKDAY(B45,2),"Lunedì","Martedì","Mercoledì","Giovedì","Venerdì","Sabato","Domenica")</f>
        <v/>
      </c>
      <c r="D45" s="14" t="n">
        <v>0.96875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IF(F45&gt;0,"Venduto","Zero vendite")</f>
        <v/>
      </c>
      <c r="R45" s="23">
        <f>F45+M45/100000+(1000-ROW())/100000000</f>
        <v/>
      </c>
    </row>
    <row r="46">
      <c r="A46" s="22" t="inlineStr">
        <is>
          <t>20261102_2316</t>
        </is>
      </c>
      <c r="B46" s="9" t="n">
        <v>46328</v>
      </c>
      <c r="C46" s="22">
        <f>CHOOSE(WEEKDAY(B46,2),"Lunedì","Martedì","Mercoledì","Giovedì","Venerdì","Sabato","Domenica")</f>
        <v/>
      </c>
      <c r="D46" s="10" t="n">
        <v>0.9694444444444444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IF(F46&gt;0,"Venduto","Zero vendite")</f>
        <v/>
      </c>
      <c r="R46" s="22">
        <f>F46+M46/100000+(1000-ROW())/100000000</f>
        <v/>
      </c>
    </row>
    <row r="47">
      <c r="A47" s="23" t="inlineStr">
        <is>
          <t>20261102_2358</t>
        </is>
      </c>
      <c r="B47" s="13" t="n">
        <v>46328</v>
      </c>
      <c r="C47" s="23">
        <f>CHOOSE(WEEKDAY(B47,2),"Lunedì","Martedì","Mercoledì","Giovedì","Venerdì","Sabato","Domenica")</f>
        <v/>
      </c>
      <c r="D47" s="14" t="n">
        <v>0.9986111111111111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IF(F47&gt;0,"Venduto","Zero vendite")</f>
        <v/>
      </c>
      <c r="R47" s="23">
        <f>F47+M47/100000+(1000-ROW())/100000000</f>
        <v/>
      </c>
    </row>
    <row r="48">
      <c r="A48" s="22" t="inlineStr">
        <is>
          <t>20261102_2359</t>
        </is>
      </c>
      <c r="B48" s="9" t="n">
        <v>46328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IF(F48&gt;0,"Venduto","Zero vendite")</f>
        <v/>
      </c>
      <c r="R48" s="22">
        <f>F48+M48/100000+(1000-ROW())/100000000</f>
        <v/>
      </c>
    </row>
    <row r="49">
      <c r="A49" s="23" t="inlineStr">
        <is>
          <t>20261109_2015</t>
        </is>
      </c>
      <c r="B49" s="13" t="n">
        <v>46335</v>
      </c>
      <c r="C49" s="23">
        <f>CHOOSE(WEEKDAY(B49,2),"Lunedì","Martedì","Mercoledì","Giovedì","Venerdì","Sabato","Domenica")</f>
        <v/>
      </c>
      <c r="D49" s="14" t="n">
        <v>0.84375</v>
      </c>
      <c r="E49" s="15" t="n">
        <v>80</v>
      </c>
      <c r="F49" s="15">
        <f>SUMIF(Vendite!$A$2:$A$1000,A49,Vendite!$H$2:$H$1000)</f>
        <v/>
      </c>
      <c r="G49" s="15">
        <f>SUMIF(Vendite!$A$2:$A$1000,A49,Vendite!$P$2:$P$1000)</f>
        <v/>
      </c>
      <c r="H49" s="15">
        <f>SUMIFS(Vendite!$H$2:$H$1000,Vendite!$A$2:$A$1000,A49,Vendite!$O$2:$O$1000,2)</f>
        <v/>
      </c>
      <c r="I49" s="15">
        <f>SUMIFS(Vendite!$H$2:$H$1000,Vendite!$A$2:$A$1000,A49,Vendite!$O$2:$O$1000,3)</f>
        <v/>
      </c>
      <c r="J49" s="15">
        <f>SUMIFS(Vendite!$H$2:$H$1000,Vendite!$A$2:$A$1000,A49,Vendite!$O$2:$O$1000,4)</f>
        <v/>
      </c>
      <c r="K49" s="15">
        <f>SUMIFS(Vendite!$H$2:$H$1000,Vendite!$A$2:$A$1000,A49,Vendite!$O$2:$O$1000,5)</f>
        <v/>
      </c>
      <c r="L49" s="15">
        <f>SUMIF(Vendite!$A$2:$A$1000,A49,Vendite!$I$2:$I$1000)</f>
        <v/>
      </c>
      <c r="M49" s="16">
        <f>SUMIF(Vendite!$A$2:$A$1000,A49,Vendite!$J$2:$J$1000)</f>
        <v/>
      </c>
      <c r="N49" s="16">
        <f>SUMIF(Vendite!$A$2:$A$1000,A49,Vendite!$L$2:$L$1000)</f>
        <v/>
      </c>
      <c r="O49" s="16">
        <f>SUMIF(Vendite!$A$2:$A$1000,A49,Vendite!$M$2:$M$1000)</f>
        <v/>
      </c>
      <c r="P49" s="25">
        <f>IF(E49&gt;0,F49/E49,0)</f>
        <v/>
      </c>
      <c r="Q49" s="23">
        <f>IF(F49&gt;0,"Venduto","Zero vendite")</f>
        <v/>
      </c>
      <c r="R49" s="23">
        <f>F49+M49/100000+(1000-ROW())/100000000</f>
        <v/>
      </c>
    </row>
    <row r="50">
      <c r="A50" s="22" t="inlineStr">
        <is>
          <t>20261109_2115</t>
        </is>
      </c>
      <c r="B50" s="9" t="n">
        <v>46335</v>
      </c>
      <c r="C50" s="22">
        <f>CHOOSE(WEEKDAY(B50,2),"Lunedì","Martedì","Mercoledì","Giovedì","Venerdì","Sabato","Domenica")</f>
        <v/>
      </c>
      <c r="D50" s="10" t="n">
        <v>0.8854166666666666</v>
      </c>
      <c r="E50" s="11" t="n">
        <v>80</v>
      </c>
      <c r="F50" s="11">
        <f>SUMIF(Vendite!$A$2:$A$1000,A50,Vendite!$H$2:$H$1000)</f>
        <v/>
      </c>
      <c r="G50" s="11">
        <f>SUMIF(Vendite!$A$2:$A$1000,A50,Vendite!$P$2:$P$1000)</f>
        <v/>
      </c>
      <c r="H50" s="11">
        <f>SUMIFS(Vendite!$H$2:$H$1000,Vendite!$A$2:$A$1000,A50,Vendite!$O$2:$O$1000,2)</f>
        <v/>
      </c>
      <c r="I50" s="11">
        <f>SUMIFS(Vendite!$H$2:$H$1000,Vendite!$A$2:$A$1000,A50,Vendite!$O$2:$O$1000,3)</f>
        <v/>
      </c>
      <c r="J50" s="11">
        <f>SUMIFS(Vendite!$H$2:$H$1000,Vendite!$A$2:$A$1000,A50,Vendite!$O$2:$O$1000,4)</f>
        <v/>
      </c>
      <c r="K50" s="11">
        <f>SUMIFS(Vendite!$H$2:$H$1000,Vendite!$A$2:$A$1000,A50,Vendite!$O$2:$O$1000,5)</f>
        <v/>
      </c>
      <c r="L50" s="11">
        <f>SUMIF(Vendite!$A$2:$A$1000,A50,Vendite!$I$2:$I$1000)</f>
        <v/>
      </c>
      <c r="M50" s="12">
        <f>SUMIF(Vendite!$A$2:$A$1000,A50,Vendite!$J$2:$J$1000)</f>
        <v/>
      </c>
      <c r="N50" s="12">
        <f>SUMIF(Vendite!$A$2:$A$1000,A50,Vendite!$L$2:$L$1000)</f>
        <v/>
      </c>
      <c r="O50" s="12">
        <f>SUMIF(Vendite!$A$2:$A$1000,A50,Vendite!$M$2:$M$1000)</f>
        <v/>
      </c>
      <c r="P50" s="24">
        <f>IF(E50&gt;0,F50/E50,0)</f>
        <v/>
      </c>
      <c r="Q50" s="22">
        <f>IF(F50&gt;0,"Venduto","Zero vendite")</f>
        <v/>
      </c>
      <c r="R50" s="22">
        <f>F50+M50/100000+(1000-ROW())/100000000</f>
        <v/>
      </c>
    </row>
    <row r="51">
      <c r="A51" s="23" t="inlineStr">
        <is>
          <t>20261109_2215</t>
        </is>
      </c>
      <c r="B51" s="13" t="n">
        <v>46335</v>
      </c>
      <c r="C51" s="23">
        <f>CHOOSE(WEEKDAY(B51,2),"Lunedì","Martedì","Mercoledì","Giovedì","Venerdì","Sabato","Domenica")</f>
        <v/>
      </c>
      <c r="D51" s="14" t="n">
        <v>0.9270833333333334</v>
      </c>
      <c r="E51" s="15" t="n">
        <v>80</v>
      </c>
      <c r="F51" s="15">
        <f>SUMIF(Vendite!$A$2:$A$1000,A51,Vendite!$H$2:$H$1000)</f>
        <v/>
      </c>
      <c r="G51" s="15">
        <f>SUMIF(Vendite!$A$2:$A$1000,A51,Vendite!$P$2:$P$1000)</f>
        <v/>
      </c>
      <c r="H51" s="15">
        <f>SUMIFS(Vendite!$H$2:$H$1000,Vendite!$A$2:$A$1000,A51,Vendite!$O$2:$O$1000,2)</f>
        <v/>
      </c>
      <c r="I51" s="15">
        <f>SUMIFS(Vendite!$H$2:$H$1000,Vendite!$A$2:$A$1000,A51,Vendite!$O$2:$O$1000,3)</f>
        <v/>
      </c>
      <c r="J51" s="15">
        <f>SUMIFS(Vendite!$H$2:$H$1000,Vendite!$A$2:$A$1000,A51,Vendite!$O$2:$O$1000,4)</f>
        <v/>
      </c>
      <c r="K51" s="15">
        <f>SUMIFS(Vendite!$H$2:$H$1000,Vendite!$A$2:$A$1000,A51,Vendite!$O$2:$O$1000,5)</f>
        <v/>
      </c>
      <c r="L51" s="15">
        <f>SUMIF(Vendite!$A$2:$A$1000,A51,Vendite!$I$2:$I$1000)</f>
        <v/>
      </c>
      <c r="M51" s="16">
        <f>SUMIF(Vendite!$A$2:$A$1000,A51,Vendite!$J$2:$J$1000)</f>
        <v/>
      </c>
      <c r="N51" s="16">
        <f>SUMIF(Vendite!$A$2:$A$1000,A51,Vendite!$L$2:$L$1000)</f>
        <v/>
      </c>
      <c r="O51" s="16">
        <f>SUMIF(Vendite!$A$2:$A$1000,A51,Vendite!$M$2:$M$1000)</f>
        <v/>
      </c>
      <c r="P51" s="25">
        <f>IF(E51&gt;0,F51/E51,0)</f>
        <v/>
      </c>
      <c r="Q51" s="23">
        <f>IF(F51&gt;0,"Venduto","Zero vendite")</f>
        <v/>
      </c>
      <c r="R51" s="23">
        <f>F51+M51/100000+(1000-ROW())/100000000</f>
        <v/>
      </c>
    </row>
    <row r="52">
      <c r="A52" s="22" t="inlineStr">
        <is>
          <t>20261109_2315</t>
        </is>
      </c>
      <c r="B52" s="9" t="n">
        <v>46335</v>
      </c>
      <c r="C52" s="22">
        <f>CHOOSE(WEEKDAY(B52,2),"Lunedì","Martedì","Mercoledì","Giovedì","Venerdì","Sabato","Domenica")</f>
        <v/>
      </c>
      <c r="D52" s="10" t="n">
        <v>0.96875</v>
      </c>
      <c r="E52" s="11" t="n">
        <v>80</v>
      </c>
      <c r="F52" s="11">
        <f>SUMIF(Vendite!$A$2:$A$1000,A52,Vendite!$H$2:$H$1000)</f>
        <v/>
      </c>
      <c r="G52" s="11">
        <f>SUMIF(Vendite!$A$2:$A$1000,A52,Vendite!$P$2:$P$1000)</f>
        <v/>
      </c>
      <c r="H52" s="11">
        <f>SUMIFS(Vendite!$H$2:$H$1000,Vendite!$A$2:$A$1000,A52,Vendite!$O$2:$O$1000,2)</f>
        <v/>
      </c>
      <c r="I52" s="11">
        <f>SUMIFS(Vendite!$H$2:$H$1000,Vendite!$A$2:$A$1000,A52,Vendite!$O$2:$O$1000,3)</f>
        <v/>
      </c>
      <c r="J52" s="11">
        <f>SUMIFS(Vendite!$H$2:$H$1000,Vendite!$A$2:$A$1000,A52,Vendite!$O$2:$O$1000,4)</f>
        <v/>
      </c>
      <c r="K52" s="11">
        <f>SUMIFS(Vendite!$H$2:$H$1000,Vendite!$A$2:$A$1000,A52,Vendite!$O$2:$O$1000,5)</f>
        <v/>
      </c>
      <c r="L52" s="11">
        <f>SUMIF(Vendite!$A$2:$A$1000,A52,Vendite!$I$2:$I$1000)</f>
        <v/>
      </c>
      <c r="M52" s="12">
        <f>SUMIF(Vendite!$A$2:$A$1000,A52,Vendite!$J$2:$J$1000)</f>
        <v/>
      </c>
      <c r="N52" s="12">
        <f>SUMIF(Vendite!$A$2:$A$1000,A52,Vendite!$L$2:$L$1000)</f>
        <v/>
      </c>
      <c r="O52" s="12">
        <f>SUMIF(Vendite!$A$2:$A$1000,A52,Vendite!$M$2:$M$1000)</f>
        <v/>
      </c>
      <c r="P52" s="24">
        <f>IF(E52&gt;0,F52/E52,0)</f>
        <v/>
      </c>
      <c r="Q52" s="22">
        <f>IF(F52&gt;0,"Venduto","Zero vendite")</f>
        <v/>
      </c>
      <c r="R52" s="22">
        <f>F52+M52/100000+(1000-ROW())/100000000</f>
        <v/>
      </c>
    </row>
    <row r="53">
      <c r="A53" s="23" t="inlineStr">
        <is>
          <t>20261109_2359</t>
        </is>
      </c>
      <c r="B53" s="13" t="n">
        <v>46335</v>
      </c>
      <c r="C53" s="23">
        <f>CHOOSE(WEEKDAY(B53,2),"Lunedì","Martedì","Mercoledì","Giovedì","Venerdì","Sabato","Domenica")</f>
        <v/>
      </c>
      <c r="D53" s="14" t="n">
        <v>0.9993055555555556</v>
      </c>
      <c r="E53" s="15" t="n">
        <v>80</v>
      </c>
      <c r="F53" s="15">
        <f>SUMIF(Vendite!$A$2:$A$1000,A53,Vendite!$H$2:$H$1000)</f>
        <v/>
      </c>
      <c r="G53" s="15">
        <f>SUMIF(Vendite!$A$2:$A$1000,A53,Vendite!$P$2:$P$1000)</f>
        <v/>
      </c>
      <c r="H53" s="15">
        <f>SUMIFS(Vendite!$H$2:$H$1000,Vendite!$A$2:$A$1000,A53,Vendite!$O$2:$O$1000,2)</f>
        <v/>
      </c>
      <c r="I53" s="15">
        <f>SUMIFS(Vendite!$H$2:$H$1000,Vendite!$A$2:$A$1000,A53,Vendite!$O$2:$O$1000,3)</f>
        <v/>
      </c>
      <c r="J53" s="15">
        <f>SUMIFS(Vendite!$H$2:$H$1000,Vendite!$A$2:$A$1000,A53,Vendite!$O$2:$O$1000,4)</f>
        <v/>
      </c>
      <c r="K53" s="15">
        <f>SUMIFS(Vendite!$H$2:$H$1000,Vendite!$A$2:$A$1000,A53,Vendite!$O$2:$O$1000,5)</f>
        <v/>
      </c>
      <c r="L53" s="15">
        <f>SUMIF(Vendite!$A$2:$A$1000,A53,Vendite!$I$2:$I$1000)</f>
        <v/>
      </c>
      <c r="M53" s="16">
        <f>SUMIF(Vendite!$A$2:$A$1000,A53,Vendite!$J$2:$J$1000)</f>
        <v/>
      </c>
      <c r="N53" s="16">
        <f>SUMIF(Vendite!$A$2:$A$1000,A53,Vendite!$L$2:$L$1000)</f>
        <v/>
      </c>
      <c r="O53" s="16">
        <f>SUMIF(Vendite!$A$2:$A$1000,A53,Vendite!$M$2:$M$1000)</f>
        <v/>
      </c>
      <c r="P53" s="25">
        <f>IF(E53&gt;0,F53/E53,0)</f>
        <v/>
      </c>
      <c r="Q53" s="23">
        <f>IF(F53&gt;0,"Venduto","Zero vendite")</f>
        <v/>
      </c>
      <c r="R53" s="23">
        <f>F53+M53/100000+(1000-ROW())/100000000</f>
        <v/>
      </c>
    </row>
  </sheetData>
  <autoFilter ref="A1:R53"/>
  <conditionalFormatting sqref="Q2:Q5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480</v>
      </c>
      <c r="K126" s="12" t="n">
        <v>0</v>
      </c>
      <c r="L126" s="12" t="n">
        <v>436.4</v>
      </c>
      <c r="M126" s="12" t="n">
        <v>43.6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10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240</v>
      </c>
      <c r="K129" s="16" t="n">
        <v>0</v>
      </c>
      <c r="L129" s="16" t="n">
        <v>218.2</v>
      </c>
      <c r="M129" s="16" t="n">
        <v>21.8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10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672</v>
      </c>
      <c r="K130" s="12" t="n">
        <v>0</v>
      </c>
      <c r="L130" s="12" t="n">
        <v>610.96</v>
      </c>
      <c r="M130" s="12" t="n">
        <v>61.04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300</v>
      </c>
      <c r="K132" s="12" t="n">
        <v>0</v>
      </c>
      <c r="L132" s="12" t="n">
        <v>272.75</v>
      </c>
      <c r="M132" s="12" t="n">
        <v>27.25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5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456</v>
      </c>
      <c r="K133" s="16" t="n">
        <v>0</v>
      </c>
      <c r="L133" s="16" t="n">
        <v>414.58</v>
      </c>
      <c r="M133" s="16" t="n">
        <v>41.42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864</v>
      </c>
      <c r="K146" s="12" t="n">
        <v>0</v>
      </c>
      <c r="L146" s="12" t="n">
        <v>785.52</v>
      </c>
      <c r="M146" s="12" t="n">
        <v>78.48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  <row r="10">
      <c r="A10" s="9" t="n">
        <v>46335</v>
      </c>
      <c r="B10" s="22">
        <f>CHOOSE(WEEKDAY(A10,2),"Lunedì","Martedì","Mercoledì","Giovedì","Venerdì","Sabato","Domenica")</f>
        <v/>
      </c>
      <c r="C10" s="11">
        <f>SUM(F10:K10)</f>
        <v/>
      </c>
      <c r="D10" s="11">
        <f>SUM(L10:Q10)</f>
        <v/>
      </c>
      <c r="E10" s="12">
        <f>SUMIF(Vendite!$B$2:$B$1000,A10,Vendite!$J$2:$J$1000)</f>
        <v/>
      </c>
      <c r="F10" s="11">
        <f>SUMIFS(Vendite!$H$2:$H$1000,Vendite!$B$2:$B$1000,A10,Vendite!$C$2:$C$1000,"&gt;="&amp;TIMEVALUE("19:00"),Vendite!$C$2:$C$1000,"&lt;"&amp;TIMEVALUE("20:00"))</f>
        <v/>
      </c>
      <c r="G10" s="11">
        <f>SUMIFS(Vendite!$H$2:$H$1000,Vendite!$B$2:$B$1000,A10,Vendite!$C$2:$C$1000,"&gt;="&amp;TIMEVALUE("20:00"),Vendite!$C$2:$C$1000,"&lt;"&amp;TIMEVALUE("21:00"))</f>
        <v/>
      </c>
      <c r="H10" s="11">
        <f>SUMIFS(Vendite!$H$2:$H$1000,Vendite!$B$2:$B$1000,A10,Vendite!$C$2:$C$1000,"&gt;="&amp;TIMEVALUE("21:00"),Vendite!$C$2:$C$1000,"&lt;"&amp;TIMEVALUE("22:00"))</f>
        <v/>
      </c>
      <c r="I10" s="11">
        <f>SUMIFS(Vendite!$H$2:$H$1000,Vendite!$B$2:$B$1000,A10,Vendite!$C$2:$C$1000,"&gt;="&amp;TIMEVALUE("22:00"),Vendite!$C$2:$C$1000,"&lt;"&amp;TIMEVALUE("23:00"))</f>
        <v/>
      </c>
      <c r="J10" s="11">
        <f>SUMIFS(Vendite!$H$2:$H$1000,Vendite!$B$2:$B$1000,A10,Vendite!$C$2:$C$1000,"&gt;="&amp;TIMEVALUE("23:00"),Vendite!$C$2:$C$1000,"&lt;"&amp;TIMEVALUE("23:30"))</f>
        <v/>
      </c>
      <c r="K10" s="11">
        <f>SUMIFS(Vendite!$H$2:$H$1000,Vendite!$B$2:$B$1000,A10,Vendite!$C$2:$C$1000,"&gt;="&amp;TIMEVALUE("23:30"))</f>
        <v/>
      </c>
      <c r="L10" s="11">
        <f>SUMIFS(Vendite!$P$2:$P$1000,Vendite!$B$2:$B$1000,A10,Vendite!$C$2:$C$1000,"&gt;="&amp;TIMEVALUE("19:00"),Vendite!$C$2:$C$1000,"&lt;"&amp;TIMEVALUE("20:00"))</f>
        <v/>
      </c>
      <c r="M10" s="11">
        <f>SUMIFS(Vendite!$P$2:$P$1000,Vendite!$B$2:$B$1000,A10,Vendite!$C$2:$C$1000,"&gt;="&amp;TIMEVALUE("20:00"),Vendite!$C$2:$C$1000,"&lt;"&amp;TIMEVALUE("21:00"))</f>
        <v/>
      </c>
      <c r="N10" s="11">
        <f>SUMIFS(Vendite!$P$2:$P$1000,Vendite!$B$2:$B$1000,A10,Vendite!$C$2:$C$1000,"&gt;="&amp;TIMEVALUE("21:00"),Vendite!$C$2:$C$1000,"&lt;"&amp;TIMEVALUE("22:00"))</f>
        <v/>
      </c>
      <c r="O10" s="11">
        <f>SUMIFS(Vendite!$P$2:$P$1000,Vendite!$B$2:$B$1000,A10,Vendite!$C$2:$C$1000,"&gt;="&amp;TIMEVALUE("22:00"),Vendite!$C$2:$C$1000,"&lt;"&amp;TIMEVALUE("23:00"))</f>
        <v/>
      </c>
      <c r="P10" s="11">
        <f>SUMIFS(Vendite!$P$2:$P$1000,Vendite!$B$2:$B$1000,A10,Vendite!$C$2:$C$1000,"&gt;="&amp;TIMEVALUE("23:00"),Vendite!$C$2:$C$1000,"&lt;"&amp;TIMEVALUE("23:30"))</f>
        <v/>
      </c>
      <c r="Q10" s="11">
        <f>SUMIFS(Vendite!$P$2:$P$1000,Vendite!$B$2:$B$1000,A10,Vendite!$C$2:$C$1000,"&gt;="&amp;TIMEVALUE("23:30"))</f>
        <v/>
      </c>
      <c r="R10" s="11">
        <f>SUMIFS(Vendite!$H$2:$H$1000,Vendite!$B$2:$B$1000,A10,Vendite!$O$2:$O$1000,2)</f>
        <v/>
      </c>
      <c r="S10" s="11">
        <f>SUMIFS(Vendite!$H$2:$H$1000,Vendite!$B$2:$B$1000,A10,Vendite!$O$2:$O$1000,3)</f>
        <v/>
      </c>
      <c r="T10" s="11">
        <f>SUMIFS(Vendite!$H$2:$H$1000,Vendite!$B$2:$B$1000,A10,Vendite!$O$2:$O$1000,4)</f>
        <v/>
      </c>
      <c r="U10" s="11">
        <f>SUMIFS(Vendite!$H$2:$H$1000,Vendite!$B$2:$B$1000,A10,Vendite!$O$2:$O$1000,5)</f>
        <v/>
      </c>
      <c r="V10">
        <f>TEXT(A10,"DD/MM")</f>
        <v/>
      </c>
    </row>
  </sheetData>
  <autoFilter ref="A1:U10"/>
  <conditionalFormatting sqref="F2:K10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10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8291</v>
      </c>
      <c r="D889" s="16" t="n">
        <v>99534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8296</v>
      </c>
      <c r="D890" s="12" t="n">
        <v>99594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</sheetData>
  <autoFilter ref="A1:G8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  <row r="1688">
      <c r="A1688" s="30" t="n">
        <v>46325.77569444444</v>
      </c>
      <c r="B1688" s="30" t="n">
        <v>46325.7875</v>
      </c>
      <c r="C1688" s="9" t="n">
        <v>46327</v>
      </c>
      <c r="D1688" s="10" t="n">
        <v>0.84375</v>
      </c>
      <c r="E1688" s="36" t="n">
        <v>1</v>
      </c>
      <c r="F1688" s="36" t="n">
        <v>0</v>
      </c>
      <c r="G1688" s="36" t="n">
        <v>0</v>
      </c>
      <c r="H1688" s="36" t="n">
        <v>0</v>
      </c>
      <c r="I1688" s="36" t="n">
        <v>1</v>
      </c>
      <c r="J1688" s="36" t="n">
        <v>5</v>
      </c>
      <c r="K1688" s="12" t="n">
        <v>60</v>
      </c>
    </row>
    <row r="1689">
      <c r="A1689" s="33" t="n">
        <v>46325.7875</v>
      </c>
      <c r="B1689" s="33" t="n">
        <v>46325.79791666667</v>
      </c>
      <c r="C1689" s="13" t="n">
        <v>46327</v>
      </c>
      <c r="D1689" s="14" t="n">
        <v>0.9993055555555556</v>
      </c>
      <c r="E1689" s="37" t="n">
        <v>1</v>
      </c>
      <c r="F1689" s="37" t="n">
        <v>0</v>
      </c>
      <c r="G1689" s="37" t="n">
        <v>0</v>
      </c>
      <c r="H1689" s="37" t="n">
        <v>0</v>
      </c>
      <c r="I1689" s="37" t="n">
        <v>1</v>
      </c>
      <c r="J1689" s="37" t="n">
        <v>5</v>
      </c>
      <c r="K1689" s="16" t="n">
        <v>60</v>
      </c>
    </row>
  </sheetData>
  <autoFilter ref="A1:K168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323</v>
      </c>
      <c r="M8" s="11" t="n">
        <v>980</v>
      </c>
      <c r="N8" s="12" t="n">
        <v>11775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232</v>
      </c>
      <c r="H23" s="11" t="n">
        <v>718</v>
      </c>
      <c r="I23" s="12" t="n">
        <v>8616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117</v>
      </c>
      <c r="C29" s="11" t="n">
        <v>354</v>
      </c>
      <c r="D29" s="12" t="n">
        <v>4248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2026-10-30T18:09:29Z</dcterms:created>
  <dcterms:modified xsi:type="dcterms:W3CDTF">2026-10-30T18:09:30Z</dcterms:modified>
</cp:coreProperties>
</file>