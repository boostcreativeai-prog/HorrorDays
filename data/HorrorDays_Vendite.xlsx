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'Storico'!$A$1:$G$653</definedName>
    <definedName name="_xlnm._FilterDatabase" localSheetId="8" hidden="1">'Registro vendite'!$A$1:$K$823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'Storico'!$H$2:$H$653</f>
            </numRef>
          </cat>
          <val>
            <numRef>
              <f>'Storico'!$C$2:$C$653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17</v>
      </c>
      <c r="I46" s="11" t="n">
        <v>0</v>
      </c>
      <c r="J46" s="12" t="n">
        <v>816</v>
      </c>
      <c r="K46" s="12" t="n">
        <v>0</v>
      </c>
      <c r="L46" s="12" t="n">
        <v>741.88</v>
      </c>
      <c r="M46" s="12" t="n">
        <v>74.12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7</v>
      </c>
      <c r="I48" s="11" t="n">
        <v>0</v>
      </c>
      <c r="J48" s="12" t="n">
        <v>420</v>
      </c>
      <c r="K48" s="12" t="n">
        <v>0</v>
      </c>
      <c r="L48" s="12" t="n">
        <v>381.85</v>
      </c>
      <c r="M48" s="12" t="n">
        <v>38.15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20</v>
      </c>
      <c r="I53" s="15" t="n">
        <v>0</v>
      </c>
      <c r="J53" s="16" t="n">
        <v>480</v>
      </c>
      <c r="K53" s="16" t="n">
        <v>0</v>
      </c>
      <c r="L53" s="16" t="n">
        <v>436.4</v>
      </c>
      <c r="M53" s="16" t="n">
        <v>43.6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12</v>
      </c>
      <c r="I54" s="11" t="n">
        <v>0</v>
      </c>
      <c r="J54" s="12" t="n">
        <v>576</v>
      </c>
      <c r="K54" s="12" t="n">
        <v>0</v>
      </c>
      <c r="L54" s="12" t="n">
        <v>523.6799999999999</v>
      </c>
      <c r="M54" s="12" t="n">
        <v>52.32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11</v>
      </c>
      <c r="I56" s="11" t="n">
        <v>0</v>
      </c>
      <c r="J56" s="12" t="n">
        <v>264</v>
      </c>
      <c r="K56" s="12" t="n">
        <v>0</v>
      </c>
      <c r="L56" s="12" t="n">
        <v>240.02</v>
      </c>
      <c r="M56" s="12" t="n">
        <v>23.98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1</v>
      </c>
      <c r="I58" s="11" t="n">
        <v>0</v>
      </c>
      <c r="J58" s="12" t="n">
        <v>36</v>
      </c>
      <c r="K58" s="12" t="n">
        <v>0</v>
      </c>
      <c r="L58" s="12" t="n">
        <v>32.73</v>
      </c>
      <c r="M58" s="12" t="n">
        <v>3.27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2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8</v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4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14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6</v>
      </c>
      <c r="I71" s="15" t="n">
        <v>0</v>
      </c>
      <c r="J71" s="16" t="n">
        <v>288</v>
      </c>
      <c r="K71" s="16" t="n">
        <v>0</v>
      </c>
      <c r="L71" s="16" t="n">
        <v>261.84</v>
      </c>
      <c r="M71" s="16" t="n">
        <v>26.16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2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4</v>
      </c>
      <c r="I73" s="15" t="n">
        <v>0</v>
      </c>
      <c r="J73" s="16" t="n">
        <v>240</v>
      </c>
      <c r="K73" s="16" t="n">
        <v>0</v>
      </c>
      <c r="L73" s="16" t="n">
        <v>218.2</v>
      </c>
      <c r="M73" s="16" t="n">
        <v>21.8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3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10</v>
      </c>
      <c r="I81" s="15" t="n">
        <v>0</v>
      </c>
      <c r="J81" s="16" t="n">
        <v>480</v>
      </c>
      <c r="K81" s="16" t="n">
        <v>0</v>
      </c>
      <c r="L81" s="16" t="n">
        <v>436.4</v>
      </c>
      <c r="M81" s="16" t="n">
        <v>43.6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2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10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8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4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3</v>
      </c>
      <c r="I94" s="11" t="n">
        <v>2</v>
      </c>
      <c r="J94" s="12" t="n">
        <v>180</v>
      </c>
      <c r="K94" s="12" t="n">
        <v>0</v>
      </c>
      <c r="L94" s="12" t="n">
        <v>163.65</v>
      </c>
      <c r="M94" s="12" t="n">
        <v>16.35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2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2</v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9</v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11</v>
      </c>
      <c r="I100" s="11" t="n">
        <v>3</v>
      </c>
      <c r="J100" s="12" t="n">
        <v>528</v>
      </c>
      <c r="K100" s="12" t="n">
        <v>0</v>
      </c>
      <c r="L100" s="12" t="n">
        <v>480.04</v>
      </c>
      <c r="M100" s="12" t="n">
        <v>47.96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3</v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26</v>
      </c>
      <c r="I103" s="15" t="n">
        <v>0</v>
      </c>
      <c r="J103" s="16" t="n">
        <v>624</v>
      </c>
      <c r="K103" s="16" t="n">
        <v>0</v>
      </c>
      <c r="L103" s="16" t="n">
        <v>567.3200000000001</v>
      </c>
      <c r="M103" s="16" t="n">
        <v>56.68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22</v>
      </c>
      <c r="I104" s="11" t="n">
        <v>0</v>
      </c>
      <c r="J104" s="12" t="n">
        <v>1056</v>
      </c>
      <c r="K104" s="12" t="n">
        <v>0</v>
      </c>
      <c r="L104" s="12" t="n">
        <v>960.08</v>
      </c>
      <c r="M104" s="12" t="n">
        <v>95.92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2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3</v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19</v>
      </c>
      <c r="I107" s="15" t="n">
        <v>0</v>
      </c>
      <c r="J107" s="16" t="n">
        <v>456</v>
      </c>
      <c r="K107" s="16" t="n">
        <v>0</v>
      </c>
      <c r="L107" s="16" t="n">
        <v>414.58</v>
      </c>
      <c r="M107" s="16" t="n">
        <v>41.42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15</v>
      </c>
      <c r="I108" s="11" t="n">
        <v>0</v>
      </c>
      <c r="J108" s="12" t="n">
        <v>720</v>
      </c>
      <c r="K108" s="12" t="n">
        <v>0</v>
      </c>
      <c r="L108" s="12" t="n">
        <v>654.6</v>
      </c>
      <c r="M108" s="12" t="n">
        <v>65.40000000000001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2</v>
      </c>
      <c r="I110" s="11" t="n">
        <v>0</v>
      </c>
      <c r="J110" s="12" t="n">
        <v>120</v>
      </c>
      <c r="K110" s="12" t="n">
        <v>0</v>
      </c>
      <c r="L110" s="12" t="n">
        <v>109.1</v>
      </c>
      <c r="M110" s="12" t="n">
        <v>10.9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11</v>
      </c>
      <c r="I111" s="15" t="n">
        <v>0</v>
      </c>
      <c r="J111" s="16" t="n">
        <v>264</v>
      </c>
      <c r="K111" s="16" t="n">
        <v>0</v>
      </c>
      <c r="L111" s="16" t="n">
        <v>240.02</v>
      </c>
      <c r="M111" s="16" t="n">
        <v>23.98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I1</t>
        </is>
      </c>
      <c r="F112" s="22">
        <f>IFERROR(INDEX(Tariffe!$B$2:$B$200,MATCH(E112,Tariffe!$A$2:$A$200,0)),"DA DEFINIRE")</f>
        <v/>
      </c>
      <c r="G112" s="12" t="n">
        <v>48</v>
      </c>
      <c r="H112" s="11" t="n">
        <v>2</v>
      </c>
      <c r="I112" s="11" t="n">
        <v>0</v>
      </c>
      <c r="J112" s="12" t="n">
        <v>96</v>
      </c>
      <c r="K112" s="12" t="n">
        <v>0</v>
      </c>
      <c r="L112" s="12" t="n">
        <v>87.28</v>
      </c>
      <c r="M112" s="12" t="n">
        <v>8.720000000000001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2</v>
      </c>
      <c r="I114" s="11" t="n">
        <v>0</v>
      </c>
      <c r="J114" s="12" t="n">
        <v>48</v>
      </c>
      <c r="K114" s="12" t="n">
        <v>0</v>
      </c>
      <c r="L114" s="12" t="n">
        <v>43.64</v>
      </c>
      <c r="M114" s="12" t="n">
        <v>4.36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I1</t>
        </is>
      </c>
      <c r="F115" s="23">
        <f>IFERROR(INDEX(Tariffe!$B$2:$B$200,MATCH(E115,Tariffe!$A$2:$A$200,0)),"DA DEFINIRE")</f>
        <v/>
      </c>
      <c r="G115" s="16" t="n">
        <v>48</v>
      </c>
      <c r="H115" s="15" t="n">
        <v>4</v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4</v>
      </c>
      <c r="I116" s="11" t="n">
        <v>0</v>
      </c>
      <c r="J116" s="12" t="n">
        <v>144</v>
      </c>
      <c r="K116" s="12" t="n">
        <v>0</v>
      </c>
      <c r="L116" s="12" t="n">
        <v>130.92</v>
      </c>
      <c r="M116" s="12" t="n">
        <v>13.08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4</v>
      </c>
      <c r="I117" s="15" t="n">
        <v>0</v>
      </c>
      <c r="J117" s="16" t="n">
        <v>96</v>
      </c>
      <c r="K117" s="16" t="n">
        <v>0</v>
      </c>
      <c r="L117" s="16" t="n">
        <v>87.28</v>
      </c>
      <c r="M117" s="16" t="n">
        <v>8.720000000000001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I1</t>
        </is>
      </c>
      <c r="F118" s="22">
        <f>IFERROR(INDEX(Tariffe!$B$2:$B$200,MATCH(E118,Tariffe!$A$2:$A$200,0)),"DA DEFINIRE")</f>
        <v/>
      </c>
      <c r="G118" s="12" t="n">
        <v>48</v>
      </c>
      <c r="H118" s="11" t="n">
        <v>1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2</v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I5</t>
        </is>
      </c>
      <c r="F120" s="22">
        <f>IFERROR(INDEX(Tariffe!$B$2:$B$200,MATCH(E120,Tariffe!$A$2:$A$200,0)),"DA DEFINIRE")</f>
        <v/>
      </c>
      <c r="G120" s="12" t="n">
        <v>60</v>
      </c>
      <c r="H120" s="11" t="n">
        <v>1</v>
      </c>
      <c r="I120" s="11" t="n">
        <v>0</v>
      </c>
      <c r="J120" s="12" t="n">
        <v>60</v>
      </c>
      <c r="K120" s="12" t="n">
        <v>0</v>
      </c>
      <c r="L120" s="12" t="n">
        <v>54.55</v>
      </c>
      <c r="M120" s="12" t="n">
        <v>5.45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4</v>
      </c>
      <c r="I121" s="15" t="n">
        <v>0</v>
      </c>
      <c r="J121" s="16" t="n">
        <v>96</v>
      </c>
      <c r="K121" s="16" t="n">
        <v>0</v>
      </c>
      <c r="L121" s="16" t="n">
        <v>87.28</v>
      </c>
      <c r="M121" s="16" t="n">
        <v>8.720000000000001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I2</t>
        </is>
      </c>
      <c r="F122" s="22">
        <f>IFERROR(INDEX(Tariffe!$B$2:$B$200,MATCH(E122,Tariffe!$A$2:$A$200,0)),"DA DEFINIRE")</f>
        <v/>
      </c>
      <c r="G122" s="12" t="n">
        <v>36</v>
      </c>
      <c r="H122" s="11" t="n">
        <v>1</v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2</v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I5</t>
        </is>
      </c>
      <c r="F124" s="22">
        <f>IFERROR(INDEX(Tariffe!$B$2:$B$200,MATCH(E124,Tariffe!$A$2:$A$200,0)),"DA DEFINIRE")</f>
        <v/>
      </c>
      <c r="G124" s="12" t="n">
        <v>60</v>
      </c>
      <c r="H124" s="11" t="n">
        <v>1</v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I8</t>
        </is>
      </c>
      <c r="F125" s="23">
        <f>IFERROR(INDEX(Tariffe!$B$2:$B$200,MATCH(E125,Tariffe!$A$2:$A$200,0)),"DA DEFINIRE")</f>
        <v/>
      </c>
      <c r="G125" s="16" t="n">
        <v>24</v>
      </c>
      <c r="H125" s="15" t="n">
        <v>1</v>
      </c>
      <c r="I125" s="15" t="n">
        <v>0</v>
      </c>
      <c r="J125" s="16" t="n">
        <v>24</v>
      </c>
      <c r="K125" s="16" t="n">
        <v>0</v>
      </c>
      <c r="L125" s="16" t="n">
        <v>21.82</v>
      </c>
      <c r="M125" s="16" t="n">
        <v>2.18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20261102_2015</t>
        </is>
      </c>
      <c r="B126" s="9" t="n">
        <v>46328</v>
      </c>
      <c r="C126" s="10" t="n">
        <v>0.84375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20261102_2215</t>
        </is>
      </c>
      <c r="B127" s="13" t="n">
        <v>46328</v>
      </c>
      <c r="C127" s="14" t="n">
        <v>0.9270833333333334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20261102_2315</t>
        </is>
      </c>
      <c r="B128" s="9" t="n">
        <v>46328</v>
      </c>
      <c r="C128" s="10" t="n">
        <v>0.96875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20261102_2359</t>
        </is>
      </c>
      <c r="B129" s="13" t="n">
        <v>46328</v>
      </c>
      <c r="C129" s="14" t="n">
        <v>0.9993055555555556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1</v>
      </c>
      <c r="I129" s="15" t="n">
        <v>0</v>
      </c>
      <c r="J129" s="16" t="n">
        <v>15</v>
      </c>
      <c r="K129" s="16" t="n">
        <v>0</v>
      </c>
      <c r="L129" s="16" t="n">
        <v>13.64</v>
      </c>
      <c r="M129" s="16" t="n">
        <v>1.36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</sheetData>
  <autoFilter ref="A1:P1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</sheetData>
  <autoFilter ref="A1:G6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</sheetData>
  <autoFilter ref="A1:K8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106</v>
      </c>
      <c r="M10" s="11" t="n">
        <v>333</v>
      </c>
      <c r="N10" s="12" t="n">
        <v>3996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29</v>
      </c>
      <c r="C24" s="11" t="n">
        <v>84</v>
      </c>
      <c r="D24" s="12" t="n">
        <v>1008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2026-10-25T09:24:41Z</dcterms:created>
  <dcterms:modified xsi:type="dcterms:W3CDTF">2026-10-25T09:24:42Z</dcterms:modified>
</cp:coreProperties>
</file>