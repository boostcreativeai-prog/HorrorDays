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'Vendite'!$A$1:$P$99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'Storico'!$A$1:$G$444</definedName>
    <definedName name="_xlnm._FilterDatabase" localSheetId="8" hidden="1">'Registro vendite'!$A$1:$K$372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'Storico'!$H$2:$H$444</f>
            </numRef>
          </cat>
          <val>
            <numRef>
              <f>'Storico'!$C$2:$C$444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vendite'!$A$4:$A$17</f>
            </numRef>
          </cat>
          <val>
            <numRef>
              <f>'Picchi vendite'!$B$4:$B$17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MAX(Storico!A2:A444)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8</v>
      </c>
      <c r="I5" s="15" t="n">
        <v>0</v>
      </c>
      <c r="J5" s="16" t="n">
        <v>192</v>
      </c>
      <c r="K5" s="16" t="n">
        <v>0</v>
      </c>
      <c r="L5" s="16" t="n">
        <v>174.56</v>
      </c>
      <c r="M5" s="16" t="n">
        <v>17.44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11</v>
      </c>
      <c r="I6" s="11" t="n">
        <v>1</v>
      </c>
      <c r="J6" s="12" t="n">
        <v>528</v>
      </c>
      <c r="K6" s="12" t="n">
        <v>0</v>
      </c>
      <c r="L6" s="12" t="n">
        <v>480.04</v>
      </c>
      <c r="M6" s="12" t="n">
        <v>47.96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7</v>
      </c>
      <c r="I7" s="15" t="n">
        <v>0</v>
      </c>
      <c r="J7" s="16" t="n">
        <v>252</v>
      </c>
      <c r="K7" s="16" t="n">
        <v>0</v>
      </c>
      <c r="L7" s="16" t="n">
        <v>229.11</v>
      </c>
      <c r="M7" s="16" t="n">
        <v>22.89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3</v>
      </c>
      <c r="I8" s="11" t="n">
        <v>0</v>
      </c>
      <c r="J8" s="12" t="n">
        <v>180</v>
      </c>
      <c r="K8" s="12" t="n">
        <v>0</v>
      </c>
      <c r="L8" s="12" t="n">
        <v>163.65</v>
      </c>
      <c r="M8" s="12" t="n">
        <v>16.35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20</v>
      </c>
      <c r="I9" s="15" t="n">
        <v>0</v>
      </c>
      <c r="J9" s="16" t="n">
        <v>480</v>
      </c>
      <c r="K9" s="16" t="n">
        <v>0</v>
      </c>
      <c r="L9" s="16" t="n">
        <v>436.4</v>
      </c>
      <c r="M9" s="16" t="n">
        <v>43.6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13</v>
      </c>
      <c r="I10" s="11" t="n">
        <v>0</v>
      </c>
      <c r="J10" s="12" t="n">
        <v>624</v>
      </c>
      <c r="K10" s="12" t="n">
        <v>0</v>
      </c>
      <c r="L10" s="12" t="n">
        <v>567.3200000000001</v>
      </c>
      <c r="M10" s="12" t="n">
        <v>56.68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3</v>
      </c>
      <c r="I11" s="15" t="n">
        <v>0</v>
      </c>
      <c r="J11" s="16" t="n">
        <v>108</v>
      </c>
      <c r="K11" s="16" t="n">
        <v>0</v>
      </c>
      <c r="L11" s="16" t="n">
        <v>98.19</v>
      </c>
      <c r="M11" s="16" t="n">
        <v>9.81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5</v>
      </c>
      <c r="I12" s="11" t="n">
        <v>0</v>
      </c>
      <c r="J12" s="12" t="n">
        <v>300</v>
      </c>
      <c r="K12" s="12" t="n">
        <v>0</v>
      </c>
      <c r="L12" s="12" t="n">
        <v>272.75</v>
      </c>
      <c r="M12" s="12" t="n">
        <v>27.25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12</v>
      </c>
      <c r="I13" s="15" t="n">
        <v>0</v>
      </c>
      <c r="J13" s="16" t="n">
        <v>288</v>
      </c>
      <c r="K13" s="16" t="n">
        <v>0</v>
      </c>
      <c r="L13" s="16" t="n">
        <v>261.84</v>
      </c>
      <c r="M13" s="16" t="n">
        <v>26.16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6</v>
      </c>
      <c r="I14" s="11" t="n">
        <v>1</v>
      </c>
      <c r="J14" s="12" t="n">
        <v>288</v>
      </c>
      <c r="K14" s="12" t="n">
        <v>0</v>
      </c>
      <c r="L14" s="12" t="n">
        <v>261.84</v>
      </c>
      <c r="M14" s="12" t="n">
        <v>26.16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2</v>
      </c>
      <c r="I16" s="11" t="n">
        <v>0</v>
      </c>
      <c r="J16" s="12" t="n">
        <v>120</v>
      </c>
      <c r="K16" s="12" t="n">
        <v>0</v>
      </c>
      <c r="L16" s="12" t="n">
        <v>109.1</v>
      </c>
      <c r="M16" s="12" t="n">
        <v>10.9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14</v>
      </c>
      <c r="I17" s="15" t="n">
        <v>0</v>
      </c>
      <c r="J17" s="16" t="n">
        <v>336</v>
      </c>
      <c r="K17" s="16" t="n">
        <v>0</v>
      </c>
      <c r="L17" s="16" t="n">
        <v>305.48</v>
      </c>
      <c r="M17" s="16" t="n">
        <v>30.52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6</v>
      </c>
      <c r="I18" s="11" t="n">
        <v>0</v>
      </c>
      <c r="J18" s="12" t="n">
        <v>288</v>
      </c>
      <c r="K18" s="12" t="n">
        <v>0</v>
      </c>
      <c r="L18" s="12" t="n">
        <v>261.84</v>
      </c>
      <c r="M18" s="12" t="n">
        <v>26.16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1</v>
      </c>
      <c r="I20" s="11" t="n">
        <v>0</v>
      </c>
      <c r="J20" s="12" t="n">
        <v>60</v>
      </c>
      <c r="K20" s="12" t="n">
        <v>0</v>
      </c>
      <c r="L20" s="12" t="n">
        <v>54.55</v>
      </c>
      <c r="M20" s="12" t="n">
        <v>5.45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6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I5</t>
        </is>
      </c>
      <c r="F23" s="23">
        <f>IFERROR(INDEX(Tariffe!$B$2:$B$200,MATCH(E23,Tariffe!$A$2:$A$200,0)),"DA DEFINIRE")</f>
        <v/>
      </c>
      <c r="G23" s="16" t="n">
        <v>60</v>
      </c>
      <c r="H23" s="15" t="n">
        <v>1</v>
      </c>
      <c r="I23" s="15" t="n">
        <v>0</v>
      </c>
      <c r="J23" s="16" t="n">
        <v>60</v>
      </c>
      <c r="K23" s="16" t="n">
        <v>0</v>
      </c>
      <c r="L23" s="16" t="n">
        <v>54.55</v>
      </c>
      <c r="M23" s="16" t="n">
        <v>5.45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3</v>
      </c>
      <c r="I24" s="11" t="n">
        <v>0</v>
      </c>
      <c r="J24" s="12" t="n">
        <v>72</v>
      </c>
      <c r="K24" s="12" t="n">
        <v>0</v>
      </c>
      <c r="L24" s="12" t="n">
        <v>65.45999999999999</v>
      </c>
      <c r="M24" s="12" t="n">
        <v>6.54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4</v>
      </c>
      <c r="I25" s="15" t="n">
        <v>0</v>
      </c>
      <c r="J25" s="16" t="n">
        <v>192</v>
      </c>
      <c r="K25" s="16" t="n">
        <v>0</v>
      </c>
      <c r="L25" s="16" t="n">
        <v>174.56</v>
      </c>
      <c r="M25" s="16" t="n">
        <v>17.44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I5</t>
        </is>
      </c>
      <c r="F27" s="23">
        <f>IFERROR(INDEX(Tariffe!$B$2:$B$200,MATCH(E27,Tariffe!$A$2:$A$200,0)),"DA DEFINIRE")</f>
        <v/>
      </c>
      <c r="G27" s="16" t="n">
        <v>60</v>
      </c>
      <c r="H27" s="15" t="n">
        <v>2</v>
      </c>
      <c r="I27" s="15" t="n">
        <v>4</v>
      </c>
      <c r="J27" s="16" t="n">
        <v>120</v>
      </c>
      <c r="K27" s="16" t="n">
        <v>0</v>
      </c>
      <c r="L27" s="16" t="n">
        <v>109.1</v>
      </c>
      <c r="M27" s="16" t="n">
        <v>10.9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9</v>
      </c>
      <c r="I28" s="11" t="n">
        <v>1</v>
      </c>
      <c r="J28" s="12" t="n">
        <v>216</v>
      </c>
      <c r="K28" s="12" t="n">
        <v>0</v>
      </c>
      <c r="L28" s="12" t="n">
        <v>196.38</v>
      </c>
      <c r="M28" s="12" t="n">
        <v>19.62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4</v>
      </c>
      <c r="I29" s="15" t="n">
        <v>0</v>
      </c>
      <c r="J29" s="16" t="n">
        <v>192</v>
      </c>
      <c r="K29" s="16" t="n">
        <v>0</v>
      </c>
      <c r="L29" s="16" t="n">
        <v>174.56</v>
      </c>
      <c r="M29" s="16" t="n">
        <v>17.44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I2</t>
        </is>
      </c>
      <c r="F30" s="22">
        <f>IFERROR(INDEX(Tariffe!$B$2:$B$200,MATCH(E30,Tariffe!$A$2:$A$200,0)),"DA DEFINIRE")</f>
        <v/>
      </c>
      <c r="G30" s="12" t="n">
        <v>36</v>
      </c>
      <c r="H30" s="11" t="n">
        <v>2</v>
      </c>
      <c r="I30" s="11" t="n">
        <v>0</v>
      </c>
      <c r="J30" s="12" t="n">
        <v>72</v>
      </c>
      <c r="K30" s="12" t="n">
        <v>0</v>
      </c>
      <c r="L30" s="12" t="n">
        <v>65.45999999999999</v>
      </c>
      <c r="M30" s="12" t="n">
        <v>6.54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I5</t>
        </is>
      </c>
      <c r="F31" s="23">
        <f>IFERROR(INDEX(Tariffe!$B$2:$B$200,MATCH(E31,Tariffe!$A$2:$A$200,0)),"DA DEFINIRE")</f>
        <v/>
      </c>
      <c r="G31" s="16" t="n">
        <v>60</v>
      </c>
      <c r="H31" s="15" t="n">
        <v>2</v>
      </c>
      <c r="I31" s="15" t="n">
        <v>0</v>
      </c>
      <c r="J31" s="16" t="n">
        <v>120</v>
      </c>
      <c r="K31" s="16" t="n">
        <v>0</v>
      </c>
      <c r="L31" s="16" t="n">
        <v>109.1</v>
      </c>
      <c r="M31" s="16" t="n">
        <v>10.9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13</v>
      </c>
      <c r="I32" s="11" t="n">
        <v>0</v>
      </c>
      <c r="J32" s="12" t="n">
        <v>312</v>
      </c>
      <c r="K32" s="12" t="n">
        <v>0</v>
      </c>
      <c r="L32" s="12" t="n">
        <v>283.66</v>
      </c>
      <c r="M32" s="12" t="n">
        <v>28.34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3</v>
      </c>
      <c r="I33" s="15" t="n">
        <v>0</v>
      </c>
      <c r="J33" s="16" t="n">
        <v>144</v>
      </c>
      <c r="K33" s="16" t="n">
        <v>0</v>
      </c>
      <c r="L33" s="16" t="n">
        <v>130.92</v>
      </c>
      <c r="M33" s="16" t="n">
        <v>13.08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2</v>
      </c>
      <c r="I34" s="11" t="n">
        <v>0</v>
      </c>
      <c r="J34" s="12" t="n">
        <v>72</v>
      </c>
      <c r="K34" s="12" t="n">
        <v>0</v>
      </c>
      <c r="L34" s="12" t="n">
        <v>65.45999999999999</v>
      </c>
      <c r="M34" s="12" t="n">
        <v>6.54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I5</t>
        </is>
      </c>
      <c r="F35" s="23">
        <f>IFERROR(INDEX(Tariffe!$B$2:$B$200,MATCH(E35,Tariffe!$A$2:$A$200,0)),"DA DEFINIRE")</f>
        <v/>
      </c>
      <c r="G35" s="16" t="n">
        <v>60</v>
      </c>
      <c r="H35" s="15" t="n">
        <v>5</v>
      </c>
      <c r="I35" s="15" t="n">
        <v>0</v>
      </c>
      <c r="J35" s="16" t="n">
        <v>300</v>
      </c>
      <c r="K35" s="16" t="n">
        <v>0</v>
      </c>
      <c r="L35" s="16" t="n">
        <v>272.75</v>
      </c>
      <c r="M35" s="16" t="n">
        <v>27.25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13</v>
      </c>
      <c r="I36" s="11" t="n">
        <v>0</v>
      </c>
      <c r="J36" s="12" t="n">
        <v>312</v>
      </c>
      <c r="K36" s="12" t="n">
        <v>0</v>
      </c>
      <c r="L36" s="12" t="n">
        <v>283.66</v>
      </c>
      <c r="M36" s="12" t="n">
        <v>28.34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20261024_2359</t>
        </is>
      </c>
      <c r="B37" s="13" t="n">
        <v>46319</v>
      </c>
      <c r="C37" s="14" t="n">
        <v>0.9993055555555556</v>
      </c>
      <c r="D37" s="23" t="inlineStr">
        <is>
          <t>UN Unico</t>
        </is>
      </c>
      <c r="E37" s="23" t="inlineStr">
        <is>
          <t>I1</t>
        </is>
      </c>
      <c r="F37" s="23">
        <f>IFERROR(INDEX(Tariffe!$B$2:$B$200,MATCH(E37,Tariffe!$A$2:$A$200,0)),"DA DEFINIRE")</f>
        <v/>
      </c>
      <c r="G37" s="16" t="n">
        <v>48</v>
      </c>
      <c r="H37" s="15" t="n">
        <v>4</v>
      </c>
      <c r="I37" s="15" t="n">
        <v>0</v>
      </c>
      <c r="J37" s="16" t="n">
        <v>192</v>
      </c>
      <c r="K37" s="16" t="n">
        <v>0</v>
      </c>
      <c r="L37" s="16" t="n">
        <v>174.56</v>
      </c>
      <c r="M37" s="16" t="n">
        <v>17.44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8</v>
      </c>
      <c r="I38" s="11" t="n">
        <v>0</v>
      </c>
      <c r="J38" s="12" t="n">
        <v>192</v>
      </c>
      <c r="K38" s="12" t="n">
        <v>0</v>
      </c>
      <c r="L38" s="12" t="n">
        <v>174.56</v>
      </c>
      <c r="M38" s="12" t="n">
        <v>17.44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3</v>
      </c>
      <c r="I39" s="15" t="n">
        <v>0</v>
      </c>
      <c r="J39" s="16" t="n">
        <v>144</v>
      </c>
      <c r="K39" s="16" t="n">
        <v>0</v>
      </c>
      <c r="L39" s="16" t="n">
        <v>130.92</v>
      </c>
      <c r="M39" s="16" t="n">
        <v>13.08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20261025_2015</t>
        </is>
      </c>
      <c r="B40" s="9" t="n">
        <v>46320</v>
      </c>
      <c r="C40" s="10" t="n">
        <v>0.84375</v>
      </c>
      <c r="D40" s="22" t="inlineStr">
        <is>
          <t>UN Unico</t>
        </is>
      </c>
      <c r="E40" s="22" t="inlineStr">
        <is>
          <t>I2</t>
        </is>
      </c>
      <c r="F40" s="22">
        <f>IFERROR(INDEX(Tariffe!$B$2:$B$200,MATCH(E40,Tariffe!$A$2:$A$200,0)),"DA DEFINIRE")</f>
        <v/>
      </c>
      <c r="G40" s="12" t="n">
        <v>36</v>
      </c>
      <c r="H40" s="11" t="n">
        <v>1</v>
      </c>
      <c r="I40" s="11" t="n">
        <v>0</v>
      </c>
      <c r="J40" s="12" t="n">
        <v>36</v>
      </c>
      <c r="K40" s="12" t="n">
        <v>0</v>
      </c>
      <c r="L40" s="12" t="n">
        <v>32.73</v>
      </c>
      <c r="M40" s="12" t="n">
        <v>3.27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3</v>
      </c>
      <c r="I41" s="15" t="n">
        <v>0</v>
      </c>
      <c r="J41" s="16" t="n">
        <v>180</v>
      </c>
      <c r="K41" s="16" t="n">
        <v>0</v>
      </c>
      <c r="L41" s="16" t="n">
        <v>163.65</v>
      </c>
      <c r="M41" s="16" t="n">
        <v>16.35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2</v>
      </c>
      <c r="I42" s="11" t="n">
        <v>0</v>
      </c>
      <c r="J42" s="12" t="n">
        <v>48</v>
      </c>
      <c r="K42" s="12" t="n">
        <v>0</v>
      </c>
      <c r="L42" s="12" t="n">
        <v>43.64</v>
      </c>
      <c r="M42" s="12" t="n">
        <v>4.36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20261025_2115</t>
        </is>
      </c>
      <c r="B43" s="13" t="n">
        <v>46320</v>
      </c>
      <c r="C43" s="14" t="n">
        <v>0.8854166666666666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5</v>
      </c>
      <c r="I43" s="15" t="n">
        <v>0</v>
      </c>
      <c r="J43" s="16" t="n">
        <v>240</v>
      </c>
      <c r="K43" s="16" t="n">
        <v>0</v>
      </c>
      <c r="L43" s="16" t="n">
        <v>218.2</v>
      </c>
      <c r="M43" s="16" t="n">
        <v>21.8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20261025_2115</t>
        </is>
      </c>
      <c r="B44" s="9" t="n">
        <v>46320</v>
      </c>
      <c r="C44" s="10" t="n">
        <v>0.8854166666666666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2</v>
      </c>
      <c r="I44" s="11" t="n">
        <v>0</v>
      </c>
      <c r="J44" s="12" t="n">
        <v>120</v>
      </c>
      <c r="K44" s="12" t="n">
        <v>0</v>
      </c>
      <c r="L44" s="12" t="n">
        <v>109.1</v>
      </c>
      <c r="M44" s="12" t="n">
        <v>10.9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8</v>
      </c>
      <c r="I45" s="15" t="n">
        <v>0</v>
      </c>
      <c r="J45" s="16" t="n">
        <v>192</v>
      </c>
      <c r="K45" s="16" t="n">
        <v>0</v>
      </c>
      <c r="L45" s="16" t="n">
        <v>174.56</v>
      </c>
      <c r="M45" s="16" t="n">
        <v>17.44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20261025_2215</t>
        </is>
      </c>
      <c r="B46" s="9" t="n">
        <v>46320</v>
      </c>
      <c r="C46" s="10" t="n">
        <v>0.9270833333333334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</v>
      </c>
      <c r="I46" s="11" t="n">
        <v>0</v>
      </c>
      <c r="J46" s="12" t="n">
        <v>48</v>
      </c>
      <c r="K46" s="12" t="n">
        <v>0</v>
      </c>
      <c r="L46" s="12" t="n">
        <v>43.64</v>
      </c>
      <c r="M46" s="12" t="n">
        <v>4.36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20261025_2215</t>
        </is>
      </c>
      <c r="B47" s="13" t="n">
        <v>46320</v>
      </c>
      <c r="C47" s="14" t="n">
        <v>0.9270833333333334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6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20261025_2315</t>
        </is>
      </c>
      <c r="B49" s="13" t="n">
        <v>46320</v>
      </c>
      <c r="C49" s="14" t="n">
        <v>0.96875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3</v>
      </c>
      <c r="I49" s="15" t="n">
        <v>0</v>
      </c>
      <c r="J49" s="16" t="n">
        <v>144</v>
      </c>
      <c r="K49" s="16" t="n">
        <v>0</v>
      </c>
      <c r="L49" s="16" t="n">
        <v>130.92</v>
      </c>
      <c r="M49" s="16" t="n">
        <v>13.08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20261025_2315</t>
        </is>
      </c>
      <c r="B50" s="9" t="n">
        <v>46320</v>
      </c>
      <c r="C50" s="10" t="n">
        <v>0.96875</v>
      </c>
      <c r="D50" s="22" t="inlineStr">
        <is>
          <t>UN Unico</t>
        </is>
      </c>
      <c r="E50" s="22" t="inlineStr">
        <is>
          <t>I2</t>
        </is>
      </c>
      <c r="F50" s="22">
        <f>IFERROR(INDEX(Tariffe!$B$2:$B$200,MATCH(E50,Tariffe!$A$2:$A$200,0)),"DA DEFINIRE")</f>
        <v/>
      </c>
      <c r="G50" s="12" t="n">
        <v>36</v>
      </c>
      <c r="H50" s="11" t="n">
        <v>2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2</v>
      </c>
      <c r="I51" s="15" t="n">
        <v>0</v>
      </c>
      <c r="J51" s="16" t="n">
        <v>48</v>
      </c>
      <c r="K51" s="16" t="n">
        <v>0</v>
      </c>
      <c r="L51" s="16" t="n">
        <v>43.64</v>
      </c>
      <c r="M51" s="16" t="n">
        <v>4.36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20261025_2359</t>
        </is>
      </c>
      <c r="B52" s="9" t="n">
        <v>46320</v>
      </c>
      <c r="C52" s="10" t="n">
        <v>0.9993055555555556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20261025_2359</t>
        </is>
      </c>
      <c r="B53" s="13" t="n">
        <v>46320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3</v>
      </c>
      <c r="I53" s="15" t="n">
        <v>0</v>
      </c>
      <c r="J53" s="16" t="n">
        <v>72</v>
      </c>
      <c r="K53" s="16" t="n">
        <v>0</v>
      </c>
      <c r="L53" s="16" t="n">
        <v>65.45999999999999</v>
      </c>
      <c r="M53" s="16" t="n">
        <v>6.54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20261029_2015</t>
        </is>
      </c>
      <c r="B54" s="9" t="n">
        <v>46324</v>
      </c>
      <c r="C54" s="10" t="n">
        <v>0.84375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20261029_2015</t>
        </is>
      </c>
      <c r="B55" s="13" t="n">
        <v>46324</v>
      </c>
      <c r="C55" s="14" t="n">
        <v>0.84375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2</v>
      </c>
      <c r="I55" s="15" t="n">
        <v>0</v>
      </c>
      <c r="J55" s="16" t="n">
        <v>120</v>
      </c>
      <c r="K55" s="16" t="n">
        <v>0</v>
      </c>
      <c r="L55" s="16" t="n">
        <v>109.1</v>
      </c>
      <c r="M55" s="16" t="n">
        <v>10.9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20261029_2015</t>
        </is>
      </c>
      <c r="B56" s="9" t="n">
        <v>46324</v>
      </c>
      <c r="C56" s="10" t="n">
        <v>0.84375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20261029_2115</t>
        </is>
      </c>
      <c r="B57" s="13" t="n">
        <v>46324</v>
      </c>
      <c r="C57" s="14" t="n">
        <v>0.8854166666666666</v>
      </c>
      <c r="D57" s="23" t="inlineStr">
        <is>
          <t>UN Unico</t>
        </is>
      </c>
      <c r="E57" s="23" t="inlineStr">
        <is>
          <t>I5</t>
        </is>
      </c>
      <c r="F57" s="23">
        <f>IFERROR(INDEX(Tariffe!$B$2:$B$200,MATCH(E57,Tariffe!$A$2:$A$200,0)),"DA DEFINIRE")</f>
        <v/>
      </c>
      <c r="G57" s="16" t="n">
        <v>60</v>
      </c>
      <c r="H57" s="15" t="n">
        <v>1</v>
      </c>
      <c r="I57" s="15" t="n">
        <v>0</v>
      </c>
      <c r="J57" s="16" t="n">
        <v>60</v>
      </c>
      <c r="K57" s="16" t="n">
        <v>0</v>
      </c>
      <c r="L57" s="16" t="n">
        <v>54.55</v>
      </c>
      <c r="M57" s="16" t="n">
        <v>5.45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20261029_2115</t>
        </is>
      </c>
      <c r="B58" s="9" t="n">
        <v>46324</v>
      </c>
      <c r="C58" s="10" t="n">
        <v>0.8854166666666666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1</v>
      </c>
      <c r="I58" s="11" t="n">
        <v>0</v>
      </c>
      <c r="J58" s="12" t="n">
        <v>24</v>
      </c>
      <c r="K58" s="12" t="n">
        <v>0</v>
      </c>
      <c r="L58" s="12" t="n">
        <v>21.82</v>
      </c>
      <c r="M58" s="12" t="n">
        <v>2.18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20261029_2215</t>
        </is>
      </c>
      <c r="B59" s="13" t="n">
        <v>46324</v>
      </c>
      <c r="C59" s="14" t="n">
        <v>0.9270833333333334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3</v>
      </c>
      <c r="I59" s="15" t="n">
        <v>0</v>
      </c>
      <c r="J59" s="16" t="n">
        <v>144</v>
      </c>
      <c r="K59" s="16" t="n">
        <v>0</v>
      </c>
      <c r="L59" s="16" t="n">
        <v>130.92</v>
      </c>
      <c r="M59" s="16" t="n">
        <v>13.08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20261029_2215</t>
        </is>
      </c>
      <c r="B60" s="9" t="n">
        <v>46324</v>
      </c>
      <c r="C60" s="10" t="n">
        <v>0.9270833333333334</v>
      </c>
      <c r="D60" s="22" t="inlineStr">
        <is>
          <t>UN Unico</t>
        </is>
      </c>
      <c r="E60" s="22" t="inlineStr">
        <is>
          <t>I2</t>
        </is>
      </c>
      <c r="F60" s="22">
        <f>IFERROR(INDEX(Tariffe!$B$2:$B$200,MATCH(E60,Tariffe!$A$2:$A$200,0)),"DA DEFINIRE")</f>
        <v/>
      </c>
      <c r="G60" s="12" t="n">
        <v>36</v>
      </c>
      <c r="H60" s="11" t="n">
        <v>2</v>
      </c>
      <c r="I60" s="11" t="n">
        <v>0</v>
      </c>
      <c r="J60" s="12" t="n">
        <v>72</v>
      </c>
      <c r="K60" s="12" t="n">
        <v>0</v>
      </c>
      <c r="L60" s="12" t="n">
        <v>65.45999999999999</v>
      </c>
      <c r="M60" s="12" t="n">
        <v>6.54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20261029_2215</t>
        </is>
      </c>
      <c r="B61" s="13" t="n">
        <v>46324</v>
      </c>
      <c r="C61" s="14" t="n">
        <v>0.9270833333333334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5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6</v>
      </c>
      <c r="I62" s="11" t="n">
        <v>0</v>
      </c>
      <c r="J62" s="12" t="n">
        <v>288</v>
      </c>
      <c r="K62" s="12" t="n">
        <v>0</v>
      </c>
      <c r="L62" s="12" t="n">
        <v>261.84</v>
      </c>
      <c r="M62" s="12" t="n">
        <v>26.16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20261029_2315</t>
        </is>
      </c>
      <c r="B63" s="13" t="n">
        <v>46324</v>
      </c>
      <c r="C63" s="14" t="n">
        <v>0.96875</v>
      </c>
      <c r="D63" s="23" t="inlineStr">
        <is>
          <t>UN Unico</t>
        </is>
      </c>
      <c r="E63" s="23" t="inlineStr">
        <is>
          <t>I2</t>
        </is>
      </c>
      <c r="F63" s="23">
        <f>IFERROR(INDEX(Tariffe!$B$2:$B$200,MATCH(E63,Tariffe!$A$2:$A$200,0)),"DA DEFINIRE")</f>
        <v/>
      </c>
      <c r="G63" s="16" t="n">
        <v>36</v>
      </c>
      <c r="H63" s="15" t="n">
        <v>1</v>
      </c>
      <c r="I63" s="15" t="n">
        <v>0</v>
      </c>
      <c r="J63" s="16" t="n">
        <v>36</v>
      </c>
      <c r="K63" s="16" t="n">
        <v>0</v>
      </c>
      <c r="L63" s="16" t="n">
        <v>32.73</v>
      </c>
      <c r="M63" s="16" t="n">
        <v>3.27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20261029_2315</t>
        </is>
      </c>
      <c r="B64" s="9" t="n">
        <v>46324</v>
      </c>
      <c r="C64" s="10" t="n">
        <v>0.96875</v>
      </c>
      <c r="D64" s="22" t="inlineStr">
        <is>
          <t>UN Unico</t>
        </is>
      </c>
      <c r="E64" s="22" t="inlineStr">
        <is>
          <t>I5</t>
        </is>
      </c>
      <c r="F64" s="22">
        <f>IFERROR(INDEX(Tariffe!$B$2:$B$200,MATCH(E64,Tariffe!$A$2:$A$200,0)),"DA DEFINIRE")</f>
        <v/>
      </c>
      <c r="G64" s="12" t="n">
        <v>60</v>
      </c>
      <c r="H64" s="11" t="n">
        <v>4</v>
      </c>
      <c r="I64" s="11" t="n">
        <v>0</v>
      </c>
      <c r="J64" s="12" t="n">
        <v>240</v>
      </c>
      <c r="K64" s="12" t="n">
        <v>0</v>
      </c>
      <c r="L64" s="12" t="n">
        <v>218.2</v>
      </c>
      <c r="M64" s="12" t="n">
        <v>21.8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20261029_2315</t>
        </is>
      </c>
      <c r="B65" s="13" t="n">
        <v>46324</v>
      </c>
      <c r="C65" s="14" t="n">
        <v>0.96875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3</v>
      </c>
      <c r="I65" s="15" t="n">
        <v>0</v>
      </c>
      <c r="J65" s="16" t="n">
        <v>72</v>
      </c>
      <c r="K65" s="16" t="n">
        <v>0</v>
      </c>
      <c r="L65" s="16" t="n">
        <v>65.45999999999999</v>
      </c>
      <c r="M65" s="16" t="n">
        <v>6.54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20261029_2359</t>
        </is>
      </c>
      <c r="B66" s="9" t="n">
        <v>46324</v>
      </c>
      <c r="C66" s="10" t="n">
        <v>0.9993055555555556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2</v>
      </c>
      <c r="I66" s="11" t="n">
        <v>0</v>
      </c>
      <c r="J66" s="12" t="n">
        <v>48</v>
      </c>
      <c r="K66" s="12" t="n">
        <v>0</v>
      </c>
      <c r="L66" s="12" t="n">
        <v>43.64</v>
      </c>
      <c r="M66" s="12" t="n">
        <v>4.36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20261030_2015</t>
        </is>
      </c>
      <c r="B67" s="13" t="n">
        <v>46325</v>
      </c>
      <c r="C67" s="14" t="n">
        <v>0.84375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1</v>
      </c>
      <c r="I67" s="15" t="n">
        <v>0</v>
      </c>
      <c r="J67" s="16" t="n">
        <v>48</v>
      </c>
      <c r="K67" s="16" t="n">
        <v>0</v>
      </c>
      <c r="L67" s="16" t="n">
        <v>43.64</v>
      </c>
      <c r="M67" s="16" t="n">
        <v>4.36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20261030_2015</t>
        </is>
      </c>
      <c r="B68" s="9" t="n">
        <v>46325</v>
      </c>
      <c r="C68" s="10" t="n">
        <v>0.84375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1</v>
      </c>
      <c r="I68" s="11" t="n">
        <v>0</v>
      </c>
      <c r="J68" s="12" t="n">
        <v>24</v>
      </c>
      <c r="K68" s="12" t="n">
        <v>0</v>
      </c>
      <c r="L68" s="12" t="n">
        <v>21.82</v>
      </c>
      <c r="M68" s="12" t="n">
        <v>2.18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20261030_2115</t>
        </is>
      </c>
      <c r="B69" s="13" t="n">
        <v>46325</v>
      </c>
      <c r="C69" s="14" t="n">
        <v>0.8854166666666666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1</v>
      </c>
      <c r="I69" s="15" t="n">
        <v>0</v>
      </c>
      <c r="J69" s="16" t="n">
        <v>48</v>
      </c>
      <c r="K69" s="16" t="n">
        <v>0</v>
      </c>
      <c r="L69" s="16" t="n">
        <v>43.64</v>
      </c>
      <c r="M69" s="16" t="n">
        <v>4.36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20261030_2115</t>
        </is>
      </c>
      <c r="B70" s="9" t="n">
        <v>46325</v>
      </c>
      <c r="C70" s="10" t="n">
        <v>0.8854166666666666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3</v>
      </c>
      <c r="I70" s="11" t="n">
        <v>0</v>
      </c>
      <c r="J70" s="12" t="n">
        <v>72</v>
      </c>
      <c r="K70" s="12" t="n">
        <v>0</v>
      </c>
      <c r="L70" s="12" t="n">
        <v>65.45999999999999</v>
      </c>
      <c r="M70" s="12" t="n">
        <v>6.54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20261030_2215</t>
        </is>
      </c>
      <c r="B71" s="13" t="n">
        <v>46325</v>
      </c>
      <c r="C71" s="14" t="n">
        <v>0.9270833333333334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7</v>
      </c>
      <c r="I71" s="15" t="n">
        <v>0</v>
      </c>
      <c r="J71" s="16" t="n">
        <v>336</v>
      </c>
      <c r="K71" s="16" t="n">
        <v>0</v>
      </c>
      <c r="L71" s="16" t="n">
        <v>305.48</v>
      </c>
      <c r="M71" s="16" t="n">
        <v>30.52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20261030_2215</t>
        </is>
      </c>
      <c r="B72" s="9" t="n">
        <v>46325</v>
      </c>
      <c r="C72" s="10" t="n">
        <v>0.9270833333333334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6</v>
      </c>
      <c r="I72" s="11" t="n">
        <v>3</v>
      </c>
      <c r="J72" s="12" t="n">
        <v>144</v>
      </c>
      <c r="K72" s="12" t="n">
        <v>0</v>
      </c>
      <c r="L72" s="12" t="n">
        <v>130.92</v>
      </c>
      <c r="M72" s="12" t="n">
        <v>13.08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20261030_2315</t>
        </is>
      </c>
      <c r="B73" s="13" t="n">
        <v>46325</v>
      </c>
      <c r="C73" s="14" t="n">
        <v>0.96875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4</v>
      </c>
      <c r="I73" s="15" t="n">
        <v>0</v>
      </c>
      <c r="J73" s="16" t="n">
        <v>192</v>
      </c>
      <c r="K73" s="16" t="n">
        <v>0</v>
      </c>
      <c r="L73" s="16" t="n">
        <v>174.56</v>
      </c>
      <c r="M73" s="16" t="n">
        <v>17.44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20261030_2315</t>
        </is>
      </c>
      <c r="B74" s="9" t="n">
        <v>46325</v>
      </c>
      <c r="C74" s="10" t="n">
        <v>0.96875</v>
      </c>
      <c r="D74" s="22" t="inlineStr">
        <is>
          <t>UN Unico</t>
        </is>
      </c>
      <c r="E74" s="22" t="inlineStr">
        <is>
          <t>I5</t>
        </is>
      </c>
      <c r="F74" s="22">
        <f>IFERROR(INDEX(Tariffe!$B$2:$B$200,MATCH(E74,Tariffe!$A$2:$A$200,0)),"DA DEFINIRE")</f>
        <v/>
      </c>
      <c r="G74" s="12" t="n">
        <v>60</v>
      </c>
      <c r="H74" s="11" t="n">
        <v>1</v>
      </c>
      <c r="I74" s="11" t="n">
        <v>0</v>
      </c>
      <c r="J74" s="12" t="n">
        <v>60</v>
      </c>
      <c r="K74" s="12" t="n">
        <v>0</v>
      </c>
      <c r="L74" s="12" t="n">
        <v>54.55</v>
      </c>
      <c r="M74" s="12" t="n">
        <v>5.45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20261030_2315</t>
        </is>
      </c>
      <c r="B75" s="13" t="n">
        <v>46325</v>
      </c>
      <c r="C75" s="14" t="n">
        <v>0.96875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20261030_2359</t>
        </is>
      </c>
      <c r="B76" s="9" t="n">
        <v>46325</v>
      </c>
      <c r="C76" s="10" t="n">
        <v>0.9993055555555556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1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20261030_2359</t>
        </is>
      </c>
      <c r="B77" s="13" t="n">
        <v>46325</v>
      </c>
      <c r="C77" s="14" t="n">
        <v>0.9993055555555556</v>
      </c>
      <c r="D77" s="23" t="inlineStr">
        <is>
          <t>UN Unico</t>
        </is>
      </c>
      <c r="E77" s="23" t="inlineStr">
        <is>
          <t>I5</t>
        </is>
      </c>
      <c r="F77" s="23">
        <f>IFERROR(INDEX(Tariffe!$B$2:$B$200,MATCH(E77,Tariffe!$A$2:$A$200,0)),"DA DEFINIRE")</f>
        <v/>
      </c>
      <c r="G77" s="16" t="n">
        <v>60</v>
      </c>
      <c r="H77" s="15" t="n">
        <v>1</v>
      </c>
      <c r="I77" s="15" t="n">
        <v>0</v>
      </c>
      <c r="J77" s="16" t="n">
        <v>60</v>
      </c>
      <c r="K77" s="16" t="n">
        <v>0</v>
      </c>
      <c r="L77" s="16" t="n">
        <v>54.55</v>
      </c>
      <c r="M77" s="16" t="n">
        <v>5.45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20261030_2359</t>
        </is>
      </c>
      <c r="B78" s="9" t="n">
        <v>46325</v>
      </c>
      <c r="C78" s="10" t="n">
        <v>0.9993055555555556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6</v>
      </c>
      <c r="I78" s="11" t="n">
        <v>0</v>
      </c>
      <c r="J78" s="12" t="n">
        <v>144</v>
      </c>
      <c r="K78" s="12" t="n">
        <v>0</v>
      </c>
      <c r="L78" s="12" t="n">
        <v>130.92</v>
      </c>
      <c r="M78" s="12" t="n">
        <v>13.08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20261031_2015</t>
        </is>
      </c>
      <c r="B79" s="13" t="n">
        <v>46326</v>
      </c>
      <c r="C79" s="14" t="n">
        <v>0.84375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1</v>
      </c>
      <c r="I79" s="15" t="n">
        <v>0</v>
      </c>
      <c r="J79" s="16" t="n">
        <v>48</v>
      </c>
      <c r="K79" s="16" t="n">
        <v>0</v>
      </c>
      <c r="L79" s="16" t="n">
        <v>43.64</v>
      </c>
      <c r="M79" s="16" t="n">
        <v>4.36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20261031_2015</t>
        </is>
      </c>
      <c r="B80" s="9" t="n">
        <v>46326</v>
      </c>
      <c r="C80" s="10" t="n">
        <v>0.84375</v>
      </c>
      <c r="D80" s="22" t="inlineStr">
        <is>
          <t>UN Unico</t>
        </is>
      </c>
      <c r="E80" s="22" t="inlineStr">
        <is>
          <t>I5</t>
        </is>
      </c>
      <c r="F80" s="22">
        <f>IFERROR(INDEX(Tariffe!$B$2:$B$200,MATCH(E80,Tariffe!$A$2:$A$200,0)),"DA DEFINIRE")</f>
        <v/>
      </c>
      <c r="G80" s="12" t="n">
        <v>60</v>
      </c>
      <c r="H80" s="11" t="n">
        <v>3</v>
      </c>
      <c r="I80" s="11" t="n">
        <v>2</v>
      </c>
      <c r="J80" s="12" t="n">
        <v>180</v>
      </c>
      <c r="K80" s="12" t="n">
        <v>0</v>
      </c>
      <c r="L80" s="12" t="n">
        <v>163.65</v>
      </c>
      <c r="M80" s="12" t="n">
        <v>16.35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20261031_2015</t>
        </is>
      </c>
      <c r="B81" s="13" t="n">
        <v>46326</v>
      </c>
      <c r="C81" s="14" t="n">
        <v>0.84375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1</v>
      </c>
      <c r="I81" s="15" t="n">
        <v>0</v>
      </c>
      <c r="J81" s="16" t="n">
        <v>24</v>
      </c>
      <c r="K81" s="16" t="n">
        <v>0</v>
      </c>
      <c r="L81" s="16" t="n">
        <v>21.82</v>
      </c>
      <c r="M81" s="16" t="n">
        <v>2.18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20261031_2115</t>
        </is>
      </c>
      <c r="B82" s="9" t="n">
        <v>46326</v>
      </c>
      <c r="C82" s="10" t="n">
        <v>0.8854166666666666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6</v>
      </c>
      <c r="I82" s="11" t="n">
        <v>0</v>
      </c>
      <c r="J82" s="12" t="n">
        <v>288</v>
      </c>
      <c r="K82" s="12" t="n">
        <v>0</v>
      </c>
      <c r="L82" s="12" t="n">
        <v>261.84</v>
      </c>
      <c r="M82" s="12" t="n">
        <v>26.16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20261031_2115</t>
        </is>
      </c>
      <c r="B83" s="13" t="n">
        <v>46326</v>
      </c>
      <c r="C83" s="14" t="n">
        <v>0.8854166666666666</v>
      </c>
      <c r="D83" s="23" t="inlineStr">
        <is>
          <t>UN Unico</t>
        </is>
      </c>
      <c r="E83" s="23" t="inlineStr">
        <is>
          <t>I5</t>
        </is>
      </c>
      <c r="F83" s="23">
        <f>IFERROR(INDEX(Tariffe!$B$2:$B$200,MATCH(E83,Tariffe!$A$2:$A$200,0)),"DA DEFINIRE")</f>
        <v/>
      </c>
      <c r="G83" s="16" t="n">
        <v>60</v>
      </c>
      <c r="H83" s="15" t="n">
        <v>1</v>
      </c>
      <c r="I83" s="15" t="n">
        <v>0</v>
      </c>
      <c r="J83" s="16" t="n">
        <v>60</v>
      </c>
      <c r="K83" s="16" t="n">
        <v>0</v>
      </c>
      <c r="L83" s="16" t="n">
        <v>54.55</v>
      </c>
      <c r="M83" s="16" t="n">
        <v>5.45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20261031_2115</t>
        </is>
      </c>
      <c r="B84" s="9" t="n">
        <v>46326</v>
      </c>
      <c r="C84" s="10" t="n">
        <v>0.8854166666666666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5</v>
      </c>
      <c r="I84" s="11" t="n">
        <v>0</v>
      </c>
      <c r="J84" s="12" t="n">
        <v>120</v>
      </c>
      <c r="K84" s="12" t="n">
        <v>0</v>
      </c>
      <c r="L84" s="12" t="n">
        <v>109.1</v>
      </c>
      <c r="M84" s="12" t="n">
        <v>10.9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20261031_2215</t>
        </is>
      </c>
      <c r="B85" s="13" t="n">
        <v>46326</v>
      </c>
      <c r="C85" s="14" t="n">
        <v>0.9270833333333334</v>
      </c>
      <c r="D85" s="23" t="inlineStr">
        <is>
          <t>UN Unico</t>
        </is>
      </c>
      <c r="E85" s="23" t="inlineStr">
        <is>
          <t>I1</t>
        </is>
      </c>
      <c r="F85" s="23">
        <f>IFERROR(INDEX(Tariffe!$B$2:$B$200,MATCH(E85,Tariffe!$A$2:$A$200,0)),"DA DEFINIRE")</f>
        <v/>
      </c>
      <c r="G85" s="16" t="n">
        <v>48</v>
      </c>
      <c r="H85" s="15" t="n">
        <v>5</v>
      </c>
      <c r="I85" s="15" t="n">
        <v>3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20261031_2215</t>
        </is>
      </c>
      <c r="B86" s="9" t="n">
        <v>46326</v>
      </c>
      <c r="C86" s="10" t="n">
        <v>0.9270833333333334</v>
      </c>
      <c r="D86" s="22" t="inlineStr">
        <is>
          <t>UN Unico</t>
        </is>
      </c>
      <c r="E86" s="22" t="inlineStr">
        <is>
          <t>I2</t>
        </is>
      </c>
      <c r="F86" s="22">
        <f>IFERROR(INDEX(Tariffe!$B$2:$B$200,MATCH(E86,Tariffe!$A$2:$A$200,0)),"DA DEFINIRE")</f>
        <v/>
      </c>
      <c r="G86" s="12" t="n">
        <v>36</v>
      </c>
      <c r="H86" s="11" t="n">
        <v>1</v>
      </c>
      <c r="I86" s="11" t="n">
        <v>0</v>
      </c>
      <c r="J86" s="12" t="n">
        <v>36</v>
      </c>
      <c r="K86" s="12" t="n">
        <v>0</v>
      </c>
      <c r="L86" s="12" t="n">
        <v>32.73</v>
      </c>
      <c r="M86" s="12" t="n">
        <v>3.27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20261031_2215</t>
        </is>
      </c>
      <c r="B87" s="13" t="n">
        <v>46326</v>
      </c>
      <c r="C87" s="14" t="n">
        <v>0.9270833333333334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13</v>
      </c>
      <c r="I87" s="15" t="n">
        <v>0</v>
      </c>
      <c r="J87" s="16" t="n">
        <v>312</v>
      </c>
      <c r="K87" s="16" t="n">
        <v>0</v>
      </c>
      <c r="L87" s="16" t="n">
        <v>283.66</v>
      </c>
      <c r="M87" s="16" t="n">
        <v>28.34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20261031_2315</t>
        </is>
      </c>
      <c r="B88" s="9" t="n">
        <v>46326</v>
      </c>
      <c r="C88" s="10" t="n">
        <v>0.96875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14</v>
      </c>
      <c r="I88" s="11" t="n">
        <v>0</v>
      </c>
      <c r="J88" s="12" t="n">
        <v>672</v>
      </c>
      <c r="K88" s="12" t="n">
        <v>0</v>
      </c>
      <c r="L88" s="12" t="n">
        <v>610.96</v>
      </c>
      <c r="M88" s="12" t="n">
        <v>61.04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20261031_2315</t>
        </is>
      </c>
      <c r="B89" s="13" t="n">
        <v>46326</v>
      </c>
      <c r="C89" s="14" t="n">
        <v>0.96875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20261031_2315</t>
        </is>
      </c>
      <c r="B90" s="9" t="n">
        <v>46326</v>
      </c>
      <c r="C90" s="10" t="n">
        <v>0.96875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12</v>
      </c>
      <c r="I90" s="11" t="n">
        <v>0</v>
      </c>
      <c r="J90" s="12" t="n">
        <v>288</v>
      </c>
      <c r="K90" s="12" t="n">
        <v>0</v>
      </c>
      <c r="L90" s="12" t="n">
        <v>261.84</v>
      </c>
      <c r="M90" s="12" t="n">
        <v>26.16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20261031_2359</t>
        </is>
      </c>
      <c r="B91" s="13" t="n">
        <v>46326</v>
      </c>
      <c r="C91" s="14" t="n">
        <v>0.9993055555555556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6</v>
      </c>
      <c r="I91" s="15" t="n">
        <v>0</v>
      </c>
      <c r="J91" s="16" t="n">
        <v>288</v>
      </c>
      <c r="K91" s="16" t="n">
        <v>0</v>
      </c>
      <c r="L91" s="16" t="n">
        <v>261.84</v>
      </c>
      <c r="M91" s="16" t="n">
        <v>26.16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20261031_2359</t>
        </is>
      </c>
      <c r="B92" s="9" t="n">
        <v>46326</v>
      </c>
      <c r="C92" s="10" t="n">
        <v>0.9993055555555556</v>
      </c>
      <c r="D92" s="22" t="inlineStr">
        <is>
          <t>UN Unico</t>
        </is>
      </c>
      <c r="E92" s="22" t="inlineStr">
        <is>
          <t>I5</t>
        </is>
      </c>
      <c r="F92" s="22">
        <f>IFERROR(INDEX(Tariffe!$B$2:$B$200,MATCH(E92,Tariffe!$A$2:$A$200,0)),"DA DEFINIRE")</f>
        <v/>
      </c>
      <c r="G92" s="12" t="n">
        <v>60</v>
      </c>
      <c r="H92" s="11" t="n">
        <v>1</v>
      </c>
      <c r="I92" s="11" t="n">
        <v>0</v>
      </c>
      <c r="J92" s="12" t="n">
        <v>60</v>
      </c>
      <c r="K92" s="12" t="n">
        <v>0</v>
      </c>
      <c r="L92" s="12" t="n">
        <v>54.55</v>
      </c>
      <c r="M92" s="12" t="n">
        <v>5.45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20261031_2359</t>
        </is>
      </c>
      <c r="B93" s="13" t="n">
        <v>46326</v>
      </c>
      <c r="C93" s="14" t="n">
        <v>0.9993055555555556</v>
      </c>
      <c r="D93" s="23" t="inlineStr">
        <is>
          <t>UN Unico</t>
        </is>
      </c>
      <c r="E93" s="23" t="inlineStr">
        <is>
          <t>I8</t>
        </is>
      </c>
      <c r="F93" s="23">
        <f>IFERROR(INDEX(Tariffe!$B$2:$B$200,MATCH(E93,Tariffe!$A$2:$A$200,0)),"DA DEFINIRE")</f>
        <v/>
      </c>
      <c r="G93" s="16" t="n">
        <v>24</v>
      </c>
      <c r="H93" s="15" t="n">
        <v>5</v>
      </c>
      <c r="I93" s="15" t="n">
        <v>0</v>
      </c>
      <c r="J93" s="16" t="n">
        <v>120</v>
      </c>
      <c r="K93" s="16" t="n">
        <v>0</v>
      </c>
      <c r="L93" s="16" t="n">
        <v>109.1</v>
      </c>
      <c r="M93" s="16" t="n">
        <v>10.9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20261101_2015</t>
        </is>
      </c>
      <c r="B94" s="9" t="n">
        <v>46327</v>
      </c>
      <c r="C94" s="10" t="n">
        <v>0.84375</v>
      </c>
      <c r="D94" s="22" t="inlineStr">
        <is>
          <t>UN Unico</t>
        </is>
      </c>
      <c r="E94" s="22" t="inlineStr">
        <is>
          <t>I1</t>
        </is>
      </c>
      <c r="F94" s="22">
        <f>IFERROR(INDEX(Tariffe!$B$2:$B$200,MATCH(E94,Tariffe!$A$2:$A$200,0)),"DA DEFINIRE")</f>
        <v/>
      </c>
      <c r="G94" s="12" t="n">
        <v>48</v>
      </c>
      <c r="H94" s="11" t="n">
        <v>1</v>
      </c>
      <c r="I94" s="11" t="n">
        <v>0</v>
      </c>
      <c r="J94" s="12" t="n">
        <v>48</v>
      </c>
      <c r="K94" s="12" t="n">
        <v>0</v>
      </c>
      <c r="L94" s="12" t="n">
        <v>43.64</v>
      </c>
      <c r="M94" s="12" t="n">
        <v>4.36</v>
      </c>
      <c r="N94" s="22" t="inlineStr">
        <is>
          <t>11/2026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20261101_2115</t>
        </is>
      </c>
      <c r="B95" s="13" t="n">
        <v>46327</v>
      </c>
      <c r="C95" s="14" t="n">
        <v>0.8854166666666666</v>
      </c>
      <c r="D95" s="23" t="inlineStr">
        <is>
          <t>UN Unico</t>
        </is>
      </c>
      <c r="E95" s="23" t="inlineStr">
        <is>
          <t>I8</t>
        </is>
      </c>
      <c r="F95" s="23">
        <f>IFERROR(INDEX(Tariffe!$B$2:$B$200,MATCH(E95,Tariffe!$A$2:$A$200,0)),"DA DEFINIRE")</f>
        <v/>
      </c>
      <c r="G95" s="16" t="n">
        <v>24</v>
      </c>
      <c r="H95" s="15" t="n">
        <v>3</v>
      </c>
      <c r="I95" s="15" t="n">
        <v>0</v>
      </c>
      <c r="J95" s="16" t="n">
        <v>72</v>
      </c>
      <c r="K95" s="16" t="n">
        <v>0</v>
      </c>
      <c r="L95" s="16" t="n">
        <v>65.45999999999999</v>
      </c>
      <c r="M95" s="16" t="n">
        <v>6.54</v>
      </c>
      <c r="N95" s="23" t="inlineStr">
        <is>
          <t>11/2026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20261101_2215</t>
        </is>
      </c>
      <c r="B96" s="9" t="n">
        <v>46327</v>
      </c>
      <c r="C96" s="10" t="n">
        <v>0.9270833333333334</v>
      </c>
      <c r="D96" s="22" t="inlineStr">
        <is>
          <t>UN Unico</t>
        </is>
      </c>
      <c r="E96" s="22" t="inlineStr">
        <is>
          <t>I5</t>
        </is>
      </c>
      <c r="F96" s="22">
        <f>IFERROR(INDEX(Tariffe!$B$2:$B$200,MATCH(E96,Tariffe!$A$2:$A$200,0)),"DA DEFINIRE")</f>
        <v/>
      </c>
      <c r="G96" s="12" t="n">
        <v>60</v>
      </c>
      <c r="H96" s="11" t="n">
        <v>1</v>
      </c>
      <c r="I96" s="11" t="n">
        <v>0</v>
      </c>
      <c r="J96" s="12" t="n">
        <v>60</v>
      </c>
      <c r="K96" s="12" t="n">
        <v>0</v>
      </c>
      <c r="L96" s="12" t="n">
        <v>54.55</v>
      </c>
      <c r="M96" s="12" t="n">
        <v>5.45</v>
      </c>
      <c r="N96" s="22" t="inlineStr">
        <is>
          <t>11/2026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20261101_2215</t>
        </is>
      </c>
      <c r="B97" s="13" t="n">
        <v>46327</v>
      </c>
      <c r="C97" s="14" t="n">
        <v>0.9270833333333334</v>
      </c>
      <c r="D97" s="23" t="inlineStr">
        <is>
          <t>UN Unico</t>
        </is>
      </c>
      <c r="E97" s="23" t="inlineStr">
        <is>
          <t>I8</t>
        </is>
      </c>
      <c r="F97" s="23">
        <f>IFERROR(INDEX(Tariffe!$B$2:$B$200,MATCH(E97,Tariffe!$A$2:$A$200,0)),"DA DEFINIRE")</f>
        <v/>
      </c>
      <c r="G97" s="16" t="n">
        <v>24</v>
      </c>
      <c r="H97" s="15" t="n">
        <v>4</v>
      </c>
      <c r="I97" s="15" t="n">
        <v>0</v>
      </c>
      <c r="J97" s="16" t="n">
        <v>96</v>
      </c>
      <c r="K97" s="16" t="n">
        <v>0</v>
      </c>
      <c r="L97" s="16" t="n">
        <v>87.28</v>
      </c>
      <c r="M97" s="16" t="n">
        <v>8.720000000000001</v>
      </c>
      <c r="N97" s="23" t="inlineStr">
        <is>
          <t>11/2026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20261101_2315</t>
        </is>
      </c>
      <c r="B98" s="9" t="n">
        <v>46327</v>
      </c>
      <c r="C98" s="10" t="n">
        <v>0.96875</v>
      </c>
      <c r="D98" s="22" t="inlineStr">
        <is>
          <t>UN Unico</t>
        </is>
      </c>
      <c r="E98" s="22" t="inlineStr">
        <is>
          <t>I2</t>
        </is>
      </c>
      <c r="F98" s="22">
        <f>IFERROR(INDEX(Tariffe!$B$2:$B$200,MATCH(E98,Tariffe!$A$2:$A$200,0)),"DA DEFINIRE")</f>
        <v/>
      </c>
      <c r="G98" s="12" t="n">
        <v>36</v>
      </c>
      <c r="H98" s="11" t="n">
        <v>1</v>
      </c>
      <c r="I98" s="11" t="n">
        <v>0</v>
      </c>
      <c r="J98" s="12" t="n">
        <v>36</v>
      </c>
      <c r="K98" s="12" t="n">
        <v>0</v>
      </c>
      <c r="L98" s="12" t="n">
        <v>32.73</v>
      </c>
      <c r="M98" s="12" t="n">
        <v>3.27</v>
      </c>
      <c r="N98" s="22" t="inlineStr">
        <is>
          <t>11/2026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20261101_2359</t>
        </is>
      </c>
      <c r="B99" s="13" t="n">
        <v>46327</v>
      </c>
      <c r="C99" s="14" t="n">
        <v>0.9993055555555556</v>
      </c>
      <c r="D99" s="23" t="inlineStr">
        <is>
          <t>UN Unico</t>
        </is>
      </c>
      <c r="E99" s="23" t="inlineStr">
        <is>
          <t>I5</t>
        </is>
      </c>
      <c r="F99" s="23">
        <f>IFERROR(INDEX(Tariffe!$B$2:$B$200,MATCH(E99,Tariffe!$A$2:$A$200,0)),"DA DEFINIRE")</f>
        <v/>
      </c>
      <c r="G99" s="16" t="n">
        <v>60</v>
      </c>
      <c r="H99" s="15" t="n">
        <v>1</v>
      </c>
      <c r="I99" s="15" t="n">
        <v>0</v>
      </c>
      <c r="J99" s="16" t="n">
        <v>60</v>
      </c>
      <c r="K99" s="16" t="n">
        <v>0</v>
      </c>
      <c r="L99" s="16" t="n">
        <v>54.55</v>
      </c>
      <c r="M99" s="16" t="n">
        <v>5.45</v>
      </c>
      <c r="N99" s="23" t="inlineStr">
        <is>
          <t>11/2026</t>
        </is>
      </c>
      <c r="O99" s="15">
        <f>IFERROR(INDEX(Tariffe!$D$2:$D$200,MATCH(E99,Tariffe!$A$2:$A$200,0))*1,0)</f>
        <v/>
      </c>
      <c r="P99" s="15">
        <f>H99*O99</f>
        <v/>
      </c>
    </row>
  </sheetData>
  <autoFilter ref="A1:P9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</sheetData>
  <autoFilter ref="A1:G44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</sheetData>
  <autoFilter ref="A1:K37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14</v>
      </c>
      <c r="H4" s="11" t="n">
        <v>54</v>
      </c>
      <c r="I4" s="12" t="n">
        <v>648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</v>
      </c>
      <c r="H5" s="11" t="n">
        <v>10</v>
      </c>
      <c r="I5" s="12" t="n">
        <v>120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59</v>
      </c>
      <c r="M10" s="11" t="n">
        <v>193</v>
      </c>
      <c r="N10" s="12" t="n">
        <v>2316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7</v>
      </c>
      <c r="H13" s="11" t="n">
        <v>26</v>
      </c>
      <c r="I13" s="12" t="n">
        <v>312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16</v>
      </c>
      <c r="H14" s="11" t="n">
        <v>54</v>
      </c>
      <c r="I14" s="12" t="n">
        <v>648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18</v>
      </c>
      <c r="H15" s="11" t="n">
        <v>56</v>
      </c>
      <c r="I15" s="12" t="n">
        <v>672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23</v>
      </c>
      <c r="H16" s="11" t="n">
        <v>61</v>
      </c>
      <c r="I16" s="12" t="n">
        <v>732</v>
      </c>
    </row>
    <row r="17">
      <c r="A17" s="9" t="n">
        <v>46313</v>
      </c>
      <c r="B17" s="11" t="n">
        <v>38</v>
      </c>
      <c r="C17" s="11" t="n">
        <v>130</v>
      </c>
      <c r="D17" s="12" t="n">
        <v>1560</v>
      </c>
      <c r="F17" s="38" t="inlineStr">
        <is>
          <t>13:00-14:00</t>
        </is>
      </c>
      <c r="G17" s="11" t="n">
        <v>17</v>
      </c>
      <c r="H17" s="11" t="n">
        <v>45</v>
      </c>
      <c r="I17" s="12" t="n">
        <v>540</v>
      </c>
    </row>
    <row r="18">
      <c r="F18" s="38" t="inlineStr">
        <is>
          <t>14:00-15:00</t>
        </is>
      </c>
      <c r="G18" s="11" t="n">
        <v>24</v>
      </c>
      <c r="H18" s="11" t="n">
        <v>75</v>
      </c>
      <c r="I18" s="12" t="n">
        <v>900</v>
      </c>
    </row>
    <row r="19">
      <c r="F19" s="38" t="inlineStr">
        <is>
          <t>15:00-16:00</t>
        </is>
      </c>
      <c r="G19" s="11" t="n">
        <v>19</v>
      </c>
      <c r="H19" s="11" t="n">
        <v>53</v>
      </c>
      <c r="I19" s="12" t="n">
        <v>636</v>
      </c>
    </row>
    <row r="20">
      <c r="F20" s="38" t="inlineStr">
        <is>
          <t>16:00-17:00</t>
        </is>
      </c>
      <c r="G20" s="11" t="n">
        <v>24</v>
      </c>
      <c r="H20" s="11" t="n">
        <v>71</v>
      </c>
      <c r="I20" s="12" t="n">
        <v>852</v>
      </c>
    </row>
    <row r="21">
      <c r="F21" s="38" t="inlineStr">
        <is>
          <t>17:00-18:00</t>
        </is>
      </c>
      <c r="G21" s="11" t="n">
        <v>22</v>
      </c>
      <c r="H21" s="11" t="n">
        <v>66</v>
      </c>
      <c r="I21" s="12" t="n">
        <v>792</v>
      </c>
    </row>
    <row r="22">
      <c r="F22" s="38" t="inlineStr">
        <is>
          <t>18:00-19:00</t>
        </is>
      </c>
      <c r="G22" s="11" t="n">
        <v>28</v>
      </c>
      <c r="H22" s="11" t="n">
        <v>79</v>
      </c>
      <c r="I22" s="12" t="n">
        <v>948</v>
      </c>
    </row>
    <row r="23">
      <c r="F23" s="38" t="inlineStr">
        <is>
          <t>19:00-20:00</t>
        </is>
      </c>
      <c r="G23" s="11" t="n">
        <v>34</v>
      </c>
      <c r="H23" s="11" t="n">
        <v>117</v>
      </c>
      <c r="I23" s="12" t="n">
        <v>1404</v>
      </c>
    </row>
    <row r="24">
      <c r="F24" s="38" t="inlineStr">
        <is>
          <t>20:00-21:00</t>
        </is>
      </c>
      <c r="G24" s="11" t="n">
        <v>36</v>
      </c>
      <c r="H24" s="11" t="n">
        <v>111</v>
      </c>
      <c r="I24" s="12" t="n">
        <v>1332</v>
      </c>
    </row>
    <row r="25">
      <c r="F25" s="38" t="inlineStr">
        <is>
          <t>21:00-22:00</t>
        </is>
      </c>
      <c r="G25" s="11" t="n">
        <v>35</v>
      </c>
      <c r="H25" s="11" t="n">
        <v>100</v>
      </c>
      <c r="I25" s="12" t="n">
        <v>1200</v>
      </c>
    </row>
    <row r="26">
      <c r="F26" s="38" t="inlineStr">
        <is>
          <t>22:00-23:00</t>
        </is>
      </c>
      <c r="G26" s="11" t="n">
        <v>55</v>
      </c>
      <c r="H26" s="11" t="n">
        <v>155</v>
      </c>
      <c r="I26" s="12" t="n">
        <v>1860</v>
      </c>
    </row>
    <row r="27">
      <c r="F27" s="38" t="inlineStr">
        <is>
          <t>23:00-00:00</t>
        </is>
      </c>
      <c r="G27" s="11" t="n">
        <v>18</v>
      </c>
      <c r="H27" s="11" t="n">
        <v>61</v>
      </c>
      <c r="I27" s="12" t="n">
        <v>732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2026-10-18T18:23:07Z</dcterms:created>
  <dcterms:modified xsi:type="dcterms:W3CDTF">2026-10-18T18:23:07Z</dcterms:modified>
</cp:coreProperties>
</file>