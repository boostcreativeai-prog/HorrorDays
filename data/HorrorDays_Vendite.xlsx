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'Storico'!$A$1:$G$213</definedName>
    <definedName name="_xlnm._FilterDatabase" localSheetId="8" hidden="1">'Registro vendite'!$A$1:$K$146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'Storico'!$H$2:$H$213</f>
            </numRef>
          </cat>
          <val>
            <numRef>
              <f>'Storico'!$C$2:$C$213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MAX(Storico!A2:A213)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6</v>
      </c>
      <c r="I10" s="11" t="n">
        <v>0</v>
      </c>
      <c r="J10" s="12" t="n">
        <v>144</v>
      </c>
      <c r="K10" s="12" t="n">
        <v>0</v>
      </c>
      <c r="L10" s="12" t="n">
        <v>130.92</v>
      </c>
      <c r="M10" s="12" t="n">
        <v>13.08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1</v>
      </c>
      <c r="I32" s="11" t="n">
        <v>0</v>
      </c>
      <c r="J32" s="12" t="n">
        <v>36</v>
      </c>
      <c r="K32" s="12" t="n">
        <v>0</v>
      </c>
      <c r="L32" s="12" t="n">
        <v>32.73</v>
      </c>
      <c r="M32" s="12" t="n">
        <v>3.27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20261025_2115</t>
        </is>
      </c>
      <c r="B35" s="13" t="n">
        <v>46320</v>
      </c>
      <c r="C35" s="14" t="n">
        <v>0.8854166666666666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20261025_2215</t>
        </is>
      </c>
      <c r="B36" s="9" t="n">
        <v>46320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20261025_2315</t>
        </is>
      </c>
      <c r="B37" s="13" t="n">
        <v>46320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20261025_2359</t>
        </is>
      </c>
      <c r="B38" s="9" t="n">
        <v>46320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20261029_2015</t>
        </is>
      </c>
      <c r="B40" s="9" t="n">
        <v>46324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1</v>
      </c>
      <c r="I42" s="11" t="n">
        <v>0</v>
      </c>
      <c r="J42" s="12" t="n">
        <v>36</v>
      </c>
      <c r="K42" s="12" t="n">
        <v>0</v>
      </c>
      <c r="L42" s="12" t="n">
        <v>32.73</v>
      </c>
      <c r="M42" s="12" t="n">
        <v>3.27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20261029_2215</t>
        </is>
      </c>
      <c r="B43" s="13" t="n">
        <v>46324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4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20261029_2315</t>
        </is>
      </c>
      <c r="B45" s="13" t="n">
        <v>46324</v>
      </c>
      <c r="C45" s="14" t="n">
        <v>0.96875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20261029_2359</t>
        </is>
      </c>
      <c r="B46" s="9" t="n">
        <v>46324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20261030_2015</t>
        </is>
      </c>
      <c r="B47" s="13" t="n">
        <v>46325</v>
      </c>
      <c r="C47" s="14" t="n">
        <v>0.84375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20261030_2115</t>
        </is>
      </c>
      <c r="B48" s="9" t="n">
        <v>46325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20261030_2215</t>
        </is>
      </c>
      <c r="B50" s="9" t="n">
        <v>46325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3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3</v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20261030_2315</t>
        </is>
      </c>
      <c r="B53" s="13" t="n">
        <v>46325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20261030_2359</t>
        </is>
      </c>
      <c r="B54" s="9" t="n">
        <v>46325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20261031_2015</t>
        </is>
      </c>
      <c r="B56" s="9" t="n">
        <v>46326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20261031_2115</t>
        </is>
      </c>
      <c r="B58" s="9" t="n">
        <v>46326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20261031_2215</t>
        </is>
      </c>
      <c r="B60" s="9" t="n">
        <v>46326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4</v>
      </c>
      <c r="I61" s="15" t="n">
        <v>0</v>
      </c>
      <c r="J61" s="16" t="n">
        <v>192</v>
      </c>
      <c r="K61" s="16" t="n">
        <v>0</v>
      </c>
      <c r="L61" s="16" t="n">
        <v>174.56</v>
      </c>
      <c r="M61" s="16" t="n">
        <v>17.44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20261031_2315</t>
        </is>
      </c>
      <c r="B62" s="9" t="n">
        <v>46326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20261031_2359</t>
        </is>
      </c>
      <c r="B64" s="9" t="n">
        <v>46326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20261101_2015</t>
        </is>
      </c>
      <c r="B65" s="13" t="n">
        <v>46327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11/2026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20261101_2215</t>
        </is>
      </c>
      <c r="B66" s="9" t="n">
        <v>46327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11/2026</t>
        </is>
      </c>
      <c r="O66" s="11">
        <f>IFERROR(INDEX(Tariffe!$D$2:$D$200,MATCH(E66,Tariffe!$A$2:$A$200,0))*1,0)</f>
        <v/>
      </c>
      <c r="P66" s="11">
        <f>H66*O66</f>
        <v/>
      </c>
    </row>
  </sheetData>
  <autoFilter ref="A1:P6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</sheetData>
  <autoFilter ref="A1:G21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</sheetData>
  <autoFilter ref="A1:K1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2026-10-11T08:15:49Z</dcterms:created>
  <dcterms:modified xsi:type="dcterms:W3CDTF">2026-10-11T08:15:49Z</dcterms:modified>
</cp:coreProperties>
</file>