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'Vendite'!$A$1:$R$155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'Storico'!$A$1:$G$904</definedName>
    <definedName name="_xlnm._FilterDatabase" localSheetId="8" hidden="1">'Registro vendite'!$A$1:$K$1703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'Storico'!$H$2:$H$904</f>
            </numRef>
          </cat>
          <val>
            <numRef>
              <f>'Storico'!$C$2:$C$904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MAX(Storico!A2:A904)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384</v>
      </c>
      <c r="K129" s="16" t="n">
        <v>0</v>
      </c>
      <c r="L129" s="16" t="n">
        <v>349.12</v>
      </c>
      <c r="M129" s="16" t="n">
        <v>34.88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1056</v>
      </c>
      <c r="K130" s="12" t="n">
        <v>0</v>
      </c>
      <c r="L130" s="12" t="n">
        <v>960.08</v>
      </c>
      <c r="M130" s="12" t="n">
        <v>95.92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324</v>
      </c>
      <c r="K131" s="16" t="n">
        <v>0</v>
      </c>
      <c r="L131" s="16" t="n">
        <v>294.57</v>
      </c>
      <c r="M131" s="16" t="n">
        <v>29.43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9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28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1344</v>
      </c>
      <c r="K146" s="12" t="n">
        <v>0</v>
      </c>
      <c r="L146" s="12" t="n">
        <v>1221.92</v>
      </c>
      <c r="M146" s="12" t="n">
        <v>122.08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300</v>
      </c>
      <c r="K148" s="12" t="n">
        <v>0</v>
      </c>
      <c r="L148" s="12" t="n">
        <v>272.75</v>
      </c>
      <c r="M148" s="12" t="n">
        <v>27.25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5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672</v>
      </c>
      <c r="K149" s="16" t="n">
        <v>0</v>
      </c>
      <c r="L149" s="16" t="n">
        <v>610.96</v>
      </c>
      <c r="M149" s="16" t="n">
        <v>61.04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20261102_2115</t>
        </is>
      </c>
      <c r="B151" s="13" t="n">
        <v>46328</v>
      </c>
      <c r="C151" s="14" t="n">
        <v>0.8854166666666666</v>
      </c>
      <c r="D151" s="23" t="inlineStr">
        <is>
          <t>UN Unico</t>
        </is>
      </c>
      <c r="E151" s="23" t="inlineStr">
        <is>
          <t>I8 24€</t>
        </is>
      </c>
      <c r="F151" s="23">
        <f>IFERROR(INDEX(Tariffe!$B$2:$B$200,MATCH(E151,Tariffe!$A$2:$A$200,0)),"DA DEFINIRE")</f>
        <v/>
      </c>
      <c r="G151" s="16" t="n">
        <v>24</v>
      </c>
      <c r="H151" s="15">
        <f>Q151*R151</f>
        <v/>
      </c>
      <c r="I151" s="15" t="n">
        <v>0</v>
      </c>
      <c r="J151" s="16" t="n">
        <v>24</v>
      </c>
      <c r="K151" s="16" t="n">
        <v>0</v>
      </c>
      <c r="L151" s="16" t="n">
        <v>21.82</v>
      </c>
      <c r="M151" s="16" t="n">
        <v>2.18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20261102_2215</t>
        </is>
      </c>
      <c r="B152" s="9" t="n">
        <v>46328</v>
      </c>
      <c r="C152" s="10" t="n">
        <v>0.9270833333333334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96</v>
      </c>
      <c r="K152" s="12" t="n">
        <v>0</v>
      </c>
      <c r="L152" s="12" t="n">
        <v>87.28</v>
      </c>
      <c r="M152" s="12" t="n">
        <v>8.720000000000001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2</v>
      </c>
      <c r="R152" s="11">
        <f>IFERROR(INDEX(Tariffe!$E$2:$E$200,MATCH(E152,Tariffe!$A$2:$A$200,0))*1,1)</f>
        <v/>
      </c>
    </row>
    <row r="153">
      <c r="A153" s="23" t="inlineStr">
        <is>
          <t>20261102_2315</t>
        </is>
      </c>
      <c r="B153" s="13" t="n">
        <v>46328</v>
      </c>
      <c r="C153" s="14" t="n">
        <v>0.96875</v>
      </c>
      <c r="D153" s="23" t="inlineStr">
        <is>
          <t>UN Unico</t>
        </is>
      </c>
      <c r="E153" s="23" t="inlineStr">
        <is>
          <t>I1 48€</t>
        </is>
      </c>
      <c r="F153" s="23">
        <f>IFERROR(INDEX(Tariffe!$B$2:$B$200,MATCH(E153,Tariffe!$A$2:$A$200,0)),"DA DEFINIRE")</f>
        <v/>
      </c>
      <c r="G153" s="16" t="n">
        <v>48</v>
      </c>
      <c r="H153" s="15">
        <f>Q153*R153</f>
        <v/>
      </c>
      <c r="I153" s="15" t="n">
        <v>0</v>
      </c>
      <c r="J153" s="16" t="n">
        <v>48</v>
      </c>
      <c r="K153" s="16" t="n">
        <v>0</v>
      </c>
      <c r="L153" s="16" t="n">
        <v>43.64</v>
      </c>
      <c r="M153" s="16" t="n">
        <v>4.36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20261102_2359</t>
        </is>
      </c>
      <c r="B154" s="9" t="n">
        <v>46328</v>
      </c>
      <c r="C154" s="10" t="n">
        <v>0.9993055555555556</v>
      </c>
      <c r="D154" s="22" t="inlineStr">
        <is>
          <t>UN Unico</t>
        </is>
      </c>
      <c r="E154" s="22" t="inlineStr">
        <is>
          <t>I1 48€</t>
        </is>
      </c>
      <c r="F154" s="22">
        <f>IFERROR(INDEX(Tariffe!$B$2:$B$200,MATCH(E154,Tariffe!$A$2:$A$200,0)),"DA DEFINIRE")</f>
        <v/>
      </c>
      <c r="G154" s="12" t="n">
        <v>48</v>
      </c>
      <c r="H154" s="11">
        <f>Q154*R154</f>
        <v/>
      </c>
      <c r="I154" s="11" t="n">
        <v>0</v>
      </c>
      <c r="J154" s="12" t="n">
        <v>48</v>
      </c>
      <c r="K154" s="12" t="n">
        <v>0</v>
      </c>
      <c r="L154" s="12" t="n">
        <v>43.64</v>
      </c>
      <c r="M154" s="12" t="n">
        <v>4.36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1</v>
      </c>
      <c r="R154" s="11">
        <f>IFERROR(INDEX(Tariffe!$E$2:$E$200,MATCH(E154,Tariffe!$A$2:$A$200,0))*1,1)</f>
        <v/>
      </c>
    </row>
    <row r="155">
      <c r="A155" s="23" t="inlineStr">
        <is>
          <t>20261102_2359</t>
        </is>
      </c>
      <c r="B155" s="13" t="n">
        <v>46328</v>
      </c>
      <c r="C155" s="14" t="n">
        <v>0.9993055555555556</v>
      </c>
      <c r="D155" s="23" t="inlineStr">
        <is>
          <t>UN Unico</t>
        </is>
      </c>
      <c r="E155" s="23" t="inlineStr">
        <is>
          <t>I8 24€</t>
        </is>
      </c>
      <c r="F155" s="23">
        <f>IFERROR(INDEX(Tariffe!$B$2:$B$200,MATCH(E155,Tariffe!$A$2:$A$200,0)),"DA DEFINIRE")</f>
        <v/>
      </c>
      <c r="G155" s="16" t="n">
        <v>24</v>
      </c>
      <c r="H155" s="15">
        <f>Q155*R155</f>
        <v/>
      </c>
      <c r="I155" s="15" t="n">
        <v>0</v>
      </c>
      <c r="J155" s="16" t="n">
        <v>24</v>
      </c>
      <c r="K155" s="16" t="n">
        <v>0</v>
      </c>
      <c r="L155" s="16" t="n">
        <v>21.82</v>
      </c>
      <c r="M155" s="16" t="n">
        <v>2.18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1</v>
      </c>
      <c r="R155" s="15">
        <f>IFERROR(INDEX(Tariffe!$E$2:$E$200,MATCH(E155,Tariffe!$A$2:$A$200,0))*1,1)</f>
        <v/>
      </c>
    </row>
  </sheetData>
  <autoFilter ref="A1:R15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</sheetData>
  <autoFilter ref="A1:G9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</sheetData>
  <autoFilter ref="A1:K170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955</v>
      </c>
      <c r="N9" s="12" t="n">
        <v>11460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2026-10-30T23:05:10Z</dcterms:created>
  <dcterms:modified xsi:type="dcterms:W3CDTF">2026-10-30T23:05:11Z</dcterms:modified>
</cp:coreProperties>
</file>