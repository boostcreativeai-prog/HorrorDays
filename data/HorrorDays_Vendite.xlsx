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'Vendite'!$A$1:$R$151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'Storico'!$A$1:$G$834</definedName>
    <definedName name="_xlnm._FilterDatabase" localSheetId="8" hidden="1">'Registro vendite'!$A$1:$K$1500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'Storico'!$H$2:$H$834</f>
            </numRef>
          </cat>
          <val>
            <numRef>
              <f>'Storico'!$C$2:$C$834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MAX(Storico!A2:A834)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432</v>
      </c>
      <c r="K62" s="12" t="n">
        <v>0</v>
      </c>
      <c r="L62" s="12" t="n">
        <v>392.76</v>
      </c>
      <c r="M62" s="12" t="n">
        <v>39.24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408</v>
      </c>
      <c r="K65" s="16" t="n">
        <v>0</v>
      </c>
      <c r="L65" s="16" t="n">
        <v>370.94</v>
      </c>
      <c r="M65" s="16" t="n">
        <v>37.06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252</v>
      </c>
      <c r="K79" s="16" t="n">
        <v>0</v>
      </c>
      <c r="L79" s="16" t="n">
        <v>229.11</v>
      </c>
      <c r="M79" s="16" t="n">
        <v>22.89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7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720</v>
      </c>
      <c r="K80" s="12" t="n">
        <v>0</v>
      </c>
      <c r="L80" s="12" t="n">
        <v>654.6</v>
      </c>
      <c r="M80" s="12" t="n">
        <v>65.40000000000001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12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432</v>
      </c>
      <c r="K81" s="16" t="n">
        <v>0</v>
      </c>
      <c r="L81" s="16" t="n">
        <v>392.76</v>
      </c>
      <c r="M81" s="16" t="n">
        <v>39.24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18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360</v>
      </c>
      <c r="K84" s="12" t="n">
        <v>0</v>
      </c>
      <c r="L84" s="12" t="n">
        <v>327.3</v>
      </c>
      <c r="M84" s="12" t="n">
        <v>32.7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17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288</v>
      </c>
      <c r="K86" s="12" t="n">
        <v>0</v>
      </c>
      <c r="L86" s="12" t="n">
        <v>261.84</v>
      </c>
      <c r="M86" s="12" t="n">
        <v>26.16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8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480</v>
      </c>
      <c r="K87" s="16" t="n">
        <v>0</v>
      </c>
      <c r="L87" s="16" t="n">
        <v>436.4</v>
      </c>
      <c r="M87" s="16" t="n">
        <v>43.6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0</v>
      </c>
      <c r="J88" s="12" t="n">
        <v>576</v>
      </c>
      <c r="K88" s="12" t="n">
        <v>0</v>
      </c>
      <c r="L88" s="12" t="n">
        <v>523.6799999999999</v>
      </c>
      <c r="M88" s="12" t="n">
        <v>52.32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1632</v>
      </c>
      <c r="K89" s="16" t="n">
        <v>0</v>
      </c>
      <c r="L89" s="16" t="n">
        <v>1483.76</v>
      </c>
      <c r="M89" s="16" t="n">
        <v>148.24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34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144</v>
      </c>
      <c r="K90" s="12" t="n">
        <v>0</v>
      </c>
      <c r="L90" s="12" t="n">
        <v>130.92</v>
      </c>
      <c r="M90" s="12" t="n">
        <v>13.08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480</v>
      </c>
      <c r="K91" s="16" t="n">
        <v>0</v>
      </c>
      <c r="L91" s="16" t="n">
        <v>436.4</v>
      </c>
      <c r="M91" s="16" t="n">
        <v>43.6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4</v>
      </c>
      <c r="J92" s="12" t="n">
        <v>816</v>
      </c>
      <c r="K92" s="12" t="n">
        <v>0</v>
      </c>
      <c r="L92" s="12" t="n">
        <v>741.88</v>
      </c>
      <c r="M92" s="12" t="n">
        <v>74.12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34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1152</v>
      </c>
      <c r="K93" s="16" t="n">
        <v>0</v>
      </c>
      <c r="L93" s="16" t="n">
        <v>1047.36</v>
      </c>
      <c r="M93" s="16" t="n">
        <v>104.64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432</v>
      </c>
      <c r="K94" s="12" t="n">
        <v>0</v>
      </c>
      <c r="L94" s="12" t="n">
        <v>392.76</v>
      </c>
      <c r="M94" s="12" t="n">
        <v>39.24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12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780</v>
      </c>
      <c r="K95" s="16" t="n">
        <v>0</v>
      </c>
      <c r="L95" s="16" t="n">
        <v>709.15</v>
      </c>
      <c r="M95" s="16" t="n">
        <v>70.84999999999999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744</v>
      </c>
      <c r="K96" s="12" t="n">
        <v>0</v>
      </c>
      <c r="L96" s="12" t="n">
        <v>676.42</v>
      </c>
      <c r="M96" s="12" t="n">
        <v>67.58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31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960</v>
      </c>
      <c r="K97" s="16" t="n">
        <v>0</v>
      </c>
      <c r="L97" s="16" t="n">
        <v>872.8</v>
      </c>
      <c r="M97" s="16" t="n">
        <v>87.2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20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252</v>
      </c>
      <c r="K98" s="12" t="n">
        <v>0</v>
      </c>
      <c r="L98" s="12" t="n">
        <v>229.11</v>
      </c>
      <c r="M98" s="12" t="n">
        <v>22.89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7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780</v>
      </c>
      <c r="K99" s="16" t="n">
        <v>0</v>
      </c>
      <c r="L99" s="16" t="n">
        <v>709.15</v>
      </c>
      <c r="M99" s="16" t="n">
        <v>70.84999999999999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13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720</v>
      </c>
      <c r="K100" s="12" t="n">
        <v>0</v>
      </c>
      <c r="L100" s="12" t="n">
        <v>654.6</v>
      </c>
      <c r="M100" s="12" t="n">
        <v>65.40000000000001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30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480</v>
      </c>
      <c r="K101" s="16" t="n">
        <v>0</v>
      </c>
      <c r="L101" s="16" t="n">
        <v>436.4</v>
      </c>
      <c r="M101" s="16" t="n">
        <v>43.6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10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240</v>
      </c>
      <c r="K103" s="16" t="n">
        <v>0</v>
      </c>
      <c r="L103" s="16" t="n">
        <v>218.2</v>
      </c>
      <c r="M103" s="16" t="n">
        <v>21.8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4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336</v>
      </c>
      <c r="K104" s="12" t="n">
        <v>0</v>
      </c>
      <c r="L104" s="12" t="n">
        <v>305.48</v>
      </c>
      <c r="M104" s="12" t="n">
        <v>30.52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14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1</v>
      </c>
      <c r="J105" s="16" t="n">
        <v>1536</v>
      </c>
      <c r="K105" s="16" t="n">
        <v>0</v>
      </c>
      <c r="L105" s="16" t="n">
        <v>1396.48</v>
      </c>
      <c r="M105" s="16" t="n">
        <v>139.52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288</v>
      </c>
      <c r="K106" s="12" t="n">
        <v>0</v>
      </c>
      <c r="L106" s="12" t="n">
        <v>261.84</v>
      </c>
      <c r="M106" s="12" t="n">
        <v>26.16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8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2</v>
      </c>
      <c r="J107" s="16" t="n">
        <v>660</v>
      </c>
      <c r="K107" s="16" t="n">
        <v>0</v>
      </c>
      <c r="L107" s="16" t="n">
        <v>600.05</v>
      </c>
      <c r="M107" s="16" t="n">
        <v>59.95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11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696</v>
      </c>
      <c r="K108" s="12" t="n">
        <v>0</v>
      </c>
      <c r="L108" s="12" t="n">
        <v>632.78</v>
      </c>
      <c r="M108" s="12" t="n">
        <v>63.22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29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1440</v>
      </c>
      <c r="K109" s="16" t="n">
        <v>0</v>
      </c>
      <c r="L109" s="16" t="n">
        <v>1309.2</v>
      </c>
      <c r="M109" s="16" t="n">
        <v>130.8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30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216</v>
      </c>
      <c r="K110" s="12" t="n">
        <v>0</v>
      </c>
      <c r="L110" s="12" t="n">
        <v>196.38</v>
      </c>
      <c r="M110" s="12" t="n">
        <v>19.62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6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360</v>
      </c>
      <c r="K111" s="16" t="n">
        <v>0</v>
      </c>
      <c r="L111" s="16" t="n">
        <v>327.3</v>
      </c>
      <c r="M111" s="16" t="n">
        <v>32.7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912</v>
      </c>
      <c r="K112" s="12" t="n">
        <v>0</v>
      </c>
      <c r="L112" s="12" t="n">
        <v>829.16</v>
      </c>
      <c r="M112" s="12" t="n">
        <v>82.84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38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3</v>
      </c>
      <c r="J113" s="16" t="n">
        <v>1296</v>
      </c>
      <c r="K113" s="16" t="n">
        <v>0</v>
      </c>
      <c r="L113" s="16" t="n">
        <v>1178.28</v>
      </c>
      <c r="M113" s="16" t="n">
        <v>117.72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27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180</v>
      </c>
      <c r="K114" s="12" t="n">
        <v>0</v>
      </c>
      <c r="L114" s="12" t="n">
        <v>163.65</v>
      </c>
      <c r="M114" s="12" t="n">
        <v>16.35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240</v>
      </c>
      <c r="K115" s="16" t="n">
        <v>0</v>
      </c>
      <c r="L115" s="16" t="n">
        <v>218.2</v>
      </c>
      <c r="M115" s="16" t="n">
        <v>21.8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1056</v>
      </c>
      <c r="K116" s="12" t="n">
        <v>0</v>
      </c>
      <c r="L116" s="12" t="n">
        <v>960.08</v>
      </c>
      <c r="M116" s="12" t="n">
        <v>95.92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44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1968</v>
      </c>
      <c r="K117" s="16" t="n">
        <v>0</v>
      </c>
      <c r="L117" s="16" t="n">
        <v>1789.24</v>
      </c>
      <c r="M117" s="16" t="n">
        <v>178.76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41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108</v>
      </c>
      <c r="K118" s="12" t="n">
        <v>0</v>
      </c>
      <c r="L118" s="12" t="n">
        <v>98.19</v>
      </c>
      <c r="M118" s="12" t="n">
        <v>9.81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300</v>
      </c>
      <c r="K119" s="16" t="n">
        <v>0</v>
      </c>
      <c r="L119" s="16" t="n">
        <v>272.75</v>
      </c>
      <c r="M119" s="16" t="n">
        <v>27.25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744</v>
      </c>
      <c r="K120" s="12" t="n">
        <v>0</v>
      </c>
      <c r="L120" s="12" t="n">
        <v>676.42</v>
      </c>
      <c r="M120" s="12" t="n">
        <v>67.58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2256</v>
      </c>
      <c r="K121" s="16" t="n">
        <v>0</v>
      </c>
      <c r="L121" s="16" t="n">
        <v>2051.08</v>
      </c>
      <c r="M121" s="16" t="n">
        <v>204.92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47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300</v>
      </c>
      <c r="K123" s="16" t="n">
        <v>0</v>
      </c>
      <c r="L123" s="16" t="n">
        <v>272.75</v>
      </c>
      <c r="M123" s="16" t="n">
        <v>27.25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648</v>
      </c>
      <c r="K124" s="12" t="n">
        <v>0</v>
      </c>
      <c r="L124" s="12" t="n">
        <v>589.14</v>
      </c>
      <c r="M124" s="12" t="n">
        <v>58.86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27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120</v>
      </c>
      <c r="K127" s="16" t="n">
        <v>0</v>
      </c>
      <c r="L127" s="16" t="n">
        <v>109.1</v>
      </c>
      <c r="M127" s="16" t="n">
        <v>10.9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576</v>
      </c>
      <c r="K129" s="16" t="n">
        <v>0</v>
      </c>
      <c r="L129" s="16" t="n">
        <v>523.6799999999999</v>
      </c>
      <c r="M129" s="16" t="n">
        <v>52.32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I5 60€</t>
        </is>
      </c>
      <c r="F131" s="23">
        <f>IFERROR(INDEX(Tariffe!$B$2:$B$200,MATCH(E131,Tariffe!$A$2:$A$200,0)),"DA DEFINIRE")</f>
        <v/>
      </c>
      <c r="G131" s="16" t="n">
        <v>60</v>
      </c>
      <c r="H131" s="15">
        <f>Q131*R131</f>
        <v/>
      </c>
      <c r="I131" s="15" t="n">
        <v>0</v>
      </c>
      <c r="J131" s="16" t="n">
        <v>120</v>
      </c>
      <c r="K131" s="16" t="n">
        <v>0</v>
      </c>
      <c r="L131" s="16" t="n">
        <v>109.1</v>
      </c>
      <c r="M131" s="16" t="n">
        <v>10.9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I8 24€</t>
        </is>
      </c>
      <c r="F132" s="22">
        <f>IFERROR(INDEX(Tariffe!$B$2:$B$200,MATCH(E132,Tariffe!$A$2:$A$200,0)),"DA DEFINIRE")</f>
        <v/>
      </c>
      <c r="G132" s="12" t="n">
        <v>24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6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I1 48€</t>
        </is>
      </c>
      <c r="F133" s="23">
        <f>IFERROR(INDEX(Tariffe!$B$2:$B$200,MATCH(E133,Tariffe!$A$2:$A$200,0)),"DA DEFINIRE")</f>
        <v/>
      </c>
      <c r="G133" s="16" t="n">
        <v>48</v>
      </c>
      <c r="H133" s="15">
        <f>Q133*R133</f>
        <v/>
      </c>
      <c r="I133" s="15" t="n">
        <v>0</v>
      </c>
      <c r="J133" s="16" t="n">
        <v>672</v>
      </c>
      <c r="K133" s="16" t="n">
        <v>0</v>
      </c>
      <c r="L133" s="16" t="n">
        <v>610.96</v>
      </c>
      <c r="M133" s="16" t="n">
        <v>61.04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I2 36€</t>
        </is>
      </c>
      <c r="F134" s="22">
        <f>IFERROR(INDEX(Tariffe!$B$2:$B$200,MATCH(E134,Tariffe!$A$2:$A$200,0)),"DA DEFINIRE")</f>
        <v/>
      </c>
      <c r="G134" s="12" t="n">
        <v>36</v>
      </c>
      <c r="H134" s="11">
        <f>Q134*R134</f>
        <v/>
      </c>
      <c r="I134" s="11" t="n">
        <v>0</v>
      </c>
      <c r="J134" s="12" t="n">
        <v>144</v>
      </c>
      <c r="K134" s="12" t="n">
        <v>0</v>
      </c>
      <c r="L134" s="12" t="n">
        <v>130.92</v>
      </c>
      <c r="M134" s="12" t="n">
        <v>13.08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I5 60€</t>
        </is>
      </c>
      <c r="F135" s="23">
        <f>IFERROR(INDEX(Tariffe!$B$2:$B$200,MATCH(E135,Tariffe!$A$2:$A$200,0)),"DA DEFINIRE")</f>
        <v/>
      </c>
      <c r="G135" s="16" t="n">
        <v>60</v>
      </c>
      <c r="H135" s="15">
        <f>Q135*R135</f>
        <v/>
      </c>
      <c r="I135" s="15" t="n">
        <v>0</v>
      </c>
      <c r="J135" s="16" t="n">
        <v>300</v>
      </c>
      <c r="K135" s="16" t="n">
        <v>0</v>
      </c>
      <c r="L135" s="16" t="n">
        <v>272.75</v>
      </c>
      <c r="M135" s="16" t="n">
        <v>27.25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I8 24€</t>
        </is>
      </c>
      <c r="F136" s="22">
        <f>IFERROR(INDEX(Tariffe!$B$2:$B$200,MATCH(E136,Tariffe!$A$2:$A$200,0)),"DA DEFINIRE")</f>
        <v/>
      </c>
      <c r="G136" s="12" t="n">
        <v>24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15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I1 48€</t>
        </is>
      </c>
      <c r="F137" s="23">
        <f>IFERROR(INDEX(Tariffe!$B$2:$B$200,MATCH(E137,Tariffe!$A$2:$A$200,0)),"DA DEFINIRE")</f>
        <v/>
      </c>
      <c r="G137" s="16" t="n">
        <v>48</v>
      </c>
      <c r="H137" s="15">
        <f>Q137*R137</f>
        <v/>
      </c>
      <c r="I137" s="15" t="n">
        <v>0</v>
      </c>
      <c r="J137" s="16" t="n">
        <v>1296</v>
      </c>
      <c r="K137" s="16" t="n">
        <v>0</v>
      </c>
      <c r="L137" s="16" t="n">
        <v>1178.28</v>
      </c>
      <c r="M137" s="16" t="n">
        <v>117.72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27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I2 36€</t>
        </is>
      </c>
      <c r="F138" s="22">
        <f>IFERROR(INDEX(Tariffe!$B$2:$B$200,MATCH(E138,Tariffe!$A$2:$A$200,0)),"DA DEFINIRE")</f>
        <v/>
      </c>
      <c r="G138" s="12" t="n">
        <v>36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4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I5 60€</t>
        </is>
      </c>
      <c r="F139" s="23">
        <f>IFERROR(INDEX(Tariffe!$B$2:$B$200,MATCH(E139,Tariffe!$A$2:$A$200,0)),"DA DEFINIRE")</f>
        <v/>
      </c>
      <c r="G139" s="16" t="n">
        <v>60</v>
      </c>
      <c r="H139" s="15">
        <f>Q139*R139</f>
        <v/>
      </c>
      <c r="I139" s="15" t="n">
        <v>0</v>
      </c>
      <c r="J139" s="16" t="n">
        <v>180</v>
      </c>
      <c r="K139" s="16" t="n">
        <v>0</v>
      </c>
      <c r="L139" s="16" t="n">
        <v>163.65</v>
      </c>
      <c r="M139" s="16" t="n">
        <v>16.35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3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I8 24€</t>
        </is>
      </c>
      <c r="F140" s="22">
        <f>IFERROR(INDEX(Tariffe!$B$2:$B$200,MATCH(E140,Tariffe!$A$2:$A$200,0)),"DA DEFINIRE")</f>
        <v/>
      </c>
      <c r="G140" s="12" t="n">
        <v>24</v>
      </c>
      <c r="H140" s="11">
        <f>Q140*R140</f>
        <v/>
      </c>
      <c r="I140" s="11" t="n">
        <v>0</v>
      </c>
      <c r="J140" s="12" t="n">
        <v>576</v>
      </c>
      <c r="K140" s="12" t="n">
        <v>0</v>
      </c>
      <c r="L140" s="12" t="n">
        <v>523.6799999999999</v>
      </c>
      <c r="M140" s="12" t="n">
        <v>52.32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24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I1 48€</t>
        </is>
      </c>
      <c r="F141" s="23">
        <f>IFERROR(INDEX(Tariffe!$B$2:$B$200,MATCH(E141,Tariffe!$A$2:$A$200,0)),"DA DEFINIRE")</f>
        <v/>
      </c>
      <c r="G141" s="16" t="n">
        <v>48</v>
      </c>
      <c r="H141" s="15">
        <f>Q141*R141</f>
        <v/>
      </c>
      <c r="I141" s="15" t="n">
        <v>0</v>
      </c>
      <c r="J141" s="16" t="n">
        <v>288</v>
      </c>
      <c r="K141" s="16" t="n">
        <v>0</v>
      </c>
      <c r="L141" s="16" t="n">
        <v>261.84</v>
      </c>
      <c r="M141" s="16" t="n">
        <v>26.16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6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I2 36€</t>
        </is>
      </c>
      <c r="F142" s="22">
        <f>IFERROR(INDEX(Tariffe!$B$2:$B$200,MATCH(E142,Tariffe!$A$2:$A$200,0)),"DA DEFINIRE")</f>
        <v/>
      </c>
      <c r="G142" s="12" t="n">
        <v>36</v>
      </c>
      <c r="H142" s="11">
        <f>Q142*R142</f>
        <v/>
      </c>
      <c r="I142" s="11" t="n">
        <v>0</v>
      </c>
      <c r="J142" s="12" t="n">
        <v>180</v>
      </c>
      <c r="K142" s="12" t="n">
        <v>0</v>
      </c>
      <c r="L142" s="12" t="n">
        <v>163.65</v>
      </c>
      <c r="M142" s="12" t="n">
        <v>16.35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300</v>
      </c>
      <c r="K143" s="16" t="n">
        <v>0</v>
      </c>
      <c r="L143" s="16" t="n">
        <v>272.75</v>
      </c>
      <c r="M143" s="16" t="n">
        <v>27.25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120</v>
      </c>
      <c r="K144" s="12" t="n">
        <v>0</v>
      </c>
      <c r="L144" s="12" t="n">
        <v>109.1</v>
      </c>
      <c r="M144" s="12" t="n">
        <v>10.9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20261101_2359</t>
        </is>
      </c>
      <c r="B145" s="13" t="n">
        <v>46327</v>
      </c>
      <c r="C145" s="14" t="n">
        <v>0.9993055555555556</v>
      </c>
      <c r="D145" s="23" t="inlineStr">
        <is>
          <t>UN Unico</t>
        </is>
      </c>
      <c r="E145" s="23" t="inlineStr">
        <is>
          <t>I1 48€</t>
        </is>
      </c>
      <c r="F145" s="23">
        <f>IFERROR(INDEX(Tariffe!$B$2:$B$200,MATCH(E145,Tariffe!$A$2:$A$200,0)),"DA DEFINIRE")</f>
        <v/>
      </c>
      <c r="G145" s="16" t="n">
        <v>48</v>
      </c>
      <c r="H145" s="15">
        <f>Q145*R145</f>
        <v/>
      </c>
      <c r="I145" s="15" t="n">
        <v>0</v>
      </c>
      <c r="J145" s="16" t="n">
        <v>192</v>
      </c>
      <c r="K145" s="16" t="n">
        <v>0</v>
      </c>
      <c r="L145" s="16" t="n">
        <v>174.56</v>
      </c>
      <c r="M145" s="16" t="n">
        <v>17.44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4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I5 60€</t>
        </is>
      </c>
      <c r="F146" s="22">
        <f>IFERROR(INDEX(Tariffe!$B$2:$B$200,MATCH(E146,Tariffe!$A$2:$A$200,0)),"DA DEFINIRE")</f>
        <v/>
      </c>
      <c r="G146" s="12" t="n">
        <v>60</v>
      </c>
      <c r="H146" s="11">
        <f>Q146*R146</f>
        <v/>
      </c>
      <c r="I146" s="11" t="n">
        <v>0</v>
      </c>
      <c r="J146" s="12" t="n">
        <v>60</v>
      </c>
      <c r="K146" s="12" t="n">
        <v>0</v>
      </c>
      <c r="L146" s="12" t="n">
        <v>54.55</v>
      </c>
      <c r="M146" s="12" t="n">
        <v>5.45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I8 24€</t>
        </is>
      </c>
      <c r="F147" s="23">
        <f>IFERROR(INDEX(Tariffe!$B$2:$B$200,MATCH(E147,Tariffe!$A$2:$A$200,0)),"DA DEFINIRE")</f>
        <v/>
      </c>
      <c r="G147" s="16" t="n">
        <v>24</v>
      </c>
      <c r="H147" s="15">
        <f>Q147*R147</f>
        <v/>
      </c>
      <c r="I147" s="15" t="n">
        <v>0</v>
      </c>
      <c r="J147" s="16" t="n">
        <v>96</v>
      </c>
      <c r="K147" s="16" t="n">
        <v>0</v>
      </c>
      <c r="L147" s="16" t="n">
        <v>87.28</v>
      </c>
      <c r="M147" s="16" t="n">
        <v>8.720000000000001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20261102_2015</t>
        </is>
      </c>
      <c r="B148" s="9" t="n">
        <v>46328</v>
      </c>
      <c r="C148" s="10" t="n">
        <v>0.84375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30</v>
      </c>
      <c r="K148" s="12" t="n">
        <v>0</v>
      </c>
      <c r="L148" s="12" t="n">
        <v>27.28</v>
      </c>
      <c r="M148" s="12" t="n">
        <v>2.72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2</v>
      </c>
      <c r="R148" s="11">
        <f>IFERROR(INDEX(Tariffe!$E$2:$E$200,MATCH(E148,Tariffe!$A$2:$A$200,0))*1,1)</f>
        <v/>
      </c>
    </row>
    <row r="149">
      <c r="A149" s="23" t="inlineStr">
        <is>
          <t>20261102_2215</t>
        </is>
      </c>
      <c r="B149" s="13" t="n">
        <v>46328</v>
      </c>
      <c r="C149" s="14" t="n">
        <v>0.9270833333333334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90</v>
      </c>
      <c r="K149" s="16" t="n">
        <v>0</v>
      </c>
      <c r="L149" s="16" t="n">
        <v>81.84</v>
      </c>
      <c r="M149" s="16" t="n">
        <v>8.16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6</v>
      </c>
      <c r="R149" s="15">
        <f>IFERROR(INDEX(Tariffe!$E$2:$E$200,MATCH(E149,Tariffe!$A$2:$A$200,0))*1,1)</f>
        <v/>
      </c>
    </row>
    <row r="150">
      <c r="A150" s="22" t="inlineStr">
        <is>
          <t>20261102_2315</t>
        </is>
      </c>
      <c r="B150" s="9" t="n">
        <v>46328</v>
      </c>
      <c r="C150" s="10" t="n">
        <v>0.96875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45</v>
      </c>
      <c r="K150" s="12" t="n">
        <v>0</v>
      </c>
      <c r="L150" s="12" t="n">
        <v>40.92</v>
      </c>
      <c r="M150" s="12" t="n">
        <v>4.08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3</v>
      </c>
      <c r="R150" s="11">
        <f>IFERROR(INDEX(Tariffe!$E$2:$E$200,MATCH(E150,Tariffe!$A$2:$A$200,0))*1,1)</f>
        <v/>
      </c>
    </row>
    <row r="151">
      <c r="A151" s="23" t="inlineStr">
        <is>
          <t>20261102_2359</t>
        </is>
      </c>
      <c r="B151" s="13" t="n">
        <v>46328</v>
      </c>
      <c r="C151" s="14" t="n">
        <v>0.9993055555555556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15</v>
      </c>
      <c r="K151" s="16" t="n">
        <v>0</v>
      </c>
      <c r="L151" s="16" t="n">
        <v>13.64</v>
      </c>
      <c r="M151" s="16" t="n">
        <v>1.36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</sheetData>
  <autoFilter ref="A1:R15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</sheetData>
  <autoFilter ref="A1:G83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</sheetData>
  <autoFilter ref="A1:K150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116</v>
      </c>
      <c r="M7" s="11" t="n">
        <v>358</v>
      </c>
      <c r="N7" s="12" t="n">
        <v>4296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16</v>
      </c>
      <c r="C28" s="11" t="n">
        <v>53</v>
      </c>
      <c r="D28" s="12" t="n">
        <v>636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2026-10-29T05:39:43Z</dcterms:created>
  <dcterms:modified xsi:type="dcterms:W3CDTF">2026-10-29T05:39:44Z</dcterms:modified>
</cp:coreProperties>
</file>