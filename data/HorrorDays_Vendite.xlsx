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'Vendite'!$A$1:$P$130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'Storico'!$A$1:$G$663</definedName>
    <definedName name="_xlnm._FilterDatabase" localSheetId="8" hidden="1">'Registro vendite'!$A$1:$K$870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'Storico'!$H$2:$H$663</f>
            </numRef>
          </cat>
          <val>
            <numRef>
              <f>'Storico'!$C$2:$C$663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MAX(Storico!A2:A663)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12</v>
      </c>
      <c r="I42" s="11" t="n">
        <v>0</v>
      </c>
      <c r="J42" s="12" t="n">
        <v>576</v>
      </c>
      <c r="K42" s="12" t="n">
        <v>0</v>
      </c>
      <c r="L42" s="12" t="n">
        <v>523.6799999999999</v>
      </c>
      <c r="M42" s="12" t="n">
        <v>52.32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6</v>
      </c>
      <c r="I43" s="15" t="n">
        <v>0</v>
      </c>
      <c r="J43" s="16" t="n">
        <v>216</v>
      </c>
      <c r="K43" s="16" t="n">
        <v>0</v>
      </c>
      <c r="L43" s="16" t="n">
        <v>196.38</v>
      </c>
      <c r="M43" s="16" t="n">
        <v>19.62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6</v>
      </c>
      <c r="I44" s="11" t="n">
        <v>0</v>
      </c>
      <c r="J44" s="12" t="n">
        <v>360</v>
      </c>
      <c r="K44" s="12" t="n">
        <v>0</v>
      </c>
      <c r="L44" s="12" t="n">
        <v>327.3</v>
      </c>
      <c r="M44" s="12" t="n">
        <v>32.7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21</v>
      </c>
      <c r="I45" s="15" t="n">
        <v>0</v>
      </c>
      <c r="J45" s="16" t="n">
        <v>504</v>
      </c>
      <c r="K45" s="16" t="n">
        <v>0</v>
      </c>
      <c r="L45" s="16" t="n">
        <v>458.22</v>
      </c>
      <c r="M45" s="16" t="n">
        <v>45.78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23</v>
      </c>
      <c r="I46" s="11" t="n">
        <v>0</v>
      </c>
      <c r="J46" s="12" t="n">
        <v>1104</v>
      </c>
      <c r="K46" s="12" t="n">
        <v>0</v>
      </c>
      <c r="L46" s="12" t="n">
        <v>1003.72</v>
      </c>
      <c r="M46" s="12" t="n">
        <v>100.28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3</v>
      </c>
      <c r="I47" s="15" t="n">
        <v>0</v>
      </c>
      <c r="J47" s="16" t="n">
        <v>108</v>
      </c>
      <c r="K47" s="16" t="n">
        <v>0</v>
      </c>
      <c r="L47" s="16" t="n">
        <v>98.19</v>
      </c>
      <c r="M47" s="16" t="n">
        <v>9.81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9</v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29</v>
      </c>
      <c r="I49" s="15" t="n">
        <v>0</v>
      </c>
      <c r="J49" s="16" t="n">
        <v>696</v>
      </c>
      <c r="K49" s="16" t="n">
        <v>0</v>
      </c>
      <c r="L49" s="16" t="n">
        <v>632.78</v>
      </c>
      <c r="M49" s="16" t="n">
        <v>63.22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19</v>
      </c>
      <c r="I50" s="11" t="n">
        <v>0</v>
      </c>
      <c r="J50" s="12" t="n">
        <v>912</v>
      </c>
      <c r="K50" s="12" t="n">
        <v>0</v>
      </c>
      <c r="L50" s="12" t="n">
        <v>829.16</v>
      </c>
      <c r="M50" s="12" t="n">
        <v>82.84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5</v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27</v>
      </c>
      <c r="I53" s="15" t="n">
        <v>0</v>
      </c>
      <c r="J53" s="16" t="n">
        <v>648</v>
      </c>
      <c r="K53" s="16" t="n">
        <v>0</v>
      </c>
      <c r="L53" s="16" t="n">
        <v>589.14</v>
      </c>
      <c r="M53" s="16" t="n">
        <v>58.86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20</v>
      </c>
      <c r="I54" s="11" t="n">
        <v>0</v>
      </c>
      <c r="J54" s="12" t="n">
        <v>960</v>
      </c>
      <c r="K54" s="12" t="n">
        <v>0</v>
      </c>
      <c r="L54" s="12" t="n">
        <v>872.8</v>
      </c>
      <c r="M54" s="12" t="n">
        <v>87.2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5</v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3</v>
      </c>
      <c r="I56" s="11" t="n">
        <v>0</v>
      </c>
      <c r="J56" s="12" t="n">
        <v>180</v>
      </c>
      <c r="K56" s="12" t="n">
        <v>0</v>
      </c>
      <c r="L56" s="12" t="n">
        <v>163.65</v>
      </c>
      <c r="M56" s="12" t="n">
        <v>16.35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12</v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5</v>
      </c>
      <c r="I58" s="11" t="n">
        <v>0</v>
      </c>
      <c r="J58" s="12" t="n">
        <v>240</v>
      </c>
      <c r="K58" s="12" t="n">
        <v>0</v>
      </c>
      <c r="L58" s="12" t="n">
        <v>218.2</v>
      </c>
      <c r="M58" s="12" t="n">
        <v>21.8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</t>
        </is>
      </c>
      <c r="F59" s="23">
        <f>IFERROR(INDEX(Tariffe!$B$2:$B$200,MATCH(E59,Tariffe!$A$2:$A$200,0)),"DA DEFINIRE")</f>
        <v/>
      </c>
      <c r="G59" s="16" t="n">
        <v>36</v>
      </c>
      <c r="H59" s="15" t="n">
        <v>1</v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1</v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5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</t>
        </is>
      </c>
      <c r="F63" s="23">
        <f>IFERROR(INDEX(Tariffe!$B$2:$B$200,MATCH(E63,Tariffe!$A$2:$A$200,0)),"DA DEFINIRE")</f>
        <v/>
      </c>
      <c r="G63" s="16" t="n">
        <v>60</v>
      </c>
      <c r="H63" s="15" t="n">
        <v>2</v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3</v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2</v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2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10</v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4</v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16</v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6</v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</t>
        </is>
      </c>
      <c r="F73" s="23">
        <f>IFERROR(INDEX(Tariffe!$B$2:$B$200,MATCH(E73,Tariffe!$A$2:$A$200,0)),"DA DEFINIRE")</f>
        <v/>
      </c>
      <c r="G73" s="16" t="n">
        <v>36</v>
      </c>
      <c r="H73" s="15" t="n">
        <v>2</v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4</v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8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3</v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5</v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12</v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</t>
        </is>
      </c>
      <c r="F83" s="23">
        <f>IFERROR(INDEX(Tariffe!$B$2:$B$200,MATCH(E83,Tariffe!$A$2:$A$200,0)),"DA DEFINIRE")</f>
        <v/>
      </c>
      <c r="G83" s="16" t="n">
        <v>36</v>
      </c>
      <c r="H83" s="15" t="n">
        <v>2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10</v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1</v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7</v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1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8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1</v>
      </c>
      <c r="I94" s="11" t="n">
        <v>0</v>
      </c>
      <c r="J94" s="12" t="n">
        <v>36</v>
      </c>
      <c r="K94" s="12" t="n">
        <v>0</v>
      </c>
      <c r="L94" s="12" t="n">
        <v>32.73</v>
      </c>
      <c r="M94" s="12" t="n">
        <v>3.27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3</v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3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12</v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4</v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2</v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9</v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11</v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</t>
        </is>
      </c>
      <c r="F102" s="22">
        <f>IFERROR(INDEX(Tariffe!$B$2:$B$200,MATCH(E102,Tariffe!$A$2:$A$200,0)),"DA DEFINIRE")</f>
        <v/>
      </c>
      <c r="G102" s="12" t="n">
        <v>36</v>
      </c>
      <c r="H102" s="11" t="n">
        <v>3</v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</t>
        </is>
      </c>
      <c r="F103" s="23">
        <f>IFERROR(INDEX(Tariffe!$B$2:$B$200,MATCH(E103,Tariffe!$A$2:$A$200,0)),"DA DEFINIRE")</f>
        <v/>
      </c>
      <c r="G103" s="16" t="n">
        <v>60</v>
      </c>
      <c r="H103" s="15" t="n">
        <v>2</v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28</v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23</v>
      </c>
      <c r="I105" s="15" t="n">
        <v>0</v>
      </c>
      <c r="J105" s="16" t="n">
        <v>1104</v>
      </c>
      <c r="K105" s="16" t="n">
        <v>0</v>
      </c>
      <c r="L105" s="16" t="n">
        <v>1003.72</v>
      </c>
      <c r="M105" s="16" t="n">
        <v>100.28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3</v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</t>
        </is>
      </c>
      <c r="F107" s="23">
        <f>IFERROR(INDEX(Tariffe!$B$2:$B$200,MATCH(E107,Tariffe!$A$2:$A$200,0)),"DA DEFINIRE")</f>
        <v/>
      </c>
      <c r="G107" s="16" t="n">
        <v>60</v>
      </c>
      <c r="H107" s="15" t="n">
        <v>3</v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19</v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16</v>
      </c>
      <c r="I109" s="15" t="n">
        <v>0</v>
      </c>
      <c r="J109" s="16" t="n">
        <v>768</v>
      </c>
      <c r="K109" s="16" t="n">
        <v>0</v>
      </c>
      <c r="L109" s="16" t="n">
        <v>698.24</v>
      </c>
      <c r="M109" s="16" t="n">
        <v>69.76000000000001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</t>
        </is>
      </c>
      <c r="F111" s="23">
        <f>IFERROR(INDEX(Tariffe!$B$2:$B$200,MATCH(E111,Tariffe!$A$2:$A$200,0)),"DA DEFINIRE")</f>
        <v/>
      </c>
      <c r="G111" s="16" t="n">
        <v>60</v>
      </c>
      <c r="H111" s="15" t="n">
        <v>2</v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14</v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</t>
        </is>
      </c>
      <c r="F113" s="23">
        <f>IFERROR(INDEX(Tariffe!$B$2:$B$200,MATCH(E113,Tariffe!$A$2:$A$200,0)),"DA DEFINIRE")</f>
        <v/>
      </c>
      <c r="G113" s="16" t="n">
        <v>48</v>
      </c>
      <c r="H113" s="15" t="n">
        <v>2</v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</t>
        </is>
      </c>
      <c r="F114" s="22">
        <f>IFERROR(INDEX(Tariffe!$B$2:$B$200,MATCH(E114,Tariffe!$A$2:$A$200,0)),"DA DEFINIRE")</f>
        <v/>
      </c>
      <c r="G114" s="12" t="n">
        <v>36</v>
      </c>
      <c r="H114" s="11" t="n">
        <v>1</v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</t>
        </is>
      </c>
      <c r="F115" s="23">
        <f>IFERROR(INDEX(Tariffe!$B$2:$B$200,MATCH(E115,Tariffe!$A$2:$A$200,0)),"DA DEFINIRE")</f>
        <v/>
      </c>
      <c r="G115" s="16" t="n">
        <v>24</v>
      </c>
      <c r="H115" s="15" t="n">
        <v>2</v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</t>
        </is>
      </c>
      <c r="F116" s="22">
        <f>IFERROR(INDEX(Tariffe!$B$2:$B$200,MATCH(E116,Tariffe!$A$2:$A$200,0)),"DA DEFINIRE")</f>
        <v/>
      </c>
      <c r="G116" s="12" t="n">
        <v>48</v>
      </c>
      <c r="H116" s="11" t="n">
        <v>4</v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</t>
        </is>
      </c>
      <c r="F117" s="23">
        <f>IFERROR(INDEX(Tariffe!$B$2:$B$200,MATCH(E117,Tariffe!$A$2:$A$200,0)),"DA DEFINIRE")</f>
        <v/>
      </c>
      <c r="G117" s="16" t="n">
        <v>36</v>
      </c>
      <c r="H117" s="15" t="n">
        <v>4</v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6</v>
      </c>
      <c r="I118" s="11" t="n">
        <v>0</v>
      </c>
      <c r="J118" s="12" t="n">
        <v>144</v>
      </c>
      <c r="K118" s="12" t="n">
        <v>0</v>
      </c>
      <c r="L118" s="12" t="n">
        <v>130.92</v>
      </c>
      <c r="M118" s="12" t="n">
        <v>13.08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48</v>
      </c>
      <c r="H119" s="15" t="n">
        <v>1</v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</t>
        </is>
      </c>
      <c r="F120" s="22">
        <f>IFERROR(INDEX(Tariffe!$B$2:$B$200,MATCH(E120,Tariffe!$A$2:$A$200,0)),"DA DEFINIRE")</f>
        <v/>
      </c>
      <c r="G120" s="12" t="n">
        <v>36</v>
      </c>
      <c r="H120" s="11" t="n">
        <v>2</v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</t>
        </is>
      </c>
      <c r="F121" s="23">
        <f>IFERROR(INDEX(Tariffe!$B$2:$B$200,MATCH(E121,Tariffe!$A$2:$A$200,0)),"DA DEFINIRE")</f>
        <v/>
      </c>
      <c r="G121" s="16" t="n">
        <v>60</v>
      </c>
      <c r="H121" s="15" t="n">
        <v>1</v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5</v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</t>
        </is>
      </c>
      <c r="F123" s="23">
        <f>IFERROR(INDEX(Tariffe!$B$2:$B$200,MATCH(E123,Tariffe!$A$2:$A$200,0)),"DA DEFINIRE")</f>
        <v/>
      </c>
      <c r="G123" s="16" t="n">
        <v>36</v>
      </c>
      <c r="H123" s="15" t="n">
        <v>1</v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2</v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</t>
        </is>
      </c>
      <c r="F125" s="23">
        <f>IFERROR(INDEX(Tariffe!$B$2:$B$200,MATCH(E125,Tariffe!$A$2:$A$200,0)),"DA DEFINIRE")</f>
        <v/>
      </c>
      <c r="G125" s="16" t="n">
        <v>60</v>
      </c>
      <c r="H125" s="15" t="n">
        <v>1</v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</t>
        </is>
      </c>
      <c r="F126" s="22">
        <f>IFERROR(INDEX(Tariffe!$B$2:$B$200,MATCH(E126,Tariffe!$A$2:$A$200,0)),"DA DEFINIRE")</f>
        <v/>
      </c>
      <c r="G126" s="12" t="n">
        <v>24</v>
      </c>
      <c r="H126" s="11" t="n">
        <v>1</v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2</v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3</v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</t>
        </is>
      </c>
      <c r="F130" s="22">
        <f>IFERROR(INDEX(Tariffe!$B$2:$B$200,MATCH(E130,Tariffe!$A$2:$A$200,0)),"DA DEFINIRE")</f>
        <v/>
      </c>
      <c r="G130" s="12" t="n">
        <v>15</v>
      </c>
      <c r="H130" s="11" t="n">
        <v>1</v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H130*O130</f>
        <v/>
      </c>
    </row>
  </sheetData>
  <autoFilter ref="A1:P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1055</v>
      </c>
      <c r="C652" s="11" t="n">
        <v>3187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1055</v>
      </c>
      <c r="C653" s="15" t="n">
        <v>3187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1061</v>
      </c>
      <c r="C654" s="11" t="n">
        <v>3207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1067</v>
      </c>
      <c r="C655" s="15" t="n">
        <v>3227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1072</v>
      </c>
      <c r="C656" s="11" t="n">
        <v>3248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1086</v>
      </c>
      <c r="C657" s="15" t="n">
        <v>3297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1097</v>
      </c>
      <c r="C658" s="11" t="n">
        <v>3324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1097</v>
      </c>
      <c r="C659" s="15" t="n">
        <v>3324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1112</v>
      </c>
      <c r="C660" s="11" t="n">
        <v>3373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1113</v>
      </c>
      <c r="C661" s="15" t="n">
        <v>3377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1116</v>
      </c>
      <c r="C662" s="11" t="n">
        <v>3385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1143</v>
      </c>
      <c r="C663" s="15" t="n">
        <v>3475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</sheetData>
  <autoFilter ref="A1:G66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</sheetData>
  <autoFilter ref="A1:K87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194</v>
      </c>
      <c r="M10" s="11" t="n">
        <v>621</v>
      </c>
      <c r="N10" s="12" t="n">
        <v>7452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117</v>
      </c>
      <c r="C24" s="11" t="n">
        <v>372</v>
      </c>
      <c r="D24" s="12" t="n">
        <v>4464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2026-10-25T14:05:10Z</dcterms:created>
  <dcterms:modified xsi:type="dcterms:W3CDTF">2026-10-25T14:05:11Z</dcterms:modified>
</cp:coreProperties>
</file>