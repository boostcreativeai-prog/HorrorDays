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'Vendite'!$A$1:$P$34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'Storico'!$A$1:$G$56</definedName>
    <definedName name="_xlnm._FilterDatabase" localSheetId="8" hidden="1">'Registro vendite'!$A$1:$K$48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'Storico'!$H$2:$H$56</f>
            </numRef>
          </cat>
          <val>
            <numRef>
              <f>'Storico'!$C$2:$C$56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vendite'!$A$4:$A$5</f>
            </numRef>
          </cat>
          <val>
            <numRef>
              <f>'Picchi vendite'!$B$4:$B$5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MAX(Storico!A2:A56)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100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100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100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100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100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100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100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100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100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100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100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100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100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100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100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100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100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100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100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100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100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100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100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100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100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100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100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100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100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100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100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100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100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100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100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2</v>
      </c>
      <c r="I2" s="11" t="n">
        <v>0</v>
      </c>
      <c r="J2" s="12" t="n">
        <v>48</v>
      </c>
      <c r="K2" s="12" t="n">
        <v>0</v>
      </c>
      <c r="L2" s="12" t="n">
        <v>43.64</v>
      </c>
      <c r="M2" s="12" t="n">
        <v>4.36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3</v>
      </c>
      <c r="I3" s="15" t="n">
        <v>0</v>
      </c>
      <c r="J3" s="16" t="n">
        <v>144</v>
      </c>
      <c r="K3" s="16" t="n">
        <v>0</v>
      </c>
      <c r="L3" s="16" t="n">
        <v>130.92</v>
      </c>
      <c r="M3" s="16" t="n">
        <v>13.08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I8</t>
        </is>
      </c>
      <c r="F4" s="22">
        <f>IFERROR(INDEX(Tariffe!$B$2:$B$200,MATCH(E4,Tariffe!$A$2:$A$200,0)),"DA DEFINIRE")</f>
        <v/>
      </c>
      <c r="G4" s="12" t="n">
        <v>24</v>
      </c>
      <c r="H4" s="11" t="n">
        <v>3</v>
      </c>
      <c r="I4" s="11" t="n">
        <v>0</v>
      </c>
      <c r="J4" s="12" t="n">
        <v>72</v>
      </c>
      <c r="K4" s="12" t="n">
        <v>0</v>
      </c>
      <c r="L4" s="12" t="n">
        <v>65.45999999999999</v>
      </c>
      <c r="M4" s="12" t="n">
        <v>6.54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20261023_2215</t>
        </is>
      </c>
      <c r="B5" s="13" t="n">
        <v>46318</v>
      </c>
      <c r="C5" s="14" t="n">
        <v>0.9270833333333334</v>
      </c>
      <c r="D5" s="23" t="inlineStr">
        <is>
          <t>UN Unico</t>
        </is>
      </c>
      <c r="E5" s="23" t="inlineStr">
        <is>
          <t>I1</t>
        </is>
      </c>
      <c r="F5" s="23">
        <f>IFERROR(INDEX(Tariffe!$B$2:$B$200,MATCH(E5,Tariffe!$A$2:$A$200,0)),"DA DEFINIRE")</f>
        <v/>
      </c>
      <c r="G5" s="16" t="n">
        <v>48</v>
      </c>
      <c r="H5" s="15" t="n">
        <v>2</v>
      </c>
      <c r="I5" s="15" t="n">
        <v>0</v>
      </c>
      <c r="J5" s="16" t="n">
        <v>96</v>
      </c>
      <c r="K5" s="16" t="n">
        <v>0</v>
      </c>
      <c r="L5" s="16" t="n">
        <v>87.28</v>
      </c>
      <c r="M5" s="16" t="n">
        <v>8.720000000000001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20261023_2215</t>
        </is>
      </c>
      <c r="B6" s="9" t="n">
        <v>46318</v>
      </c>
      <c r="C6" s="10" t="n">
        <v>0.9270833333333334</v>
      </c>
      <c r="D6" s="22" t="inlineStr">
        <is>
          <t>UN Unico</t>
        </is>
      </c>
      <c r="E6" s="22" t="inlineStr">
        <is>
          <t>I2</t>
        </is>
      </c>
      <c r="F6" s="22">
        <f>IFERROR(INDEX(Tariffe!$B$2:$B$200,MATCH(E6,Tariffe!$A$2:$A$200,0)),"DA DEFINIRE")</f>
        <v/>
      </c>
      <c r="G6" s="12" t="n">
        <v>36</v>
      </c>
      <c r="H6" s="11" t="n">
        <v>1</v>
      </c>
      <c r="I6" s="11" t="n">
        <v>0</v>
      </c>
      <c r="J6" s="12" t="n">
        <v>36</v>
      </c>
      <c r="K6" s="12" t="n">
        <v>0</v>
      </c>
      <c r="L6" s="12" t="n">
        <v>32.73</v>
      </c>
      <c r="M6" s="12" t="n">
        <v>3.27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I8</t>
        </is>
      </c>
      <c r="F7" s="23">
        <f>IFERROR(INDEX(Tariffe!$B$2:$B$200,MATCH(E7,Tariffe!$A$2:$A$200,0)),"DA DEFINIRE")</f>
        <v/>
      </c>
      <c r="G7" s="16" t="n">
        <v>24</v>
      </c>
      <c r="H7" s="15" t="n">
        <v>1</v>
      </c>
      <c r="I7" s="15" t="n">
        <v>0</v>
      </c>
      <c r="J7" s="16" t="n">
        <v>24</v>
      </c>
      <c r="K7" s="16" t="n">
        <v>0</v>
      </c>
      <c r="L7" s="16" t="n">
        <v>21.82</v>
      </c>
      <c r="M7" s="16" t="n">
        <v>2.18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20261023_2315</t>
        </is>
      </c>
      <c r="B8" s="9" t="n">
        <v>46318</v>
      </c>
      <c r="C8" s="10" t="n">
        <v>0.96875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1</v>
      </c>
      <c r="I8" s="11" t="n">
        <v>0</v>
      </c>
      <c r="J8" s="12" t="n">
        <v>36</v>
      </c>
      <c r="K8" s="12" t="n">
        <v>0</v>
      </c>
      <c r="L8" s="12" t="n">
        <v>32.73</v>
      </c>
      <c r="M8" s="12" t="n">
        <v>3.27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20261023_2315</t>
        </is>
      </c>
      <c r="B9" s="13" t="n">
        <v>46318</v>
      </c>
      <c r="C9" s="14" t="n">
        <v>0.96875</v>
      </c>
      <c r="D9" s="23" t="inlineStr">
        <is>
          <t>UN Unico</t>
        </is>
      </c>
      <c r="E9" s="23" t="inlineStr">
        <is>
          <t>I5</t>
        </is>
      </c>
      <c r="F9" s="23">
        <f>IFERROR(INDEX(Tariffe!$B$2:$B$200,MATCH(E9,Tariffe!$A$2:$A$200,0)),"DA DEFINIRE")</f>
        <v/>
      </c>
      <c r="G9" s="16" t="n">
        <v>60</v>
      </c>
      <c r="H9" s="15" t="n">
        <v>1</v>
      </c>
      <c r="I9" s="15" t="n">
        <v>0</v>
      </c>
      <c r="J9" s="16" t="n">
        <v>60</v>
      </c>
      <c r="K9" s="16" t="n">
        <v>0</v>
      </c>
      <c r="L9" s="16" t="n">
        <v>54.55</v>
      </c>
      <c r="M9" s="16" t="n">
        <v>5.45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20261023_2315</t>
        </is>
      </c>
      <c r="B10" s="9" t="n">
        <v>46318</v>
      </c>
      <c r="C10" s="10" t="n">
        <v>0.96875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3</v>
      </c>
      <c r="I10" s="11" t="n">
        <v>0</v>
      </c>
      <c r="J10" s="12" t="n">
        <v>72</v>
      </c>
      <c r="K10" s="12" t="n">
        <v>0</v>
      </c>
      <c r="L10" s="12" t="n">
        <v>65.45999999999999</v>
      </c>
      <c r="M10" s="12" t="n">
        <v>6.54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20261023_2358</t>
        </is>
      </c>
      <c r="B11" s="13" t="n">
        <v>46318</v>
      </c>
      <c r="C11" s="14" t="n">
        <v>0.9986111111111111</v>
      </c>
      <c r="D11" s="23" t="inlineStr">
        <is>
          <t>UN Unico</t>
        </is>
      </c>
      <c r="E11" s="23" t="inlineStr">
        <is>
          <t>I1</t>
        </is>
      </c>
      <c r="F11" s="23">
        <f>IFERROR(INDEX(Tariffe!$B$2:$B$200,MATCH(E11,Tariffe!$A$2:$A$200,0)),"DA DEFINIRE")</f>
        <v/>
      </c>
      <c r="G11" s="16" t="n">
        <v>48</v>
      </c>
      <c r="H11" s="15" t="n">
        <v>1</v>
      </c>
      <c r="I11" s="15" t="n">
        <v>0</v>
      </c>
      <c r="J11" s="16" t="n">
        <v>48</v>
      </c>
      <c r="K11" s="16" t="n">
        <v>0</v>
      </c>
      <c r="L11" s="16" t="n">
        <v>43.64</v>
      </c>
      <c r="M11" s="16" t="n">
        <v>4.36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20261023_2358</t>
        </is>
      </c>
      <c r="B12" s="9" t="n">
        <v>46318</v>
      </c>
      <c r="C12" s="10" t="n">
        <v>0.9986111111111111</v>
      </c>
      <c r="D12" s="22" t="inlineStr">
        <is>
          <t>UN Unico</t>
        </is>
      </c>
      <c r="E12" s="22" t="inlineStr">
        <is>
          <t>I8</t>
        </is>
      </c>
      <c r="F12" s="22">
        <f>IFERROR(INDEX(Tariffe!$B$2:$B$200,MATCH(E12,Tariffe!$A$2:$A$200,0)),"DA DEFINIRE")</f>
        <v/>
      </c>
      <c r="G12" s="12" t="n">
        <v>24</v>
      </c>
      <c r="H12" s="11" t="n">
        <v>2</v>
      </c>
      <c r="I12" s="11" t="n">
        <v>0</v>
      </c>
      <c r="J12" s="12" t="n">
        <v>48</v>
      </c>
      <c r="K12" s="12" t="n">
        <v>0</v>
      </c>
      <c r="L12" s="12" t="n">
        <v>43.64</v>
      </c>
      <c r="M12" s="12" t="n">
        <v>4.36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20261024_2115</t>
        </is>
      </c>
      <c r="B13" s="13" t="n">
        <v>46319</v>
      </c>
      <c r="C13" s="14" t="n">
        <v>0.8854166666666666</v>
      </c>
      <c r="D13" s="23" t="inlineStr">
        <is>
          <t>UN Unico</t>
        </is>
      </c>
      <c r="E13" s="23" t="inlineStr">
        <is>
          <t>I5</t>
        </is>
      </c>
      <c r="F13" s="23">
        <f>IFERROR(INDEX(Tariffe!$B$2:$B$200,MATCH(E13,Tariffe!$A$2:$A$200,0)),"DA DEFINIRE")</f>
        <v/>
      </c>
      <c r="G13" s="16" t="n">
        <v>60</v>
      </c>
      <c r="H13" s="15" t="n">
        <v>1</v>
      </c>
      <c r="I13" s="15" t="n">
        <v>0</v>
      </c>
      <c r="J13" s="16" t="n">
        <v>60</v>
      </c>
      <c r="K13" s="16" t="n">
        <v>0</v>
      </c>
      <c r="L13" s="16" t="n">
        <v>54.55</v>
      </c>
      <c r="M13" s="16" t="n">
        <v>5.45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20261024_2115</t>
        </is>
      </c>
      <c r="B14" s="9" t="n">
        <v>46319</v>
      </c>
      <c r="C14" s="10" t="n">
        <v>0.8854166666666666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2</v>
      </c>
      <c r="I14" s="11" t="n">
        <v>0</v>
      </c>
      <c r="J14" s="12" t="n">
        <v>48</v>
      </c>
      <c r="K14" s="12" t="n">
        <v>0</v>
      </c>
      <c r="L14" s="12" t="n">
        <v>43.64</v>
      </c>
      <c r="M14" s="12" t="n">
        <v>4.36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20261024_2215</t>
        </is>
      </c>
      <c r="B15" s="13" t="n">
        <v>46319</v>
      </c>
      <c r="C15" s="14" t="n">
        <v>0.9270833333333334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2</v>
      </c>
      <c r="I15" s="15" t="n">
        <v>0</v>
      </c>
      <c r="J15" s="16" t="n">
        <v>96</v>
      </c>
      <c r="K15" s="16" t="n">
        <v>0</v>
      </c>
      <c r="L15" s="16" t="n">
        <v>87.28</v>
      </c>
      <c r="M15" s="16" t="n">
        <v>8.720000000000001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20261024_2215</t>
        </is>
      </c>
      <c r="B16" s="9" t="n">
        <v>46319</v>
      </c>
      <c r="C16" s="10" t="n">
        <v>0.9270833333333334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3</v>
      </c>
      <c r="I16" s="11" t="n">
        <v>0</v>
      </c>
      <c r="J16" s="12" t="n">
        <v>72</v>
      </c>
      <c r="K16" s="12" t="n">
        <v>0</v>
      </c>
      <c r="L16" s="12" t="n">
        <v>65.45999999999999</v>
      </c>
      <c r="M16" s="12" t="n">
        <v>6.54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20261024_2315</t>
        </is>
      </c>
      <c r="B17" s="13" t="n">
        <v>46319</v>
      </c>
      <c r="C17" s="14" t="n">
        <v>0.96875</v>
      </c>
      <c r="D17" s="23" t="inlineStr">
        <is>
          <t>UN Unico</t>
        </is>
      </c>
      <c r="E17" s="23" t="inlineStr">
        <is>
          <t>I2</t>
        </is>
      </c>
      <c r="F17" s="23">
        <f>IFERROR(INDEX(Tariffe!$B$2:$B$200,MATCH(E17,Tariffe!$A$2:$A$200,0)),"DA DEFINIRE")</f>
        <v/>
      </c>
      <c r="G17" s="16" t="n">
        <v>36</v>
      </c>
      <c r="H17" s="15" t="n">
        <v>1</v>
      </c>
      <c r="I17" s="15" t="n">
        <v>0</v>
      </c>
      <c r="J17" s="16" t="n">
        <v>36</v>
      </c>
      <c r="K17" s="16" t="n">
        <v>0</v>
      </c>
      <c r="L17" s="16" t="n">
        <v>32.73</v>
      </c>
      <c r="M17" s="16" t="n">
        <v>3.27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20261024_2315</t>
        </is>
      </c>
      <c r="B18" s="9" t="n">
        <v>46319</v>
      </c>
      <c r="C18" s="10" t="n">
        <v>0.96875</v>
      </c>
      <c r="D18" s="22" t="inlineStr">
        <is>
          <t>UN Unico</t>
        </is>
      </c>
      <c r="E18" s="22" t="inlineStr">
        <is>
          <t>I8</t>
        </is>
      </c>
      <c r="F18" s="22">
        <f>IFERROR(INDEX(Tariffe!$B$2:$B$200,MATCH(E18,Tariffe!$A$2:$A$200,0)),"DA DEFINIRE")</f>
        <v/>
      </c>
      <c r="G18" s="12" t="n">
        <v>24</v>
      </c>
      <c r="H18" s="11" t="n">
        <v>2</v>
      </c>
      <c r="I18" s="11" t="n">
        <v>0</v>
      </c>
      <c r="J18" s="12" t="n">
        <v>48</v>
      </c>
      <c r="K18" s="12" t="n">
        <v>0</v>
      </c>
      <c r="L18" s="12" t="n">
        <v>43.64</v>
      </c>
      <c r="M18" s="12" t="n">
        <v>4.36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20261024_2359</t>
        </is>
      </c>
      <c r="B19" s="13" t="n">
        <v>46319</v>
      </c>
      <c r="C19" s="14" t="n">
        <v>0.9993055555555556</v>
      </c>
      <c r="D19" s="23" t="inlineStr">
        <is>
          <t>UN Unico</t>
        </is>
      </c>
      <c r="E19" s="23" t="inlineStr">
        <is>
          <t>I1</t>
        </is>
      </c>
      <c r="F19" s="23">
        <f>IFERROR(INDEX(Tariffe!$B$2:$B$200,MATCH(E19,Tariffe!$A$2:$A$200,0)),"DA DEFINIRE")</f>
        <v/>
      </c>
      <c r="G19" s="16" t="n">
        <v>48</v>
      </c>
      <c r="H19" s="15" t="n">
        <v>1</v>
      </c>
      <c r="I19" s="15" t="n">
        <v>0</v>
      </c>
      <c r="J19" s="16" t="n">
        <v>48</v>
      </c>
      <c r="K19" s="16" t="n">
        <v>0</v>
      </c>
      <c r="L19" s="16" t="n">
        <v>43.64</v>
      </c>
      <c r="M19" s="16" t="n">
        <v>4.36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20261024_2359</t>
        </is>
      </c>
      <c r="B20" s="9" t="n">
        <v>46319</v>
      </c>
      <c r="C20" s="10" t="n">
        <v>0.9993055555555556</v>
      </c>
      <c r="D20" s="22" t="inlineStr">
        <is>
          <t>UN Unico</t>
        </is>
      </c>
      <c r="E20" s="22" t="inlineStr">
        <is>
          <t>I8</t>
        </is>
      </c>
      <c r="F20" s="22">
        <f>IFERROR(INDEX(Tariffe!$B$2:$B$200,MATCH(E20,Tariffe!$A$2:$A$200,0)),"DA DEFINIRE")</f>
        <v/>
      </c>
      <c r="G20" s="12" t="n">
        <v>24</v>
      </c>
      <c r="H20" s="11" t="n">
        <v>2</v>
      </c>
      <c r="I20" s="11" t="n">
        <v>0</v>
      </c>
      <c r="J20" s="12" t="n">
        <v>48</v>
      </c>
      <c r="K20" s="12" t="n">
        <v>0</v>
      </c>
      <c r="L20" s="12" t="n">
        <v>43.64</v>
      </c>
      <c r="M20" s="12" t="n">
        <v>4.36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20261025_2015</t>
        </is>
      </c>
      <c r="B21" s="13" t="n">
        <v>46320</v>
      </c>
      <c r="C21" s="14" t="n">
        <v>0.84375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1</v>
      </c>
      <c r="I21" s="15" t="n">
        <v>0</v>
      </c>
      <c r="J21" s="16" t="n">
        <v>24</v>
      </c>
      <c r="K21" s="16" t="n">
        <v>0</v>
      </c>
      <c r="L21" s="16" t="n">
        <v>21.82</v>
      </c>
      <c r="M21" s="16" t="n">
        <v>2.18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20261025_2115</t>
        </is>
      </c>
      <c r="B22" s="9" t="n">
        <v>46320</v>
      </c>
      <c r="C22" s="10" t="n">
        <v>0.8854166666666666</v>
      </c>
      <c r="D22" s="22" t="inlineStr">
        <is>
          <t>UN Unico</t>
        </is>
      </c>
      <c r="E22" s="22" t="inlineStr">
        <is>
          <t>I8</t>
        </is>
      </c>
      <c r="F22" s="22">
        <f>IFERROR(INDEX(Tariffe!$B$2:$B$200,MATCH(E22,Tariffe!$A$2:$A$200,0)),"DA DEFINIRE")</f>
        <v/>
      </c>
      <c r="G22" s="12" t="n">
        <v>24</v>
      </c>
      <c r="H22" s="11" t="n">
        <v>1</v>
      </c>
      <c r="I22" s="11" t="n">
        <v>0</v>
      </c>
      <c r="J22" s="12" t="n">
        <v>24</v>
      </c>
      <c r="K22" s="12" t="n">
        <v>0</v>
      </c>
      <c r="L22" s="12" t="n">
        <v>21.82</v>
      </c>
      <c r="M22" s="12" t="n">
        <v>2.18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20261025_2215</t>
        </is>
      </c>
      <c r="B23" s="13" t="n">
        <v>46320</v>
      </c>
      <c r="C23" s="14" t="n">
        <v>0.9270833333333334</v>
      </c>
      <c r="D23" s="23" t="inlineStr">
        <is>
          <t>UN Unico</t>
        </is>
      </c>
      <c r="E23" s="23" t="inlineStr">
        <is>
          <t>I8</t>
        </is>
      </c>
      <c r="F23" s="23">
        <f>IFERROR(INDEX(Tariffe!$B$2:$B$200,MATCH(E23,Tariffe!$A$2:$A$200,0)),"DA DEFINIRE")</f>
        <v/>
      </c>
      <c r="G23" s="16" t="n">
        <v>24</v>
      </c>
      <c r="H23" s="15" t="n">
        <v>1</v>
      </c>
      <c r="I23" s="15" t="n">
        <v>0</v>
      </c>
      <c r="J23" s="16" t="n">
        <v>24</v>
      </c>
      <c r="K23" s="16" t="n">
        <v>0</v>
      </c>
      <c r="L23" s="16" t="n">
        <v>21.82</v>
      </c>
      <c r="M23" s="16" t="n">
        <v>2.18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20261029_2015</t>
        </is>
      </c>
      <c r="B24" s="9" t="n">
        <v>46324</v>
      </c>
      <c r="C24" s="10" t="n">
        <v>0.84375</v>
      </c>
      <c r="D24" s="22" t="inlineStr">
        <is>
          <t>UN Unico</t>
        </is>
      </c>
      <c r="E24" s="22" t="inlineStr">
        <is>
          <t>I1</t>
        </is>
      </c>
      <c r="F24" s="22">
        <f>IFERROR(INDEX(Tariffe!$B$2:$B$200,MATCH(E24,Tariffe!$A$2:$A$200,0)),"DA DEFINIRE")</f>
        <v/>
      </c>
      <c r="G24" s="12" t="n">
        <v>48</v>
      </c>
      <c r="H24" s="11" t="n">
        <v>1</v>
      </c>
      <c r="I24" s="11" t="n">
        <v>0</v>
      </c>
      <c r="J24" s="12" t="n">
        <v>48</v>
      </c>
      <c r="K24" s="12" t="n">
        <v>0</v>
      </c>
      <c r="L24" s="12" t="n">
        <v>43.64</v>
      </c>
      <c r="M24" s="12" t="n">
        <v>4.36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20261029_2215</t>
        </is>
      </c>
      <c r="B25" s="13" t="n">
        <v>46324</v>
      </c>
      <c r="C25" s="14" t="n">
        <v>0.9270833333333334</v>
      </c>
      <c r="D25" s="23" t="inlineStr">
        <is>
          <t>UN Unico</t>
        </is>
      </c>
      <c r="E25" s="23" t="inlineStr">
        <is>
          <t>I1</t>
        </is>
      </c>
      <c r="F25" s="23">
        <f>IFERROR(INDEX(Tariffe!$B$2:$B$200,MATCH(E25,Tariffe!$A$2:$A$200,0)),"DA DEFINIRE")</f>
        <v/>
      </c>
      <c r="G25" s="16" t="n">
        <v>48</v>
      </c>
      <c r="H25" s="15" t="n">
        <v>2</v>
      </c>
      <c r="I25" s="15" t="n">
        <v>0</v>
      </c>
      <c r="J25" s="16" t="n">
        <v>96</v>
      </c>
      <c r="K25" s="16" t="n">
        <v>0</v>
      </c>
      <c r="L25" s="16" t="n">
        <v>87.28</v>
      </c>
      <c r="M25" s="16" t="n">
        <v>8.720000000000001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20261029_2215</t>
        </is>
      </c>
      <c r="B26" s="9" t="n">
        <v>46324</v>
      </c>
      <c r="C26" s="10" t="n">
        <v>0.9270833333333334</v>
      </c>
      <c r="D26" s="22" t="inlineStr">
        <is>
          <t>UN Unico</t>
        </is>
      </c>
      <c r="E26" s="22" t="inlineStr">
        <is>
          <t>I2</t>
        </is>
      </c>
      <c r="F26" s="22">
        <f>IFERROR(INDEX(Tariffe!$B$2:$B$200,MATCH(E26,Tariffe!$A$2:$A$200,0)),"DA DEFINIRE")</f>
        <v/>
      </c>
      <c r="G26" s="12" t="n">
        <v>36</v>
      </c>
      <c r="H26" s="11" t="n">
        <v>1</v>
      </c>
      <c r="I26" s="11" t="n">
        <v>0</v>
      </c>
      <c r="J26" s="12" t="n">
        <v>36</v>
      </c>
      <c r="K26" s="12" t="n">
        <v>0</v>
      </c>
      <c r="L26" s="12" t="n">
        <v>32.73</v>
      </c>
      <c r="M26" s="12" t="n">
        <v>3.27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20261029_2215</t>
        </is>
      </c>
      <c r="B27" s="13" t="n">
        <v>46324</v>
      </c>
      <c r="C27" s="14" t="n">
        <v>0.9270833333333334</v>
      </c>
      <c r="D27" s="23" t="inlineStr">
        <is>
          <t>UN Unico</t>
        </is>
      </c>
      <c r="E27" s="23" t="inlineStr">
        <is>
          <t>I8</t>
        </is>
      </c>
      <c r="F27" s="23">
        <f>IFERROR(INDEX(Tariffe!$B$2:$B$200,MATCH(E27,Tariffe!$A$2:$A$200,0)),"DA DEFINIRE")</f>
        <v/>
      </c>
      <c r="G27" s="16" t="n">
        <v>24</v>
      </c>
      <c r="H27" s="15" t="n">
        <v>2</v>
      </c>
      <c r="I27" s="15" t="n">
        <v>0</v>
      </c>
      <c r="J27" s="16" t="n">
        <v>48</v>
      </c>
      <c r="K27" s="16" t="n">
        <v>0</v>
      </c>
      <c r="L27" s="16" t="n">
        <v>43.64</v>
      </c>
      <c r="M27" s="16" t="n">
        <v>4.36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20261029_2359</t>
        </is>
      </c>
      <c r="B28" s="9" t="n">
        <v>46324</v>
      </c>
      <c r="C28" s="10" t="n">
        <v>0.9993055555555556</v>
      </c>
      <c r="D28" s="22" t="inlineStr">
        <is>
          <t>UN Unico</t>
        </is>
      </c>
      <c r="E28" s="22" t="inlineStr">
        <is>
          <t>I8</t>
        </is>
      </c>
      <c r="F28" s="22">
        <f>IFERROR(INDEX(Tariffe!$B$2:$B$200,MATCH(E28,Tariffe!$A$2:$A$200,0)),"DA DEFINIRE")</f>
        <v/>
      </c>
      <c r="G28" s="12" t="n">
        <v>24</v>
      </c>
      <c r="H28" s="11" t="n">
        <v>1</v>
      </c>
      <c r="I28" s="11" t="n">
        <v>0</v>
      </c>
      <c r="J28" s="12" t="n">
        <v>24</v>
      </c>
      <c r="K28" s="12" t="n">
        <v>0</v>
      </c>
      <c r="L28" s="12" t="n">
        <v>21.82</v>
      </c>
      <c r="M28" s="12" t="n">
        <v>2.18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20261030_2215</t>
        </is>
      </c>
      <c r="B29" s="13" t="n">
        <v>46325</v>
      </c>
      <c r="C29" s="14" t="n">
        <v>0.9270833333333334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</v>
      </c>
      <c r="I29" s="15" t="n">
        <v>0</v>
      </c>
      <c r="J29" s="16" t="n">
        <v>24</v>
      </c>
      <c r="K29" s="16" t="n">
        <v>0</v>
      </c>
      <c r="L29" s="16" t="n">
        <v>21.82</v>
      </c>
      <c r="M29" s="16" t="n">
        <v>2.18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20261030_2315</t>
        </is>
      </c>
      <c r="B30" s="9" t="n">
        <v>46325</v>
      </c>
      <c r="C30" s="10" t="n">
        <v>0.96875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2</v>
      </c>
      <c r="I30" s="11" t="n">
        <v>0</v>
      </c>
      <c r="J30" s="12" t="n">
        <v>96</v>
      </c>
      <c r="K30" s="12" t="n">
        <v>0</v>
      </c>
      <c r="L30" s="12" t="n">
        <v>87.28</v>
      </c>
      <c r="M30" s="12" t="n">
        <v>8.720000000000001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20261030_2359</t>
        </is>
      </c>
      <c r="B31" s="13" t="n">
        <v>46325</v>
      </c>
      <c r="C31" s="14" t="n">
        <v>0.9993055555555556</v>
      </c>
      <c r="D31" s="23" t="inlineStr">
        <is>
          <t>UN Unico</t>
        </is>
      </c>
      <c r="E31" s="23" t="inlineStr">
        <is>
          <t>I8</t>
        </is>
      </c>
      <c r="F31" s="23">
        <f>IFERROR(INDEX(Tariffe!$B$2:$B$200,MATCH(E31,Tariffe!$A$2:$A$200,0)),"DA DEFINIRE")</f>
        <v/>
      </c>
      <c r="G31" s="16" t="n">
        <v>24</v>
      </c>
      <c r="H31" s="15" t="n">
        <v>1</v>
      </c>
      <c r="I31" s="15" t="n">
        <v>0</v>
      </c>
      <c r="J31" s="16" t="n">
        <v>24</v>
      </c>
      <c r="K31" s="16" t="n">
        <v>0</v>
      </c>
      <c r="L31" s="16" t="n">
        <v>21.82</v>
      </c>
      <c r="M31" s="16" t="n">
        <v>2.18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20261031_2315</t>
        </is>
      </c>
      <c r="B32" s="9" t="n">
        <v>46326</v>
      </c>
      <c r="C32" s="10" t="n">
        <v>0.96875</v>
      </c>
      <c r="D32" s="22" t="inlineStr">
        <is>
          <t>UN Unico</t>
        </is>
      </c>
      <c r="E32" s="22" t="inlineStr">
        <is>
          <t>I1</t>
        </is>
      </c>
      <c r="F32" s="22">
        <f>IFERROR(INDEX(Tariffe!$B$2:$B$200,MATCH(E32,Tariffe!$A$2:$A$200,0)),"DA DEFINIRE")</f>
        <v/>
      </c>
      <c r="G32" s="12" t="n">
        <v>48</v>
      </c>
      <c r="H32" s="11" t="n">
        <v>1</v>
      </c>
      <c r="I32" s="11" t="n">
        <v>0</v>
      </c>
      <c r="J32" s="12" t="n">
        <v>48</v>
      </c>
      <c r="K32" s="12" t="n">
        <v>0</v>
      </c>
      <c r="L32" s="12" t="n">
        <v>43.64</v>
      </c>
      <c r="M32" s="12" t="n">
        <v>4.36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20261031_2315</t>
        </is>
      </c>
      <c r="B33" s="13" t="n">
        <v>46326</v>
      </c>
      <c r="C33" s="14" t="n">
        <v>0.96875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1</v>
      </c>
      <c r="I33" s="15" t="n">
        <v>0</v>
      </c>
      <c r="J33" s="16" t="n">
        <v>24</v>
      </c>
      <c r="K33" s="16" t="n">
        <v>0</v>
      </c>
      <c r="L33" s="16" t="n">
        <v>21.82</v>
      </c>
      <c r="M33" s="16" t="n">
        <v>2.18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20261031_2359</t>
        </is>
      </c>
      <c r="B34" s="9" t="n">
        <v>46326</v>
      </c>
      <c r="C34" s="10" t="n">
        <v>0.9993055555555556</v>
      </c>
      <c r="D34" s="22" t="inlineStr">
        <is>
          <t>UN Unico</t>
        </is>
      </c>
      <c r="E34" s="22" t="inlineStr">
        <is>
          <t>I8</t>
        </is>
      </c>
      <c r="F34" s="22">
        <f>IFERROR(INDEX(Tariffe!$B$2:$B$200,MATCH(E34,Tariffe!$A$2:$A$200,0)),"DA DEFINIRE")</f>
        <v/>
      </c>
      <c r="G34" s="12" t="n">
        <v>24</v>
      </c>
      <c r="H34" s="11" t="n">
        <v>1</v>
      </c>
      <c r="I34" s="11" t="n">
        <v>0</v>
      </c>
      <c r="J34" s="12" t="n">
        <v>24</v>
      </c>
      <c r="K34" s="12" t="n">
        <v>0</v>
      </c>
      <c r="L34" s="12" t="n">
        <v>21.82</v>
      </c>
      <c r="M34" s="12" t="n">
        <v>2.18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</sheetData>
  <autoFilter ref="A1:P3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</sheetData>
  <autoFilter ref="A1:G5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</sheetData>
  <autoFilter ref="A1:K48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0</v>
      </c>
      <c r="H4" s="11" t="n">
        <v>0</v>
      </c>
      <c r="I4" s="12" t="n">
        <v>0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25</v>
      </c>
      <c r="C5" s="11" t="n">
        <v>73</v>
      </c>
      <c r="D5" s="12" t="n">
        <v>876</v>
      </c>
      <c r="F5" s="38" t="inlineStr">
        <is>
          <t>01:00-02:00</t>
        </is>
      </c>
      <c r="G5" s="11" t="n">
        <v>0</v>
      </c>
      <c r="H5" s="11" t="n">
        <v>0</v>
      </c>
      <c r="I5" s="12" t="n">
        <v>0</v>
      </c>
      <c r="K5" s="38" t="inlineStr">
        <is>
          <t>Martedì</t>
        </is>
      </c>
      <c r="L5" s="11" t="n">
        <v>25</v>
      </c>
      <c r="M5" s="11" t="n">
        <v>73</v>
      </c>
      <c r="N5" s="12" t="n">
        <v>876</v>
      </c>
    </row>
    <row r="6"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0</v>
      </c>
      <c r="M6" s="11" t="n">
        <v>0</v>
      </c>
      <c r="N6" s="12" t="n">
        <v>0</v>
      </c>
    </row>
    <row r="7"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0</v>
      </c>
      <c r="M7" s="11" t="n">
        <v>0</v>
      </c>
      <c r="N7" s="12" t="n">
        <v>0</v>
      </c>
    </row>
    <row r="8"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0</v>
      </c>
      <c r="M8" s="11" t="n">
        <v>0</v>
      </c>
      <c r="N8" s="12" t="n">
        <v>0</v>
      </c>
    </row>
    <row r="9"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0</v>
      </c>
      <c r="M9" s="11" t="n">
        <v>0</v>
      </c>
      <c r="N9" s="12" t="n">
        <v>0</v>
      </c>
    </row>
    <row r="10">
      <c r="F10" s="38" t="inlineStr">
        <is>
          <t>06:00-07:00</t>
        </is>
      </c>
      <c r="G10" s="11" t="n">
        <v>0</v>
      </c>
      <c r="H10" s="11" t="n">
        <v>0</v>
      </c>
      <c r="I10" s="12" t="n">
        <v>0</v>
      </c>
      <c r="K10" s="38" t="inlineStr">
        <is>
          <t>Domenica</t>
        </is>
      </c>
      <c r="L10" s="11" t="n">
        <v>0</v>
      </c>
      <c r="M10" s="11" t="n">
        <v>0</v>
      </c>
      <c r="N10" s="12" t="n">
        <v>0</v>
      </c>
    </row>
    <row r="11">
      <c r="F11" s="38" t="inlineStr">
        <is>
          <t>07:00-08:00</t>
        </is>
      </c>
      <c r="G11" s="11" t="n">
        <v>0</v>
      </c>
      <c r="H11" s="11" t="n">
        <v>0</v>
      </c>
      <c r="I11" s="12" t="n">
        <v>0</v>
      </c>
    </row>
    <row r="12">
      <c r="F12" s="38" t="inlineStr">
        <is>
          <t>08:00-09:00</t>
        </is>
      </c>
      <c r="G12" s="11" t="n">
        <v>1</v>
      </c>
      <c r="H12" s="11" t="n">
        <v>3</v>
      </c>
      <c r="I12" s="12" t="n">
        <v>36</v>
      </c>
    </row>
    <row r="13">
      <c r="F13" s="38" t="inlineStr">
        <is>
          <t>09:00-10:00</t>
        </is>
      </c>
      <c r="G13" s="11" t="n">
        <v>3</v>
      </c>
      <c r="H13" s="11" t="n">
        <v>7</v>
      </c>
      <c r="I13" s="12" t="n">
        <v>84</v>
      </c>
    </row>
    <row r="14">
      <c r="F14" s="38" t="inlineStr">
        <is>
          <t>10:00-11:00</t>
        </is>
      </c>
      <c r="G14" s="11" t="n">
        <v>1</v>
      </c>
      <c r="H14" s="11" t="n">
        <v>4</v>
      </c>
      <c r="I14" s="12" t="n">
        <v>48</v>
      </c>
    </row>
    <row r="15">
      <c r="F15" s="38" t="inlineStr">
        <is>
          <t>11:00-12:00</t>
        </is>
      </c>
      <c r="G15" s="11" t="n">
        <v>2</v>
      </c>
      <c r="H15" s="11" t="n">
        <v>7</v>
      </c>
      <c r="I15" s="12" t="n">
        <v>84</v>
      </c>
    </row>
    <row r="16">
      <c r="F16" s="38" t="inlineStr">
        <is>
          <t>12:00-13:00</t>
        </is>
      </c>
      <c r="G16" s="11" t="n">
        <v>0</v>
      </c>
      <c r="H16" s="11" t="n">
        <v>0</v>
      </c>
      <c r="I16" s="12" t="n">
        <v>0</v>
      </c>
    </row>
    <row r="17">
      <c r="F17" s="38" t="inlineStr">
        <is>
          <t>13:00-14:00</t>
        </is>
      </c>
      <c r="G17" s="11" t="n">
        <v>3</v>
      </c>
      <c r="H17" s="11" t="n">
        <v>7</v>
      </c>
      <c r="I17" s="12" t="n">
        <v>84</v>
      </c>
    </row>
    <row r="18">
      <c r="F18" s="38" t="inlineStr">
        <is>
          <t>14:00-15:00</t>
        </is>
      </c>
      <c r="G18" s="11" t="n">
        <v>1</v>
      </c>
      <c r="H18" s="11" t="n">
        <v>5</v>
      </c>
      <c r="I18" s="12" t="n">
        <v>60</v>
      </c>
    </row>
    <row r="19">
      <c r="F19" s="38" t="inlineStr">
        <is>
          <t>15:00-16:00</t>
        </is>
      </c>
      <c r="G19" s="11" t="n">
        <v>1</v>
      </c>
      <c r="H19" s="11" t="n">
        <v>2</v>
      </c>
      <c r="I19" s="12" t="n">
        <v>24</v>
      </c>
    </row>
    <row r="20">
      <c r="F20" s="38" t="inlineStr">
        <is>
          <t>16:00-17:00</t>
        </is>
      </c>
      <c r="G20" s="11" t="n">
        <v>6</v>
      </c>
      <c r="H20" s="11" t="n">
        <v>16</v>
      </c>
      <c r="I20" s="12" t="n">
        <v>192</v>
      </c>
    </row>
    <row r="21">
      <c r="F21" s="38" t="inlineStr">
        <is>
          <t>17:00-18:00</t>
        </is>
      </c>
      <c r="G21" s="11" t="n">
        <v>0</v>
      </c>
      <c r="H21" s="11" t="n">
        <v>0</v>
      </c>
      <c r="I21" s="12" t="n">
        <v>0</v>
      </c>
    </row>
    <row r="22">
      <c r="F22" s="38" t="inlineStr">
        <is>
          <t>18:00-19:00</t>
        </is>
      </c>
      <c r="G22" s="11" t="n">
        <v>3</v>
      </c>
      <c r="H22" s="11" t="n">
        <v>10</v>
      </c>
      <c r="I22" s="12" t="n">
        <v>120</v>
      </c>
    </row>
    <row r="23">
      <c r="F23" s="38" t="inlineStr">
        <is>
          <t>19:00-20:00</t>
        </is>
      </c>
      <c r="G23" s="11" t="n">
        <v>2</v>
      </c>
      <c r="H23" s="11" t="n">
        <v>6</v>
      </c>
      <c r="I23" s="12" t="n">
        <v>72</v>
      </c>
    </row>
    <row r="24">
      <c r="F24" s="38" t="inlineStr">
        <is>
          <t>20:00-21:00</t>
        </is>
      </c>
      <c r="G24" s="11" t="n">
        <v>4</v>
      </c>
      <c r="H24" s="11" t="n">
        <v>12</v>
      </c>
      <c r="I24" s="12" t="n">
        <v>144</v>
      </c>
    </row>
    <row r="25">
      <c r="F25" s="38" t="inlineStr">
        <is>
          <t>21:00-22:00</t>
        </is>
      </c>
      <c r="G25" s="11" t="n">
        <v>2</v>
      </c>
      <c r="H25" s="11" t="n">
        <v>6</v>
      </c>
      <c r="I25" s="12" t="n">
        <v>72</v>
      </c>
    </row>
    <row r="26">
      <c r="F26" s="38" t="inlineStr">
        <is>
          <t>22:00-23:00</t>
        </is>
      </c>
      <c r="G26" s="11" t="n">
        <v>16</v>
      </c>
      <c r="H26" s="11" t="n">
        <v>41</v>
      </c>
      <c r="I26" s="12" t="n">
        <v>492</v>
      </c>
    </row>
    <row r="27">
      <c r="F27" s="38" t="inlineStr">
        <is>
          <t>23:00-00:00</t>
        </is>
      </c>
      <c r="G27" s="11" t="n">
        <v>2</v>
      </c>
      <c r="H27" s="11" t="n">
        <v>6</v>
      </c>
      <c r="I27" s="12" t="n">
        <v>72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2026-10-06T21:20:06Z</dcterms:created>
  <dcterms:modified xsi:type="dcterms:W3CDTF">2026-10-06T21:20:06Z</dcterms:modified>
</cp:coreProperties>
</file>