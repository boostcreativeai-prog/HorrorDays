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'Storico'!$A$1:$G$202</definedName>
    <definedName name="_xlnm._FilterDatabase" localSheetId="8" hidden="1">'Registro vendite'!$A$1:$K$146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'Storico'!$H$2:$H$202</f>
            </numRef>
          </cat>
          <val>
            <numRef>
              <f>'Storico'!$C$2:$C$202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vendite'!$A$4:$A$9</f>
            </numRef>
          </cat>
          <val>
            <numRef>
              <f>'Picchi vendite'!$B$4:$B$9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MAX(Storico!A2:A202)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6</v>
      </c>
      <c r="I10" s="11" t="n">
        <v>0</v>
      </c>
      <c r="J10" s="12" t="n">
        <v>144</v>
      </c>
      <c r="K10" s="12" t="n">
        <v>0</v>
      </c>
      <c r="L10" s="12" t="n">
        <v>130.92</v>
      </c>
      <c r="M10" s="12" t="n">
        <v>13.08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4</v>
      </c>
      <c r="I22" s="11" t="n">
        <v>0</v>
      </c>
      <c r="J22" s="12" t="n">
        <v>192</v>
      </c>
      <c r="K22" s="12" t="n">
        <v>0</v>
      </c>
      <c r="L22" s="12" t="n">
        <v>174.56</v>
      </c>
      <c r="M22" s="12" t="n">
        <v>17.44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7</v>
      </c>
      <c r="I24" s="11" t="n">
        <v>0</v>
      </c>
      <c r="J24" s="12" t="n">
        <v>168</v>
      </c>
      <c r="K24" s="12" t="n">
        <v>0</v>
      </c>
      <c r="L24" s="12" t="n">
        <v>152.74</v>
      </c>
      <c r="M24" s="12" t="n">
        <v>15.26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I2</t>
        </is>
      </c>
      <c r="F32" s="22">
        <f>IFERROR(INDEX(Tariffe!$B$2:$B$200,MATCH(E32,Tariffe!$A$2:$A$200,0)),"DA DEFINIRE")</f>
        <v/>
      </c>
      <c r="G32" s="12" t="n">
        <v>36</v>
      </c>
      <c r="H32" s="11" t="n">
        <v>1</v>
      </c>
      <c r="I32" s="11" t="n">
        <v>0</v>
      </c>
      <c r="J32" s="12" t="n">
        <v>36</v>
      </c>
      <c r="K32" s="12" t="n">
        <v>0</v>
      </c>
      <c r="L32" s="12" t="n">
        <v>32.73</v>
      </c>
      <c r="M32" s="12" t="n">
        <v>3.27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</v>
      </c>
      <c r="I34" s="11" t="n">
        <v>0</v>
      </c>
      <c r="J34" s="12" t="n">
        <v>96</v>
      </c>
      <c r="K34" s="12" t="n">
        <v>0</v>
      </c>
      <c r="L34" s="12" t="n">
        <v>87.28</v>
      </c>
      <c r="M34" s="12" t="n">
        <v>8.720000000000001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20261025_2115</t>
        </is>
      </c>
      <c r="B35" s="13" t="n">
        <v>46320</v>
      </c>
      <c r="C35" s="14" t="n">
        <v>0.8854166666666666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20261025_2215</t>
        </is>
      </c>
      <c r="B36" s="9" t="n">
        <v>46320</v>
      </c>
      <c r="C36" s="10" t="n">
        <v>0.9270833333333334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2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20261025_2315</t>
        </is>
      </c>
      <c r="B37" s="13" t="n">
        <v>46320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20261025_2359</t>
        </is>
      </c>
      <c r="B38" s="9" t="n">
        <v>46320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1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20261029_2015</t>
        </is>
      </c>
      <c r="B40" s="9" t="n">
        <v>46324</v>
      </c>
      <c r="C40" s="10" t="n">
        <v>0.84375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1</v>
      </c>
      <c r="I42" s="11" t="n">
        <v>0</v>
      </c>
      <c r="J42" s="12" t="n">
        <v>36</v>
      </c>
      <c r="K42" s="12" t="n">
        <v>0</v>
      </c>
      <c r="L42" s="12" t="n">
        <v>32.73</v>
      </c>
      <c r="M42" s="12" t="n">
        <v>3.27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20261029_2215</t>
        </is>
      </c>
      <c r="B43" s="13" t="n">
        <v>46324</v>
      </c>
      <c r="C43" s="14" t="n">
        <v>0.9270833333333334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4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2</v>
      </c>
      <c r="I44" s="11" t="n">
        <v>0</v>
      </c>
      <c r="J44" s="12" t="n">
        <v>96</v>
      </c>
      <c r="K44" s="12" t="n">
        <v>0</v>
      </c>
      <c r="L44" s="12" t="n">
        <v>87.28</v>
      </c>
      <c r="M44" s="12" t="n">
        <v>8.720000000000001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20261029_2315</t>
        </is>
      </c>
      <c r="B45" s="13" t="n">
        <v>46324</v>
      </c>
      <c r="C45" s="14" t="n">
        <v>0.96875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20261029_2359</t>
        </is>
      </c>
      <c r="B46" s="9" t="n">
        <v>46324</v>
      </c>
      <c r="C46" s="10" t="n">
        <v>0.9993055555555556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20261030_2015</t>
        </is>
      </c>
      <c r="B47" s="13" t="n">
        <v>46325</v>
      </c>
      <c r="C47" s="14" t="n">
        <v>0.84375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1</v>
      </c>
      <c r="I47" s="15" t="n">
        <v>0</v>
      </c>
      <c r="J47" s="16" t="n">
        <v>48</v>
      </c>
      <c r="K47" s="16" t="n">
        <v>0</v>
      </c>
      <c r="L47" s="16" t="n">
        <v>43.64</v>
      </c>
      <c r="M47" s="16" t="n">
        <v>4.36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20261030_2115</t>
        </is>
      </c>
      <c r="B48" s="9" t="n">
        <v>46325</v>
      </c>
      <c r="C48" s="10" t="n">
        <v>0.8854166666666666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20261030_2215</t>
        </is>
      </c>
      <c r="B50" s="9" t="n">
        <v>46325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3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3</v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20261030_2315</t>
        </is>
      </c>
      <c r="B53" s="13" t="n">
        <v>46325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2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20261030_2359</t>
        </is>
      </c>
      <c r="B54" s="9" t="n">
        <v>46325</v>
      </c>
      <c r="C54" s="10" t="n">
        <v>0.9993055555555556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20261031_2015</t>
        </is>
      </c>
      <c r="B56" s="9" t="n">
        <v>46326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20261031_2115</t>
        </is>
      </c>
      <c r="B58" s="9" t="n">
        <v>46326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2</v>
      </c>
      <c r="I59" s="15" t="n">
        <v>0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20261031_2215</t>
        </is>
      </c>
      <c r="B60" s="9" t="n">
        <v>46326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2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4</v>
      </c>
      <c r="I61" s="15" t="n">
        <v>0</v>
      </c>
      <c r="J61" s="16" t="n">
        <v>192</v>
      </c>
      <c r="K61" s="16" t="n">
        <v>0</v>
      </c>
      <c r="L61" s="16" t="n">
        <v>174.56</v>
      </c>
      <c r="M61" s="16" t="n">
        <v>17.44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20261031_2315</t>
        </is>
      </c>
      <c r="B62" s="9" t="n">
        <v>46326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20261031_2359</t>
        </is>
      </c>
      <c r="B64" s="9" t="n">
        <v>46326</v>
      </c>
      <c r="C64" s="10" t="n">
        <v>0.9993055555555556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20261101_2015</t>
        </is>
      </c>
      <c r="B65" s="13" t="n">
        <v>46327</v>
      </c>
      <c r="C65" s="14" t="n">
        <v>0.84375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11/2026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20261101_2215</t>
        </is>
      </c>
      <c r="B66" s="9" t="n">
        <v>46327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</v>
      </c>
      <c r="I66" s="11" t="n">
        <v>0</v>
      </c>
      <c r="J66" s="12" t="n">
        <v>24</v>
      </c>
      <c r="K66" s="12" t="n">
        <v>0</v>
      </c>
      <c r="L66" s="12" t="n">
        <v>21.82</v>
      </c>
      <c r="M66" s="12" t="n">
        <v>2.18</v>
      </c>
      <c r="N66" s="22" t="inlineStr">
        <is>
          <t>11/2026</t>
        </is>
      </c>
      <c r="O66" s="11">
        <f>IFERROR(INDEX(Tariffe!$D$2:$D$200,MATCH(E66,Tariffe!$A$2:$A$200,0))*1,0)</f>
        <v/>
      </c>
      <c r="P66" s="11">
        <f>H66*O66</f>
        <v/>
      </c>
    </row>
  </sheetData>
  <autoFilter ref="A1:P6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</sheetData>
  <autoFilter ref="A1:G20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</sheetData>
  <autoFilter ref="A1:K14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9</v>
      </c>
      <c r="H16" s="11" t="n">
        <v>23</v>
      </c>
      <c r="I16" s="12" t="n">
        <v>276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12</v>
      </c>
      <c r="H20" s="11" t="n">
        <v>30</v>
      </c>
      <c r="I20" s="12" t="n">
        <v>360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6</v>
      </c>
      <c r="H22" s="11" t="n">
        <v>18</v>
      </c>
      <c r="I22" s="12" t="n">
        <v>216</v>
      </c>
    </row>
    <row r="23">
      <c r="F23" s="38" t="inlineStr">
        <is>
          <t>19:00-20:00</t>
        </is>
      </c>
      <c r="G23" s="11" t="n">
        <v>7</v>
      </c>
      <c r="H23" s="11" t="n">
        <v>26</v>
      </c>
      <c r="I23" s="12" t="n">
        <v>312</v>
      </c>
    </row>
    <row r="24">
      <c r="F24" s="38" t="inlineStr">
        <is>
          <t>20:00-21:00</t>
        </is>
      </c>
      <c r="G24" s="11" t="n">
        <v>15</v>
      </c>
      <c r="H24" s="11" t="n">
        <v>41</v>
      </c>
      <c r="I24" s="12" t="n">
        <v>492</v>
      </c>
    </row>
    <row r="25">
      <c r="F25" s="38" t="inlineStr">
        <is>
          <t>21:00-22:00</t>
        </is>
      </c>
      <c r="G25" s="11" t="n">
        <v>17</v>
      </c>
      <c r="H25" s="11" t="n">
        <v>53</v>
      </c>
      <c r="I25" s="12" t="n">
        <v>636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2026-10-10T22:13:36Z</dcterms:created>
  <dcterms:modified xsi:type="dcterms:W3CDTF">2026-10-10T22:13:37Z</dcterms:modified>
</cp:coreProperties>
</file>