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'Vendite'!$A$1:$R$130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'Storico'!$A$1:$G$668</definedName>
    <definedName name="_xlnm._FilterDatabase" localSheetId="8" hidden="1">'Registro vendite'!$A$1:$K$885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'Storico'!$H$2:$H$668</f>
            </numRef>
          </cat>
          <val>
            <numRef>
              <f>'Storico'!$C$2:$C$668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MAX(Storico!A2:A668)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624</v>
      </c>
      <c r="K42" s="12" t="n">
        <v>0</v>
      </c>
      <c r="L42" s="12" t="n">
        <v>567.3200000000001</v>
      </c>
      <c r="M42" s="12" t="n">
        <v>56.68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13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288</v>
      </c>
      <c r="K43" s="16" t="n">
        <v>0</v>
      </c>
      <c r="L43" s="16" t="n">
        <v>261.84</v>
      </c>
      <c r="M43" s="16" t="n">
        <v>26.16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8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7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552</v>
      </c>
      <c r="K45" s="16" t="n">
        <v>0</v>
      </c>
      <c r="L45" s="16" t="n">
        <v>501.86</v>
      </c>
      <c r="M45" s="16" t="n">
        <v>50.14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23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540</v>
      </c>
      <c r="K48" s="12" t="n">
        <v>0</v>
      </c>
      <c r="L48" s="12" t="n">
        <v>490.95</v>
      </c>
      <c r="M48" s="12" t="n">
        <v>49.05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9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816</v>
      </c>
      <c r="K49" s="16" t="n">
        <v>0</v>
      </c>
      <c r="L49" s="16" t="n">
        <v>741.88</v>
      </c>
      <c r="M49" s="16" t="n">
        <v>74.12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34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1008</v>
      </c>
      <c r="K50" s="12" t="n">
        <v>0</v>
      </c>
      <c r="L50" s="12" t="n">
        <v>916.4400000000001</v>
      </c>
      <c r="M50" s="12" t="n">
        <v>91.56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21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3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300</v>
      </c>
      <c r="K52" s="12" t="n">
        <v>0</v>
      </c>
      <c r="L52" s="12" t="n">
        <v>272.75</v>
      </c>
      <c r="M52" s="12" t="n">
        <v>27.25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5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648</v>
      </c>
      <c r="K53" s="16" t="n">
        <v>0</v>
      </c>
      <c r="L53" s="16" t="n">
        <v>589.14</v>
      </c>
      <c r="M53" s="16" t="n">
        <v>58.86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27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1056</v>
      </c>
      <c r="K54" s="12" t="n">
        <v>0</v>
      </c>
      <c r="L54" s="12" t="n">
        <v>960.08</v>
      </c>
      <c r="M54" s="12" t="n">
        <v>95.92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22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5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360</v>
      </c>
      <c r="K56" s="12" t="n">
        <v>0</v>
      </c>
      <c r="L56" s="12" t="n">
        <v>327.3</v>
      </c>
      <c r="M56" s="12" t="n">
        <v>32.7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6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12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240</v>
      </c>
      <c r="K58" s="12" t="n">
        <v>0</v>
      </c>
      <c r="L58" s="12" t="n">
        <v>218.2</v>
      </c>
      <c r="M58" s="12" t="n">
        <v>21.8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5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1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1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144</v>
      </c>
      <c r="K61" s="16" t="n">
        <v>0</v>
      </c>
      <c r="L61" s="16" t="n">
        <v>130.92</v>
      </c>
      <c r="M61" s="16" t="n">
        <v>13.08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6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16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10</v>
      </c>
      <c r="R85" s="15">
        <f>IFERROR(INDEX(Tariffe!$E$2:$E$200,MATCH(E85,Tariffe!$A$2:$A$200,0))*1,1)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5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12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11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28</v>
      </c>
      <c r="R104" s="11">
        <f>IFERROR(INDEX(Tariffe!$E$2:$E$200,MATCH(E104,Tariffe!$A$2:$A$200,0))*1,1)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24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19</v>
      </c>
      <c r="R108" s="11">
        <f>IFERROR(INDEX(Tariffe!$E$2:$E$200,MATCH(E108,Tariffe!$A$2:$A$200,0))*1,1)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768</v>
      </c>
      <c r="K109" s="16" t="n">
        <v>0</v>
      </c>
      <c r="L109" s="16" t="n">
        <v>698.24</v>
      </c>
      <c r="M109" s="16" t="n">
        <v>69.76000000000001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16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14</v>
      </c>
      <c r="R112" s="11">
        <f>IFERROR(INDEX(Tariffe!$E$2:$E$200,MATCH(E112,Tariffe!$A$2:$A$200,0))*1,1)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</v>
      </c>
      <c r="R115" s="15">
        <f>IFERROR(INDEX(Tariffe!$E$2:$E$200,MATCH(E115,Tariffe!$A$2:$A$200,0))*1,1)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6</v>
      </c>
      <c r="R118" s="11">
        <f>IFERROR(INDEX(Tariffe!$E$2:$E$200,MATCH(E118,Tariffe!$A$2:$A$200,0))*1,1)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 15€</t>
        </is>
      </c>
      <c r="F127" s="23">
        <f>IFERROR(INDEX(Tariffe!$B$2:$B$200,MATCH(E127,Tariffe!$A$2:$A$200,0)),"DA DEFINIRE")</f>
        <v/>
      </c>
      <c r="G127" s="16" t="n">
        <v>15</v>
      </c>
      <c r="H127" s="15">
        <f>Q127*R127</f>
        <v/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</sheetData>
  <autoFilter ref="A1:R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</sheetData>
  <autoFilter ref="A1:G66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</sheetData>
  <autoFilter ref="A1:K88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221</v>
      </c>
      <c r="M10" s="11" t="n">
        <v>713</v>
      </c>
      <c r="N10" s="12" t="n">
        <v>8556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144</v>
      </c>
      <c r="C24" s="11" t="n">
        <v>464</v>
      </c>
      <c r="D24" s="12" t="n">
        <v>5568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2026-10-25T14:59:44Z</dcterms:created>
  <dcterms:modified xsi:type="dcterms:W3CDTF">2026-10-25T14:59:45Z</dcterms:modified>
</cp:coreProperties>
</file>