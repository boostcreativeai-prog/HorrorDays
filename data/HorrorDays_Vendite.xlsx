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'Vendite'!$A$1:$R$153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'Storico'!$A$1:$G$859</definedName>
    <definedName name="_xlnm._FilterDatabase" localSheetId="8" hidden="1">'Registro vendite'!$A$1:$K$1601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'Storico'!$H$2:$H$859</f>
            </numRef>
          </cat>
          <val>
            <numRef>
              <f>'Storico'!$C$2:$C$859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vendite'!$A$4:$A$28</f>
            </numRef>
          </cat>
          <val>
            <numRef>
              <f>'Picchi vendite'!$B$4:$B$28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MAX(Storico!A2:A859)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1</v>
      </c>
      <c r="J62" s="12" t="n">
        <v>912</v>
      </c>
      <c r="K62" s="12" t="n">
        <v>0</v>
      </c>
      <c r="L62" s="12" t="n">
        <v>829.16</v>
      </c>
      <c r="M62" s="12" t="n">
        <v>82.84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19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8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840</v>
      </c>
      <c r="K64" s="12" t="n">
        <v>0</v>
      </c>
      <c r="L64" s="12" t="n">
        <v>763.7</v>
      </c>
      <c r="M64" s="12" t="n">
        <v>76.3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14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888</v>
      </c>
      <c r="K65" s="16" t="n">
        <v>0</v>
      </c>
      <c r="L65" s="16" t="n">
        <v>807.34</v>
      </c>
      <c r="M65" s="16" t="n">
        <v>80.66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37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1008</v>
      </c>
      <c r="K66" s="12" t="n">
        <v>0</v>
      </c>
      <c r="L66" s="12" t="n">
        <v>916.4400000000001</v>
      </c>
      <c r="M66" s="12" t="n">
        <v>91.56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432</v>
      </c>
      <c r="K67" s="16" t="n">
        <v>0</v>
      </c>
      <c r="L67" s="16" t="n">
        <v>392.76</v>
      </c>
      <c r="M67" s="16" t="n">
        <v>39.24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780</v>
      </c>
      <c r="K68" s="12" t="n">
        <v>0</v>
      </c>
      <c r="L68" s="12" t="n">
        <v>709.15</v>
      </c>
      <c r="M68" s="12" t="n">
        <v>70.84999999999999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13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816</v>
      </c>
      <c r="K69" s="16" t="n">
        <v>0</v>
      </c>
      <c r="L69" s="16" t="n">
        <v>741.88</v>
      </c>
      <c r="M69" s="16" t="n">
        <v>74.12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34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1440</v>
      </c>
      <c r="K74" s="12" t="n">
        <v>0</v>
      </c>
      <c r="L74" s="12" t="n">
        <v>1309.2</v>
      </c>
      <c r="M74" s="12" t="n">
        <v>130.8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30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324</v>
      </c>
      <c r="K75" s="16" t="n">
        <v>0</v>
      </c>
      <c r="L75" s="16" t="n">
        <v>294.57</v>
      </c>
      <c r="M75" s="16" t="n">
        <v>29.43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9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1152</v>
      </c>
      <c r="K78" s="12" t="n">
        <v>0</v>
      </c>
      <c r="L78" s="12" t="n">
        <v>1047.36</v>
      </c>
      <c r="M78" s="12" t="n">
        <v>104.64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24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I2 36€</t>
        </is>
      </c>
      <c r="F79" s="23">
        <f>IFERROR(INDEX(Tariffe!$B$2:$B$200,MATCH(E79,Tariffe!$A$2:$A$200,0)),"DA DEFINIRE")</f>
        <v/>
      </c>
      <c r="G79" s="16" t="n">
        <v>36</v>
      </c>
      <c r="H79" s="15">
        <f>Q79*R79</f>
        <v/>
      </c>
      <c r="I79" s="15" t="n">
        <v>0</v>
      </c>
      <c r="J79" s="16" t="n">
        <v>504</v>
      </c>
      <c r="K79" s="16" t="n">
        <v>0</v>
      </c>
      <c r="L79" s="16" t="n">
        <v>458.22</v>
      </c>
      <c r="M79" s="16" t="n">
        <v>45.78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14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I5 60€</t>
        </is>
      </c>
      <c r="F80" s="22">
        <f>IFERROR(INDEX(Tariffe!$B$2:$B$200,MATCH(E80,Tariffe!$A$2:$A$200,0)),"DA DEFINIRE")</f>
        <v/>
      </c>
      <c r="G80" s="12" t="n">
        <v>60</v>
      </c>
      <c r="H80" s="11">
        <f>Q80*R80</f>
        <v/>
      </c>
      <c r="I80" s="11" t="n">
        <v>0</v>
      </c>
      <c r="J80" s="12" t="n">
        <v>900</v>
      </c>
      <c r="K80" s="12" t="n">
        <v>0</v>
      </c>
      <c r="L80" s="12" t="n">
        <v>818.25</v>
      </c>
      <c r="M80" s="12" t="n">
        <v>81.75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15</v>
      </c>
      <c r="R80" s="11">
        <f>IFERROR(INDEX(Tariffe!$E$2:$E$200,MATCH(E80,Tariffe!$A$2:$A$200,0))*1,1)</f>
        <v/>
      </c>
    </row>
    <row r="81">
      <c r="A81" s="23" t="inlineStr">
        <is>
          <t>20261029_2359</t>
        </is>
      </c>
      <c r="B81" s="13" t="n">
        <v>46324</v>
      </c>
      <c r="C81" s="14" t="n">
        <v>0.9993055555555556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600</v>
      </c>
      <c r="K81" s="16" t="n">
        <v>0</v>
      </c>
      <c r="L81" s="16" t="n">
        <v>545.5</v>
      </c>
      <c r="M81" s="16" t="n">
        <v>54.5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25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816</v>
      </c>
      <c r="K82" s="12" t="n">
        <v>0</v>
      </c>
      <c r="L82" s="12" t="n">
        <v>741.88</v>
      </c>
      <c r="M82" s="12" t="n">
        <v>74.12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17</v>
      </c>
      <c r="R82" s="11">
        <f>IFERROR(INDEX(Tariffe!$E$2:$E$200,MATCH(E82,Tariffe!$A$2:$A$200,0))*1,1)</f>
        <v/>
      </c>
    </row>
    <row r="83">
      <c r="A83" s="23" t="inlineStr">
        <is>
          <t>20261030_2015</t>
        </is>
      </c>
      <c r="B83" s="13" t="n">
        <v>46325</v>
      </c>
      <c r="C83" s="14" t="n">
        <v>0.84375</v>
      </c>
      <c r="D83" s="23" t="inlineStr">
        <is>
          <t>UN Unico</t>
        </is>
      </c>
      <c r="E83" s="23" t="inlineStr">
        <is>
          <t>I2 36€</t>
        </is>
      </c>
      <c r="F83" s="23">
        <f>IFERROR(INDEX(Tariffe!$B$2:$B$200,MATCH(E83,Tariffe!$A$2:$A$200,0)),"DA DEFINIRE")</f>
        <v/>
      </c>
      <c r="G83" s="16" t="n">
        <v>36</v>
      </c>
      <c r="H83" s="15">
        <f>Q83*R83</f>
        <v/>
      </c>
      <c r="I83" s="15" t="n">
        <v>0</v>
      </c>
      <c r="J83" s="16" t="n">
        <v>324</v>
      </c>
      <c r="K83" s="16" t="n">
        <v>0</v>
      </c>
      <c r="L83" s="16" t="n">
        <v>294.57</v>
      </c>
      <c r="M83" s="16" t="n">
        <v>29.43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9</v>
      </c>
      <c r="R83" s="15">
        <f>IFERROR(INDEX(Tariffe!$E$2:$E$200,MATCH(E83,Tariffe!$A$2:$A$200,0))*1,1)</f>
        <v/>
      </c>
    </row>
    <row r="84">
      <c r="A84" s="22" t="inlineStr">
        <is>
          <t>20261030_2015</t>
        </is>
      </c>
      <c r="B84" s="9" t="n">
        <v>46325</v>
      </c>
      <c r="C84" s="10" t="n">
        <v>0.84375</v>
      </c>
      <c r="D84" s="22" t="inlineStr">
        <is>
          <t>UN Unico</t>
        </is>
      </c>
      <c r="E84" s="22" t="inlineStr">
        <is>
          <t>I5 60€</t>
        </is>
      </c>
      <c r="F84" s="22">
        <f>IFERROR(INDEX(Tariffe!$B$2:$B$200,MATCH(E84,Tariffe!$A$2:$A$200,0)),"DA DEFINIRE")</f>
        <v/>
      </c>
      <c r="G84" s="12" t="n">
        <v>60</v>
      </c>
      <c r="H84" s="11">
        <f>Q84*R84</f>
        <v/>
      </c>
      <c r="I84" s="11" t="n">
        <v>0</v>
      </c>
      <c r="J84" s="12" t="n">
        <v>180</v>
      </c>
      <c r="K84" s="12" t="n">
        <v>0</v>
      </c>
      <c r="L84" s="12" t="n">
        <v>163.65</v>
      </c>
      <c r="M84" s="12" t="n">
        <v>16.35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3</v>
      </c>
      <c r="R84" s="11">
        <f>IFERROR(INDEX(Tariffe!$E$2:$E$200,MATCH(E84,Tariffe!$A$2:$A$200,0))*1,1)</f>
        <v/>
      </c>
    </row>
    <row r="85">
      <c r="A85" s="23" t="inlineStr">
        <is>
          <t>20261030_2015</t>
        </is>
      </c>
      <c r="B85" s="13" t="n">
        <v>46325</v>
      </c>
      <c r="C85" s="14" t="n">
        <v>0.84375</v>
      </c>
      <c r="D85" s="23" t="inlineStr">
        <is>
          <t>UN Unico</t>
        </is>
      </c>
      <c r="E85" s="23" t="inlineStr">
        <is>
          <t>I8 24€</t>
        </is>
      </c>
      <c r="F85" s="23">
        <f>IFERROR(INDEX(Tariffe!$B$2:$B$200,MATCH(E85,Tariffe!$A$2:$A$200,0)),"DA DEFINIRE")</f>
        <v/>
      </c>
      <c r="G85" s="16" t="n">
        <v>24</v>
      </c>
      <c r="H85" s="15">
        <f>Q85*R85</f>
        <v/>
      </c>
      <c r="I85" s="15" t="n">
        <v>0</v>
      </c>
      <c r="J85" s="16" t="n">
        <v>624</v>
      </c>
      <c r="K85" s="16" t="n">
        <v>0</v>
      </c>
      <c r="L85" s="16" t="n">
        <v>567.3200000000001</v>
      </c>
      <c r="M85" s="16" t="n">
        <v>56.68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26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I1 48€</t>
        </is>
      </c>
      <c r="F86" s="22">
        <f>IFERROR(INDEX(Tariffe!$B$2:$B$200,MATCH(E86,Tariffe!$A$2:$A$200,0)),"DA DEFINIRE")</f>
        <v/>
      </c>
      <c r="G86" s="12" t="n">
        <v>48</v>
      </c>
      <c r="H86" s="11">
        <f>Q86*R86</f>
        <v/>
      </c>
      <c r="I86" s="11" t="n">
        <v>0</v>
      </c>
      <c r="J86" s="12" t="n">
        <v>1296</v>
      </c>
      <c r="K86" s="12" t="n">
        <v>0</v>
      </c>
      <c r="L86" s="12" t="n">
        <v>1178.28</v>
      </c>
      <c r="M86" s="12" t="n">
        <v>117.72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27</v>
      </c>
      <c r="R86" s="11">
        <f>IFERROR(INDEX(Tariffe!$E$2:$E$200,MATCH(E86,Tariffe!$A$2:$A$200,0))*1,1)</f>
        <v/>
      </c>
    </row>
    <row r="87">
      <c r="A87" s="23" t="inlineStr">
        <is>
          <t>20261030_2115</t>
        </is>
      </c>
      <c r="B87" s="13" t="n">
        <v>46325</v>
      </c>
      <c r="C87" s="14" t="n">
        <v>0.8854166666666666</v>
      </c>
      <c r="D87" s="23" t="inlineStr">
        <is>
          <t>UN Unico</t>
        </is>
      </c>
      <c r="E87" s="23" t="inlineStr">
        <is>
          <t>I2 36€</t>
        </is>
      </c>
      <c r="F87" s="23">
        <f>IFERROR(INDEX(Tariffe!$B$2:$B$200,MATCH(E87,Tariffe!$A$2:$A$200,0)),"DA DEFINIRE")</f>
        <v/>
      </c>
      <c r="G87" s="16" t="n">
        <v>36</v>
      </c>
      <c r="H87" s="15">
        <f>Q87*R87</f>
        <v/>
      </c>
      <c r="I87" s="15" t="n">
        <v>0</v>
      </c>
      <c r="J87" s="16" t="n">
        <v>360</v>
      </c>
      <c r="K87" s="16" t="n">
        <v>0</v>
      </c>
      <c r="L87" s="16" t="n">
        <v>327.3</v>
      </c>
      <c r="M87" s="16" t="n">
        <v>32.7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10</v>
      </c>
      <c r="R87" s="15">
        <f>IFERROR(INDEX(Tariffe!$E$2:$E$200,MATCH(E87,Tariffe!$A$2:$A$200,0))*1,1)</f>
        <v/>
      </c>
    </row>
    <row r="88">
      <c r="A88" s="22" t="inlineStr">
        <is>
          <t>20261030_2115</t>
        </is>
      </c>
      <c r="B88" s="9" t="n">
        <v>46325</v>
      </c>
      <c r="C88" s="10" t="n">
        <v>0.8854166666666666</v>
      </c>
      <c r="D88" s="22" t="inlineStr">
        <is>
          <t>UN Unico</t>
        </is>
      </c>
      <c r="E88" s="22" t="inlineStr">
        <is>
          <t>I5 60€</t>
        </is>
      </c>
      <c r="F88" s="22">
        <f>IFERROR(INDEX(Tariffe!$B$2:$B$200,MATCH(E88,Tariffe!$A$2:$A$200,0)),"DA DEFINIRE")</f>
        <v/>
      </c>
      <c r="G88" s="12" t="n">
        <v>60</v>
      </c>
      <c r="H88" s="11">
        <f>Q88*R88</f>
        <v/>
      </c>
      <c r="I88" s="11" t="n">
        <v>0</v>
      </c>
      <c r="J88" s="12" t="n">
        <v>720</v>
      </c>
      <c r="K88" s="12" t="n">
        <v>0</v>
      </c>
      <c r="L88" s="12" t="n">
        <v>654.6</v>
      </c>
      <c r="M88" s="12" t="n">
        <v>65.40000000000001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12</v>
      </c>
      <c r="R88" s="11">
        <f>IFERROR(INDEX(Tariffe!$E$2:$E$200,MATCH(E88,Tariffe!$A$2:$A$200,0))*1,1)</f>
        <v/>
      </c>
    </row>
    <row r="89">
      <c r="A89" s="23" t="inlineStr">
        <is>
          <t>20261030_2115</t>
        </is>
      </c>
      <c r="B89" s="13" t="n">
        <v>46325</v>
      </c>
      <c r="C89" s="14" t="n">
        <v>0.8854166666666666</v>
      </c>
      <c r="D89" s="23" t="inlineStr">
        <is>
          <t>UN Unico</t>
        </is>
      </c>
      <c r="E89" s="23" t="inlineStr">
        <is>
          <t>I8 24€</t>
        </is>
      </c>
      <c r="F89" s="23">
        <f>IFERROR(INDEX(Tariffe!$B$2:$B$200,MATCH(E89,Tariffe!$A$2:$A$200,0)),"DA DEFINIRE")</f>
        <v/>
      </c>
      <c r="G89" s="16" t="n">
        <v>24</v>
      </c>
      <c r="H89" s="15">
        <f>Q89*R89</f>
        <v/>
      </c>
      <c r="I89" s="15" t="n">
        <v>0</v>
      </c>
      <c r="J89" s="16" t="n">
        <v>744</v>
      </c>
      <c r="K89" s="16" t="n">
        <v>0</v>
      </c>
      <c r="L89" s="16" t="n">
        <v>676.42</v>
      </c>
      <c r="M89" s="16" t="n">
        <v>67.58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31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I1 48€</t>
        </is>
      </c>
      <c r="F90" s="22">
        <f>IFERROR(INDEX(Tariffe!$B$2:$B$200,MATCH(E90,Tariffe!$A$2:$A$200,0)),"DA DEFINIRE")</f>
        <v/>
      </c>
      <c r="G90" s="12" t="n">
        <v>48</v>
      </c>
      <c r="H90" s="11">
        <f>Q90*R90</f>
        <v/>
      </c>
      <c r="I90" s="11" t="n">
        <v>0</v>
      </c>
      <c r="J90" s="12" t="n">
        <v>1632</v>
      </c>
      <c r="K90" s="12" t="n">
        <v>0</v>
      </c>
      <c r="L90" s="12" t="n">
        <v>1483.76</v>
      </c>
      <c r="M90" s="12" t="n">
        <v>148.24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34</v>
      </c>
      <c r="R90" s="11">
        <f>IFERROR(INDEX(Tariffe!$E$2:$E$200,MATCH(E90,Tariffe!$A$2:$A$200,0))*1,1)</f>
        <v/>
      </c>
    </row>
    <row r="91">
      <c r="A91" s="23" t="inlineStr">
        <is>
          <t>20261030_2215</t>
        </is>
      </c>
      <c r="B91" s="13" t="n">
        <v>46325</v>
      </c>
      <c r="C91" s="14" t="n">
        <v>0.9270833333333334</v>
      </c>
      <c r="D91" s="23" t="inlineStr">
        <is>
          <t>UN Unico</t>
        </is>
      </c>
      <c r="E91" s="23" t="inlineStr">
        <is>
          <t>I2 36€</t>
        </is>
      </c>
      <c r="F91" s="23">
        <f>IFERROR(INDEX(Tariffe!$B$2:$B$200,MATCH(E91,Tariffe!$A$2:$A$200,0)),"DA DEFINIRE")</f>
        <v/>
      </c>
      <c r="G91" s="16" t="n">
        <v>36</v>
      </c>
      <c r="H91" s="15">
        <f>Q91*R91</f>
        <v/>
      </c>
      <c r="I91" s="15" t="n">
        <v>0</v>
      </c>
      <c r="J91" s="16" t="n">
        <v>144</v>
      </c>
      <c r="K91" s="16" t="n">
        <v>0</v>
      </c>
      <c r="L91" s="16" t="n">
        <v>130.92</v>
      </c>
      <c r="M91" s="16" t="n">
        <v>13.08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4</v>
      </c>
      <c r="R91" s="15">
        <f>IFERROR(INDEX(Tariffe!$E$2:$E$200,MATCH(E91,Tariffe!$A$2:$A$200,0))*1,1)</f>
        <v/>
      </c>
    </row>
    <row r="92">
      <c r="A92" s="22" t="inlineStr">
        <is>
          <t>20261030_2215</t>
        </is>
      </c>
      <c r="B92" s="9" t="n">
        <v>46325</v>
      </c>
      <c r="C92" s="10" t="n">
        <v>0.9270833333333334</v>
      </c>
      <c r="D92" s="22" t="inlineStr">
        <is>
          <t>UN Unico</t>
        </is>
      </c>
      <c r="E92" s="22" t="inlineStr">
        <is>
          <t>I5 60€</t>
        </is>
      </c>
      <c r="F92" s="22">
        <f>IFERROR(INDEX(Tariffe!$B$2:$B$200,MATCH(E92,Tariffe!$A$2:$A$200,0)),"DA DEFINIRE")</f>
        <v/>
      </c>
      <c r="G92" s="12" t="n">
        <v>60</v>
      </c>
      <c r="H92" s="11">
        <f>Q92*R92</f>
        <v/>
      </c>
      <c r="I92" s="11" t="n">
        <v>0</v>
      </c>
      <c r="J92" s="12" t="n">
        <v>480</v>
      </c>
      <c r="K92" s="12" t="n">
        <v>0</v>
      </c>
      <c r="L92" s="12" t="n">
        <v>436.4</v>
      </c>
      <c r="M92" s="12" t="n">
        <v>43.6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8</v>
      </c>
      <c r="R92" s="11">
        <f>IFERROR(INDEX(Tariffe!$E$2:$E$200,MATCH(E92,Tariffe!$A$2:$A$200,0))*1,1)</f>
        <v/>
      </c>
    </row>
    <row r="93">
      <c r="A93" s="23" t="inlineStr">
        <is>
          <t>20261030_2215</t>
        </is>
      </c>
      <c r="B93" s="13" t="n">
        <v>46325</v>
      </c>
      <c r="C93" s="14" t="n">
        <v>0.9270833333333334</v>
      </c>
      <c r="D93" s="23" t="inlineStr">
        <is>
          <t>UN Unico</t>
        </is>
      </c>
      <c r="E93" s="23" t="inlineStr">
        <is>
          <t>I8 24€</t>
        </is>
      </c>
      <c r="F93" s="23">
        <f>IFERROR(INDEX(Tariffe!$B$2:$B$200,MATCH(E93,Tariffe!$A$2:$A$200,0)),"DA DEFINIRE")</f>
        <v/>
      </c>
      <c r="G93" s="16" t="n">
        <v>24</v>
      </c>
      <c r="H93" s="15">
        <f>Q93*R93</f>
        <v/>
      </c>
      <c r="I93" s="15" t="n">
        <v>4</v>
      </c>
      <c r="J93" s="16" t="n">
        <v>816</v>
      </c>
      <c r="K93" s="16" t="n">
        <v>0</v>
      </c>
      <c r="L93" s="16" t="n">
        <v>741.88</v>
      </c>
      <c r="M93" s="16" t="n">
        <v>74.12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34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I1 48€</t>
        </is>
      </c>
      <c r="F94" s="22">
        <f>IFERROR(INDEX(Tariffe!$B$2:$B$200,MATCH(E94,Tariffe!$A$2:$A$200,0)),"DA DEFINIRE")</f>
        <v/>
      </c>
      <c r="G94" s="12" t="n">
        <v>48</v>
      </c>
      <c r="H94" s="11">
        <f>Q94*R94</f>
        <v/>
      </c>
      <c r="I94" s="11" t="n">
        <v>0</v>
      </c>
      <c r="J94" s="12" t="n">
        <v>1152</v>
      </c>
      <c r="K94" s="12" t="n">
        <v>0</v>
      </c>
      <c r="L94" s="12" t="n">
        <v>1047.36</v>
      </c>
      <c r="M94" s="12" t="n">
        <v>104.64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24</v>
      </c>
      <c r="R94" s="11">
        <f>IFERROR(INDEX(Tariffe!$E$2:$E$200,MATCH(E94,Tariffe!$A$2:$A$200,0))*1,1)</f>
        <v/>
      </c>
    </row>
    <row r="95">
      <c r="A95" s="23" t="inlineStr">
        <is>
          <t>20261030_2315</t>
        </is>
      </c>
      <c r="B95" s="13" t="n">
        <v>46325</v>
      </c>
      <c r="C95" s="14" t="n">
        <v>0.96875</v>
      </c>
      <c r="D95" s="23" t="inlineStr">
        <is>
          <t>UN Unico</t>
        </is>
      </c>
      <c r="E95" s="23" t="inlineStr">
        <is>
          <t>I2 36€</t>
        </is>
      </c>
      <c r="F95" s="23">
        <f>IFERROR(INDEX(Tariffe!$B$2:$B$200,MATCH(E95,Tariffe!$A$2:$A$200,0)),"DA DEFINIRE")</f>
        <v/>
      </c>
      <c r="G95" s="16" t="n">
        <v>36</v>
      </c>
      <c r="H95" s="15">
        <f>Q95*R95</f>
        <v/>
      </c>
      <c r="I95" s="15" t="n">
        <v>0</v>
      </c>
      <c r="J95" s="16" t="n">
        <v>432</v>
      </c>
      <c r="K95" s="16" t="n">
        <v>0</v>
      </c>
      <c r="L95" s="16" t="n">
        <v>392.76</v>
      </c>
      <c r="M95" s="16" t="n">
        <v>39.24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12</v>
      </c>
      <c r="R95" s="15">
        <f>IFERROR(INDEX(Tariffe!$E$2:$E$200,MATCH(E95,Tariffe!$A$2:$A$200,0))*1,1)</f>
        <v/>
      </c>
    </row>
    <row r="96">
      <c r="A96" s="22" t="inlineStr">
        <is>
          <t>20261030_2315</t>
        </is>
      </c>
      <c r="B96" s="9" t="n">
        <v>46325</v>
      </c>
      <c r="C96" s="10" t="n">
        <v>0.96875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0</v>
      </c>
      <c r="J96" s="12" t="n">
        <v>780</v>
      </c>
      <c r="K96" s="12" t="n">
        <v>0</v>
      </c>
      <c r="L96" s="12" t="n">
        <v>709.15</v>
      </c>
      <c r="M96" s="12" t="n">
        <v>70.84999999999999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13</v>
      </c>
      <c r="R96" s="11">
        <f>IFERROR(INDEX(Tariffe!$E$2:$E$200,MATCH(E96,Tariffe!$A$2:$A$200,0))*1,1)</f>
        <v/>
      </c>
    </row>
    <row r="97">
      <c r="A97" s="23" t="inlineStr">
        <is>
          <t>20261030_2315</t>
        </is>
      </c>
      <c r="B97" s="13" t="n">
        <v>46325</v>
      </c>
      <c r="C97" s="14" t="n">
        <v>0.96875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744</v>
      </c>
      <c r="K97" s="16" t="n">
        <v>0</v>
      </c>
      <c r="L97" s="16" t="n">
        <v>676.42</v>
      </c>
      <c r="M97" s="16" t="n">
        <v>67.58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31</v>
      </c>
      <c r="R97" s="15">
        <f>IFERROR(INDEX(Tariffe!$E$2:$E$200,MATCH(E97,Tariffe!$A$2:$A$200,0))*1,1)</f>
        <v/>
      </c>
    </row>
    <row r="98">
      <c r="A98" s="22" t="inlineStr">
        <is>
          <t>20261030_2359</t>
        </is>
      </c>
      <c r="B98" s="9" t="n">
        <v>46325</v>
      </c>
      <c r="C98" s="10" t="n">
        <v>0.9993055555555556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1104</v>
      </c>
      <c r="K98" s="12" t="n">
        <v>0</v>
      </c>
      <c r="L98" s="12" t="n">
        <v>1003.72</v>
      </c>
      <c r="M98" s="12" t="n">
        <v>100.28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23</v>
      </c>
      <c r="R98" s="11">
        <f>IFERROR(INDEX(Tariffe!$E$2:$E$200,MATCH(E98,Tariffe!$A$2:$A$200,0))*1,1)</f>
        <v/>
      </c>
    </row>
    <row r="99">
      <c r="A99" s="23" t="inlineStr">
        <is>
          <t>20261030_2359</t>
        </is>
      </c>
      <c r="B99" s="13" t="n">
        <v>46325</v>
      </c>
      <c r="C99" s="14" t="n">
        <v>0.9993055555555556</v>
      </c>
      <c r="D99" s="23" t="inlineStr">
        <is>
          <t>UN Unico</t>
        </is>
      </c>
      <c r="E99" s="23" t="inlineStr">
        <is>
          <t>I2 36€</t>
        </is>
      </c>
      <c r="F99" s="23">
        <f>IFERROR(INDEX(Tariffe!$B$2:$B$200,MATCH(E99,Tariffe!$A$2:$A$200,0)),"DA DEFINIRE")</f>
        <v/>
      </c>
      <c r="G99" s="16" t="n">
        <v>36</v>
      </c>
      <c r="H99" s="15">
        <f>Q99*R99</f>
        <v/>
      </c>
      <c r="I99" s="15" t="n">
        <v>0</v>
      </c>
      <c r="J99" s="16" t="n">
        <v>324</v>
      </c>
      <c r="K99" s="16" t="n">
        <v>0</v>
      </c>
      <c r="L99" s="16" t="n">
        <v>294.57</v>
      </c>
      <c r="M99" s="16" t="n">
        <v>29.43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9</v>
      </c>
      <c r="R99" s="15">
        <f>IFERROR(INDEX(Tariffe!$E$2:$E$200,MATCH(E99,Tariffe!$A$2:$A$200,0))*1,1)</f>
        <v/>
      </c>
    </row>
    <row r="100">
      <c r="A100" s="22" t="inlineStr">
        <is>
          <t>20261030_2359</t>
        </is>
      </c>
      <c r="B100" s="9" t="n">
        <v>46325</v>
      </c>
      <c r="C100" s="10" t="n">
        <v>0.9993055555555556</v>
      </c>
      <c r="D100" s="22" t="inlineStr">
        <is>
          <t>UN Unico</t>
        </is>
      </c>
      <c r="E100" s="22" t="inlineStr">
        <is>
          <t>I5 60€</t>
        </is>
      </c>
      <c r="F100" s="22">
        <f>IFERROR(INDEX(Tariffe!$B$2:$B$200,MATCH(E100,Tariffe!$A$2:$A$200,0)),"DA DEFINIRE")</f>
        <v/>
      </c>
      <c r="G100" s="12" t="n">
        <v>60</v>
      </c>
      <c r="H100" s="11">
        <f>Q100*R100</f>
        <v/>
      </c>
      <c r="I100" s="11" t="n">
        <v>0</v>
      </c>
      <c r="J100" s="12" t="n">
        <v>1020</v>
      </c>
      <c r="K100" s="12" t="n">
        <v>0</v>
      </c>
      <c r="L100" s="12" t="n">
        <v>927.35</v>
      </c>
      <c r="M100" s="12" t="n">
        <v>92.65000000000001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17</v>
      </c>
      <c r="R100" s="11">
        <f>IFERROR(INDEX(Tariffe!$E$2:$E$200,MATCH(E100,Tariffe!$A$2:$A$200,0))*1,1)</f>
        <v/>
      </c>
    </row>
    <row r="101">
      <c r="A101" s="23" t="inlineStr">
        <is>
          <t>20261030_2359</t>
        </is>
      </c>
      <c r="B101" s="13" t="n">
        <v>46325</v>
      </c>
      <c r="C101" s="14" t="n">
        <v>0.9993055555555556</v>
      </c>
      <c r="D101" s="23" t="inlineStr">
        <is>
          <t>UN Unico</t>
        </is>
      </c>
      <c r="E101" s="23" t="inlineStr">
        <is>
          <t>I8 24€</t>
        </is>
      </c>
      <c r="F101" s="23">
        <f>IFERROR(INDEX(Tariffe!$B$2:$B$200,MATCH(E101,Tariffe!$A$2:$A$200,0)),"DA DEFINIRE")</f>
        <v/>
      </c>
      <c r="G101" s="16" t="n">
        <v>24</v>
      </c>
      <c r="H101" s="15">
        <f>Q101*R101</f>
        <v/>
      </c>
      <c r="I101" s="15" t="n">
        <v>0</v>
      </c>
      <c r="J101" s="16" t="n">
        <v>744</v>
      </c>
      <c r="K101" s="16" t="n">
        <v>0</v>
      </c>
      <c r="L101" s="16" t="n">
        <v>676.42</v>
      </c>
      <c r="M101" s="16" t="n">
        <v>67.58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31</v>
      </c>
      <c r="R101" s="15">
        <f>IFERROR(INDEX(Tariffe!$E$2:$E$200,MATCH(E101,Tariffe!$A$2:$A$200,0))*1,1)</f>
        <v/>
      </c>
    </row>
    <row r="102">
      <c r="A102" s="22" t="inlineStr">
        <is>
          <t>20261031_1915</t>
        </is>
      </c>
      <c r="B102" s="9" t="n">
        <v>46326</v>
      </c>
      <c r="C102" s="10" t="n">
        <v>0.8020833333333334</v>
      </c>
      <c r="D102" s="22" t="inlineStr">
        <is>
          <t>UN Unico</t>
        </is>
      </c>
      <c r="E102" s="22" t="inlineStr">
        <is>
          <t>I1 48€</t>
        </is>
      </c>
      <c r="F102" s="22">
        <f>IFERROR(INDEX(Tariffe!$B$2:$B$200,MATCH(E102,Tariffe!$A$2:$A$200,0)),"DA DEFINIRE")</f>
        <v/>
      </c>
      <c r="G102" s="12" t="n">
        <v>48</v>
      </c>
      <c r="H102" s="11">
        <f>Q102*R102</f>
        <v/>
      </c>
      <c r="I102" s="11" t="n">
        <v>0</v>
      </c>
      <c r="J102" s="12" t="n">
        <v>1008</v>
      </c>
      <c r="K102" s="12" t="n">
        <v>0</v>
      </c>
      <c r="L102" s="12" t="n">
        <v>916.4400000000001</v>
      </c>
      <c r="M102" s="12" t="n">
        <v>91.56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21</v>
      </c>
      <c r="R102" s="11">
        <f>IFERROR(INDEX(Tariffe!$E$2:$E$200,MATCH(E102,Tariffe!$A$2:$A$200,0))*1,1)</f>
        <v/>
      </c>
    </row>
    <row r="103">
      <c r="A103" s="23" t="inlineStr">
        <is>
          <t>20261031_1915</t>
        </is>
      </c>
      <c r="B103" s="13" t="n">
        <v>46326</v>
      </c>
      <c r="C103" s="14" t="n">
        <v>0.8020833333333334</v>
      </c>
      <c r="D103" s="23" t="inlineStr">
        <is>
          <t>UN Unico</t>
        </is>
      </c>
      <c r="E103" s="23" t="inlineStr">
        <is>
          <t>I2 36€</t>
        </is>
      </c>
      <c r="F103" s="23">
        <f>IFERROR(INDEX(Tariffe!$B$2:$B$200,MATCH(E103,Tariffe!$A$2:$A$200,0)),"DA DEFINIRE")</f>
        <v/>
      </c>
      <c r="G103" s="16" t="n">
        <v>36</v>
      </c>
      <c r="H103" s="15">
        <f>Q103*R103</f>
        <v/>
      </c>
      <c r="I103" s="15" t="n">
        <v>0</v>
      </c>
      <c r="J103" s="16" t="n">
        <v>180</v>
      </c>
      <c r="K103" s="16" t="n">
        <v>0</v>
      </c>
      <c r="L103" s="16" t="n">
        <v>163.65</v>
      </c>
      <c r="M103" s="16" t="n">
        <v>16.35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5</v>
      </c>
      <c r="R103" s="15">
        <f>IFERROR(INDEX(Tariffe!$E$2:$E$200,MATCH(E103,Tariffe!$A$2:$A$200,0))*1,1)</f>
        <v/>
      </c>
    </row>
    <row r="104">
      <c r="A104" s="22" t="inlineStr">
        <is>
          <t>20261031_1915</t>
        </is>
      </c>
      <c r="B104" s="9" t="n">
        <v>46326</v>
      </c>
      <c r="C104" s="10" t="n">
        <v>0.8020833333333334</v>
      </c>
      <c r="D104" s="22" t="inlineStr">
        <is>
          <t>UN Unico</t>
        </is>
      </c>
      <c r="E104" s="22" t="inlineStr">
        <is>
          <t>I5 60€</t>
        </is>
      </c>
      <c r="F104" s="22">
        <f>IFERROR(INDEX(Tariffe!$B$2:$B$200,MATCH(E104,Tariffe!$A$2:$A$200,0)),"DA DEFINIRE")</f>
        <v/>
      </c>
      <c r="G104" s="12" t="n">
        <v>60</v>
      </c>
      <c r="H104" s="11">
        <f>Q104*R104</f>
        <v/>
      </c>
      <c r="I104" s="11" t="n">
        <v>0</v>
      </c>
      <c r="J104" s="12" t="n">
        <v>420</v>
      </c>
      <c r="K104" s="12" t="n">
        <v>0</v>
      </c>
      <c r="L104" s="12" t="n">
        <v>381.85</v>
      </c>
      <c r="M104" s="12" t="n">
        <v>38.15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7</v>
      </c>
      <c r="R104" s="11">
        <f>IFERROR(INDEX(Tariffe!$E$2:$E$200,MATCH(E104,Tariffe!$A$2:$A$200,0))*1,1)</f>
        <v/>
      </c>
    </row>
    <row r="105">
      <c r="A105" s="23" t="inlineStr">
        <is>
          <t>20261031_1915</t>
        </is>
      </c>
      <c r="B105" s="13" t="n">
        <v>46326</v>
      </c>
      <c r="C105" s="14" t="n">
        <v>0.8020833333333334</v>
      </c>
      <c r="D105" s="23" t="inlineStr">
        <is>
          <t>UN Unico</t>
        </is>
      </c>
      <c r="E105" s="23" t="inlineStr">
        <is>
          <t>I8 24€</t>
        </is>
      </c>
      <c r="F105" s="23">
        <f>IFERROR(INDEX(Tariffe!$B$2:$B$200,MATCH(E105,Tariffe!$A$2:$A$200,0)),"DA DEFINIRE")</f>
        <v/>
      </c>
      <c r="G105" s="16" t="n">
        <v>24</v>
      </c>
      <c r="H105" s="15">
        <f>Q105*R105</f>
        <v/>
      </c>
      <c r="I105" s="15" t="n">
        <v>0</v>
      </c>
      <c r="J105" s="16" t="n">
        <v>672</v>
      </c>
      <c r="K105" s="16" t="n">
        <v>0</v>
      </c>
      <c r="L105" s="16" t="n">
        <v>610.96</v>
      </c>
      <c r="M105" s="16" t="n">
        <v>61.04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28</v>
      </c>
      <c r="R105" s="15">
        <f>IFERROR(INDEX(Tariffe!$E$2:$E$200,MATCH(E105,Tariffe!$A$2:$A$200,0))*1,1)</f>
        <v/>
      </c>
    </row>
    <row r="106">
      <c r="A106" s="22" t="inlineStr">
        <is>
          <t>20261031_2015</t>
        </is>
      </c>
      <c r="B106" s="9" t="n">
        <v>46326</v>
      </c>
      <c r="C106" s="10" t="n">
        <v>0.84375</v>
      </c>
      <c r="D106" s="22" t="inlineStr">
        <is>
          <t>UN Unico</t>
        </is>
      </c>
      <c r="E106" s="22" t="inlineStr">
        <is>
          <t>I1 48€</t>
        </is>
      </c>
      <c r="F106" s="22">
        <f>IFERROR(INDEX(Tariffe!$B$2:$B$200,MATCH(E106,Tariffe!$A$2:$A$200,0)),"DA DEFINIRE")</f>
        <v/>
      </c>
      <c r="G106" s="12" t="n">
        <v>48</v>
      </c>
      <c r="H106" s="11">
        <f>Q106*R106</f>
        <v/>
      </c>
      <c r="I106" s="11" t="n">
        <v>1</v>
      </c>
      <c r="J106" s="12" t="n">
        <v>1536</v>
      </c>
      <c r="K106" s="12" t="n">
        <v>0</v>
      </c>
      <c r="L106" s="12" t="n">
        <v>1396.48</v>
      </c>
      <c r="M106" s="12" t="n">
        <v>139.52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32</v>
      </c>
      <c r="R106" s="11">
        <f>IFERROR(INDEX(Tariffe!$E$2:$E$200,MATCH(E106,Tariffe!$A$2:$A$200,0))*1,1)</f>
        <v/>
      </c>
    </row>
    <row r="107">
      <c r="A107" s="23" t="inlineStr">
        <is>
          <t>20261031_2015</t>
        </is>
      </c>
      <c r="B107" s="13" t="n">
        <v>46326</v>
      </c>
      <c r="C107" s="14" t="n">
        <v>0.84375</v>
      </c>
      <c r="D107" s="23" t="inlineStr">
        <is>
          <t>UN Unico</t>
        </is>
      </c>
      <c r="E107" s="23" t="inlineStr">
        <is>
          <t>I2 36€</t>
        </is>
      </c>
      <c r="F107" s="23">
        <f>IFERROR(INDEX(Tariffe!$B$2:$B$200,MATCH(E107,Tariffe!$A$2:$A$200,0)),"DA DEFINIRE")</f>
        <v/>
      </c>
      <c r="G107" s="16" t="n">
        <v>36</v>
      </c>
      <c r="H107" s="15">
        <f>Q107*R107</f>
        <v/>
      </c>
      <c r="I107" s="15" t="n">
        <v>0</v>
      </c>
      <c r="J107" s="16" t="n">
        <v>288</v>
      </c>
      <c r="K107" s="16" t="n">
        <v>0</v>
      </c>
      <c r="L107" s="16" t="n">
        <v>261.84</v>
      </c>
      <c r="M107" s="16" t="n">
        <v>26.16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8</v>
      </c>
      <c r="R107" s="15">
        <f>IFERROR(INDEX(Tariffe!$E$2:$E$200,MATCH(E107,Tariffe!$A$2:$A$200,0))*1,1)</f>
        <v/>
      </c>
    </row>
    <row r="108">
      <c r="A108" s="22" t="inlineStr">
        <is>
          <t>20261031_2015</t>
        </is>
      </c>
      <c r="B108" s="9" t="n">
        <v>46326</v>
      </c>
      <c r="C108" s="10" t="n">
        <v>0.84375</v>
      </c>
      <c r="D108" s="22" t="inlineStr">
        <is>
          <t>UN Unico</t>
        </is>
      </c>
      <c r="E108" s="22" t="inlineStr">
        <is>
          <t>I5 60€</t>
        </is>
      </c>
      <c r="F108" s="22">
        <f>IFERROR(INDEX(Tariffe!$B$2:$B$200,MATCH(E108,Tariffe!$A$2:$A$200,0)),"DA DEFINIRE")</f>
        <v/>
      </c>
      <c r="G108" s="12" t="n">
        <v>60</v>
      </c>
      <c r="H108" s="11">
        <f>Q108*R108</f>
        <v/>
      </c>
      <c r="I108" s="11" t="n">
        <v>2</v>
      </c>
      <c r="J108" s="12" t="n">
        <v>660</v>
      </c>
      <c r="K108" s="12" t="n">
        <v>0</v>
      </c>
      <c r="L108" s="12" t="n">
        <v>600.05</v>
      </c>
      <c r="M108" s="12" t="n">
        <v>59.95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11</v>
      </c>
      <c r="R108" s="11">
        <f>IFERROR(INDEX(Tariffe!$E$2:$E$200,MATCH(E108,Tariffe!$A$2:$A$200,0))*1,1)</f>
        <v/>
      </c>
    </row>
    <row r="109">
      <c r="A109" s="23" t="inlineStr">
        <is>
          <t>20261031_2015</t>
        </is>
      </c>
      <c r="B109" s="13" t="n">
        <v>46326</v>
      </c>
      <c r="C109" s="14" t="n">
        <v>0.84375</v>
      </c>
      <c r="D109" s="23" t="inlineStr">
        <is>
          <t>UN Unico</t>
        </is>
      </c>
      <c r="E109" s="23" t="inlineStr">
        <is>
          <t>I8 24€</t>
        </is>
      </c>
      <c r="F109" s="23">
        <f>IFERROR(INDEX(Tariffe!$B$2:$B$200,MATCH(E109,Tariffe!$A$2:$A$200,0)),"DA DEFINIRE")</f>
        <v/>
      </c>
      <c r="G109" s="16" t="n">
        <v>24</v>
      </c>
      <c r="H109" s="15">
        <f>Q109*R109</f>
        <v/>
      </c>
      <c r="I109" s="15" t="n">
        <v>0</v>
      </c>
      <c r="J109" s="16" t="n">
        <v>696</v>
      </c>
      <c r="K109" s="16" t="n">
        <v>0</v>
      </c>
      <c r="L109" s="16" t="n">
        <v>632.78</v>
      </c>
      <c r="M109" s="16" t="n">
        <v>63.22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29</v>
      </c>
      <c r="R109" s="15">
        <f>IFERROR(INDEX(Tariffe!$E$2:$E$200,MATCH(E109,Tariffe!$A$2:$A$200,0))*1,1)</f>
        <v/>
      </c>
    </row>
    <row r="110">
      <c r="A110" s="22" t="inlineStr">
        <is>
          <t>20261031_2115</t>
        </is>
      </c>
      <c r="B110" s="9" t="n">
        <v>46326</v>
      </c>
      <c r="C110" s="10" t="n">
        <v>0.8854166666666666</v>
      </c>
      <c r="D110" s="22" t="inlineStr">
        <is>
          <t>UN Unico</t>
        </is>
      </c>
      <c r="E110" s="22" t="inlineStr">
        <is>
          <t>I1 48€</t>
        </is>
      </c>
      <c r="F110" s="22">
        <f>IFERROR(INDEX(Tariffe!$B$2:$B$200,MATCH(E110,Tariffe!$A$2:$A$200,0)),"DA DEFINIRE")</f>
        <v/>
      </c>
      <c r="G110" s="12" t="n">
        <v>48</v>
      </c>
      <c r="H110" s="11">
        <f>Q110*R110</f>
        <v/>
      </c>
      <c r="I110" s="11" t="n">
        <v>0</v>
      </c>
      <c r="J110" s="12" t="n">
        <v>1440</v>
      </c>
      <c r="K110" s="12" t="n">
        <v>0</v>
      </c>
      <c r="L110" s="12" t="n">
        <v>1309.2</v>
      </c>
      <c r="M110" s="12" t="n">
        <v>130.8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30</v>
      </c>
      <c r="R110" s="11">
        <f>IFERROR(INDEX(Tariffe!$E$2:$E$200,MATCH(E110,Tariffe!$A$2:$A$200,0))*1,1)</f>
        <v/>
      </c>
    </row>
    <row r="111">
      <c r="A111" s="23" t="inlineStr">
        <is>
          <t>20261031_2115</t>
        </is>
      </c>
      <c r="B111" s="13" t="n">
        <v>46326</v>
      </c>
      <c r="C111" s="14" t="n">
        <v>0.8854166666666666</v>
      </c>
      <c r="D111" s="23" t="inlineStr">
        <is>
          <t>UN Unico</t>
        </is>
      </c>
      <c r="E111" s="23" t="inlineStr">
        <is>
          <t>I2 36€</t>
        </is>
      </c>
      <c r="F111" s="23">
        <f>IFERROR(INDEX(Tariffe!$B$2:$B$200,MATCH(E111,Tariffe!$A$2:$A$200,0)),"DA DEFINIRE")</f>
        <v/>
      </c>
      <c r="G111" s="16" t="n">
        <v>36</v>
      </c>
      <c r="H111" s="15">
        <f>Q111*R111</f>
        <v/>
      </c>
      <c r="I111" s="15" t="n">
        <v>0</v>
      </c>
      <c r="J111" s="16" t="n">
        <v>216</v>
      </c>
      <c r="K111" s="16" t="n">
        <v>0</v>
      </c>
      <c r="L111" s="16" t="n">
        <v>196.38</v>
      </c>
      <c r="M111" s="16" t="n">
        <v>19.62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6</v>
      </c>
      <c r="R111" s="15">
        <f>IFERROR(INDEX(Tariffe!$E$2:$E$200,MATCH(E111,Tariffe!$A$2:$A$200,0))*1,1)</f>
        <v/>
      </c>
    </row>
    <row r="112">
      <c r="A112" s="22" t="inlineStr">
        <is>
          <t>20261031_2115</t>
        </is>
      </c>
      <c r="B112" s="9" t="n">
        <v>46326</v>
      </c>
      <c r="C112" s="10" t="n">
        <v>0.8854166666666666</v>
      </c>
      <c r="D112" s="22" t="inlineStr">
        <is>
          <t>UN Unico</t>
        </is>
      </c>
      <c r="E112" s="22" t="inlineStr">
        <is>
          <t>I5 60€</t>
        </is>
      </c>
      <c r="F112" s="22">
        <f>IFERROR(INDEX(Tariffe!$B$2:$B$200,MATCH(E112,Tariffe!$A$2:$A$200,0)),"DA DEFINIRE")</f>
        <v/>
      </c>
      <c r="G112" s="12" t="n">
        <v>60</v>
      </c>
      <c r="H112" s="11">
        <f>Q112*R112</f>
        <v/>
      </c>
      <c r="I112" s="11" t="n">
        <v>0</v>
      </c>
      <c r="J112" s="12" t="n">
        <v>360</v>
      </c>
      <c r="K112" s="12" t="n">
        <v>0</v>
      </c>
      <c r="L112" s="12" t="n">
        <v>327.3</v>
      </c>
      <c r="M112" s="12" t="n">
        <v>32.7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6</v>
      </c>
      <c r="R112" s="11">
        <f>IFERROR(INDEX(Tariffe!$E$2:$E$200,MATCH(E112,Tariffe!$A$2:$A$200,0))*1,1)</f>
        <v/>
      </c>
    </row>
    <row r="113">
      <c r="A113" s="23" t="inlineStr">
        <is>
          <t>20261031_2115</t>
        </is>
      </c>
      <c r="B113" s="13" t="n">
        <v>46326</v>
      </c>
      <c r="C113" s="14" t="n">
        <v>0.8854166666666666</v>
      </c>
      <c r="D113" s="23" t="inlineStr">
        <is>
          <t>UN Unico</t>
        </is>
      </c>
      <c r="E113" s="23" t="inlineStr">
        <is>
          <t>I8 24€</t>
        </is>
      </c>
      <c r="F113" s="23">
        <f>IFERROR(INDEX(Tariffe!$B$2:$B$200,MATCH(E113,Tariffe!$A$2:$A$200,0)),"DA DEFINIRE")</f>
        <v/>
      </c>
      <c r="G113" s="16" t="n">
        <v>24</v>
      </c>
      <c r="H113" s="15">
        <f>Q113*R113</f>
        <v/>
      </c>
      <c r="I113" s="15" t="n">
        <v>0</v>
      </c>
      <c r="J113" s="16" t="n">
        <v>912</v>
      </c>
      <c r="K113" s="16" t="n">
        <v>0</v>
      </c>
      <c r="L113" s="16" t="n">
        <v>829.16</v>
      </c>
      <c r="M113" s="16" t="n">
        <v>82.84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38</v>
      </c>
      <c r="R113" s="15">
        <f>IFERROR(INDEX(Tariffe!$E$2:$E$200,MATCH(E113,Tariffe!$A$2:$A$200,0))*1,1)</f>
        <v/>
      </c>
    </row>
    <row r="114">
      <c r="A114" s="22" t="inlineStr">
        <is>
          <t>20261031_2215</t>
        </is>
      </c>
      <c r="B114" s="9" t="n">
        <v>46326</v>
      </c>
      <c r="C114" s="10" t="n">
        <v>0.9270833333333334</v>
      </c>
      <c r="D114" s="22" t="inlineStr">
        <is>
          <t>UN Unico</t>
        </is>
      </c>
      <c r="E114" s="22" t="inlineStr">
        <is>
          <t>I1 48€</t>
        </is>
      </c>
      <c r="F114" s="22">
        <f>IFERROR(INDEX(Tariffe!$B$2:$B$200,MATCH(E114,Tariffe!$A$2:$A$200,0)),"DA DEFINIRE")</f>
        <v/>
      </c>
      <c r="G114" s="12" t="n">
        <v>48</v>
      </c>
      <c r="H114" s="11">
        <f>Q114*R114</f>
        <v/>
      </c>
      <c r="I114" s="11" t="n">
        <v>3</v>
      </c>
      <c r="J114" s="12" t="n">
        <v>1296</v>
      </c>
      <c r="K114" s="12" t="n">
        <v>0</v>
      </c>
      <c r="L114" s="12" t="n">
        <v>1178.28</v>
      </c>
      <c r="M114" s="12" t="n">
        <v>117.72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27</v>
      </c>
      <c r="R114" s="11">
        <f>IFERROR(INDEX(Tariffe!$E$2:$E$200,MATCH(E114,Tariffe!$A$2:$A$200,0))*1,1)</f>
        <v/>
      </c>
    </row>
    <row r="115">
      <c r="A115" s="23" t="inlineStr">
        <is>
          <t>20261031_2215</t>
        </is>
      </c>
      <c r="B115" s="13" t="n">
        <v>46326</v>
      </c>
      <c r="C115" s="14" t="n">
        <v>0.9270833333333334</v>
      </c>
      <c r="D115" s="23" t="inlineStr">
        <is>
          <t>UN Unico</t>
        </is>
      </c>
      <c r="E115" s="23" t="inlineStr">
        <is>
          <t>I2 36€</t>
        </is>
      </c>
      <c r="F115" s="23">
        <f>IFERROR(INDEX(Tariffe!$B$2:$B$200,MATCH(E115,Tariffe!$A$2:$A$200,0)),"DA DEFINIRE")</f>
        <v/>
      </c>
      <c r="G115" s="16" t="n">
        <v>36</v>
      </c>
      <c r="H115" s="15">
        <f>Q115*R115</f>
        <v/>
      </c>
      <c r="I115" s="15" t="n">
        <v>0</v>
      </c>
      <c r="J115" s="16" t="n">
        <v>180</v>
      </c>
      <c r="K115" s="16" t="n">
        <v>0</v>
      </c>
      <c r="L115" s="16" t="n">
        <v>163.65</v>
      </c>
      <c r="M115" s="16" t="n">
        <v>16.35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5</v>
      </c>
      <c r="R115" s="15">
        <f>IFERROR(INDEX(Tariffe!$E$2:$E$200,MATCH(E115,Tariffe!$A$2:$A$200,0))*1,1)</f>
        <v/>
      </c>
    </row>
    <row r="116">
      <c r="A116" s="22" t="inlineStr">
        <is>
          <t>20261031_2215</t>
        </is>
      </c>
      <c r="B116" s="9" t="n">
        <v>46326</v>
      </c>
      <c r="C116" s="10" t="n">
        <v>0.9270833333333334</v>
      </c>
      <c r="D116" s="22" t="inlineStr">
        <is>
          <t>UN Unico</t>
        </is>
      </c>
      <c r="E116" s="22" t="inlineStr">
        <is>
          <t>I5 60€</t>
        </is>
      </c>
      <c r="F116" s="22">
        <f>IFERROR(INDEX(Tariffe!$B$2:$B$200,MATCH(E116,Tariffe!$A$2:$A$200,0)),"DA DEFINIRE")</f>
        <v/>
      </c>
      <c r="G116" s="12" t="n">
        <v>60</v>
      </c>
      <c r="H116" s="11">
        <f>Q116*R116</f>
        <v/>
      </c>
      <c r="I116" s="11" t="n">
        <v>0</v>
      </c>
      <c r="J116" s="12" t="n">
        <v>240</v>
      </c>
      <c r="K116" s="12" t="n">
        <v>0</v>
      </c>
      <c r="L116" s="12" t="n">
        <v>218.2</v>
      </c>
      <c r="M116" s="12" t="n">
        <v>21.8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4</v>
      </c>
      <c r="R116" s="11">
        <f>IFERROR(INDEX(Tariffe!$E$2:$E$200,MATCH(E116,Tariffe!$A$2:$A$200,0))*1,1)</f>
        <v/>
      </c>
    </row>
    <row r="117">
      <c r="A117" s="23" t="inlineStr">
        <is>
          <t>20261031_2215</t>
        </is>
      </c>
      <c r="B117" s="13" t="n">
        <v>46326</v>
      </c>
      <c r="C117" s="14" t="n">
        <v>0.9270833333333334</v>
      </c>
      <c r="D117" s="23" t="inlineStr">
        <is>
          <t>UN Unico</t>
        </is>
      </c>
      <c r="E117" s="23" t="inlineStr">
        <is>
          <t>I8 24€</t>
        </is>
      </c>
      <c r="F117" s="23">
        <f>IFERROR(INDEX(Tariffe!$B$2:$B$200,MATCH(E117,Tariffe!$A$2:$A$200,0)),"DA DEFINIRE")</f>
        <v/>
      </c>
      <c r="G117" s="16" t="n">
        <v>24</v>
      </c>
      <c r="H117" s="15">
        <f>Q117*R117</f>
        <v/>
      </c>
      <c r="I117" s="15" t="n">
        <v>0</v>
      </c>
      <c r="J117" s="16" t="n">
        <v>1056</v>
      </c>
      <c r="K117" s="16" t="n">
        <v>0</v>
      </c>
      <c r="L117" s="16" t="n">
        <v>960.08</v>
      </c>
      <c r="M117" s="16" t="n">
        <v>95.92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44</v>
      </c>
      <c r="R117" s="15">
        <f>IFERROR(INDEX(Tariffe!$E$2:$E$200,MATCH(E117,Tariffe!$A$2:$A$200,0))*1,1)</f>
        <v/>
      </c>
    </row>
    <row r="118">
      <c r="A118" s="22" t="inlineStr">
        <is>
          <t>20261031_2315</t>
        </is>
      </c>
      <c r="B118" s="9" t="n">
        <v>46326</v>
      </c>
      <c r="C118" s="10" t="n">
        <v>0.96875</v>
      </c>
      <c r="D118" s="22" t="inlineStr">
        <is>
          <t>UN Unico</t>
        </is>
      </c>
      <c r="E118" s="22" t="inlineStr">
        <is>
          <t>I1 48€</t>
        </is>
      </c>
      <c r="F118" s="22">
        <f>IFERROR(INDEX(Tariffe!$B$2:$B$200,MATCH(E118,Tariffe!$A$2:$A$200,0)),"DA DEFINIRE")</f>
        <v/>
      </c>
      <c r="G118" s="12" t="n">
        <v>48</v>
      </c>
      <c r="H118" s="11">
        <f>Q118*R118</f>
        <v/>
      </c>
      <c r="I118" s="11" t="n">
        <v>0</v>
      </c>
      <c r="J118" s="12" t="n">
        <v>1968</v>
      </c>
      <c r="K118" s="12" t="n">
        <v>0</v>
      </c>
      <c r="L118" s="12" t="n">
        <v>1789.24</v>
      </c>
      <c r="M118" s="12" t="n">
        <v>178.76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41</v>
      </c>
      <c r="R118" s="11">
        <f>IFERROR(INDEX(Tariffe!$E$2:$E$200,MATCH(E118,Tariffe!$A$2:$A$200,0))*1,1)</f>
        <v/>
      </c>
    </row>
    <row r="119">
      <c r="A119" s="23" t="inlineStr">
        <is>
          <t>20261031_2315</t>
        </is>
      </c>
      <c r="B119" s="13" t="n">
        <v>46326</v>
      </c>
      <c r="C119" s="14" t="n">
        <v>0.96875</v>
      </c>
      <c r="D119" s="23" t="inlineStr">
        <is>
          <t>UN Unico</t>
        </is>
      </c>
      <c r="E119" s="23" t="inlineStr">
        <is>
          <t>I2 36€</t>
        </is>
      </c>
      <c r="F119" s="23">
        <f>IFERROR(INDEX(Tariffe!$B$2:$B$200,MATCH(E119,Tariffe!$A$2:$A$200,0)),"DA DEFINIRE")</f>
        <v/>
      </c>
      <c r="G119" s="16" t="n">
        <v>36</v>
      </c>
      <c r="H119" s="15">
        <f>Q119*R119</f>
        <v/>
      </c>
      <c r="I119" s="15" t="n">
        <v>0</v>
      </c>
      <c r="J119" s="16" t="n">
        <v>108</v>
      </c>
      <c r="K119" s="16" t="n">
        <v>0</v>
      </c>
      <c r="L119" s="16" t="n">
        <v>98.19</v>
      </c>
      <c r="M119" s="16" t="n">
        <v>9.81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3</v>
      </c>
      <c r="R119" s="15">
        <f>IFERROR(INDEX(Tariffe!$E$2:$E$200,MATCH(E119,Tariffe!$A$2:$A$200,0))*1,1)</f>
        <v/>
      </c>
    </row>
    <row r="120">
      <c r="A120" s="22" t="inlineStr">
        <is>
          <t>20261031_2315</t>
        </is>
      </c>
      <c r="B120" s="9" t="n">
        <v>46326</v>
      </c>
      <c r="C120" s="10" t="n">
        <v>0.96875</v>
      </c>
      <c r="D120" s="22" t="inlineStr">
        <is>
          <t>UN Unico</t>
        </is>
      </c>
      <c r="E120" s="22" t="inlineStr">
        <is>
          <t>I5 60€</t>
        </is>
      </c>
      <c r="F120" s="22">
        <f>IFERROR(INDEX(Tariffe!$B$2:$B$200,MATCH(E120,Tariffe!$A$2:$A$200,0)),"DA DEFINIRE")</f>
        <v/>
      </c>
      <c r="G120" s="12" t="n">
        <v>60</v>
      </c>
      <c r="H120" s="11">
        <f>Q120*R120</f>
        <v/>
      </c>
      <c r="I120" s="11" t="n">
        <v>0</v>
      </c>
      <c r="J120" s="12" t="n">
        <v>300</v>
      </c>
      <c r="K120" s="12" t="n">
        <v>0</v>
      </c>
      <c r="L120" s="12" t="n">
        <v>272.75</v>
      </c>
      <c r="M120" s="12" t="n">
        <v>27.25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5</v>
      </c>
      <c r="R120" s="11">
        <f>IFERROR(INDEX(Tariffe!$E$2:$E$200,MATCH(E120,Tariffe!$A$2:$A$200,0))*1,1)</f>
        <v/>
      </c>
    </row>
    <row r="121">
      <c r="A121" s="23" t="inlineStr">
        <is>
          <t>20261031_2315</t>
        </is>
      </c>
      <c r="B121" s="13" t="n">
        <v>46326</v>
      </c>
      <c r="C121" s="14" t="n">
        <v>0.96875</v>
      </c>
      <c r="D121" s="23" t="inlineStr">
        <is>
          <t>UN Unico</t>
        </is>
      </c>
      <c r="E121" s="23" t="inlineStr">
        <is>
          <t>I8 24€</t>
        </is>
      </c>
      <c r="F121" s="23">
        <f>IFERROR(INDEX(Tariffe!$B$2:$B$200,MATCH(E121,Tariffe!$A$2:$A$200,0)),"DA DEFINIRE")</f>
        <v/>
      </c>
      <c r="G121" s="16" t="n">
        <v>24</v>
      </c>
      <c r="H121" s="15">
        <f>Q121*R121</f>
        <v/>
      </c>
      <c r="I121" s="15" t="n">
        <v>0</v>
      </c>
      <c r="J121" s="16" t="n">
        <v>744</v>
      </c>
      <c r="K121" s="16" t="n">
        <v>0</v>
      </c>
      <c r="L121" s="16" t="n">
        <v>676.42</v>
      </c>
      <c r="M121" s="16" t="n">
        <v>67.58</v>
      </c>
      <c r="N121" s="23" t="inlineStr">
        <is>
          <t>10/2026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31</v>
      </c>
      <c r="R121" s="15">
        <f>IFERROR(INDEX(Tariffe!$E$2:$E$200,MATCH(E121,Tariffe!$A$2:$A$200,0))*1,1)</f>
        <v/>
      </c>
    </row>
    <row r="122">
      <c r="A122" s="22" t="inlineStr">
        <is>
          <t>20261031_2359</t>
        </is>
      </c>
      <c r="B122" s="9" t="n">
        <v>46326</v>
      </c>
      <c r="C122" s="10" t="n">
        <v>0.9993055555555556</v>
      </c>
      <c r="D122" s="22" t="inlineStr">
        <is>
          <t>UN Unico</t>
        </is>
      </c>
      <c r="E122" s="22" t="inlineStr">
        <is>
          <t>I1 48€</t>
        </is>
      </c>
      <c r="F122" s="22">
        <f>IFERROR(INDEX(Tariffe!$B$2:$B$200,MATCH(E122,Tariffe!$A$2:$A$200,0)),"DA DEFINIRE")</f>
        <v/>
      </c>
      <c r="G122" s="12" t="n">
        <v>48</v>
      </c>
      <c r="H122" s="11">
        <f>Q122*R122</f>
        <v/>
      </c>
      <c r="I122" s="11" t="n">
        <v>0</v>
      </c>
      <c r="J122" s="12" t="n">
        <v>2256</v>
      </c>
      <c r="K122" s="12" t="n">
        <v>0</v>
      </c>
      <c r="L122" s="12" t="n">
        <v>2051.08</v>
      </c>
      <c r="M122" s="12" t="n">
        <v>204.92</v>
      </c>
      <c r="N122" s="22" t="inlineStr">
        <is>
          <t>10/2026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47</v>
      </c>
      <c r="R122" s="11">
        <f>IFERROR(INDEX(Tariffe!$E$2:$E$200,MATCH(E122,Tariffe!$A$2:$A$200,0))*1,1)</f>
        <v/>
      </c>
    </row>
    <row r="123">
      <c r="A123" s="23" t="inlineStr">
        <is>
          <t>20261031_2359</t>
        </is>
      </c>
      <c r="B123" s="13" t="n">
        <v>46326</v>
      </c>
      <c r="C123" s="14" t="n">
        <v>0.9993055555555556</v>
      </c>
      <c r="D123" s="23" t="inlineStr">
        <is>
          <t>UN Unico</t>
        </is>
      </c>
      <c r="E123" s="23" t="inlineStr">
        <is>
          <t>I2 36€</t>
        </is>
      </c>
      <c r="F123" s="23">
        <f>IFERROR(INDEX(Tariffe!$B$2:$B$200,MATCH(E123,Tariffe!$A$2:$A$200,0)),"DA DEFINIRE")</f>
        <v/>
      </c>
      <c r="G123" s="16" t="n">
        <v>36</v>
      </c>
      <c r="H123" s="15">
        <f>Q123*R123</f>
        <v/>
      </c>
      <c r="I123" s="15" t="n">
        <v>0</v>
      </c>
      <c r="J123" s="16" t="n">
        <v>36</v>
      </c>
      <c r="K123" s="16" t="n">
        <v>0</v>
      </c>
      <c r="L123" s="16" t="n">
        <v>32.73</v>
      </c>
      <c r="M123" s="16" t="n">
        <v>3.27</v>
      </c>
      <c r="N123" s="23" t="inlineStr">
        <is>
          <t>10/2026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20261031_2359</t>
        </is>
      </c>
      <c r="B124" s="9" t="n">
        <v>46326</v>
      </c>
      <c r="C124" s="10" t="n">
        <v>0.9993055555555556</v>
      </c>
      <c r="D124" s="22" t="inlineStr">
        <is>
          <t>UN Unico</t>
        </is>
      </c>
      <c r="E124" s="22" t="inlineStr">
        <is>
          <t>I5 60€</t>
        </is>
      </c>
      <c r="F124" s="22">
        <f>IFERROR(INDEX(Tariffe!$B$2:$B$200,MATCH(E124,Tariffe!$A$2:$A$200,0)),"DA DEFINIRE")</f>
        <v/>
      </c>
      <c r="G124" s="12" t="n">
        <v>60</v>
      </c>
      <c r="H124" s="11">
        <f>Q124*R124</f>
        <v/>
      </c>
      <c r="I124" s="11" t="n">
        <v>0</v>
      </c>
      <c r="J124" s="12" t="n">
        <v>300</v>
      </c>
      <c r="K124" s="12" t="n">
        <v>0</v>
      </c>
      <c r="L124" s="12" t="n">
        <v>272.75</v>
      </c>
      <c r="M124" s="12" t="n">
        <v>27.25</v>
      </c>
      <c r="N124" s="22" t="inlineStr">
        <is>
          <t>10/2026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5</v>
      </c>
      <c r="R124" s="11">
        <f>IFERROR(INDEX(Tariffe!$E$2:$E$200,MATCH(E124,Tariffe!$A$2:$A$200,0))*1,1)</f>
        <v/>
      </c>
    </row>
    <row r="125">
      <c r="A125" s="23" t="inlineStr">
        <is>
          <t>20261031_2359</t>
        </is>
      </c>
      <c r="B125" s="13" t="n">
        <v>46326</v>
      </c>
      <c r="C125" s="14" t="n">
        <v>0.9993055555555556</v>
      </c>
      <c r="D125" s="23" t="inlineStr">
        <is>
          <t>UN Unico</t>
        </is>
      </c>
      <c r="E125" s="23" t="inlineStr">
        <is>
          <t>I8 24€</t>
        </is>
      </c>
      <c r="F125" s="23">
        <f>IFERROR(INDEX(Tariffe!$B$2:$B$200,MATCH(E125,Tariffe!$A$2:$A$200,0)),"DA DEFINIRE")</f>
        <v/>
      </c>
      <c r="G125" s="16" t="n">
        <v>24</v>
      </c>
      <c r="H125" s="15">
        <f>Q125*R125</f>
        <v/>
      </c>
      <c r="I125" s="15" t="n">
        <v>0</v>
      </c>
      <c r="J125" s="16" t="n">
        <v>648</v>
      </c>
      <c r="K125" s="16" t="n">
        <v>0</v>
      </c>
      <c r="L125" s="16" t="n">
        <v>589.14</v>
      </c>
      <c r="M125" s="16" t="n">
        <v>58.86</v>
      </c>
      <c r="N125" s="23" t="inlineStr">
        <is>
          <t>10/2026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27</v>
      </c>
      <c r="R125" s="15">
        <f>IFERROR(INDEX(Tariffe!$E$2:$E$200,MATCH(E125,Tariffe!$A$2:$A$200,0))*1,1)</f>
        <v/>
      </c>
    </row>
    <row r="126">
      <c r="A126" s="22" t="inlineStr">
        <is>
          <t>20261101_1915</t>
        </is>
      </c>
      <c r="B126" s="9" t="n">
        <v>46327</v>
      </c>
      <c r="C126" s="10" t="n">
        <v>0.8020833333333334</v>
      </c>
      <c r="D126" s="22" t="inlineStr">
        <is>
          <t>UN Unico</t>
        </is>
      </c>
      <c r="E126" s="22" t="inlineStr">
        <is>
          <t>I1 48€</t>
        </is>
      </c>
      <c r="F126" s="22">
        <f>IFERROR(INDEX(Tariffe!$B$2:$B$200,MATCH(E126,Tariffe!$A$2:$A$200,0)),"DA DEFINIRE")</f>
        <v/>
      </c>
      <c r="G126" s="12" t="n">
        <v>48</v>
      </c>
      <c r="H126" s="11">
        <f>Q126*R126</f>
        <v/>
      </c>
      <c r="I126" s="11" t="n">
        <v>0</v>
      </c>
      <c r="J126" s="12" t="n">
        <v>48</v>
      </c>
      <c r="K126" s="12" t="n">
        <v>0</v>
      </c>
      <c r="L126" s="12" t="n">
        <v>43.64</v>
      </c>
      <c r="M126" s="12" t="n">
        <v>4.36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1</v>
      </c>
      <c r="R126" s="11">
        <f>IFERROR(INDEX(Tariffe!$E$2:$E$200,MATCH(E126,Tariffe!$A$2:$A$200,0))*1,1)</f>
        <v/>
      </c>
    </row>
    <row r="127">
      <c r="A127" s="23" t="inlineStr">
        <is>
          <t>20261101_1915</t>
        </is>
      </c>
      <c r="B127" s="13" t="n">
        <v>46327</v>
      </c>
      <c r="C127" s="14" t="n">
        <v>0.8020833333333334</v>
      </c>
      <c r="D127" s="23" t="inlineStr">
        <is>
          <t>UN Unico</t>
        </is>
      </c>
      <c r="E127" s="23" t="inlineStr">
        <is>
          <t>I2 36€</t>
        </is>
      </c>
      <c r="F127" s="23">
        <f>IFERROR(INDEX(Tariffe!$B$2:$B$200,MATCH(E127,Tariffe!$A$2:$A$200,0)),"DA DEFINIRE")</f>
        <v/>
      </c>
      <c r="G127" s="16" t="n">
        <v>36</v>
      </c>
      <c r="H127" s="15">
        <f>Q127*R127</f>
        <v/>
      </c>
      <c r="I127" s="15" t="n">
        <v>0</v>
      </c>
      <c r="J127" s="16" t="n">
        <v>72</v>
      </c>
      <c r="K127" s="16" t="n">
        <v>0</v>
      </c>
      <c r="L127" s="16" t="n">
        <v>65.45999999999999</v>
      </c>
      <c r="M127" s="16" t="n">
        <v>6.54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2</v>
      </c>
      <c r="R127" s="15">
        <f>IFERROR(INDEX(Tariffe!$E$2:$E$200,MATCH(E127,Tariffe!$A$2:$A$200,0))*1,1)</f>
        <v/>
      </c>
    </row>
    <row r="128">
      <c r="A128" s="22" t="inlineStr">
        <is>
          <t>20261101_1915</t>
        </is>
      </c>
      <c r="B128" s="9" t="n">
        <v>46327</v>
      </c>
      <c r="C128" s="10" t="n">
        <v>0.8020833333333334</v>
      </c>
      <c r="D128" s="22" t="inlineStr">
        <is>
          <t>UN Unico</t>
        </is>
      </c>
      <c r="E128" s="22" t="inlineStr">
        <is>
          <t>I5 60€</t>
        </is>
      </c>
      <c r="F128" s="22">
        <f>IFERROR(INDEX(Tariffe!$B$2:$B$200,MATCH(E128,Tariffe!$A$2:$A$200,0)),"DA DEFINIRE")</f>
        <v/>
      </c>
      <c r="G128" s="12" t="n">
        <v>60</v>
      </c>
      <c r="H128" s="11">
        <f>Q128*R128</f>
        <v/>
      </c>
      <c r="I128" s="11" t="n">
        <v>0</v>
      </c>
      <c r="J128" s="12" t="n">
        <v>180</v>
      </c>
      <c r="K128" s="12" t="n">
        <v>0</v>
      </c>
      <c r="L128" s="12" t="n">
        <v>163.65</v>
      </c>
      <c r="M128" s="12" t="n">
        <v>16.35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3</v>
      </c>
      <c r="R128" s="11">
        <f>IFERROR(INDEX(Tariffe!$E$2:$E$200,MATCH(E128,Tariffe!$A$2:$A$200,0))*1,1)</f>
        <v/>
      </c>
    </row>
    <row r="129">
      <c r="A129" s="23" t="inlineStr">
        <is>
          <t>20261101_1915</t>
        </is>
      </c>
      <c r="B129" s="13" t="n">
        <v>46327</v>
      </c>
      <c r="C129" s="14" t="n">
        <v>0.8020833333333334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24</v>
      </c>
      <c r="K129" s="16" t="n">
        <v>0</v>
      </c>
      <c r="L129" s="16" t="n">
        <v>21.82</v>
      </c>
      <c r="M129" s="16" t="n">
        <v>2.18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1</v>
      </c>
      <c r="R129" s="15">
        <f>IFERROR(INDEX(Tariffe!$E$2:$E$200,MATCH(E129,Tariffe!$A$2:$A$200,0))*1,1)</f>
        <v/>
      </c>
    </row>
    <row r="130">
      <c r="A130" s="22" t="inlineStr">
        <is>
          <t>20261101_2015</t>
        </is>
      </c>
      <c r="B130" s="9" t="n">
        <v>46327</v>
      </c>
      <c r="C130" s="10" t="n">
        <v>0.84375</v>
      </c>
      <c r="D130" s="22" t="inlineStr">
        <is>
          <t>UN Unico</t>
        </is>
      </c>
      <c r="E130" s="22" t="inlineStr">
        <is>
          <t>I1 48€</t>
        </is>
      </c>
      <c r="F130" s="22">
        <f>IFERROR(INDEX(Tariffe!$B$2:$B$200,MATCH(E130,Tariffe!$A$2:$A$200,0)),"DA DEFINIRE")</f>
        <v/>
      </c>
      <c r="G130" s="12" t="n">
        <v>48</v>
      </c>
      <c r="H130" s="11">
        <f>Q130*R130</f>
        <v/>
      </c>
      <c r="I130" s="11" t="n">
        <v>0</v>
      </c>
      <c r="J130" s="12" t="n">
        <v>576</v>
      </c>
      <c r="K130" s="12" t="n">
        <v>0</v>
      </c>
      <c r="L130" s="12" t="n">
        <v>523.6799999999999</v>
      </c>
      <c r="M130" s="12" t="n">
        <v>52.32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12</v>
      </c>
      <c r="R130" s="11">
        <f>IFERROR(INDEX(Tariffe!$E$2:$E$200,MATCH(E130,Tariffe!$A$2:$A$200,0))*1,1)</f>
        <v/>
      </c>
    </row>
    <row r="131">
      <c r="A131" s="23" t="inlineStr">
        <is>
          <t>20261101_2015</t>
        </is>
      </c>
      <c r="B131" s="13" t="n">
        <v>46327</v>
      </c>
      <c r="C131" s="14" t="n">
        <v>0.84375</v>
      </c>
      <c r="D131" s="23" t="inlineStr">
        <is>
          <t>UN Unico</t>
        </is>
      </c>
      <c r="E131" s="23" t="inlineStr">
        <is>
          <t>I2 36€</t>
        </is>
      </c>
      <c r="F131" s="23">
        <f>IFERROR(INDEX(Tariffe!$B$2:$B$200,MATCH(E131,Tariffe!$A$2:$A$200,0)),"DA DEFINIRE")</f>
        <v/>
      </c>
      <c r="G131" s="16" t="n">
        <v>36</v>
      </c>
      <c r="H131" s="15">
        <f>Q131*R131</f>
        <v/>
      </c>
      <c r="I131" s="15" t="n">
        <v>0</v>
      </c>
      <c r="J131" s="16" t="n">
        <v>108</v>
      </c>
      <c r="K131" s="16" t="n">
        <v>0</v>
      </c>
      <c r="L131" s="16" t="n">
        <v>98.19</v>
      </c>
      <c r="M131" s="16" t="n">
        <v>9.81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3</v>
      </c>
      <c r="R131" s="15">
        <f>IFERROR(INDEX(Tariffe!$E$2:$E$200,MATCH(E131,Tariffe!$A$2:$A$200,0))*1,1)</f>
        <v/>
      </c>
    </row>
    <row r="132">
      <c r="A132" s="22" t="inlineStr">
        <is>
          <t>20261101_2015</t>
        </is>
      </c>
      <c r="B132" s="9" t="n">
        <v>46327</v>
      </c>
      <c r="C132" s="10" t="n">
        <v>0.84375</v>
      </c>
      <c r="D132" s="22" t="inlineStr">
        <is>
          <t>UN Unico</t>
        </is>
      </c>
      <c r="E132" s="22" t="inlineStr">
        <is>
          <t>I5 60€</t>
        </is>
      </c>
      <c r="F132" s="22">
        <f>IFERROR(INDEX(Tariffe!$B$2:$B$200,MATCH(E132,Tariffe!$A$2:$A$200,0)),"DA DEFINIRE")</f>
        <v/>
      </c>
      <c r="G132" s="12" t="n">
        <v>60</v>
      </c>
      <c r="H132" s="11">
        <f>Q132*R132</f>
        <v/>
      </c>
      <c r="I132" s="11" t="n">
        <v>0</v>
      </c>
      <c r="J132" s="12" t="n">
        <v>120</v>
      </c>
      <c r="K132" s="12" t="n">
        <v>0</v>
      </c>
      <c r="L132" s="12" t="n">
        <v>109.1</v>
      </c>
      <c r="M132" s="12" t="n">
        <v>10.9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2</v>
      </c>
      <c r="R132" s="11">
        <f>IFERROR(INDEX(Tariffe!$E$2:$E$200,MATCH(E132,Tariffe!$A$2:$A$200,0))*1,1)</f>
        <v/>
      </c>
    </row>
    <row r="133">
      <c r="A133" s="23" t="inlineStr">
        <is>
          <t>20261101_2015</t>
        </is>
      </c>
      <c r="B133" s="13" t="n">
        <v>46327</v>
      </c>
      <c r="C133" s="14" t="n">
        <v>0.84375</v>
      </c>
      <c r="D133" s="23" t="inlineStr">
        <is>
          <t>UN Unico</t>
        </is>
      </c>
      <c r="E133" s="23" t="inlineStr">
        <is>
          <t>I8 24€</t>
        </is>
      </c>
      <c r="F133" s="23">
        <f>IFERROR(INDEX(Tariffe!$B$2:$B$200,MATCH(E133,Tariffe!$A$2:$A$200,0)),"DA DEFINIRE")</f>
        <v/>
      </c>
      <c r="G133" s="16" t="n">
        <v>24</v>
      </c>
      <c r="H133" s="15">
        <f>Q133*R133</f>
        <v/>
      </c>
      <c r="I133" s="15" t="n">
        <v>0</v>
      </c>
      <c r="J133" s="16" t="n">
        <v>192</v>
      </c>
      <c r="K133" s="16" t="n">
        <v>0</v>
      </c>
      <c r="L133" s="16" t="n">
        <v>174.56</v>
      </c>
      <c r="M133" s="16" t="n">
        <v>17.44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8</v>
      </c>
      <c r="R133" s="15">
        <f>IFERROR(INDEX(Tariffe!$E$2:$E$200,MATCH(E133,Tariffe!$A$2:$A$200,0))*1,1)</f>
        <v/>
      </c>
    </row>
    <row r="134">
      <c r="A134" s="22" t="inlineStr">
        <is>
          <t>20261101_2115</t>
        </is>
      </c>
      <c r="B134" s="9" t="n">
        <v>46327</v>
      </c>
      <c r="C134" s="10" t="n">
        <v>0.8854166666666666</v>
      </c>
      <c r="D134" s="22" t="inlineStr">
        <is>
          <t>UN Unico</t>
        </is>
      </c>
      <c r="E134" s="22" t="inlineStr">
        <is>
          <t>I1 48€</t>
        </is>
      </c>
      <c r="F134" s="22">
        <f>IFERROR(INDEX(Tariffe!$B$2:$B$200,MATCH(E134,Tariffe!$A$2:$A$200,0)),"DA DEFINIRE")</f>
        <v/>
      </c>
      <c r="G134" s="12" t="n">
        <v>48</v>
      </c>
      <c r="H134" s="11">
        <f>Q134*R134</f>
        <v/>
      </c>
      <c r="I134" s="11" t="n">
        <v>0</v>
      </c>
      <c r="J134" s="12" t="n">
        <v>960</v>
      </c>
      <c r="K134" s="12" t="n">
        <v>0</v>
      </c>
      <c r="L134" s="12" t="n">
        <v>872.8</v>
      </c>
      <c r="M134" s="12" t="n">
        <v>87.2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20</v>
      </c>
      <c r="R134" s="11">
        <f>IFERROR(INDEX(Tariffe!$E$2:$E$200,MATCH(E134,Tariffe!$A$2:$A$200,0))*1,1)</f>
        <v/>
      </c>
    </row>
    <row r="135">
      <c r="A135" s="23" t="inlineStr">
        <is>
          <t>20261101_2115</t>
        </is>
      </c>
      <c r="B135" s="13" t="n">
        <v>46327</v>
      </c>
      <c r="C135" s="14" t="n">
        <v>0.8854166666666666</v>
      </c>
      <c r="D135" s="23" t="inlineStr">
        <is>
          <t>UN Unico</t>
        </is>
      </c>
      <c r="E135" s="23" t="inlineStr">
        <is>
          <t>I2 36€</t>
        </is>
      </c>
      <c r="F135" s="23">
        <f>IFERROR(INDEX(Tariffe!$B$2:$B$200,MATCH(E135,Tariffe!$A$2:$A$200,0)),"DA DEFINIRE")</f>
        <v/>
      </c>
      <c r="G135" s="16" t="n">
        <v>36</v>
      </c>
      <c r="H135" s="15">
        <f>Q135*R135</f>
        <v/>
      </c>
      <c r="I135" s="15" t="n">
        <v>0</v>
      </c>
      <c r="J135" s="16" t="n">
        <v>180</v>
      </c>
      <c r="K135" s="16" t="n">
        <v>0</v>
      </c>
      <c r="L135" s="16" t="n">
        <v>163.65</v>
      </c>
      <c r="M135" s="16" t="n">
        <v>16.35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5</v>
      </c>
      <c r="R135" s="15">
        <f>IFERROR(INDEX(Tariffe!$E$2:$E$200,MATCH(E135,Tariffe!$A$2:$A$200,0))*1,1)</f>
        <v/>
      </c>
    </row>
    <row r="136">
      <c r="A136" s="22" t="inlineStr">
        <is>
          <t>20261101_2115</t>
        </is>
      </c>
      <c r="B136" s="9" t="n">
        <v>46327</v>
      </c>
      <c r="C136" s="10" t="n">
        <v>0.8854166666666666</v>
      </c>
      <c r="D136" s="22" t="inlineStr">
        <is>
          <t>UN Unico</t>
        </is>
      </c>
      <c r="E136" s="22" t="inlineStr">
        <is>
          <t>I5 60€</t>
        </is>
      </c>
      <c r="F136" s="22">
        <f>IFERROR(INDEX(Tariffe!$B$2:$B$200,MATCH(E136,Tariffe!$A$2:$A$200,0)),"DA DEFINIRE")</f>
        <v/>
      </c>
      <c r="G136" s="12" t="n">
        <v>60</v>
      </c>
      <c r="H136" s="11">
        <f>Q136*R136</f>
        <v/>
      </c>
      <c r="I136" s="11" t="n">
        <v>0</v>
      </c>
      <c r="J136" s="12" t="n">
        <v>420</v>
      </c>
      <c r="K136" s="12" t="n">
        <v>0</v>
      </c>
      <c r="L136" s="12" t="n">
        <v>381.85</v>
      </c>
      <c r="M136" s="12" t="n">
        <v>38.15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7</v>
      </c>
      <c r="R136" s="11">
        <f>IFERROR(INDEX(Tariffe!$E$2:$E$200,MATCH(E136,Tariffe!$A$2:$A$200,0))*1,1)</f>
        <v/>
      </c>
    </row>
    <row r="137">
      <c r="A137" s="23" t="inlineStr">
        <is>
          <t>20261101_2115</t>
        </is>
      </c>
      <c r="B137" s="13" t="n">
        <v>46327</v>
      </c>
      <c r="C137" s="14" t="n">
        <v>0.8854166666666666</v>
      </c>
      <c r="D137" s="23" t="inlineStr">
        <is>
          <t>UN Unico</t>
        </is>
      </c>
      <c r="E137" s="23" t="inlineStr">
        <is>
          <t>I8 24€</t>
        </is>
      </c>
      <c r="F137" s="23">
        <f>IFERROR(INDEX(Tariffe!$B$2:$B$200,MATCH(E137,Tariffe!$A$2:$A$200,0)),"DA DEFINIRE")</f>
        <v/>
      </c>
      <c r="G137" s="16" t="n">
        <v>24</v>
      </c>
      <c r="H137" s="15">
        <f>Q137*R137</f>
        <v/>
      </c>
      <c r="I137" s="15" t="n">
        <v>0</v>
      </c>
      <c r="J137" s="16" t="n">
        <v>432</v>
      </c>
      <c r="K137" s="16" t="n">
        <v>0</v>
      </c>
      <c r="L137" s="16" t="n">
        <v>392.76</v>
      </c>
      <c r="M137" s="16" t="n">
        <v>39.24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18</v>
      </c>
      <c r="R137" s="15">
        <f>IFERROR(INDEX(Tariffe!$E$2:$E$200,MATCH(E137,Tariffe!$A$2:$A$200,0))*1,1)</f>
        <v/>
      </c>
    </row>
    <row r="138">
      <c r="A138" s="22" t="inlineStr">
        <is>
          <t>20261101_2215</t>
        </is>
      </c>
      <c r="B138" s="9" t="n">
        <v>46327</v>
      </c>
      <c r="C138" s="10" t="n">
        <v>0.9270833333333334</v>
      </c>
      <c r="D138" s="22" t="inlineStr">
        <is>
          <t>UN Unico</t>
        </is>
      </c>
      <c r="E138" s="22" t="inlineStr">
        <is>
          <t>I1 48€</t>
        </is>
      </c>
      <c r="F138" s="22">
        <f>IFERROR(INDEX(Tariffe!$B$2:$B$200,MATCH(E138,Tariffe!$A$2:$A$200,0)),"DA DEFINIRE")</f>
        <v/>
      </c>
      <c r="G138" s="12" t="n">
        <v>48</v>
      </c>
      <c r="H138" s="11">
        <f>Q138*R138</f>
        <v/>
      </c>
      <c r="I138" s="11" t="n">
        <v>0</v>
      </c>
      <c r="J138" s="12" t="n">
        <v>1632</v>
      </c>
      <c r="K138" s="12" t="n">
        <v>0</v>
      </c>
      <c r="L138" s="12" t="n">
        <v>1483.76</v>
      </c>
      <c r="M138" s="12" t="n">
        <v>148.24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34</v>
      </c>
      <c r="R138" s="11">
        <f>IFERROR(INDEX(Tariffe!$E$2:$E$200,MATCH(E138,Tariffe!$A$2:$A$200,0))*1,1)</f>
        <v/>
      </c>
    </row>
    <row r="139">
      <c r="A139" s="23" t="inlineStr">
        <is>
          <t>20261101_2215</t>
        </is>
      </c>
      <c r="B139" s="13" t="n">
        <v>46327</v>
      </c>
      <c r="C139" s="14" t="n">
        <v>0.9270833333333334</v>
      </c>
      <c r="D139" s="23" t="inlineStr">
        <is>
          <t>UN Unico</t>
        </is>
      </c>
      <c r="E139" s="23" t="inlineStr">
        <is>
          <t>I2 36€</t>
        </is>
      </c>
      <c r="F139" s="23">
        <f>IFERROR(INDEX(Tariffe!$B$2:$B$200,MATCH(E139,Tariffe!$A$2:$A$200,0)),"DA DEFINIRE")</f>
        <v/>
      </c>
      <c r="G139" s="16" t="n">
        <v>36</v>
      </c>
      <c r="H139" s="15">
        <f>Q139*R139</f>
        <v/>
      </c>
      <c r="I139" s="15" t="n">
        <v>0</v>
      </c>
      <c r="J139" s="16" t="n">
        <v>216</v>
      </c>
      <c r="K139" s="16" t="n">
        <v>0</v>
      </c>
      <c r="L139" s="16" t="n">
        <v>196.38</v>
      </c>
      <c r="M139" s="16" t="n">
        <v>19.62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6</v>
      </c>
      <c r="R139" s="15">
        <f>IFERROR(INDEX(Tariffe!$E$2:$E$200,MATCH(E139,Tariffe!$A$2:$A$200,0))*1,1)</f>
        <v/>
      </c>
    </row>
    <row r="140">
      <c r="A140" s="22" t="inlineStr">
        <is>
          <t>20261101_2215</t>
        </is>
      </c>
      <c r="B140" s="9" t="n">
        <v>46327</v>
      </c>
      <c r="C140" s="10" t="n">
        <v>0.9270833333333334</v>
      </c>
      <c r="D140" s="22" t="inlineStr">
        <is>
          <t>UN Unico</t>
        </is>
      </c>
      <c r="E140" s="22" t="inlineStr">
        <is>
          <t>I5 60€</t>
        </is>
      </c>
      <c r="F140" s="22">
        <f>IFERROR(INDEX(Tariffe!$B$2:$B$200,MATCH(E140,Tariffe!$A$2:$A$200,0)),"DA DEFINIRE")</f>
        <v/>
      </c>
      <c r="G140" s="12" t="n">
        <v>60</v>
      </c>
      <c r="H140" s="11">
        <f>Q140*R140</f>
        <v/>
      </c>
      <c r="I140" s="11" t="n">
        <v>0</v>
      </c>
      <c r="J140" s="12" t="n">
        <v>300</v>
      </c>
      <c r="K140" s="12" t="n">
        <v>0</v>
      </c>
      <c r="L140" s="12" t="n">
        <v>272.75</v>
      </c>
      <c r="M140" s="12" t="n">
        <v>27.25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5</v>
      </c>
      <c r="R140" s="11">
        <f>IFERROR(INDEX(Tariffe!$E$2:$E$200,MATCH(E140,Tariffe!$A$2:$A$200,0))*1,1)</f>
        <v/>
      </c>
    </row>
    <row r="141">
      <c r="A141" s="23" t="inlineStr">
        <is>
          <t>20261101_2215</t>
        </is>
      </c>
      <c r="B141" s="13" t="n">
        <v>46327</v>
      </c>
      <c r="C141" s="14" t="n">
        <v>0.9270833333333334</v>
      </c>
      <c r="D141" s="23" t="inlineStr">
        <is>
          <t>UN Unico</t>
        </is>
      </c>
      <c r="E141" s="23" t="inlineStr">
        <is>
          <t>I8 24€</t>
        </is>
      </c>
      <c r="F141" s="23">
        <f>IFERROR(INDEX(Tariffe!$B$2:$B$200,MATCH(E141,Tariffe!$A$2:$A$200,0)),"DA DEFINIRE")</f>
        <v/>
      </c>
      <c r="G141" s="16" t="n">
        <v>24</v>
      </c>
      <c r="H141" s="15">
        <f>Q141*R141</f>
        <v/>
      </c>
      <c r="I141" s="15" t="n">
        <v>0</v>
      </c>
      <c r="J141" s="16" t="n">
        <v>696</v>
      </c>
      <c r="K141" s="16" t="n">
        <v>0</v>
      </c>
      <c r="L141" s="16" t="n">
        <v>632.78</v>
      </c>
      <c r="M141" s="16" t="n">
        <v>63.22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29</v>
      </c>
      <c r="R141" s="15">
        <f>IFERROR(INDEX(Tariffe!$E$2:$E$200,MATCH(E141,Tariffe!$A$2:$A$200,0))*1,1)</f>
        <v/>
      </c>
    </row>
    <row r="142">
      <c r="A142" s="22" t="inlineStr">
        <is>
          <t>20261101_2315</t>
        </is>
      </c>
      <c r="B142" s="9" t="n">
        <v>46327</v>
      </c>
      <c r="C142" s="10" t="n">
        <v>0.96875</v>
      </c>
      <c r="D142" s="22" t="inlineStr">
        <is>
          <t>UN Unico</t>
        </is>
      </c>
      <c r="E142" s="22" t="inlineStr">
        <is>
          <t>I1 48€</t>
        </is>
      </c>
      <c r="F142" s="22">
        <f>IFERROR(INDEX(Tariffe!$B$2:$B$200,MATCH(E142,Tariffe!$A$2:$A$200,0)),"DA DEFINIRE")</f>
        <v/>
      </c>
      <c r="G142" s="12" t="n">
        <v>48</v>
      </c>
      <c r="H142" s="11">
        <f>Q142*R142</f>
        <v/>
      </c>
      <c r="I142" s="11" t="n">
        <v>0</v>
      </c>
      <c r="J142" s="12" t="n">
        <v>864</v>
      </c>
      <c r="K142" s="12" t="n">
        <v>0</v>
      </c>
      <c r="L142" s="12" t="n">
        <v>785.52</v>
      </c>
      <c r="M142" s="12" t="n">
        <v>78.48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18</v>
      </c>
      <c r="R142" s="11">
        <f>IFERROR(INDEX(Tariffe!$E$2:$E$200,MATCH(E142,Tariffe!$A$2:$A$200,0))*1,1)</f>
        <v/>
      </c>
    </row>
    <row r="143">
      <c r="A143" s="23" t="inlineStr">
        <is>
          <t>20261101_2315</t>
        </is>
      </c>
      <c r="B143" s="13" t="n">
        <v>46327</v>
      </c>
      <c r="C143" s="14" t="n">
        <v>0.96875</v>
      </c>
      <c r="D143" s="23" t="inlineStr">
        <is>
          <t>UN Unico</t>
        </is>
      </c>
      <c r="E143" s="23" t="inlineStr">
        <is>
          <t>I2 36€</t>
        </is>
      </c>
      <c r="F143" s="23">
        <f>IFERROR(INDEX(Tariffe!$B$2:$B$200,MATCH(E143,Tariffe!$A$2:$A$200,0)),"DA DEFINIRE")</f>
        <v/>
      </c>
      <c r="G143" s="16" t="n">
        <v>36</v>
      </c>
      <c r="H143" s="15">
        <f>Q143*R143</f>
        <v/>
      </c>
      <c r="I143" s="15" t="n">
        <v>0</v>
      </c>
      <c r="J143" s="16" t="n">
        <v>288</v>
      </c>
      <c r="K143" s="16" t="n">
        <v>0</v>
      </c>
      <c r="L143" s="16" t="n">
        <v>261.84</v>
      </c>
      <c r="M143" s="16" t="n">
        <v>26.16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8</v>
      </c>
      <c r="R143" s="15">
        <f>IFERROR(INDEX(Tariffe!$E$2:$E$200,MATCH(E143,Tariffe!$A$2:$A$200,0))*1,1)</f>
        <v/>
      </c>
    </row>
    <row r="144">
      <c r="A144" s="22" t="inlineStr">
        <is>
          <t>20261101_2315</t>
        </is>
      </c>
      <c r="B144" s="9" t="n">
        <v>46327</v>
      </c>
      <c r="C144" s="10" t="n">
        <v>0.96875</v>
      </c>
      <c r="D144" s="22" t="inlineStr">
        <is>
          <t>UN Unico</t>
        </is>
      </c>
      <c r="E144" s="22" t="inlineStr">
        <is>
          <t>I5 60€</t>
        </is>
      </c>
      <c r="F144" s="22">
        <f>IFERROR(INDEX(Tariffe!$B$2:$B$200,MATCH(E144,Tariffe!$A$2:$A$200,0)),"DA DEFINIRE")</f>
        <v/>
      </c>
      <c r="G144" s="12" t="n">
        <v>60</v>
      </c>
      <c r="H144" s="11">
        <f>Q144*R144</f>
        <v/>
      </c>
      <c r="I144" s="11" t="n">
        <v>0</v>
      </c>
      <c r="J144" s="12" t="n">
        <v>360</v>
      </c>
      <c r="K144" s="12" t="n">
        <v>0</v>
      </c>
      <c r="L144" s="12" t="n">
        <v>327.3</v>
      </c>
      <c r="M144" s="12" t="n">
        <v>32.7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6</v>
      </c>
      <c r="R144" s="11">
        <f>IFERROR(INDEX(Tariffe!$E$2:$E$200,MATCH(E144,Tariffe!$A$2:$A$200,0))*1,1)</f>
        <v/>
      </c>
    </row>
    <row r="145">
      <c r="A145" s="23" t="inlineStr">
        <is>
          <t>20261101_2315</t>
        </is>
      </c>
      <c r="B145" s="13" t="n">
        <v>46327</v>
      </c>
      <c r="C145" s="14" t="n">
        <v>0.96875</v>
      </c>
      <c r="D145" s="23" t="inlineStr">
        <is>
          <t>UN Unico</t>
        </is>
      </c>
      <c r="E145" s="23" t="inlineStr">
        <is>
          <t>I8 24€</t>
        </is>
      </c>
      <c r="F145" s="23">
        <f>IFERROR(INDEX(Tariffe!$B$2:$B$200,MATCH(E145,Tariffe!$A$2:$A$200,0)),"DA DEFINIRE")</f>
        <v/>
      </c>
      <c r="G145" s="16" t="n">
        <v>24</v>
      </c>
      <c r="H145" s="15">
        <f>Q145*R145</f>
        <v/>
      </c>
      <c r="I145" s="15" t="n">
        <v>0</v>
      </c>
      <c r="J145" s="16" t="n">
        <v>216</v>
      </c>
      <c r="K145" s="16" t="n">
        <v>0</v>
      </c>
      <c r="L145" s="16" t="n">
        <v>196.38</v>
      </c>
      <c r="M145" s="16" t="n">
        <v>19.62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9</v>
      </c>
      <c r="R145" s="15">
        <f>IFERROR(INDEX(Tariffe!$E$2:$E$200,MATCH(E145,Tariffe!$A$2:$A$200,0))*1,1)</f>
        <v/>
      </c>
    </row>
    <row r="146">
      <c r="A146" s="22" t="inlineStr">
        <is>
          <t>20261101_2359</t>
        </is>
      </c>
      <c r="B146" s="9" t="n">
        <v>46327</v>
      </c>
      <c r="C146" s="10" t="n">
        <v>0.9993055555555556</v>
      </c>
      <c r="D146" s="22" t="inlineStr">
        <is>
          <t>UN Unico</t>
        </is>
      </c>
      <c r="E146" s="22" t="inlineStr">
        <is>
          <t>I1 48€</t>
        </is>
      </c>
      <c r="F146" s="22">
        <f>IFERROR(INDEX(Tariffe!$B$2:$B$200,MATCH(E146,Tariffe!$A$2:$A$200,0)),"DA DEFINIRE")</f>
        <v/>
      </c>
      <c r="G146" s="12" t="n">
        <v>48</v>
      </c>
      <c r="H146" s="11">
        <f>Q146*R146</f>
        <v/>
      </c>
      <c r="I146" s="11" t="n">
        <v>0</v>
      </c>
      <c r="J146" s="12" t="n">
        <v>672</v>
      </c>
      <c r="K146" s="12" t="n">
        <v>0</v>
      </c>
      <c r="L146" s="12" t="n">
        <v>610.96</v>
      </c>
      <c r="M146" s="12" t="n">
        <v>61.04</v>
      </c>
      <c r="N146" s="22" t="inlineStr">
        <is>
          <t>11/2026</t>
        </is>
      </c>
      <c r="O146" s="11">
        <f>IFERROR(INDEX(Tariffe!$D$2:$D$200,MATCH(E146,Tariffe!$A$2:$A$200,0))*1,0)</f>
        <v/>
      </c>
      <c r="P146" s="11">
        <f>Q146*O146</f>
        <v/>
      </c>
      <c r="Q146" s="11" t="n">
        <v>14</v>
      </c>
      <c r="R146" s="11">
        <f>IFERROR(INDEX(Tariffe!$E$2:$E$200,MATCH(E146,Tariffe!$A$2:$A$200,0))*1,1)</f>
        <v/>
      </c>
    </row>
    <row r="147">
      <c r="A147" s="23" t="inlineStr">
        <is>
          <t>20261101_2359</t>
        </is>
      </c>
      <c r="B147" s="13" t="n">
        <v>46327</v>
      </c>
      <c r="C147" s="14" t="n">
        <v>0.9993055555555556</v>
      </c>
      <c r="D147" s="23" t="inlineStr">
        <is>
          <t>UN Unico</t>
        </is>
      </c>
      <c r="E147" s="23" t="inlineStr">
        <is>
          <t>I2 36€</t>
        </is>
      </c>
      <c r="F147" s="23">
        <f>IFERROR(INDEX(Tariffe!$B$2:$B$200,MATCH(E147,Tariffe!$A$2:$A$200,0)),"DA DEFINIRE")</f>
        <v/>
      </c>
      <c r="G147" s="16" t="n">
        <v>36</v>
      </c>
      <c r="H147" s="15">
        <f>Q147*R147</f>
        <v/>
      </c>
      <c r="I147" s="15" t="n">
        <v>0</v>
      </c>
      <c r="J147" s="16" t="n">
        <v>36</v>
      </c>
      <c r="K147" s="16" t="n">
        <v>0</v>
      </c>
      <c r="L147" s="16" t="n">
        <v>32.73</v>
      </c>
      <c r="M147" s="16" t="n">
        <v>3.27</v>
      </c>
      <c r="N147" s="23" t="inlineStr">
        <is>
          <t>11/2026</t>
        </is>
      </c>
      <c r="O147" s="15">
        <f>IFERROR(INDEX(Tariffe!$D$2:$D$200,MATCH(E147,Tariffe!$A$2:$A$200,0))*1,0)</f>
        <v/>
      </c>
      <c r="P147" s="15">
        <f>Q147*O147</f>
        <v/>
      </c>
      <c r="Q147" s="15" t="n">
        <v>1</v>
      </c>
      <c r="R147" s="15">
        <f>IFERROR(INDEX(Tariffe!$E$2:$E$200,MATCH(E147,Tariffe!$A$2:$A$200,0))*1,1)</f>
        <v/>
      </c>
    </row>
    <row r="148">
      <c r="A148" s="22" t="inlineStr">
        <is>
          <t>20261101_2359</t>
        </is>
      </c>
      <c r="B148" s="9" t="n">
        <v>46327</v>
      </c>
      <c r="C148" s="10" t="n">
        <v>0.9993055555555556</v>
      </c>
      <c r="D148" s="22" t="inlineStr">
        <is>
          <t>UN Unico</t>
        </is>
      </c>
      <c r="E148" s="22" t="inlineStr">
        <is>
          <t>I5 60€</t>
        </is>
      </c>
      <c r="F148" s="22">
        <f>IFERROR(INDEX(Tariffe!$B$2:$B$200,MATCH(E148,Tariffe!$A$2:$A$200,0)),"DA DEFINIRE")</f>
        <v/>
      </c>
      <c r="G148" s="12" t="n">
        <v>60</v>
      </c>
      <c r="H148" s="11">
        <f>Q148*R148</f>
        <v/>
      </c>
      <c r="I148" s="11" t="n">
        <v>0</v>
      </c>
      <c r="J148" s="12" t="n">
        <v>60</v>
      </c>
      <c r="K148" s="12" t="n">
        <v>0</v>
      </c>
      <c r="L148" s="12" t="n">
        <v>54.55</v>
      </c>
      <c r="M148" s="12" t="n">
        <v>5.45</v>
      </c>
      <c r="N148" s="22" t="inlineStr">
        <is>
          <t>11/2026</t>
        </is>
      </c>
      <c r="O148" s="11">
        <f>IFERROR(INDEX(Tariffe!$D$2:$D$200,MATCH(E148,Tariffe!$A$2:$A$200,0))*1,0)</f>
        <v/>
      </c>
      <c r="P148" s="11">
        <f>Q148*O148</f>
        <v/>
      </c>
      <c r="Q148" s="11" t="n">
        <v>1</v>
      </c>
      <c r="R148" s="11">
        <f>IFERROR(INDEX(Tariffe!$E$2:$E$200,MATCH(E148,Tariffe!$A$2:$A$200,0))*1,1)</f>
        <v/>
      </c>
    </row>
    <row r="149">
      <c r="A149" s="23" t="inlineStr">
        <is>
          <t>20261101_2359</t>
        </is>
      </c>
      <c r="B149" s="13" t="n">
        <v>46327</v>
      </c>
      <c r="C149" s="14" t="n">
        <v>0.9993055555555556</v>
      </c>
      <c r="D149" s="23" t="inlineStr">
        <is>
          <t>UN Unico</t>
        </is>
      </c>
      <c r="E149" s="23" t="inlineStr">
        <is>
          <t>I8 24€</t>
        </is>
      </c>
      <c r="F149" s="23">
        <f>IFERROR(INDEX(Tariffe!$B$2:$B$200,MATCH(E149,Tariffe!$A$2:$A$200,0)),"DA DEFINIRE")</f>
        <v/>
      </c>
      <c r="G149" s="16" t="n">
        <v>24</v>
      </c>
      <c r="H149" s="15">
        <f>Q149*R149</f>
        <v/>
      </c>
      <c r="I149" s="15" t="n">
        <v>0</v>
      </c>
      <c r="J149" s="16" t="n">
        <v>312</v>
      </c>
      <c r="K149" s="16" t="n">
        <v>0</v>
      </c>
      <c r="L149" s="16" t="n">
        <v>283.66</v>
      </c>
      <c r="M149" s="16" t="n">
        <v>28.34</v>
      </c>
      <c r="N149" s="23" t="inlineStr">
        <is>
          <t>11/2026</t>
        </is>
      </c>
      <c r="O149" s="15">
        <f>IFERROR(INDEX(Tariffe!$D$2:$D$200,MATCH(E149,Tariffe!$A$2:$A$200,0))*1,0)</f>
        <v/>
      </c>
      <c r="P149" s="15">
        <f>Q149*O149</f>
        <v/>
      </c>
      <c r="Q149" s="15" t="n">
        <v>13</v>
      </c>
      <c r="R149" s="15">
        <f>IFERROR(INDEX(Tariffe!$E$2:$E$200,MATCH(E149,Tariffe!$A$2:$A$200,0))*1,1)</f>
        <v/>
      </c>
    </row>
    <row r="150">
      <c r="A150" s="22" t="inlineStr">
        <is>
          <t>20261102_2015</t>
        </is>
      </c>
      <c r="B150" s="9" t="n">
        <v>46328</v>
      </c>
      <c r="C150" s="10" t="n">
        <v>0.84375</v>
      </c>
      <c r="D150" s="22" t="inlineStr">
        <is>
          <t>UN Unico</t>
        </is>
      </c>
      <c r="E150" s="22" t="inlineStr">
        <is>
          <t>I1 15€</t>
        </is>
      </c>
      <c r="F150" s="22">
        <f>IFERROR(INDEX(Tariffe!$B$2:$B$200,MATCH(E150,Tariffe!$A$2:$A$200,0)),"DA DEFINIRE")</f>
        <v/>
      </c>
      <c r="G150" s="12" t="n">
        <v>15</v>
      </c>
      <c r="H150" s="11">
        <f>Q150*R150</f>
        <v/>
      </c>
      <c r="I150" s="11" t="n">
        <v>0</v>
      </c>
      <c r="J150" s="12" t="n">
        <v>30</v>
      </c>
      <c r="K150" s="12" t="n">
        <v>0</v>
      </c>
      <c r="L150" s="12" t="n">
        <v>27.28</v>
      </c>
      <c r="M150" s="12" t="n">
        <v>2.72</v>
      </c>
      <c r="N150" s="22" t="inlineStr">
        <is>
          <t>11/2026</t>
        </is>
      </c>
      <c r="O150" s="11">
        <f>IFERROR(INDEX(Tariffe!$D$2:$D$200,MATCH(E150,Tariffe!$A$2:$A$200,0))*1,0)</f>
        <v/>
      </c>
      <c r="P150" s="11">
        <f>Q150*O150</f>
        <v/>
      </c>
      <c r="Q150" s="11" t="n">
        <v>2</v>
      </c>
      <c r="R150" s="11">
        <f>IFERROR(INDEX(Tariffe!$E$2:$E$200,MATCH(E150,Tariffe!$A$2:$A$200,0))*1,1)</f>
        <v/>
      </c>
    </row>
    <row r="151">
      <c r="A151" s="23" t="inlineStr">
        <is>
          <t>20261102_2215</t>
        </is>
      </c>
      <c r="B151" s="13" t="n">
        <v>46328</v>
      </c>
      <c r="C151" s="14" t="n">
        <v>0.9270833333333334</v>
      </c>
      <c r="D151" s="23" t="inlineStr">
        <is>
          <t>UN Unico</t>
        </is>
      </c>
      <c r="E151" s="23" t="inlineStr">
        <is>
          <t>I1 15€</t>
        </is>
      </c>
      <c r="F151" s="23">
        <f>IFERROR(INDEX(Tariffe!$B$2:$B$200,MATCH(E151,Tariffe!$A$2:$A$200,0)),"DA DEFINIRE")</f>
        <v/>
      </c>
      <c r="G151" s="16" t="n">
        <v>15</v>
      </c>
      <c r="H151" s="15">
        <f>Q151*R151</f>
        <v/>
      </c>
      <c r="I151" s="15" t="n">
        <v>0</v>
      </c>
      <c r="J151" s="16" t="n">
        <v>90</v>
      </c>
      <c r="K151" s="16" t="n">
        <v>0</v>
      </c>
      <c r="L151" s="16" t="n">
        <v>81.84</v>
      </c>
      <c r="M151" s="16" t="n">
        <v>8.16</v>
      </c>
      <c r="N151" s="23" t="inlineStr">
        <is>
          <t>11/2026</t>
        </is>
      </c>
      <c r="O151" s="15">
        <f>IFERROR(INDEX(Tariffe!$D$2:$D$200,MATCH(E151,Tariffe!$A$2:$A$200,0))*1,0)</f>
        <v/>
      </c>
      <c r="P151" s="15">
        <f>Q151*O151</f>
        <v/>
      </c>
      <c r="Q151" s="15" t="n">
        <v>6</v>
      </c>
      <c r="R151" s="15">
        <f>IFERROR(INDEX(Tariffe!$E$2:$E$200,MATCH(E151,Tariffe!$A$2:$A$200,0))*1,1)</f>
        <v/>
      </c>
    </row>
    <row r="152">
      <c r="A152" s="22" t="inlineStr">
        <is>
          <t>20261102_2315</t>
        </is>
      </c>
      <c r="B152" s="9" t="n">
        <v>46328</v>
      </c>
      <c r="C152" s="10" t="n">
        <v>0.96875</v>
      </c>
      <c r="D152" s="22" t="inlineStr">
        <is>
          <t>UN Unico</t>
        </is>
      </c>
      <c r="E152" s="22" t="inlineStr">
        <is>
          <t>I1 15€</t>
        </is>
      </c>
      <c r="F152" s="22">
        <f>IFERROR(INDEX(Tariffe!$B$2:$B$200,MATCH(E152,Tariffe!$A$2:$A$200,0)),"DA DEFINIRE")</f>
        <v/>
      </c>
      <c r="G152" s="12" t="n">
        <v>15</v>
      </c>
      <c r="H152" s="11">
        <f>Q152*R152</f>
        <v/>
      </c>
      <c r="I152" s="11" t="n">
        <v>0</v>
      </c>
      <c r="J152" s="12" t="n">
        <v>45</v>
      </c>
      <c r="K152" s="12" t="n">
        <v>0</v>
      </c>
      <c r="L152" s="12" t="n">
        <v>40.92</v>
      </c>
      <c r="M152" s="12" t="n">
        <v>4.08</v>
      </c>
      <c r="N152" s="22" t="inlineStr">
        <is>
          <t>11/2026</t>
        </is>
      </c>
      <c r="O152" s="11">
        <f>IFERROR(INDEX(Tariffe!$D$2:$D$200,MATCH(E152,Tariffe!$A$2:$A$200,0))*1,0)</f>
        <v/>
      </c>
      <c r="P152" s="11">
        <f>Q152*O152</f>
        <v/>
      </c>
      <c r="Q152" s="11" t="n">
        <v>3</v>
      </c>
      <c r="R152" s="11">
        <f>IFERROR(INDEX(Tariffe!$E$2:$E$200,MATCH(E152,Tariffe!$A$2:$A$200,0))*1,1)</f>
        <v/>
      </c>
    </row>
    <row r="153">
      <c r="A153" s="23" t="inlineStr">
        <is>
          <t>20261102_2359</t>
        </is>
      </c>
      <c r="B153" s="13" t="n">
        <v>46328</v>
      </c>
      <c r="C153" s="14" t="n">
        <v>0.9993055555555556</v>
      </c>
      <c r="D153" s="23" t="inlineStr">
        <is>
          <t>UN Unico</t>
        </is>
      </c>
      <c r="E153" s="23" t="inlineStr">
        <is>
          <t>I1 15€</t>
        </is>
      </c>
      <c r="F153" s="23">
        <f>IFERROR(INDEX(Tariffe!$B$2:$B$200,MATCH(E153,Tariffe!$A$2:$A$200,0)),"DA DEFINIRE")</f>
        <v/>
      </c>
      <c r="G153" s="16" t="n">
        <v>15</v>
      </c>
      <c r="H153" s="15">
        <f>Q153*R153</f>
        <v/>
      </c>
      <c r="I153" s="15" t="n">
        <v>0</v>
      </c>
      <c r="J153" s="16" t="n">
        <v>15</v>
      </c>
      <c r="K153" s="16" t="n">
        <v>0</v>
      </c>
      <c r="L153" s="16" t="n">
        <v>13.64</v>
      </c>
      <c r="M153" s="16" t="n">
        <v>1.36</v>
      </c>
      <c r="N153" s="23" t="inlineStr">
        <is>
          <t>11/2026</t>
        </is>
      </c>
      <c r="O153" s="15">
        <f>IFERROR(INDEX(Tariffe!$D$2:$D$200,MATCH(E153,Tariffe!$A$2:$A$200,0))*1,0)</f>
        <v/>
      </c>
      <c r="P153" s="15">
        <f>Q153*O153</f>
        <v/>
      </c>
      <c r="Q153" s="15" t="n">
        <v>1</v>
      </c>
      <c r="R153" s="15">
        <f>IFERROR(INDEX(Tariffe!$E$2:$E$200,MATCH(E153,Tariffe!$A$2:$A$200,0))*1,1)</f>
        <v/>
      </c>
    </row>
  </sheetData>
  <autoFilter ref="A1:R15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5576</v>
      </c>
      <c r="D777" s="16" t="n">
        <v>66948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5590</v>
      </c>
      <c r="D778" s="12" t="n">
        <v>67116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5592</v>
      </c>
      <c r="D779" s="16" t="n">
        <v>67140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5630</v>
      </c>
      <c r="D780" s="12" t="n">
        <v>67596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5633</v>
      </c>
      <c r="D781" s="16" t="n">
        <v>67632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5643</v>
      </c>
      <c r="D782" s="12" t="n">
        <v>67752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5708</v>
      </c>
      <c r="D783" s="16" t="n">
        <v>68532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5723</v>
      </c>
      <c r="D784" s="12" t="n">
        <v>68712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5790</v>
      </c>
      <c r="D785" s="16" t="n">
        <v>69516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5820</v>
      </c>
      <c r="D786" s="12" t="n">
        <v>69876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5910</v>
      </c>
      <c r="D787" s="16" t="n">
        <v>70956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5999</v>
      </c>
      <c r="D788" s="12" t="n">
        <v>72024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6017</v>
      </c>
      <c r="D789" s="16" t="n">
        <v>72240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6033</v>
      </c>
      <c r="D790" s="12" t="n">
        <v>72432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6064</v>
      </c>
      <c r="D791" s="16" t="n">
        <v>72804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6069</v>
      </c>
      <c r="D792" s="12" t="n">
        <v>72864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6069</v>
      </c>
      <c r="D793" s="16" t="n">
        <v>72864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6069</v>
      </c>
      <c r="D794" s="12" t="n">
        <v>72864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6069</v>
      </c>
      <c r="D795" s="16" t="n">
        <v>72864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  <row r="796">
      <c r="A796" s="30" t="n">
        <v>46323.27569444444</v>
      </c>
      <c r="B796" s="11" t="n">
        <v>1944</v>
      </c>
      <c r="C796" s="11" t="n">
        <v>6069</v>
      </c>
      <c r="D796" s="12" t="n">
        <v>72864</v>
      </c>
      <c r="E796" s="31">
        <f>B796-B795</f>
        <v/>
      </c>
      <c r="F796" s="31">
        <f>C796-C795</f>
        <v/>
      </c>
      <c r="G796" s="32">
        <f>D796-D795</f>
        <v/>
      </c>
      <c r="H796">
        <f>TEXT(A796,"DD/MM HH:MM")</f>
        <v/>
      </c>
    </row>
    <row r="797">
      <c r="A797" s="33" t="n">
        <v>46323.32083333333</v>
      </c>
      <c r="B797" s="15" t="n">
        <v>1944</v>
      </c>
      <c r="C797" s="15" t="n">
        <v>6069</v>
      </c>
      <c r="D797" s="16" t="n">
        <v>72864</v>
      </c>
      <c r="E797" s="34">
        <f>B797-B796</f>
        <v/>
      </c>
      <c r="F797" s="34">
        <f>C797-C796</f>
        <v/>
      </c>
      <c r="G797" s="35">
        <f>D797-D796</f>
        <v/>
      </c>
      <c r="H797">
        <f>TEXT(A797,"DD/MM HH:MM")</f>
        <v/>
      </c>
    </row>
    <row r="798">
      <c r="A798" s="30" t="n">
        <v>46323.37013888889</v>
      </c>
      <c r="B798" s="11" t="n">
        <v>1951</v>
      </c>
      <c r="C798" s="11" t="n">
        <v>6090</v>
      </c>
      <c r="D798" s="12" t="n">
        <v>73116</v>
      </c>
      <c r="E798" s="31">
        <f>B798-B797</f>
        <v/>
      </c>
      <c r="F798" s="31">
        <f>C798-C797</f>
        <v/>
      </c>
      <c r="G798" s="32">
        <f>D798-D797</f>
        <v/>
      </c>
      <c r="H798">
        <f>TEXT(A798,"DD/MM HH:MM")</f>
        <v/>
      </c>
    </row>
    <row r="799">
      <c r="A799" s="33" t="n">
        <v>46323.40625</v>
      </c>
      <c r="B799" s="15" t="n">
        <v>1956</v>
      </c>
      <c r="C799" s="15" t="n">
        <v>6103</v>
      </c>
      <c r="D799" s="16" t="n">
        <v>73272</v>
      </c>
      <c r="E799" s="34">
        <f>B799-B798</f>
        <v/>
      </c>
      <c r="F799" s="34">
        <f>C799-C798</f>
        <v/>
      </c>
      <c r="G799" s="35">
        <f>D799-D798</f>
        <v/>
      </c>
      <c r="H799">
        <f>TEXT(A799,"DD/MM HH:MM")</f>
        <v/>
      </c>
    </row>
    <row r="800">
      <c r="A800" s="30" t="n">
        <v>46323.44097222222</v>
      </c>
      <c r="B800" s="11" t="n">
        <v>1969</v>
      </c>
      <c r="C800" s="11" t="n">
        <v>6146</v>
      </c>
      <c r="D800" s="12" t="n">
        <v>73788</v>
      </c>
      <c r="E800" s="31">
        <f>B800-B799</f>
        <v/>
      </c>
      <c r="F800" s="31">
        <f>C800-C799</f>
        <v/>
      </c>
      <c r="G800" s="32">
        <f>D800-D799</f>
        <v/>
      </c>
      <c r="H800">
        <f>TEXT(A800,"DD/MM HH:MM")</f>
        <v/>
      </c>
    </row>
    <row r="801">
      <c r="A801" s="33" t="n">
        <v>46323.44583333333</v>
      </c>
      <c r="B801" s="15" t="n">
        <v>1969</v>
      </c>
      <c r="C801" s="15" t="n">
        <v>6146</v>
      </c>
      <c r="D801" s="16" t="n">
        <v>73788</v>
      </c>
      <c r="E801" s="34">
        <f>B801-B800</f>
        <v/>
      </c>
      <c r="F801" s="34">
        <f>C801-C800</f>
        <v/>
      </c>
      <c r="G801" s="35">
        <f>D801-D800</f>
        <v/>
      </c>
      <c r="H801">
        <f>TEXT(A801,"DD/MM HH:MM")</f>
        <v/>
      </c>
    </row>
    <row r="802">
      <c r="A802" s="30" t="n">
        <v>46323.47777777778</v>
      </c>
      <c r="B802" s="11" t="n">
        <v>1978</v>
      </c>
      <c r="C802" s="11" t="n">
        <v>6176</v>
      </c>
      <c r="D802" s="12" t="n">
        <v>74148</v>
      </c>
      <c r="E802" s="31">
        <f>B802-B801</f>
        <v/>
      </c>
      <c r="F802" s="31">
        <f>C802-C801</f>
        <v/>
      </c>
      <c r="G802" s="32">
        <f>D802-D801</f>
        <v/>
      </c>
      <c r="H802">
        <f>TEXT(A802,"DD/MM HH:MM")</f>
        <v/>
      </c>
    </row>
    <row r="803">
      <c r="A803" s="33" t="n">
        <v>46323.48819444444</v>
      </c>
      <c r="B803" s="15" t="n">
        <v>1982</v>
      </c>
      <c r="C803" s="15" t="n">
        <v>6190</v>
      </c>
      <c r="D803" s="16" t="n">
        <v>74316</v>
      </c>
      <c r="E803" s="34">
        <f>B803-B802</f>
        <v/>
      </c>
      <c r="F803" s="34">
        <f>C803-C802</f>
        <v/>
      </c>
      <c r="G803" s="35">
        <f>D803-D802</f>
        <v/>
      </c>
      <c r="H803">
        <f>TEXT(A803,"DD/MM HH:MM")</f>
        <v/>
      </c>
    </row>
    <row r="804">
      <c r="A804" s="30" t="n">
        <v>46323.525</v>
      </c>
      <c r="B804" s="11" t="n">
        <v>1994</v>
      </c>
      <c r="C804" s="11" t="n">
        <v>6224</v>
      </c>
      <c r="D804" s="12" t="n">
        <v>74724</v>
      </c>
      <c r="E804" s="31">
        <f>B804-B803</f>
        <v/>
      </c>
      <c r="F804" s="31">
        <f>C804-C803</f>
        <v/>
      </c>
      <c r="G804" s="32">
        <f>D804-D803</f>
        <v/>
      </c>
      <c r="H804">
        <f>TEXT(A804,"DD/MM HH:MM")</f>
        <v/>
      </c>
    </row>
    <row r="805">
      <c r="A805" s="33" t="n">
        <v>46323.56875</v>
      </c>
      <c r="B805" s="15" t="n">
        <v>2011</v>
      </c>
      <c r="C805" s="15" t="n">
        <v>6279</v>
      </c>
      <c r="D805" s="16" t="n">
        <v>75384</v>
      </c>
      <c r="E805" s="34">
        <f>B805-B804</f>
        <v/>
      </c>
      <c r="F805" s="34">
        <f>C805-C804</f>
        <v/>
      </c>
      <c r="G805" s="35">
        <f>D805-D804</f>
        <v/>
      </c>
      <c r="H805">
        <f>TEXT(A805,"DD/MM HH:MM")</f>
        <v/>
      </c>
    </row>
    <row r="806">
      <c r="A806" s="30" t="n">
        <v>46323.57152777778</v>
      </c>
      <c r="B806" s="11" t="n">
        <v>2014</v>
      </c>
      <c r="C806" s="11" t="n">
        <v>6289</v>
      </c>
      <c r="D806" s="12" t="n">
        <v>75504</v>
      </c>
      <c r="E806" s="31">
        <f>B806-B805</f>
        <v/>
      </c>
      <c r="F806" s="31">
        <f>C806-C805</f>
        <v/>
      </c>
      <c r="G806" s="32">
        <f>D806-D805</f>
        <v/>
      </c>
      <c r="H806">
        <f>TEXT(A806,"DD/MM HH:MM")</f>
        <v/>
      </c>
    </row>
    <row r="807">
      <c r="A807" s="33" t="n">
        <v>46323.60763888889</v>
      </c>
      <c r="B807" s="15" t="n">
        <v>2033</v>
      </c>
      <c r="C807" s="15" t="n">
        <v>6353</v>
      </c>
      <c r="D807" s="16" t="n">
        <v>76272</v>
      </c>
      <c r="E807" s="34">
        <f>B807-B806</f>
        <v/>
      </c>
      <c r="F807" s="34">
        <f>C807-C806</f>
        <v/>
      </c>
      <c r="G807" s="35">
        <f>D807-D806</f>
        <v/>
      </c>
      <c r="H807">
        <f>TEXT(A807,"DD/MM HH:MM")</f>
        <v/>
      </c>
    </row>
    <row r="808">
      <c r="A808" s="30" t="n">
        <v>46323.62013888889</v>
      </c>
      <c r="B808" s="11" t="n">
        <v>2039</v>
      </c>
      <c r="C808" s="11" t="n">
        <v>6372</v>
      </c>
      <c r="D808" s="12" t="n">
        <v>76500</v>
      </c>
      <c r="E808" s="31">
        <f>B808-B807</f>
        <v/>
      </c>
      <c r="F808" s="31">
        <f>C808-C807</f>
        <v/>
      </c>
      <c r="G808" s="32">
        <f>D808-D807</f>
        <v/>
      </c>
      <c r="H808">
        <f>TEXT(A808,"DD/MM HH:MM")</f>
        <v/>
      </c>
    </row>
    <row r="809">
      <c r="A809" s="33" t="n">
        <v>46323.63333333333</v>
      </c>
      <c r="B809" s="15" t="n">
        <v>2043</v>
      </c>
      <c r="C809" s="15" t="n">
        <v>6387</v>
      </c>
      <c r="D809" s="16" t="n">
        <v>76680</v>
      </c>
      <c r="E809" s="34">
        <f>B809-B808</f>
        <v/>
      </c>
      <c r="F809" s="34">
        <f>C809-C808</f>
        <v/>
      </c>
      <c r="G809" s="35">
        <f>D809-D808</f>
        <v/>
      </c>
      <c r="H809">
        <f>TEXT(A809,"DD/MM HH:MM")</f>
        <v/>
      </c>
    </row>
    <row r="810">
      <c r="A810" s="30" t="n">
        <v>46323.65833333333</v>
      </c>
      <c r="B810" s="11" t="n">
        <v>2047</v>
      </c>
      <c r="C810" s="11" t="n">
        <v>6401</v>
      </c>
      <c r="D810" s="12" t="n">
        <v>76848</v>
      </c>
      <c r="E810" s="31">
        <f>B810-B809</f>
        <v/>
      </c>
      <c r="F810" s="31">
        <f>C810-C809</f>
        <v/>
      </c>
      <c r="G810" s="32">
        <f>D810-D809</f>
        <v/>
      </c>
      <c r="H810">
        <f>TEXT(A810,"DD/MM HH:MM")</f>
        <v/>
      </c>
    </row>
    <row r="811">
      <c r="A811" s="33" t="n">
        <v>46323.67430555556</v>
      </c>
      <c r="B811" s="15" t="n">
        <v>2051</v>
      </c>
      <c r="C811" s="15" t="n">
        <v>6413</v>
      </c>
      <c r="D811" s="16" t="n">
        <v>76992</v>
      </c>
      <c r="E811" s="34">
        <f>B811-B810</f>
        <v/>
      </c>
      <c r="F811" s="34">
        <f>C811-C810</f>
        <v/>
      </c>
      <c r="G811" s="35">
        <f>D811-D810</f>
        <v/>
      </c>
      <c r="H811">
        <f>TEXT(A811,"DD/MM HH:MM")</f>
        <v/>
      </c>
    </row>
    <row r="812">
      <c r="A812" s="30" t="n">
        <v>46323.69791666666</v>
      </c>
      <c r="B812" s="11" t="n">
        <v>2056</v>
      </c>
      <c r="C812" s="11" t="n">
        <v>6433</v>
      </c>
      <c r="D812" s="12" t="n">
        <v>77232</v>
      </c>
      <c r="E812" s="31">
        <f>B812-B811</f>
        <v/>
      </c>
      <c r="F812" s="31">
        <f>C812-C811</f>
        <v/>
      </c>
      <c r="G812" s="32">
        <f>D812-D811</f>
        <v/>
      </c>
      <c r="H812">
        <f>TEXT(A812,"DD/MM HH:MM")</f>
        <v/>
      </c>
    </row>
    <row r="813">
      <c r="A813" s="33" t="n">
        <v>46323.73888888889</v>
      </c>
      <c r="B813" s="15" t="n">
        <v>2073</v>
      </c>
      <c r="C813" s="15" t="n">
        <v>6492</v>
      </c>
      <c r="D813" s="16" t="n">
        <v>77940</v>
      </c>
      <c r="E813" s="34">
        <f>B813-B812</f>
        <v/>
      </c>
      <c r="F813" s="34">
        <f>C813-C812</f>
        <v/>
      </c>
      <c r="G813" s="35">
        <f>D813-D812</f>
        <v/>
      </c>
      <c r="H813">
        <f>TEXT(A813,"DD/MM HH:MM")</f>
        <v/>
      </c>
    </row>
    <row r="814">
      <c r="A814" s="30" t="n">
        <v>46323.74861111111</v>
      </c>
      <c r="B814" s="11" t="n">
        <v>2077</v>
      </c>
      <c r="C814" s="11" t="n">
        <v>6507</v>
      </c>
      <c r="D814" s="12" t="n">
        <v>78120</v>
      </c>
      <c r="E814" s="31">
        <f>B814-B813</f>
        <v/>
      </c>
      <c r="F814" s="31">
        <f>C814-C813</f>
        <v/>
      </c>
      <c r="G814" s="32">
        <f>D814-D813</f>
        <v/>
      </c>
      <c r="H814">
        <f>TEXT(A814,"DD/MM HH:MM")</f>
        <v/>
      </c>
    </row>
    <row r="815">
      <c r="A815" s="33" t="n">
        <v>46323.77777777778</v>
      </c>
      <c r="B815" s="15" t="n">
        <v>2090</v>
      </c>
      <c r="C815" s="15" t="n">
        <v>6548</v>
      </c>
      <c r="D815" s="16" t="n">
        <v>78612</v>
      </c>
      <c r="E815" s="34">
        <f>B815-B814</f>
        <v/>
      </c>
      <c r="F815" s="34">
        <f>C815-C814</f>
        <v/>
      </c>
      <c r="G815" s="35">
        <f>D815-D814</f>
        <v/>
      </c>
      <c r="H815">
        <f>TEXT(A815,"DD/MM HH:MM")</f>
        <v/>
      </c>
    </row>
    <row r="816">
      <c r="A816" s="30" t="n">
        <v>46323.80763888889</v>
      </c>
      <c r="B816" s="11" t="n">
        <v>2100</v>
      </c>
      <c r="C816" s="11" t="n">
        <v>6583</v>
      </c>
      <c r="D816" s="12" t="n">
        <v>79032</v>
      </c>
      <c r="E816" s="31">
        <f>B816-B815</f>
        <v/>
      </c>
      <c r="F816" s="31">
        <f>C816-C815</f>
        <v/>
      </c>
      <c r="G816" s="32">
        <f>D816-D815</f>
        <v/>
      </c>
      <c r="H816">
        <f>TEXT(A816,"DD/MM HH:MM")</f>
        <v/>
      </c>
    </row>
    <row r="817">
      <c r="A817" s="33" t="n">
        <v>46323.81944444445</v>
      </c>
      <c r="B817" s="15" t="n">
        <v>2105</v>
      </c>
      <c r="C817" s="15" t="n">
        <v>6599</v>
      </c>
      <c r="D817" s="16" t="n">
        <v>79224</v>
      </c>
      <c r="E817" s="34">
        <f>B817-B816</f>
        <v/>
      </c>
      <c r="F817" s="34">
        <f>C817-C816</f>
        <v/>
      </c>
      <c r="G817" s="35">
        <f>D817-D816</f>
        <v/>
      </c>
      <c r="H817">
        <f>TEXT(A817,"DD/MM HH:MM")</f>
        <v/>
      </c>
    </row>
    <row r="818">
      <c r="A818" s="30" t="n">
        <v>46323.84444444445</v>
      </c>
      <c r="B818" s="11" t="n">
        <v>2118</v>
      </c>
      <c r="C818" s="11" t="n">
        <v>6644</v>
      </c>
      <c r="D818" s="12" t="n">
        <v>79764</v>
      </c>
      <c r="E818" s="31">
        <f>B818-B817</f>
        <v/>
      </c>
      <c r="F818" s="31">
        <f>C818-C817</f>
        <v/>
      </c>
      <c r="G818" s="32">
        <f>D818-D817</f>
        <v/>
      </c>
      <c r="H818">
        <f>TEXT(A818,"DD/MM HH:MM")</f>
        <v/>
      </c>
    </row>
    <row r="819">
      <c r="A819" s="33" t="n">
        <v>46323.8625</v>
      </c>
      <c r="B819" s="15" t="n">
        <v>2125</v>
      </c>
      <c r="C819" s="15" t="n">
        <v>6669</v>
      </c>
      <c r="D819" s="16" t="n">
        <v>80064</v>
      </c>
      <c r="E819" s="34">
        <f>B819-B818</f>
        <v/>
      </c>
      <c r="F819" s="34">
        <f>C819-C818</f>
        <v/>
      </c>
      <c r="G819" s="35">
        <f>D819-D818</f>
        <v/>
      </c>
      <c r="H819">
        <f>TEXT(A819,"DD/MM HH:MM")</f>
        <v/>
      </c>
    </row>
    <row r="820">
      <c r="A820" s="30" t="n">
        <v>46323.89652777778</v>
      </c>
      <c r="B820" s="11" t="n">
        <v>2140</v>
      </c>
      <c r="C820" s="11" t="n">
        <v>6727</v>
      </c>
      <c r="D820" s="12" t="n">
        <v>80760</v>
      </c>
      <c r="E820" s="31">
        <f>B820-B819</f>
        <v/>
      </c>
      <c r="F820" s="31">
        <f>C820-C819</f>
        <v/>
      </c>
      <c r="G820" s="32">
        <f>D820-D819</f>
        <v/>
      </c>
      <c r="H820">
        <f>TEXT(A820,"DD/MM HH:MM")</f>
        <v/>
      </c>
    </row>
    <row r="821">
      <c r="A821" s="33" t="n">
        <v>46323.89930555555</v>
      </c>
      <c r="B821" s="15" t="n">
        <v>2140</v>
      </c>
      <c r="C821" s="15" t="n">
        <v>6727</v>
      </c>
      <c r="D821" s="16" t="n">
        <v>80760</v>
      </c>
      <c r="E821" s="34">
        <f>B821-B820</f>
        <v/>
      </c>
      <c r="F821" s="34">
        <f>C821-C820</f>
        <v/>
      </c>
      <c r="G821" s="35">
        <f>D821-D820</f>
        <v/>
      </c>
      <c r="H821">
        <f>TEXT(A821,"DD/MM HH:MM")</f>
        <v/>
      </c>
    </row>
    <row r="822">
      <c r="A822" s="30" t="n">
        <v>46323.93333333333</v>
      </c>
      <c r="B822" s="11" t="n">
        <v>2160</v>
      </c>
      <c r="C822" s="11" t="n">
        <v>6801</v>
      </c>
      <c r="D822" s="12" t="n">
        <v>81648</v>
      </c>
      <c r="E822" s="31">
        <f>B822-B821</f>
        <v/>
      </c>
      <c r="F822" s="31">
        <f>C822-C821</f>
        <v/>
      </c>
      <c r="G822" s="32">
        <f>D822-D821</f>
        <v/>
      </c>
      <c r="H822">
        <f>TEXT(A822,"DD/MM HH:MM")</f>
        <v/>
      </c>
    </row>
    <row r="823">
      <c r="A823" s="33" t="n">
        <v>46323.94027777778</v>
      </c>
      <c r="B823" s="15" t="n">
        <v>2161</v>
      </c>
      <c r="C823" s="15" t="n">
        <v>6805</v>
      </c>
      <c r="D823" s="16" t="n">
        <v>81696</v>
      </c>
      <c r="E823" s="34">
        <f>B823-B822</f>
        <v/>
      </c>
      <c r="F823" s="34">
        <f>C823-C822</f>
        <v/>
      </c>
      <c r="G823" s="35">
        <f>D823-D822</f>
        <v/>
      </c>
      <c r="H823">
        <f>TEXT(A823,"DD/MM HH:MM")</f>
        <v/>
      </c>
    </row>
    <row r="824">
      <c r="A824" s="30" t="n">
        <v>46323.95902777778</v>
      </c>
      <c r="B824" s="11" t="n">
        <v>2172</v>
      </c>
      <c r="C824" s="11" t="n">
        <v>6841</v>
      </c>
      <c r="D824" s="12" t="n">
        <v>82128</v>
      </c>
      <c r="E824" s="31">
        <f>B824-B823</f>
        <v/>
      </c>
      <c r="F824" s="31">
        <f>C824-C823</f>
        <v/>
      </c>
      <c r="G824" s="32">
        <f>D824-D823</f>
        <v/>
      </c>
      <c r="H824">
        <f>TEXT(A824,"DD/MM HH:MM")</f>
        <v/>
      </c>
    </row>
    <row r="825">
      <c r="A825" s="33" t="n">
        <v>46323.98194444444</v>
      </c>
      <c r="B825" s="15" t="n">
        <v>2181</v>
      </c>
      <c r="C825" s="15" t="n">
        <v>6872</v>
      </c>
      <c r="D825" s="16" t="n">
        <v>82500</v>
      </c>
      <c r="E825" s="34">
        <f>B825-B824</f>
        <v/>
      </c>
      <c r="F825" s="34">
        <f>C825-C824</f>
        <v/>
      </c>
      <c r="G825" s="35">
        <f>D825-D824</f>
        <v/>
      </c>
      <c r="H825">
        <f>TEXT(A825,"DD/MM HH:MM")</f>
        <v/>
      </c>
    </row>
    <row r="826">
      <c r="A826" s="30" t="n">
        <v>46324.00833333333</v>
      </c>
      <c r="B826" s="11" t="n">
        <v>2191</v>
      </c>
      <c r="C826" s="11" t="n">
        <v>6899</v>
      </c>
      <c r="D826" s="12" t="n">
        <v>82824</v>
      </c>
      <c r="E826" s="31">
        <f>B826-B825</f>
        <v/>
      </c>
      <c r="F826" s="31">
        <f>C826-C825</f>
        <v/>
      </c>
      <c r="G826" s="32">
        <f>D826-D825</f>
        <v/>
      </c>
      <c r="H826">
        <f>TEXT(A826,"DD/MM HH:MM")</f>
        <v/>
      </c>
    </row>
    <row r="827">
      <c r="A827" s="33" t="n">
        <v>46324.02083333334</v>
      </c>
      <c r="B827" s="15" t="n">
        <v>2195</v>
      </c>
      <c r="C827" s="15" t="n">
        <v>6914</v>
      </c>
      <c r="D827" s="16" t="n">
        <v>83004</v>
      </c>
      <c r="E827" s="34">
        <f>B827-B826</f>
        <v/>
      </c>
      <c r="F827" s="34">
        <f>C827-C826</f>
        <v/>
      </c>
      <c r="G827" s="35">
        <f>D827-D826</f>
        <v/>
      </c>
      <c r="H827">
        <f>TEXT(A827,"DD/MM HH:MM")</f>
        <v/>
      </c>
    </row>
    <row r="828">
      <c r="A828" s="30" t="n">
        <v>46324.0625</v>
      </c>
      <c r="B828" s="11" t="n">
        <v>2201</v>
      </c>
      <c r="C828" s="11" t="n">
        <v>6934</v>
      </c>
      <c r="D828" s="12" t="n">
        <v>83244</v>
      </c>
      <c r="E828" s="31">
        <f>B828-B827</f>
        <v/>
      </c>
      <c r="F828" s="31">
        <f>C828-C827</f>
        <v/>
      </c>
      <c r="G828" s="32">
        <f>D828-D827</f>
        <v/>
      </c>
      <c r="H828">
        <f>TEXT(A828,"DD/MM HH:MM")</f>
        <v/>
      </c>
    </row>
    <row r="829">
      <c r="A829" s="33" t="n">
        <v>46324.07083333333</v>
      </c>
      <c r="B829" s="15" t="n">
        <v>2205</v>
      </c>
      <c r="C829" s="15" t="n">
        <v>6946</v>
      </c>
      <c r="D829" s="16" t="n">
        <v>83388</v>
      </c>
      <c r="E829" s="34">
        <f>B829-B828</f>
        <v/>
      </c>
      <c r="F829" s="34">
        <f>C829-C828</f>
        <v/>
      </c>
      <c r="G829" s="35">
        <f>D829-D828</f>
        <v/>
      </c>
      <c r="H829">
        <f>TEXT(A829,"DD/MM HH:MM")</f>
        <v/>
      </c>
    </row>
    <row r="830">
      <c r="A830" s="30" t="n">
        <v>46324.11944444444</v>
      </c>
      <c r="B830" s="11" t="n">
        <v>2206</v>
      </c>
      <c r="C830" s="11" t="n">
        <v>6950</v>
      </c>
      <c r="D830" s="12" t="n">
        <v>83436</v>
      </c>
      <c r="E830" s="31">
        <f>B830-B829</f>
        <v/>
      </c>
      <c r="F830" s="31">
        <f>C830-C829</f>
        <v/>
      </c>
      <c r="G830" s="32">
        <f>D830-D829</f>
        <v/>
      </c>
      <c r="H830">
        <f>TEXT(A830,"DD/MM HH:MM")</f>
        <v/>
      </c>
    </row>
    <row r="831">
      <c r="A831" s="33" t="n">
        <v>46324.15555555555</v>
      </c>
      <c r="B831" s="15" t="n">
        <v>2206</v>
      </c>
      <c r="C831" s="15" t="n">
        <v>6950</v>
      </c>
      <c r="D831" s="16" t="n">
        <v>83436</v>
      </c>
      <c r="E831" s="34">
        <f>B831-B830</f>
        <v/>
      </c>
      <c r="F831" s="34">
        <f>C831-C830</f>
        <v/>
      </c>
      <c r="G831" s="35">
        <f>D831-D830</f>
        <v/>
      </c>
      <c r="H831">
        <f>TEXT(A831,"DD/MM HH:MM")</f>
        <v/>
      </c>
    </row>
    <row r="832">
      <c r="A832" s="30" t="n">
        <v>46324.19513888889</v>
      </c>
      <c r="B832" s="11" t="n">
        <v>2206</v>
      </c>
      <c r="C832" s="11" t="n">
        <v>6950</v>
      </c>
      <c r="D832" s="12" t="n">
        <v>83436</v>
      </c>
      <c r="E832" s="31">
        <f>B832-B831</f>
        <v/>
      </c>
      <c r="F832" s="31">
        <f>C832-C831</f>
        <v/>
      </c>
      <c r="G832" s="32">
        <f>D832-D831</f>
        <v/>
      </c>
      <c r="H832">
        <f>TEXT(A832,"DD/MM HH:MM")</f>
        <v/>
      </c>
    </row>
    <row r="833">
      <c r="A833" s="33" t="n">
        <v>46324.23680555556</v>
      </c>
      <c r="B833" s="15" t="n">
        <v>2206</v>
      </c>
      <c r="C833" s="15" t="n">
        <v>6950</v>
      </c>
      <c r="D833" s="16" t="n">
        <v>83436</v>
      </c>
      <c r="E833" s="34">
        <f>B833-B832</f>
        <v/>
      </c>
      <c r="F833" s="34">
        <f>C833-C832</f>
        <v/>
      </c>
      <c r="G833" s="35">
        <f>D833-D832</f>
        <v/>
      </c>
      <c r="H833">
        <f>TEXT(A833,"DD/MM HH:MM")</f>
        <v/>
      </c>
    </row>
    <row r="834">
      <c r="A834" s="30" t="n">
        <v>46324.27708333333</v>
      </c>
      <c r="B834" s="11" t="n">
        <v>2207</v>
      </c>
      <c r="C834" s="11" t="n">
        <v>6952</v>
      </c>
      <c r="D834" s="12" t="n">
        <v>83460</v>
      </c>
      <c r="E834" s="31">
        <f>B834-B833</f>
        <v/>
      </c>
      <c r="F834" s="31">
        <f>C834-C833</f>
        <v/>
      </c>
      <c r="G834" s="32">
        <f>D834-D833</f>
        <v/>
      </c>
      <c r="H834">
        <f>TEXT(A834,"DD/MM HH:MM")</f>
        <v/>
      </c>
    </row>
    <row r="835">
      <c r="A835" s="33" t="n">
        <v>46324.32222222222</v>
      </c>
      <c r="B835" s="15" t="n">
        <v>2209</v>
      </c>
      <c r="C835" s="15" t="n">
        <v>6959</v>
      </c>
      <c r="D835" s="16" t="n">
        <v>83544</v>
      </c>
      <c r="E835" s="34">
        <f>B835-B834</f>
        <v/>
      </c>
      <c r="F835" s="34">
        <f>C835-C834</f>
        <v/>
      </c>
      <c r="G835" s="35">
        <f>D835-D834</f>
        <v/>
      </c>
      <c r="H835">
        <f>TEXT(A835,"DD/MM HH:MM")</f>
        <v/>
      </c>
    </row>
    <row r="836">
      <c r="A836" s="30" t="n">
        <v>46324.37152777778</v>
      </c>
      <c r="B836" s="11" t="n">
        <v>2216</v>
      </c>
      <c r="C836" s="11" t="n">
        <v>6981</v>
      </c>
      <c r="D836" s="12" t="n">
        <v>83808</v>
      </c>
      <c r="E836" s="31">
        <f>B836-B835</f>
        <v/>
      </c>
      <c r="F836" s="31">
        <f>C836-C835</f>
        <v/>
      </c>
      <c r="G836" s="32">
        <f>D836-D835</f>
        <v/>
      </c>
      <c r="H836">
        <f>TEXT(A836,"DD/MM HH:MM")</f>
        <v/>
      </c>
    </row>
    <row r="837">
      <c r="A837" s="33" t="n">
        <v>46324.39791666667</v>
      </c>
      <c r="B837" s="15" t="n">
        <v>2218</v>
      </c>
      <c r="C837" s="15" t="n">
        <v>6987</v>
      </c>
      <c r="D837" s="16" t="n">
        <v>83880</v>
      </c>
      <c r="E837" s="34">
        <f>B837-B836</f>
        <v/>
      </c>
      <c r="F837" s="34">
        <f>C837-C836</f>
        <v/>
      </c>
      <c r="G837" s="35">
        <f>D837-D836</f>
        <v/>
      </c>
      <c r="H837">
        <f>TEXT(A837,"DD/MM HH:MM")</f>
        <v/>
      </c>
    </row>
    <row r="838">
      <c r="A838" s="30" t="n">
        <v>46324.40833333333</v>
      </c>
      <c r="B838" s="11" t="n">
        <v>2223</v>
      </c>
      <c r="C838" s="11" t="n">
        <v>7002</v>
      </c>
      <c r="D838" s="12" t="n">
        <v>84060</v>
      </c>
      <c r="E838" s="31">
        <f>B838-B837</f>
        <v/>
      </c>
      <c r="F838" s="31">
        <f>C838-C837</f>
        <v/>
      </c>
      <c r="G838" s="32">
        <f>D838-D837</f>
        <v/>
      </c>
      <c r="H838">
        <f>TEXT(A838,"DD/MM HH:MM")</f>
        <v/>
      </c>
    </row>
    <row r="839">
      <c r="A839" s="33" t="n">
        <v>46324.43472222222</v>
      </c>
      <c r="B839" s="15" t="n">
        <v>2226</v>
      </c>
      <c r="C839" s="15" t="n">
        <v>7015</v>
      </c>
      <c r="D839" s="16" t="n">
        <v>84216</v>
      </c>
      <c r="E839" s="34">
        <f>B839-B838</f>
        <v/>
      </c>
      <c r="F839" s="34">
        <f>C839-C838</f>
        <v/>
      </c>
      <c r="G839" s="35">
        <f>D839-D838</f>
        <v/>
      </c>
      <c r="H839">
        <f>TEXT(A839,"DD/MM HH:MM")</f>
        <v/>
      </c>
    </row>
    <row r="840">
      <c r="A840" s="30" t="n">
        <v>46324.44722222222</v>
      </c>
      <c r="B840" s="11" t="n">
        <v>2229</v>
      </c>
      <c r="C840" s="11" t="n">
        <v>7027</v>
      </c>
      <c r="D840" s="12" t="n">
        <v>84360</v>
      </c>
      <c r="E840" s="31">
        <f>B840-B839</f>
        <v/>
      </c>
      <c r="F840" s="31">
        <f>C840-C839</f>
        <v/>
      </c>
      <c r="G840" s="32">
        <f>D840-D839</f>
        <v/>
      </c>
      <c r="H840">
        <f>TEXT(A840,"DD/MM HH:MM")</f>
        <v/>
      </c>
    </row>
    <row r="841">
      <c r="A841" s="33" t="n">
        <v>46324.47361111111</v>
      </c>
      <c r="B841" s="15" t="n">
        <v>2236</v>
      </c>
      <c r="C841" s="15" t="n">
        <v>7056</v>
      </c>
      <c r="D841" s="16" t="n">
        <v>84708</v>
      </c>
      <c r="E841" s="34">
        <f>B841-B840</f>
        <v/>
      </c>
      <c r="F841" s="34">
        <f>C841-C840</f>
        <v/>
      </c>
      <c r="G841" s="35">
        <f>D841-D840</f>
        <v/>
      </c>
      <c r="H841">
        <f>TEXT(A841,"DD/MM HH:MM")</f>
        <v/>
      </c>
    </row>
    <row r="842">
      <c r="A842" s="30" t="n">
        <v>46324.4875</v>
      </c>
      <c r="B842" s="11" t="n">
        <v>2244</v>
      </c>
      <c r="C842" s="11" t="n">
        <v>7079</v>
      </c>
      <c r="D842" s="12" t="n">
        <v>84984</v>
      </c>
      <c r="E842" s="31">
        <f>B842-B841</f>
        <v/>
      </c>
      <c r="F842" s="31">
        <f>C842-C841</f>
        <v/>
      </c>
      <c r="G842" s="32">
        <f>D842-D841</f>
        <v/>
      </c>
      <c r="H842">
        <f>TEXT(A842,"DD/MM HH:MM")</f>
        <v/>
      </c>
    </row>
    <row r="843">
      <c r="A843" s="33" t="n">
        <v>46324.52569444444</v>
      </c>
      <c r="B843" s="15" t="n">
        <v>2263</v>
      </c>
      <c r="C843" s="15" t="n">
        <v>7138</v>
      </c>
      <c r="D843" s="16" t="n">
        <v>85692</v>
      </c>
      <c r="E843" s="34">
        <f>B843-B842</f>
        <v/>
      </c>
      <c r="F843" s="34">
        <f>C843-C842</f>
        <v/>
      </c>
      <c r="G843" s="35">
        <f>D843-D842</f>
        <v/>
      </c>
      <c r="H843">
        <f>TEXT(A843,"DD/MM HH:MM")</f>
        <v/>
      </c>
    </row>
    <row r="844">
      <c r="A844" s="30" t="n">
        <v>46324.57222222222</v>
      </c>
      <c r="B844" s="11" t="n">
        <v>2286</v>
      </c>
      <c r="C844" s="11" t="n">
        <v>7221</v>
      </c>
      <c r="D844" s="12" t="n">
        <v>86688</v>
      </c>
      <c r="E844" s="31">
        <f>B844-B843</f>
        <v/>
      </c>
      <c r="F844" s="31">
        <f>C844-C843</f>
        <v/>
      </c>
      <c r="G844" s="32">
        <f>D844-D843</f>
        <v/>
      </c>
      <c r="H844">
        <f>TEXT(A844,"DD/MM HH:MM")</f>
        <v/>
      </c>
    </row>
    <row r="845">
      <c r="A845" s="33" t="n">
        <v>46324.62152777778</v>
      </c>
      <c r="B845" s="15" t="n">
        <v>2322</v>
      </c>
      <c r="C845" s="15" t="n">
        <v>7343</v>
      </c>
      <c r="D845" s="16" t="n">
        <v>88152</v>
      </c>
      <c r="E845" s="34">
        <f>B845-B844</f>
        <v/>
      </c>
      <c r="F845" s="34">
        <f>C845-C844</f>
        <v/>
      </c>
      <c r="G845" s="35">
        <f>D845-D844</f>
        <v/>
      </c>
      <c r="H845">
        <f>TEXT(A845,"DD/MM HH:MM")</f>
        <v/>
      </c>
    </row>
    <row r="846">
      <c r="A846" s="30" t="n">
        <v>46324.63194444445</v>
      </c>
      <c r="B846" s="11" t="n">
        <v>2330</v>
      </c>
      <c r="C846" s="11" t="n">
        <v>7366</v>
      </c>
      <c r="D846" s="12" t="n">
        <v>88428</v>
      </c>
      <c r="E846" s="31">
        <f>B846-B845</f>
        <v/>
      </c>
      <c r="F846" s="31">
        <f>C846-C845</f>
        <v/>
      </c>
      <c r="G846" s="32">
        <f>D846-D845</f>
        <v/>
      </c>
      <c r="H846">
        <f>TEXT(A846,"DD/MM HH:MM")</f>
        <v/>
      </c>
    </row>
    <row r="847">
      <c r="A847" s="33" t="n">
        <v>46324.64236111111</v>
      </c>
      <c r="B847" s="15" t="n">
        <v>2335</v>
      </c>
      <c r="C847" s="15" t="n">
        <v>7381</v>
      </c>
      <c r="D847" s="16" t="n">
        <v>88608</v>
      </c>
      <c r="E847" s="34">
        <f>B847-B846</f>
        <v/>
      </c>
      <c r="F847" s="34">
        <f>C847-C846</f>
        <v/>
      </c>
      <c r="G847" s="35">
        <f>D847-D846</f>
        <v/>
      </c>
      <c r="H847">
        <f>TEXT(A847,"DD/MM HH:MM")</f>
        <v/>
      </c>
    </row>
    <row r="848">
      <c r="A848" s="30" t="n">
        <v>46324.64444444444</v>
      </c>
      <c r="B848" s="11" t="n">
        <v>2337</v>
      </c>
      <c r="C848" s="11" t="n">
        <v>7385</v>
      </c>
      <c r="D848" s="12" t="n">
        <v>88656</v>
      </c>
      <c r="E848" s="31">
        <f>B848-B847</f>
        <v/>
      </c>
      <c r="F848" s="31">
        <f>C848-C847</f>
        <v/>
      </c>
      <c r="G848" s="32">
        <f>D848-D847</f>
        <v/>
      </c>
      <c r="H848">
        <f>TEXT(A848,"DD/MM HH:MM")</f>
        <v/>
      </c>
    </row>
    <row r="849">
      <c r="A849" s="33" t="n">
        <v>46324.68263888889</v>
      </c>
      <c r="B849" s="15" t="n">
        <v>2355</v>
      </c>
      <c r="C849" s="15" t="n">
        <v>7444</v>
      </c>
      <c r="D849" s="16" t="n">
        <v>89364</v>
      </c>
      <c r="E849" s="34">
        <f>B849-B848</f>
        <v/>
      </c>
      <c r="F849" s="34">
        <f>C849-C848</f>
        <v/>
      </c>
      <c r="G849" s="35">
        <f>D849-D848</f>
        <v/>
      </c>
      <c r="H849">
        <f>TEXT(A849,"DD/MM HH:MM")</f>
        <v/>
      </c>
    </row>
    <row r="850">
      <c r="A850" s="30" t="n">
        <v>46324.71180555555</v>
      </c>
      <c r="B850" s="11" t="n">
        <v>2368</v>
      </c>
      <c r="C850" s="11" t="n">
        <v>7487</v>
      </c>
      <c r="D850" s="12" t="n">
        <v>89880</v>
      </c>
      <c r="E850" s="31">
        <f>B850-B849</f>
        <v/>
      </c>
      <c r="F850" s="31">
        <f>C850-C849</f>
        <v/>
      </c>
      <c r="G850" s="32">
        <f>D850-D849</f>
        <v/>
      </c>
      <c r="H850">
        <f>TEXT(A850,"DD/MM HH:MM")</f>
        <v/>
      </c>
    </row>
    <row r="851">
      <c r="A851" s="33" t="n">
        <v>46324.73680555556</v>
      </c>
      <c r="B851" s="15" t="n">
        <v>2379</v>
      </c>
      <c r="C851" s="15" t="n">
        <v>7526</v>
      </c>
      <c r="D851" s="16" t="n">
        <v>90348</v>
      </c>
      <c r="E851" s="34">
        <f>B851-B850</f>
        <v/>
      </c>
      <c r="F851" s="34">
        <f>C851-C850</f>
        <v/>
      </c>
      <c r="G851" s="35">
        <f>D851-D850</f>
        <v/>
      </c>
      <c r="H851">
        <f>TEXT(A851,"DD/MM HH:MM")</f>
        <v/>
      </c>
    </row>
    <row r="852">
      <c r="A852" s="30" t="n">
        <v>46324.74027777778</v>
      </c>
      <c r="B852" s="11" t="n">
        <v>2379</v>
      </c>
      <c r="C852" s="11" t="n">
        <v>7526</v>
      </c>
      <c r="D852" s="12" t="n">
        <v>90348</v>
      </c>
      <c r="E852" s="31">
        <f>B852-B851</f>
        <v/>
      </c>
      <c r="F852" s="31">
        <f>C852-C851</f>
        <v/>
      </c>
      <c r="G852" s="32">
        <f>D852-D851</f>
        <v/>
      </c>
      <c r="H852">
        <f>TEXT(A852,"DD/MM HH:MM")</f>
        <v/>
      </c>
    </row>
    <row r="853">
      <c r="A853" s="33" t="n">
        <v>46324.74652777778</v>
      </c>
      <c r="B853" s="15" t="n">
        <v>2380</v>
      </c>
      <c r="C853" s="15" t="n">
        <v>7529</v>
      </c>
      <c r="D853" s="16" t="n">
        <v>90384</v>
      </c>
      <c r="E853" s="34">
        <f>B853-B852</f>
        <v/>
      </c>
      <c r="F853" s="34">
        <f>C853-C852</f>
        <v/>
      </c>
      <c r="G853" s="35">
        <f>D853-D852</f>
        <v/>
      </c>
      <c r="H853">
        <f>TEXT(A853,"DD/MM HH:MM")</f>
        <v/>
      </c>
    </row>
    <row r="854">
      <c r="A854" s="30" t="n">
        <v>46324.76041666666</v>
      </c>
      <c r="B854" s="11" t="n">
        <v>2391</v>
      </c>
      <c r="C854" s="11" t="n">
        <v>7564</v>
      </c>
      <c r="D854" s="12" t="n">
        <v>90804</v>
      </c>
      <c r="E854" s="31">
        <f>B854-B853</f>
        <v/>
      </c>
      <c r="F854" s="31">
        <f>C854-C853</f>
        <v/>
      </c>
      <c r="G854" s="32">
        <f>D854-D853</f>
        <v/>
      </c>
      <c r="H854">
        <f>TEXT(A854,"DD/MM HH:MM")</f>
        <v/>
      </c>
    </row>
    <row r="855">
      <c r="A855" s="33" t="n">
        <v>46324.77847222222</v>
      </c>
      <c r="B855" s="15" t="n">
        <v>2402</v>
      </c>
      <c r="C855" s="15" t="n">
        <v>7594</v>
      </c>
      <c r="D855" s="16" t="n">
        <v>91164</v>
      </c>
      <c r="E855" s="34">
        <f>B855-B854</f>
        <v/>
      </c>
      <c r="F855" s="34">
        <f>C855-C854</f>
        <v/>
      </c>
      <c r="G855" s="35">
        <f>D855-D854</f>
        <v/>
      </c>
      <c r="H855">
        <f>TEXT(A855,"DD/MM HH:MM")</f>
        <v/>
      </c>
    </row>
    <row r="856">
      <c r="A856" s="30" t="n">
        <v>46324.78194444445</v>
      </c>
      <c r="B856" s="11" t="n">
        <v>2405</v>
      </c>
      <c r="C856" s="11" t="n">
        <v>7604</v>
      </c>
      <c r="D856" s="12" t="n">
        <v>91284</v>
      </c>
      <c r="E856" s="31">
        <f>B856-B855</f>
        <v/>
      </c>
      <c r="F856" s="31">
        <f>C856-C855</f>
        <v/>
      </c>
      <c r="G856" s="32">
        <f>D856-D855</f>
        <v/>
      </c>
      <c r="H856">
        <f>TEXT(A856,"DD/MM HH:MM")</f>
        <v/>
      </c>
    </row>
    <row r="857">
      <c r="A857" s="33" t="n">
        <v>46324.81875</v>
      </c>
      <c r="B857" s="15" t="n">
        <v>2427</v>
      </c>
      <c r="C857" s="15" t="n">
        <v>7675</v>
      </c>
      <c r="D857" s="16" t="n">
        <v>92136</v>
      </c>
      <c r="E857" s="34">
        <f>B857-B856</f>
        <v/>
      </c>
      <c r="F857" s="34">
        <f>C857-C856</f>
        <v/>
      </c>
      <c r="G857" s="35">
        <f>D857-D856</f>
        <v/>
      </c>
      <c r="H857">
        <f>TEXT(A857,"DD/MM HH:MM")</f>
        <v/>
      </c>
    </row>
    <row r="858">
      <c r="A858" s="30" t="n">
        <v>46324.82083333333</v>
      </c>
      <c r="B858" s="11" t="n">
        <v>2427</v>
      </c>
      <c r="C858" s="11" t="n">
        <v>7675</v>
      </c>
      <c r="D858" s="12" t="n">
        <v>92136</v>
      </c>
      <c r="E858" s="31">
        <f>B858-B857</f>
        <v/>
      </c>
      <c r="F858" s="31">
        <f>C858-C857</f>
        <v/>
      </c>
      <c r="G858" s="32">
        <f>D858-D857</f>
        <v/>
      </c>
      <c r="H858">
        <f>TEXT(A858,"DD/MM HH:MM")</f>
        <v/>
      </c>
    </row>
    <row r="859">
      <c r="A859" s="33" t="n">
        <v>46324.85972222222</v>
      </c>
      <c r="B859" s="15" t="n">
        <v>2447</v>
      </c>
      <c r="C859" s="15" t="n">
        <v>7739</v>
      </c>
      <c r="D859" s="16" t="n">
        <v>92904</v>
      </c>
      <c r="E859" s="34">
        <f>B859-B858</f>
        <v/>
      </c>
      <c r="F859" s="34">
        <f>C859-C858</f>
        <v/>
      </c>
      <c r="G859" s="35">
        <f>D859-D858</f>
        <v/>
      </c>
      <c r="H859">
        <f>TEXT(A859,"DD/MM HH:MM")</f>
        <v/>
      </c>
    </row>
  </sheetData>
  <autoFilter ref="A1:G85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6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  <row r="1264">
      <c r="A1264" s="30" t="n">
        <v>46322.74652777778</v>
      </c>
      <c r="B1264" s="30" t="n">
        <v>46322.77847222222</v>
      </c>
      <c r="C1264" s="9" t="n">
        <v>46324</v>
      </c>
      <c r="D1264" s="10" t="n">
        <v>0.84375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46322.74652777778</v>
      </c>
      <c r="B1265" s="33" t="n">
        <v>46322.77847222222</v>
      </c>
      <c r="C1265" s="13" t="n">
        <v>46324</v>
      </c>
      <c r="D1265" s="14" t="n">
        <v>0.9270833333333334</v>
      </c>
      <c r="E1265" s="37" t="n">
        <v>-1</v>
      </c>
      <c r="F1265" s="37" t="n">
        <v>0</v>
      </c>
      <c r="G1265" s="37" t="n">
        <v>0</v>
      </c>
      <c r="H1265" s="37" t="n">
        <v>0</v>
      </c>
      <c r="I1265" s="37" t="n">
        <v>-1</v>
      </c>
      <c r="J1265" s="37" t="n">
        <v>-5</v>
      </c>
      <c r="K1265" s="16" t="n">
        <v>-60</v>
      </c>
    </row>
    <row r="1266">
      <c r="A1266" s="30" t="n">
        <v>46322.74652777778</v>
      </c>
      <c r="B1266" s="30" t="n">
        <v>46322.77847222222</v>
      </c>
      <c r="C1266" s="9" t="n">
        <v>46324</v>
      </c>
      <c r="D1266" s="10" t="n">
        <v>0.96875</v>
      </c>
      <c r="E1266" s="36" t="n">
        <v>2</v>
      </c>
      <c r="F1266" s="36" t="n">
        <v>0</v>
      </c>
      <c r="G1266" s="36" t="n">
        <v>0</v>
      </c>
      <c r="H1266" s="36" t="n">
        <v>1</v>
      </c>
      <c r="I1266" s="36" t="n">
        <v>1</v>
      </c>
      <c r="J1266" s="36" t="n">
        <v>9</v>
      </c>
      <c r="K1266" s="12" t="n">
        <v>108</v>
      </c>
    </row>
    <row r="1267">
      <c r="A1267" s="33" t="n">
        <v>46322.74652777778</v>
      </c>
      <c r="B1267" s="33" t="n">
        <v>46322.77847222222</v>
      </c>
      <c r="C1267" s="13" t="n">
        <v>46325</v>
      </c>
      <c r="D1267" s="14" t="n">
        <v>0.84375</v>
      </c>
      <c r="E1267" s="37" t="n">
        <v>2</v>
      </c>
      <c r="F1267" s="37" t="n">
        <v>2</v>
      </c>
      <c r="G1267" s="37" t="n">
        <v>0</v>
      </c>
      <c r="H1267" s="37" t="n">
        <v>0</v>
      </c>
      <c r="I1267" s="37" t="n">
        <v>0</v>
      </c>
      <c r="J1267" s="37" t="n">
        <v>4</v>
      </c>
      <c r="K1267" s="16" t="n">
        <v>48</v>
      </c>
    </row>
    <row r="1268">
      <c r="A1268" s="30" t="n">
        <v>46322.74652777778</v>
      </c>
      <c r="B1268" s="30" t="n">
        <v>46322.77847222222</v>
      </c>
      <c r="C1268" s="9" t="n">
        <v>46325</v>
      </c>
      <c r="D1268" s="10" t="n">
        <v>0.8854166666666666</v>
      </c>
      <c r="E1268" s="36" t="n">
        <v>4</v>
      </c>
      <c r="F1268" s="36" t="n">
        <v>1</v>
      </c>
      <c r="G1268" s="36" t="n">
        <v>3</v>
      </c>
      <c r="H1268" s="36" t="n">
        <v>0</v>
      </c>
      <c r="I1268" s="36" t="n">
        <v>0</v>
      </c>
      <c r="J1268" s="36" t="n">
        <v>11</v>
      </c>
      <c r="K1268" s="12" t="n">
        <v>132</v>
      </c>
    </row>
    <row r="1269">
      <c r="A1269" s="33" t="n">
        <v>46322.74652777778</v>
      </c>
      <c r="B1269" s="33" t="n">
        <v>46322.77847222222</v>
      </c>
      <c r="C1269" s="13" t="n">
        <v>46325</v>
      </c>
      <c r="D1269" s="14" t="n">
        <v>0.9270833333333334</v>
      </c>
      <c r="E1269" s="37" t="n">
        <v>4</v>
      </c>
      <c r="F1269" s="37" t="n">
        <v>1</v>
      </c>
      <c r="G1269" s="37" t="n">
        <v>0</v>
      </c>
      <c r="H1269" s="37" t="n">
        <v>2</v>
      </c>
      <c r="I1269" s="37" t="n">
        <v>1</v>
      </c>
      <c r="J1269" s="37" t="n">
        <v>15</v>
      </c>
      <c r="K1269" s="16" t="n">
        <v>180</v>
      </c>
    </row>
    <row r="1270">
      <c r="A1270" s="30" t="n">
        <v>46322.74652777778</v>
      </c>
      <c r="B1270" s="30" t="n">
        <v>46322.77847222222</v>
      </c>
      <c r="C1270" s="9" t="n">
        <v>46325</v>
      </c>
      <c r="D1270" s="10" t="n">
        <v>0.96875</v>
      </c>
      <c r="E1270" s="36" t="n">
        <v>1</v>
      </c>
      <c r="F1270" s="36" t="n">
        <v>0</v>
      </c>
      <c r="G1270" s="36" t="n">
        <v>0</v>
      </c>
      <c r="H1270" s="36" t="n">
        <v>0</v>
      </c>
      <c r="I1270" s="36" t="n">
        <v>1</v>
      </c>
      <c r="J1270" s="36" t="n">
        <v>5</v>
      </c>
      <c r="K1270" s="12" t="n">
        <v>60</v>
      </c>
    </row>
    <row r="1271">
      <c r="A1271" s="33" t="n">
        <v>46322.74652777778</v>
      </c>
      <c r="B1271" s="33" t="n">
        <v>46322.77847222222</v>
      </c>
      <c r="C1271" s="13" t="n">
        <v>46325</v>
      </c>
      <c r="D1271" s="14" t="n">
        <v>0.9993055555555556</v>
      </c>
      <c r="E1271" s="37" t="n">
        <v>1</v>
      </c>
      <c r="F1271" s="37" t="n">
        <v>0</v>
      </c>
      <c r="G1271" s="37" t="n">
        <v>0</v>
      </c>
      <c r="H1271" s="37" t="n">
        <v>0</v>
      </c>
      <c r="I1271" s="37" t="n">
        <v>1</v>
      </c>
      <c r="J1271" s="37" t="n">
        <v>5</v>
      </c>
      <c r="K1271" s="16" t="n">
        <v>60</v>
      </c>
    </row>
    <row r="1272">
      <c r="A1272" s="30" t="n">
        <v>46322.74652777778</v>
      </c>
      <c r="B1272" s="30" t="n">
        <v>46322.77847222222</v>
      </c>
      <c r="C1272" s="9" t="n">
        <v>46326</v>
      </c>
      <c r="D1272" s="10" t="n">
        <v>0.8854166666666666</v>
      </c>
      <c r="E1272" s="36" t="n">
        <v>4</v>
      </c>
      <c r="F1272" s="36" t="n">
        <v>2</v>
      </c>
      <c r="G1272" s="36" t="n">
        <v>0</v>
      </c>
      <c r="H1272" s="36" t="n">
        <v>2</v>
      </c>
      <c r="I1272" s="36" t="n">
        <v>0</v>
      </c>
      <c r="J1272" s="36" t="n">
        <v>12</v>
      </c>
      <c r="K1272" s="12" t="n">
        <v>144</v>
      </c>
    </row>
    <row r="1273">
      <c r="A1273" s="33" t="n">
        <v>46322.74652777778</v>
      </c>
      <c r="B1273" s="33" t="n">
        <v>46322.77847222222</v>
      </c>
      <c r="C1273" s="13" t="n">
        <v>46327</v>
      </c>
      <c r="D1273" s="14" t="n">
        <v>0.9270833333333334</v>
      </c>
      <c r="E1273" s="37" t="n">
        <v>1</v>
      </c>
      <c r="F1273" s="37" t="n">
        <v>1</v>
      </c>
      <c r="G1273" s="37" t="n">
        <v>0</v>
      </c>
      <c r="H1273" s="37" t="n">
        <v>0</v>
      </c>
      <c r="I1273" s="37" t="n">
        <v>0</v>
      </c>
      <c r="J1273" s="37" t="n">
        <v>2</v>
      </c>
      <c r="K1273" s="16" t="n">
        <v>24</v>
      </c>
    </row>
    <row r="1274">
      <c r="A1274" s="30" t="n">
        <v>46322.77847222222</v>
      </c>
      <c r="B1274" s="30" t="n">
        <v>46322.78541666667</v>
      </c>
      <c r="C1274" s="9" t="n">
        <v>46325</v>
      </c>
      <c r="D1274" s="10" t="n">
        <v>0.84375</v>
      </c>
      <c r="E1274" s="36" t="n">
        <v>1</v>
      </c>
      <c r="F1274" s="36" t="n">
        <v>1</v>
      </c>
      <c r="G1274" s="36" t="n">
        <v>0</v>
      </c>
      <c r="H1274" s="36" t="n">
        <v>0</v>
      </c>
      <c r="I1274" s="36" t="n">
        <v>0</v>
      </c>
      <c r="J1274" s="36" t="n">
        <v>2</v>
      </c>
      <c r="K1274" s="12" t="n">
        <v>24</v>
      </c>
    </row>
    <row r="1275">
      <c r="A1275" s="33" t="n">
        <v>46322.77847222222</v>
      </c>
      <c r="B1275" s="33" t="n">
        <v>46322.78541666667</v>
      </c>
      <c r="C1275" s="13" t="n">
        <v>46326</v>
      </c>
      <c r="D1275" s="14" t="n">
        <v>0.84375</v>
      </c>
      <c r="E1275" s="37" t="n">
        <v>1</v>
      </c>
      <c r="F1275" s="37" t="n">
        <v>1</v>
      </c>
      <c r="G1275" s="37" t="n">
        <v>0</v>
      </c>
      <c r="H1275" s="37" t="n">
        <v>0</v>
      </c>
      <c r="I1275" s="37" t="n">
        <v>0</v>
      </c>
      <c r="J1275" s="37" t="n">
        <v>2</v>
      </c>
      <c r="K1275" s="16" t="n">
        <v>24</v>
      </c>
    </row>
    <row r="1276">
      <c r="A1276" s="30" t="n">
        <v>46322.77847222222</v>
      </c>
      <c r="B1276" s="30" t="n">
        <v>46322.78541666667</v>
      </c>
      <c r="C1276" s="9" t="n">
        <v>46327</v>
      </c>
      <c r="D1276" s="10" t="n">
        <v>0.9270833333333334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46322.77847222222</v>
      </c>
      <c r="B1277" s="33" t="n">
        <v>46322.78541666667</v>
      </c>
      <c r="C1277" s="13" t="n">
        <v>46327</v>
      </c>
      <c r="D1277" s="14" t="n">
        <v>0.96875</v>
      </c>
      <c r="E1277" s="37" t="n">
        <v>2</v>
      </c>
      <c r="F1277" s="37" t="n">
        <v>0</v>
      </c>
      <c r="G1277" s="37" t="n">
        <v>0</v>
      </c>
      <c r="H1277" s="37" t="n">
        <v>2</v>
      </c>
      <c r="I1277" s="37" t="n">
        <v>0</v>
      </c>
      <c r="J1277" s="37" t="n">
        <v>8</v>
      </c>
      <c r="K1277" s="16" t="n">
        <v>96</v>
      </c>
    </row>
    <row r="1278">
      <c r="A1278" s="30" t="n">
        <v>46322.78541666667</v>
      </c>
      <c r="B1278" s="30" t="n">
        <v>46322.7875</v>
      </c>
      <c r="C1278" s="9" t="n">
        <v>46324</v>
      </c>
      <c r="D1278" s="10" t="n">
        <v>0.96875</v>
      </c>
      <c r="E1278" s="36" t="n">
        <v>1</v>
      </c>
      <c r="F1278" s="36" t="n">
        <v>1</v>
      </c>
      <c r="G1278" s="36" t="n">
        <v>0</v>
      </c>
      <c r="H1278" s="36" t="n">
        <v>0</v>
      </c>
      <c r="I1278" s="36" t="n">
        <v>0</v>
      </c>
      <c r="J1278" s="36" t="n">
        <v>2</v>
      </c>
      <c r="K1278" s="12" t="n">
        <v>24</v>
      </c>
    </row>
    <row r="1279">
      <c r="A1279" s="33" t="n">
        <v>46322.7875</v>
      </c>
      <c r="B1279" s="33" t="n">
        <v>46322.81388888889</v>
      </c>
      <c r="C1279" s="13" t="n">
        <v>46324</v>
      </c>
      <c r="D1279" s="14" t="n">
        <v>0.8854166666666666</v>
      </c>
      <c r="E1279" s="37" t="n">
        <v>1</v>
      </c>
      <c r="F1279" s="37" t="n">
        <v>1</v>
      </c>
      <c r="G1279" s="37" t="n">
        <v>0</v>
      </c>
      <c r="H1279" s="37" t="n">
        <v>0</v>
      </c>
      <c r="I1279" s="37" t="n">
        <v>0</v>
      </c>
      <c r="J1279" s="37" t="n">
        <v>2</v>
      </c>
      <c r="K1279" s="16" t="n">
        <v>24</v>
      </c>
    </row>
    <row r="1280">
      <c r="A1280" s="30" t="n">
        <v>46322.7875</v>
      </c>
      <c r="B1280" s="30" t="n">
        <v>46322.81388888889</v>
      </c>
      <c r="C1280" s="9" t="n">
        <v>46324</v>
      </c>
      <c r="D1280" s="10" t="n">
        <v>0.9270833333333334</v>
      </c>
      <c r="E1280" s="36" t="n">
        <v>1</v>
      </c>
      <c r="F1280" s="36" t="n">
        <v>1</v>
      </c>
      <c r="G1280" s="36" t="n">
        <v>0</v>
      </c>
      <c r="H1280" s="36" t="n">
        <v>0</v>
      </c>
      <c r="I1280" s="36" t="n">
        <v>0</v>
      </c>
      <c r="J1280" s="36" t="n">
        <v>2</v>
      </c>
      <c r="K1280" s="12" t="n">
        <v>24</v>
      </c>
    </row>
    <row r="1281">
      <c r="A1281" s="33" t="n">
        <v>46322.7875</v>
      </c>
      <c r="B1281" s="33" t="n">
        <v>46322.81388888889</v>
      </c>
      <c r="C1281" s="13" t="n">
        <v>46324</v>
      </c>
      <c r="D1281" s="14" t="n">
        <v>0.96875</v>
      </c>
      <c r="E1281" s="37" t="n">
        <v>2</v>
      </c>
      <c r="F1281" s="37" t="n">
        <v>0</v>
      </c>
      <c r="G1281" s="37" t="n">
        <v>1</v>
      </c>
      <c r="H1281" s="37" t="n">
        <v>1</v>
      </c>
      <c r="I1281" s="37" t="n">
        <v>0</v>
      </c>
      <c r="J1281" s="37" t="n">
        <v>7</v>
      </c>
      <c r="K1281" s="16" t="n">
        <v>84</v>
      </c>
    </row>
    <row r="1282">
      <c r="A1282" s="30" t="n">
        <v>46322.7875</v>
      </c>
      <c r="B1282" s="30" t="n">
        <v>46322.81388888889</v>
      </c>
      <c r="C1282" s="9" t="n">
        <v>46325</v>
      </c>
      <c r="D1282" s="10" t="n">
        <v>0.8854166666666666</v>
      </c>
      <c r="E1282" s="36" t="n">
        <v>1</v>
      </c>
      <c r="F1282" s="36" t="n">
        <v>0</v>
      </c>
      <c r="G1282" s="36" t="n">
        <v>0</v>
      </c>
      <c r="H1282" s="36" t="n">
        <v>1</v>
      </c>
      <c r="I1282" s="36" t="n">
        <v>0</v>
      </c>
      <c r="J1282" s="36" t="n">
        <v>4</v>
      </c>
      <c r="K1282" s="12" t="n">
        <v>48</v>
      </c>
    </row>
    <row r="1283">
      <c r="A1283" s="33" t="n">
        <v>46322.7875</v>
      </c>
      <c r="B1283" s="33" t="n">
        <v>46322.81388888889</v>
      </c>
      <c r="C1283" s="13" t="n">
        <v>46325</v>
      </c>
      <c r="D1283" s="14" t="n">
        <v>0.9270833333333334</v>
      </c>
      <c r="E1283" s="37" t="n">
        <v>2</v>
      </c>
      <c r="F1283" s="37" t="n">
        <v>1</v>
      </c>
      <c r="G1283" s="37" t="n">
        <v>0</v>
      </c>
      <c r="H1283" s="37" t="n">
        <v>1</v>
      </c>
      <c r="I1283" s="37" t="n">
        <v>0</v>
      </c>
      <c r="J1283" s="37" t="n">
        <v>6</v>
      </c>
      <c r="K1283" s="16" t="n">
        <v>72</v>
      </c>
    </row>
    <row r="1284">
      <c r="A1284" s="30" t="n">
        <v>46322.7875</v>
      </c>
      <c r="B1284" s="30" t="n">
        <v>46322.81388888889</v>
      </c>
      <c r="C1284" s="9" t="n">
        <v>46326</v>
      </c>
      <c r="D1284" s="10" t="n">
        <v>0.84375</v>
      </c>
      <c r="E1284" s="36" t="n">
        <v>2</v>
      </c>
      <c r="F1284" s="36" t="n">
        <v>1</v>
      </c>
      <c r="G1284" s="36" t="n">
        <v>0</v>
      </c>
      <c r="H1284" s="36" t="n">
        <v>0</v>
      </c>
      <c r="I1284" s="36" t="n">
        <v>1</v>
      </c>
      <c r="J1284" s="36" t="n">
        <v>7</v>
      </c>
      <c r="K1284" s="12" t="n">
        <v>84</v>
      </c>
    </row>
    <row r="1285">
      <c r="A1285" s="33" t="n">
        <v>46322.7875</v>
      </c>
      <c r="B1285" s="33" t="n">
        <v>46322.81388888889</v>
      </c>
      <c r="C1285" s="13" t="n">
        <v>46326</v>
      </c>
      <c r="D1285" s="14" t="n">
        <v>0.8854166666666666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46322.7875</v>
      </c>
      <c r="B1286" s="30" t="n">
        <v>46322.81388888889</v>
      </c>
      <c r="C1286" s="9" t="n">
        <v>46327</v>
      </c>
      <c r="D1286" s="10" t="n">
        <v>0.9270833333333334</v>
      </c>
      <c r="E1286" s="36" t="n">
        <v>2</v>
      </c>
      <c r="F1286" s="36" t="n">
        <v>2</v>
      </c>
      <c r="G1286" s="36" t="n">
        <v>0</v>
      </c>
      <c r="H1286" s="36" t="n">
        <v>0</v>
      </c>
      <c r="I1286" s="36" t="n">
        <v>0</v>
      </c>
      <c r="J1286" s="36" t="n">
        <v>4</v>
      </c>
      <c r="K1286" s="12" t="n">
        <v>48</v>
      </c>
    </row>
    <row r="1287">
      <c r="A1287" s="33" t="n">
        <v>46322.7875</v>
      </c>
      <c r="B1287" s="33" t="n">
        <v>46322.81388888889</v>
      </c>
      <c r="C1287" s="13" t="n">
        <v>46327</v>
      </c>
      <c r="D1287" s="14" t="n">
        <v>0.9993055555555556</v>
      </c>
      <c r="E1287" s="37" t="n">
        <v>1</v>
      </c>
      <c r="F1287" s="37" t="n">
        <v>0</v>
      </c>
      <c r="G1287" s="37" t="n">
        <v>0</v>
      </c>
      <c r="H1287" s="37" t="n">
        <v>1</v>
      </c>
      <c r="I1287" s="37" t="n">
        <v>0</v>
      </c>
      <c r="J1287" s="37" t="n">
        <v>4</v>
      </c>
      <c r="K1287" s="16" t="n">
        <v>48</v>
      </c>
    </row>
    <row r="1288">
      <c r="A1288" s="30" t="n">
        <v>46322.81388888889</v>
      </c>
      <c r="B1288" s="30" t="n">
        <v>46322.81805555556</v>
      </c>
      <c r="C1288" s="9" t="n">
        <v>46326</v>
      </c>
      <c r="D1288" s="10" t="n">
        <v>0.8020833333333334</v>
      </c>
      <c r="E1288" s="36" t="n">
        <v>1</v>
      </c>
      <c r="F1288" s="36" t="n">
        <v>0</v>
      </c>
      <c r="G1288" s="36" t="n">
        <v>1</v>
      </c>
      <c r="H1288" s="36" t="n">
        <v>0</v>
      </c>
      <c r="I1288" s="36" t="n">
        <v>0</v>
      </c>
      <c r="J1288" s="36" t="n">
        <v>3</v>
      </c>
      <c r="K1288" s="12" t="n">
        <v>36</v>
      </c>
    </row>
    <row r="1289">
      <c r="A1289" s="33" t="n">
        <v>46322.81805555556</v>
      </c>
      <c r="B1289" s="33" t="n">
        <v>46322.82361111111</v>
      </c>
      <c r="C1289" s="13" t="n">
        <v>46324</v>
      </c>
      <c r="D1289" s="14" t="n">
        <v>0.96875</v>
      </c>
      <c r="E1289" s="37" t="n">
        <v>1</v>
      </c>
      <c r="F1289" s="37" t="n">
        <v>0</v>
      </c>
      <c r="G1289" s="37" t="n">
        <v>0</v>
      </c>
      <c r="H1289" s="37" t="n">
        <v>1</v>
      </c>
      <c r="I1289" s="37" t="n">
        <v>0</v>
      </c>
      <c r="J1289" s="37" t="n">
        <v>4</v>
      </c>
      <c r="K1289" s="16" t="n">
        <v>48</v>
      </c>
    </row>
    <row r="1290">
      <c r="A1290" s="30" t="n">
        <v>46322.81805555556</v>
      </c>
      <c r="B1290" s="30" t="n">
        <v>46322.82361111111</v>
      </c>
      <c r="C1290" s="9" t="n">
        <v>46325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46322.81805555556</v>
      </c>
      <c r="B1291" s="33" t="n">
        <v>46322.82361111111</v>
      </c>
      <c r="C1291" s="13" t="n">
        <v>46326</v>
      </c>
      <c r="D1291" s="14" t="n">
        <v>0.8020833333333334</v>
      </c>
      <c r="E1291" s="37" t="n">
        <v>1</v>
      </c>
      <c r="F1291" s="37" t="n">
        <v>1</v>
      </c>
      <c r="G1291" s="37" t="n">
        <v>0</v>
      </c>
      <c r="H1291" s="37" t="n">
        <v>0</v>
      </c>
      <c r="I1291" s="37" t="n">
        <v>0</v>
      </c>
      <c r="J1291" s="37" t="n">
        <v>2</v>
      </c>
      <c r="K1291" s="16" t="n">
        <v>24</v>
      </c>
    </row>
    <row r="1292">
      <c r="A1292" s="30" t="n">
        <v>46322.82361111111</v>
      </c>
      <c r="B1292" s="30" t="n">
        <v>46322.85972222222</v>
      </c>
      <c r="C1292" s="9" t="n">
        <v>46324</v>
      </c>
      <c r="D1292" s="10" t="n">
        <v>0.8854166666666666</v>
      </c>
      <c r="E1292" s="36" t="n">
        <v>2</v>
      </c>
      <c r="F1292" s="36" t="n">
        <v>0</v>
      </c>
      <c r="G1292" s="36" t="n">
        <v>0</v>
      </c>
      <c r="H1292" s="36" t="n">
        <v>1</v>
      </c>
      <c r="I1292" s="36" t="n">
        <v>1</v>
      </c>
      <c r="J1292" s="36" t="n">
        <v>9</v>
      </c>
      <c r="K1292" s="12" t="n">
        <v>108</v>
      </c>
    </row>
    <row r="1293">
      <c r="A1293" s="33" t="n">
        <v>46322.82361111111</v>
      </c>
      <c r="B1293" s="33" t="n">
        <v>46322.85972222222</v>
      </c>
      <c r="C1293" s="13" t="n">
        <v>46324</v>
      </c>
      <c r="D1293" s="14" t="n">
        <v>0.96875</v>
      </c>
      <c r="E1293" s="37" t="n">
        <v>2</v>
      </c>
      <c r="F1293" s="37" t="n">
        <v>0</v>
      </c>
      <c r="G1293" s="37" t="n">
        <v>0</v>
      </c>
      <c r="H1293" s="37" t="n">
        <v>2</v>
      </c>
      <c r="I1293" s="37" t="n">
        <v>0</v>
      </c>
      <c r="J1293" s="37" t="n">
        <v>8</v>
      </c>
      <c r="K1293" s="16" t="n">
        <v>96</v>
      </c>
    </row>
    <row r="1294">
      <c r="A1294" s="30" t="n">
        <v>46322.82361111111</v>
      </c>
      <c r="B1294" s="30" t="n">
        <v>46322.85972222222</v>
      </c>
      <c r="C1294" s="9" t="n">
        <v>46324</v>
      </c>
      <c r="D1294" s="10" t="n">
        <v>0.9993055555555556</v>
      </c>
      <c r="E1294" s="36" t="n">
        <v>1</v>
      </c>
      <c r="F1294" s="36" t="n">
        <v>1</v>
      </c>
      <c r="G1294" s="36" t="n">
        <v>0</v>
      </c>
      <c r="H1294" s="36" t="n">
        <v>0</v>
      </c>
      <c r="I1294" s="36" t="n">
        <v>0</v>
      </c>
      <c r="J1294" s="36" t="n">
        <v>2</v>
      </c>
      <c r="K1294" s="12" t="n">
        <v>24</v>
      </c>
    </row>
    <row r="1295">
      <c r="A1295" s="33" t="n">
        <v>46322.82361111111</v>
      </c>
      <c r="B1295" s="33" t="n">
        <v>46322.85972222222</v>
      </c>
      <c r="C1295" s="13" t="n">
        <v>46325</v>
      </c>
      <c r="D1295" s="14" t="n">
        <v>0.8854166666666666</v>
      </c>
      <c r="E1295" s="37" t="n">
        <v>2</v>
      </c>
      <c r="F1295" s="37" t="n">
        <v>1</v>
      </c>
      <c r="G1295" s="37" t="n">
        <v>0</v>
      </c>
      <c r="H1295" s="37" t="n">
        <v>1</v>
      </c>
      <c r="I1295" s="37" t="n">
        <v>0</v>
      </c>
      <c r="J1295" s="37" t="n">
        <v>6</v>
      </c>
      <c r="K1295" s="16" t="n">
        <v>72</v>
      </c>
    </row>
    <row r="1296">
      <c r="A1296" s="30" t="n">
        <v>46322.82361111111</v>
      </c>
      <c r="B1296" s="30" t="n">
        <v>46322.85972222222</v>
      </c>
      <c r="C1296" s="9" t="n">
        <v>46325</v>
      </c>
      <c r="D1296" s="10" t="n">
        <v>0.9270833333333334</v>
      </c>
      <c r="E1296" s="36" t="n">
        <v>2</v>
      </c>
      <c r="F1296" s="36" t="n">
        <v>0</v>
      </c>
      <c r="G1296" s="36" t="n">
        <v>0</v>
      </c>
      <c r="H1296" s="36" t="n">
        <v>1</v>
      </c>
      <c r="I1296" s="36" t="n">
        <v>1</v>
      </c>
      <c r="J1296" s="36" t="n">
        <v>9</v>
      </c>
      <c r="K1296" s="12" t="n">
        <v>108</v>
      </c>
    </row>
    <row r="1297">
      <c r="A1297" s="33" t="n">
        <v>46322.82361111111</v>
      </c>
      <c r="B1297" s="33" t="n">
        <v>46322.85972222222</v>
      </c>
      <c r="C1297" s="13" t="n">
        <v>46325</v>
      </c>
      <c r="D1297" s="14" t="n">
        <v>0.96875</v>
      </c>
      <c r="E1297" s="37" t="n">
        <v>3</v>
      </c>
      <c r="F1297" s="37" t="n">
        <v>0</v>
      </c>
      <c r="G1297" s="37" t="n">
        <v>2</v>
      </c>
      <c r="H1297" s="37" t="n">
        <v>1</v>
      </c>
      <c r="I1297" s="37" t="n">
        <v>0</v>
      </c>
      <c r="J1297" s="37" t="n">
        <v>10</v>
      </c>
      <c r="K1297" s="16" t="n">
        <v>120</v>
      </c>
    </row>
    <row r="1298">
      <c r="A1298" s="30" t="n">
        <v>46322.82361111111</v>
      </c>
      <c r="B1298" s="30" t="n">
        <v>46322.85972222222</v>
      </c>
      <c r="C1298" s="9" t="n">
        <v>46326</v>
      </c>
      <c r="D1298" s="10" t="n">
        <v>0.84375</v>
      </c>
      <c r="E1298" s="36" t="n">
        <v>3</v>
      </c>
      <c r="F1298" s="36" t="n">
        <v>1</v>
      </c>
      <c r="G1298" s="36" t="n">
        <v>1</v>
      </c>
      <c r="H1298" s="36" t="n">
        <v>1</v>
      </c>
      <c r="I1298" s="36" t="n">
        <v>0</v>
      </c>
      <c r="J1298" s="36" t="n">
        <v>9</v>
      </c>
      <c r="K1298" s="12" t="n">
        <v>108</v>
      </c>
    </row>
    <row r="1299">
      <c r="A1299" s="33" t="n">
        <v>46322.82361111111</v>
      </c>
      <c r="B1299" s="33" t="n">
        <v>46322.85972222222</v>
      </c>
      <c r="C1299" s="13" t="n">
        <v>46327</v>
      </c>
      <c r="D1299" s="14" t="n">
        <v>0.8854166666666666</v>
      </c>
      <c r="E1299" s="37" t="n">
        <v>1</v>
      </c>
      <c r="F1299" s="37" t="n">
        <v>0</v>
      </c>
      <c r="G1299" s="37" t="n">
        <v>0</v>
      </c>
      <c r="H1299" s="37" t="n">
        <v>1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46322.82361111111</v>
      </c>
      <c r="B1300" s="30" t="n">
        <v>46322.85972222222</v>
      </c>
      <c r="C1300" s="9" t="n">
        <v>46327</v>
      </c>
      <c r="D1300" s="10" t="n">
        <v>0.9270833333333334</v>
      </c>
      <c r="E1300" s="36" t="n">
        <v>2</v>
      </c>
      <c r="F1300" s="36" t="n">
        <v>0</v>
      </c>
      <c r="G1300" s="36" t="n">
        <v>0</v>
      </c>
      <c r="H1300" s="36" t="n">
        <v>2</v>
      </c>
      <c r="I1300" s="36" t="n">
        <v>0</v>
      </c>
      <c r="J1300" s="36" t="n">
        <v>8</v>
      </c>
      <c r="K1300" s="12" t="n">
        <v>96</v>
      </c>
    </row>
    <row r="1301">
      <c r="A1301" s="33" t="n">
        <v>46322.85972222222</v>
      </c>
      <c r="B1301" s="33" t="n">
        <v>46322.86527777778</v>
      </c>
      <c r="C1301" s="13" t="n">
        <v>46324</v>
      </c>
      <c r="D1301" s="14" t="n">
        <v>0.96875</v>
      </c>
      <c r="E1301" s="37" t="n">
        <v>1</v>
      </c>
      <c r="F1301" s="37" t="n">
        <v>0</v>
      </c>
      <c r="G1301" s="37" t="n">
        <v>0</v>
      </c>
      <c r="H1301" s="37" t="n">
        <v>0</v>
      </c>
      <c r="I1301" s="37" t="n">
        <v>1</v>
      </c>
      <c r="J1301" s="37" t="n">
        <v>5</v>
      </c>
      <c r="K1301" s="16" t="n">
        <v>60</v>
      </c>
    </row>
    <row r="1302">
      <c r="A1302" s="30" t="n">
        <v>46322.85972222222</v>
      </c>
      <c r="B1302" s="30" t="n">
        <v>46322.86527777778</v>
      </c>
      <c r="C1302" s="9" t="n">
        <v>46325</v>
      </c>
      <c r="D1302" s="10" t="n">
        <v>0.96875</v>
      </c>
      <c r="E1302" s="36" t="n">
        <v>2</v>
      </c>
      <c r="F1302" s="36" t="n">
        <v>1</v>
      </c>
      <c r="G1302" s="36" t="n">
        <v>0</v>
      </c>
      <c r="H1302" s="36" t="n">
        <v>1</v>
      </c>
      <c r="I1302" s="36" t="n">
        <v>0</v>
      </c>
      <c r="J1302" s="36" t="n">
        <v>6</v>
      </c>
      <c r="K1302" s="12" t="n">
        <v>72</v>
      </c>
    </row>
    <row r="1303">
      <c r="A1303" s="33" t="n">
        <v>46322.85972222222</v>
      </c>
      <c r="B1303" s="33" t="n">
        <v>46322.86527777778</v>
      </c>
      <c r="C1303" s="13" t="n">
        <v>46327</v>
      </c>
      <c r="D1303" s="14" t="n">
        <v>0.8854166666666666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46324</v>
      </c>
      <c r="D1304" s="10" t="n">
        <v>0.8854166666666666</v>
      </c>
      <c r="E1304" s="36" t="n">
        <v>1</v>
      </c>
      <c r="F1304" s="36" t="n">
        <v>0</v>
      </c>
      <c r="G1304" s="36" t="n">
        <v>0</v>
      </c>
      <c r="H1304" s="36" t="n">
        <v>0</v>
      </c>
      <c r="I1304" s="36" t="n">
        <v>1</v>
      </c>
      <c r="J1304" s="36" t="n">
        <v>5</v>
      </c>
      <c r="K1304" s="12" t="n">
        <v>60</v>
      </c>
    </row>
    <row r="1305">
      <c r="A1305" s="33" t="n">
        <v>46322.86527777778</v>
      </c>
      <c r="B1305" s="33" t="n">
        <v>46322.89722222222</v>
      </c>
      <c r="C1305" s="13" t="n">
        <v>46324</v>
      </c>
      <c r="D1305" s="14" t="n">
        <v>0.96875</v>
      </c>
      <c r="E1305" s="37" t="n">
        <v>4</v>
      </c>
      <c r="F1305" s="37" t="n">
        <v>1</v>
      </c>
      <c r="G1305" s="37" t="n">
        <v>0</v>
      </c>
      <c r="H1305" s="37" t="n">
        <v>2</v>
      </c>
      <c r="I1305" s="37" t="n">
        <v>1</v>
      </c>
      <c r="J1305" s="37" t="n">
        <v>15</v>
      </c>
      <c r="K1305" s="16" t="n">
        <v>180</v>
      </c>
    </row>
    <row r="1306">
      <c r="A1306" s="30" t="n">
        <v>46322.86527777778</v>
      </c>
      <c r="B1306" s="30" t="n">
        <v>46322.89722222222</v>
      </c>
      <c r="C1306" s="9" t="n">
        <v>46325</v>
      </c>
      <c r="D1306" s="10" t="n">
        <v>0.84375</v>
      </c>
      <c r="E1306" s="36" t="n">
        <v>2</v>
      </c>
      <c r="F1306" s="36" t="n">
        <v>2</v>
      </c>
      <c r="G1306" s="36" t="n">
        <v>0</v>
      </c>
      <c r="H1306" s="36" t="n">
        <v>0</v>
      </c>
      <c r="I1306" s="36" t="n">
        <v>0</v>
      </c>
      <c r="J1306" s="36" t="n">
        <v>4</v>
      </c>
      <c r="K1306" s="12" t="n">
        <v>48</v>
      </c>
    </row>
    <row r="1307">
      <c r="A1307" s="33" t="n">
        <v>46322.86527777778</v>
      </c>
      <c r="B1307" s="33" t="n">
        <v>46322.89722222222</v>
      </c>
      <c r="C1307" s="13" t="n">
        <v>46325</v>
      </c>
      <c r="D1307" s="14" t="n">
        <v>0.8854166666666666</v>
      </c>
      <c r="E1307" s="37" t="n">
        <v>1</v>
      </c>
      <c r="F1307" s="37" t="n">
        <v>0</v>
      </c>
      <c r="G1307" s="37" t="n">
        <v>0</v>
      </c>
      <c r="H1307" s="37" t="n">
        <v>1</v>
      </c>
      <c r="I1307" s="37" t="n">
        <v>0</v>
      </c>
      <c r="J1307" s="37" t="n">
        <v>4</v>
      </c>
      <c r="K1307" s="16" t="n">
        <v>48</v>
      </c>
    </row>
    <row r="1308">
      <c r="A1308" s="30" t="n">
        <v>46322.86527777778</v>
      </c>
      <c r="B1308" s="30" t="n">
        <v>46322.89722222222</v>
      </c>
      <c r="C1308" s="9" t="n">
        <v>46325</v>
      </c>
      <c r="D1308" s="10" t="n">
        <v>0.96875</v>
      </c>
      <c r="E1308" s="36" t="n">
        <v>2</v>
      </c>
      <c r="F1308" s="36" t="n">
        <v>2</v>
      </c>
      <c r="G1308" s="36" t="n">
        <v>0</v>
      </c>
      <c r="H1308" s="36" t="n">
        <v>0</v>
      </c>
      <c r="I1308" s="36" t="n">
        <v>0</v>
      </c>
      <c r="J1308" s="36" t="n">
        <v>4</v>
      </c>
      <c r="K1308" s="12" t="n">
        <v>48</v>
      </c>
    </row>
    <row r="1309">
      <c r="A1309" s="33" t="n">
        <v>46322.86527777778</v>
      </c>
      <c r="B1309" s="33" t="n">
        <v>46322.89722222222</v>
      </c>
      <c r="C1309" s="13" t="n">
        <v>46325</v>
      </c>
      <c r="D1309" s="14" t="n">
        <v>0.9993055555555556</v>
      </c>
      <c r="E1309" s="37" t="n">
        <v>2</v>
      </c>
      <c r="F1309" s="37" t="n">
        <v>2</v>
      </c>
      <c r="G1309" s="37" t="n">
        <v>0</v>
      </c>
      <c r="H1309" s="37" t="n">
        <v>0</v>
      </c>
      <c r="I1309" s="37" t="n">
        <v>0</v>
      </c>
      <c r="J1309" s="37" t="n">
        <v>4</v>
      </c>
      <c r="K1309" s="16" t="n">
        <v>48</v>
      </c>
    </row>
    <row r="1310">
      <c r="A1310" s="30" t="n">
        <v>46322.86527777778</v>
      </c>
      <c r="B1310" s="30" t="n">
        <v>46322.89722222222</v>
      </c>
      <c r="C1310" s="9" t="n">
        <v>46326</v>
      </c>
      <c r="D1310" s="10" t="n">
        <v>0.84375</v>
      </c>
      <c r="E1310" s="36" t="n">
        <v>6</v>
      </c>
      <c r="F1310" s="36" t="n">
        <v>2</v>
      </c>
      <c r="G1310" s="36" t="n">
        <v>0</v>
      </c>
      <c r="H1310" s="36" t="n">
        <v>4</v>
      </c>
      <c r="I1310" s="36" t="n">
        <v>0</v>
      </c>
      <c r="J1310" s="36" t="n">
        <v>20</v>
      </c>
      <c r="K1310" s="12" t="n">
        <v>240</v>
      </c>
    </row>
    <row r="1311">
      <c r="A1311" s="33" t="n">
        <v>46322.86527777778</v>
      </c>
      <c r="B1311" s="33" t="n">
        <v>46322.89722222222</v>
      </c>
      <c r="C1311" s="13" t="n">
        <v>46327</v>
      </c>
      <c r="D1311" s="14" t="n">
        <v>0.8020833333333334</v>
      </c>
      <c r="E1311" s="37" t="n">
        <v>1</v>
      </c>
      <c r="F1311" s="37" t="n">
        <v>0</v>
      </c>
      <c r="G1311" s="37" t="n">
        <v>1</v>
      </c>
      <c r="H1311" s="37" t="n">
        <v>0</v>
      </c>
      <c r="I1311" s="37" t="n">
        <v>0</v>
      </c>
      <c r="J1311" s="37" t="n">
        <v>3</v>
      </c>
      <c r="K1311" s="16" t="n">
        <v>36</v>
      </c>
    </row>
    <row r="1312">
      <c r="A1312" s="30" t="n">
        <v>46322.86527777778</v>
      </c>
      <c r="B1312" s="30" t="n">
        <v>46322.89722222222</v>
      </c>
      <c r="C1312" s="9" t="n">
        <v>46327</v>
      </c>
      <c r="D1312" s="10" t="n">
        <v>0.84375</v>
      </c>
      <c r="E1312" s="36" t="n">
        <v>1</v>
      </c>
      <c r="F1312" s="36" t="n">
        <v>0</v>
      </c>
      <c r="G1312" s="36" t="n">
        <v>0</v>
      </c>
      <c r="H1312" s="36" t="n">
        <v>1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46322.86527777778</v>
      </c>
      <c r="B1313" s="33" t="n">
        <v>46322.89722222222</v>
      </c>
      <c r="C1313" s="13" t="n">
        <v>46327</v>
      </c>
      <c r="D1313" s="14" t="n">
        <v>0.9270833333333334</v>
      </c>
      <c r="E1313" s="37" t="n">
        <v>1</v>
      </c>
      <c r="F1313" s="37" t="n">
        <v>0</v>
      </c>
      <c r="G1313" s="37" t="n">
        <v>0</v>
      </c>
      <c r="H1313" s="37" t="n">
        <v>1</v>
      </c>
      <c r="I1313" s="37" t="n">
        <v>0</v>
      </c>
      <c r="J1313" s="37" t="n">
        <v>4</v>
      </c>
      <c r="K1313" s="16" t="n">
        <v>48</v>
      </c>
    </row>
    <row r="1314">
      <c r="A1314" s="30" t="n">
        <v>46322.89722222222</v>
      </c>
      <c r="B1314" s="30" t="n">
        <v>46322.91805555556</v>
      </c>
      <c r="C1314" s="9" t="n">
        <v>46324</v>
      </c>
      <c r="D1314" s="10" t="n">
        <v>0.84375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46322.89722222222</v>
      </c>
      <c r="B1315" s="33" t="n">
        <v>46322.91805555556</v>
      </c>
      <c r="C1315" s="13" t="n">
        <v>46325</v>
      </c>
      <c r="D1315" s="14" t="n">
        <v>0.8854166666666666</v>
      </c>
      <c r="E1315" s="37" t="n">
        <v>2</v>
      </c>
      <c r="F1315" s="37" t="n">
        <v>0</v>
      </c>
      <c r="G1315" s="37" t="n">
        <v>0</v>
      </c>
      <c r="H1315" s="37" t="n">
        <v>1</v>
      </c>
      <c r="I1315" s="37" t="n">
        <v>1</v>
      </c>
      <c r="J1315" s="37" t="n">
        <v>9</v>
      </c>
      <c r="K1315" s="16" t="n">
        <v>108</v>
      </c>
    </row>
    <row r="1316">
      <c r="A1316" s="30" t="n">
        <v>46322.89722222222</v>
      </c>
      <c r="B1316" s="30" t="n">
        <v>46322.91805555556</v>
      </c>
      <c r="C1316" s="9" t="n">
        <v>46325</v>
      </c>
      <c r="D1316" s="10" t="n">
        <v>0.96875</v>
      </c>
      <c r="E1316" s="36" t="n">
        <v>2</v>
      </c>
      <c r="F1316" s="36" t="n">
        <v>1</v>
      </c>
      <c r="G1316" s="36" t="n">
        <v>0</v>
      </c>
      <c r="H1316" s="36" t="n">
        <v>1</v>
      </c>
      <c r="I1316" s="36" t="n">
        <v>0</v>
      </c>
      <c r="J1316" s="36" t="n">
        <v>6</v>
      </c>
      <c r="K1316" s="12" t="n">
        <v>72</v>
      </c>
    </row>
    <row r="1317">
      <c r="A1317" s="33" t="n">
        <v>46322.89722222222</v>
      </c>
      <c r="B1317" s="33" t="n">
        <v>46322.91805555556</v>
      </c>
      <c r="C1317" s="13" t="n">
        <v>46326</v>
      </c>
      <c r="D1317" s="14" t="n">
        <v>0.84375</v>
      </c>
      <c r="E1317" s="37" t="n">
        <v>3</v>
      </c>
      <c r="F1317" s="37" t="n">
        <v>3</v>
      </c>
      <c r="G1317" s="37" t="n">
        <v>0</v>
      </c>
      <c r="H1317" s="37" t="n">
        <v>0</v>
      </c>
      <c r="I1317" s="37" t="n">
        <v>0</v>
      </c>
      <c r="J1317" s="37" t="n">
        <v>6</v>
      </c>
      <c r="K1317" s="16" t="n">
        <v>72</v>
      </c>
    </row>
    <row r="1318">
      <c r="A1318" s="30" t="n">
        <v>46322.89722222222</v>
      </c>
      <c r="B1318" s="30" t="n">
        <v>46322.91805555556</v>
      </c>
      <c r="C1318" s="9" t="n">
        <v>46327</v>
      </c>
      <c r="D1318" s="10" t="n">
        <v>0.8020833333333334</v>
      </c>
      <c r="E1318" s="36" t="n">
        <v>1</v>
      </c>
      <c r="F1318" s="36" t="n">
        <v>0</v>
      </c>
      <c r="G1318" s="36" t="n">
        <v>0</v>
      </c>
      <c r="H1318" s="36" t="n">
        <v>0</v>
      </c>
      <c r="I1318" s="36" t="n">
        <v>1</v>
      </c>
      <c r="J1318" s="36" t="n">
        <v>5</v>
      </c>
      <c r="K1318" s="12" t="n">
        <v>60</v>
      </c>
    </row>
    <row r="1319">
      <c r="A1319" s="33" t="n">
        <v>46322.91805555556</v>
      </c>
      <c r="B1319" s="33" t="n">
        <v>46322.93680555555</v>
      </c>
      <c r="C1319" s="13" t="n">
        <v>46324</v>
      </c>
      <c r="D1319" s="14" t="n">
        <v>0.8854166666666666</v>
      </c>
      <c r="E1319" s="37" t="n">
        <v>2</v>
      </c>
      <c r="F1319" s="37" t="n">
        <v>0</v>
      </c>
      <c r="G1319" s="37" t="n">
        <v>0</v>
      </c>
      <c r="H1319" s="37" t="n">
        <v>2</v>
      </c>
      <c r="I1319" s="37" t="n">
        <v>0</v>
      </c>
      <c r="J1319" s="37" t="n">
        <v>8</v>
      </c>
      <c r="K1319" s="16" t="n">
        <v>96</v>
      </c>
    </row>
    <row r="1320">
      <c r="A1320" s="30" t="n">
        <v>46322.91805555556</v>
      </c>
      <c r="B1320" s="30" t="n">
        <v>46322.93680555555</v>
      </c>
      <c r="C1320" s="9" t="n">
        <v>46324</v>
      </c>
      <c r="D1320" s="10" t="n">
        <v>0.96875</v>
      </c>
      <c r="E1320" s="36" t="n">
        <v>4</v>
      </c>
      <c r="F1320" s="36" t="n">
        <v>1</v>
      </c>
      <c r="G1320" s="36" t="n">
        <v>0</v>
      </c>
      <c r="H1320" s="36" t="n">
        <v>2</v>
      </c>
      <c r="I1320" s="36" t="n">
        <v>1</v>
      </c>
      <c r="J1320" s="36" t="n">
        <v>15</v>
      </c>
      <c r="K1320" s="12" t="n">
        <v>180</v>
      </c>
    </row>
    <row r="1321">
      <c r="A1321" s="33" t="n">
        <v>46322.91805555556</v>
      </c>
      <c r="B1321" s="33" t="n">
        <v>46322.93680555555</v>
      </c>
      <c r="C1321" s="13" t="n">
        <v>46325</v>
      </c>
      <c r="D1321" s="14" t="n">
        <v>0.96875</v>
      </c>
      <c r="E1321" s="37" t="n">
        <v>2</v>
      </c>
      <c r="F1321" s="37" t="n">
        <v>2</v>
      </c>
      <c r="G1321" s="37" t="n">
        <v>0</v>
      </c>
      <c r="H1321" s="37" t="n">
        <v>0</v>
      </c>
      <c r="I1321" s="37" t="n">
        <v>0</v>
      </c>
      <c r="J1321" s="37" t="n">
        <v>4</v>
      </c>
      <c r="K1321" s="16" t="n">
        <v>48</v>
      </c>
    </row>
    <row r="1322">
      <c r="A1322" s="30" t="n">
        <v>46322.91805555556</v>
      </c>
      <c r="B1322" s="30" t="n">
        <v>46322.93680555555</v>
      </c>
      <c r="C1322" s="9" t="n">
        <v>46326</v>
      </c>
      <c r="D1322" s="10" t="n">
        <v>0.84375</v>
      </c>
      <c r="E1322" s="36" t="n">
        <v>13</v>
      </c>
      <c r="F1322" s="36" t="n">
        <v>4</v>
      </c>
      <c r="G1322" s="36" t="n">
        <v>0</v>
      </c>
      <c r="H1322" s="36" t="n">
        <v>4</v>
      </c>
      <c r="I1322" s="36" t="n">
        <v>5</v>
      </c>
      <c r="J1322" s="36" t="n">
        <v>49</v>
      </c>
      <c r="K1322" s="12" t="n">
        <v>588</v>
      </c>
    </row>
    <row r="1323">
      <c r="A1323" s="33" t="n">
        <v>46322.91805555556</v>
      </c>
      <c r="B1323" s="33" t="n">
        <v>46322.93680555555</v>
      </c>
      <c r="C1323" s="13" t="n">
        <v>46327</v>
      </c>
      <c r="D1323" s="14" t="n">
        <v>0.8854166666666666</v>
      </c>
      <c r="E1323" s="37" t="n">
        <v>1</v>
      </c>
      <c r="F1323" s="37" t="n">
        <v>0</v>
      </c>
      <c r="G1323" s="37" t="n">
        <v>0</v>
      </c>
      <c r="H1323" s="37" t="n">
        <v>1</v>
      </c>
      <c r="I1323" s="37" t="n">
        <v>0</v>
      </c>
      <c r="J1323" s="37" t="n">
        <v>4</v>
      </c>
      <c r="K1323" s="16" t="n">
        <v>48</v>
      </c>
    </row>
    <row r="1324">
      <c r="A1324" s="30" t="n">
        <v>46322.91805555556</v>
      </c>
      <c r="B1324" s="30" t="n">
        <v>46322.93680555555</v>
      </c>
      <c r="C1324" s="9" t="n">
        <v>46327</v>
      </c>
      <c r="D1324" s="10" t="n">
        <v>0.9270833333333334</v>
      </c>
      <c r="E1324" s="36" t="n">
        <v>2</v>
      </c>
      <c r="F1324" s="36" t="n">
        <v>0</v>
      </c>
      <c r="G1324" s="36" t="n">
        <v>0</v>
      </c>
      <c r="H1324" s="36" t="n">
        <v>2</v>
      </c>
      <c r="I1324" s="36" t="n">
        <v>0</v>
      </c>
      <c r="J1324" s="36" t="n">
        <v>8</v>
      </c>
      <c r="K1324" s="12" t="n">
        <v>96</v>
      </c>
    </row>
    <row r="1325">
      <c r="A1325" s="33" t="n">
        <v>46322.91805555556</v>
      </c>
      <c r="B1325" s="33" t="n">
        <v>46322.93680555555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46322.93680555555</v>
      </c>
      <c r="B1326" s="30" t="n">
        <v>46322.97986111111</v>
      </c>
      <c r="C1326" s="9" t="n">
        <v>46324</v>
      </c>
      <c r="D1326" s="10" t="n">
        <v>0.8854166666666666</v>
      </c>
      <c r="E1326" s="36" t="n">
        <v>2</v>
      </c>
      <c r="F1326" s="36" t="n">
        <v>0</v>
      </c>
      <c r="G1326" s="36" t="n">
        <v>0</v>
      </c>
      <c r="H1326" s="36" t="n">
        <v>2</v>
      </c>
      <c r="I1326" s="36" t="n">
        <v>0</v>
      </c>
      <c r="J1326" s="36" t="n">
        <v>8</v>
      </c>
      <c r="K1326" s="12" t="n">
        <v>96</v>
      </c>
    </row>
    <row r="1327">
      <c r="A1327" s="33" t="n">
        <v>46322.93680555555</v>
      </c>
      <c r="B1327" s="33" t="n">
        <v>46322.97986111111</v>
      </c>
      <c r="C1327" s="13" t="n">
        <v>46324</v>
      </c>
      <c r="D1327" s="14" t="n">
        <v>0.9270833333333334</v>
      </c>
      <c r="E1327" s="37" t="n">
        <v>-1</v>
      </c>
      <c r="F1327" s="37" t="n">
        <v>0</v>
      </c>
      <c r="G1327" s="37" t="n">
        <v>0</v>
      </c>
      <c r="H1327" s="37" t="n">
        <v>-1</v>
      </c>
      <c r="I1327" s="37" t="n">
        <v>0</v>
      </c>
      <c r="J1327" s="37" t="n">
        <v>-4</v>
      </c>
      <c r="K1327" s="16" t="n">
        <v>-48</v>
      </c>
    </row>
    <row r="1328">
      <c r="A1328" s="30" t="n">
        <v>46322.93680555555</v>
      </c>
      <c r="B1328" s="30" t="n">
        <v>46322.97986111111</v>
      </c>
      <c r="C1328" s="9" t="n">
        <v>46324</v>
      </c>
      <c r="D1328" s="10" t="n">
        <v>0.96875</v>
      </c>
      <c r="E1328" s="36" t="n">
        <v>8</v>
      </c>
      <c r="F1328" s="36" t="n">
        <v>3</v>
      </c>
      <c r="G1328" s="36" t="n">
        <v>2</v>
      </c>
      <c r="H1328" s="36" t="n">
        <v>1</v>
      </c>
      <c r="I1328" s="36" t="n">
        <v>2</v>
      </c>
      <c r="J1328" s="36" t="n">
        <v>26</v>
      </c>
      <c r="K1328" s="12" t="n">
        <v>312</v>
      </c>
    </row>
    <row r="1329">
      <c r="A1329" s="33" t="n">
        <v>46322.93680555555</v>
      </c>
      <c r="B1329" s="33" t="n">
        <v>46322.97986111111</v>
      </c>
      <c r="C1329" s="13" t="n">
        <v>46325</v>
      </c>
      <c r="D1329" s="14" t="n">
        <v>0.8854166666666666</v>
      </c>
      <c r="E1329" s="37" t="n">
        <v>1</v>
      </c>
      <c r="F1329" s="37" t="n">
        <v>0</v>
      </c>
      <c r="G1329" s="37" t="n">
        <v>0</v>
      </c>
      <c r="H1329" s="37" t="n">
        <v>0</v>
      </c>
      <c r="I1329" s="37" t="n">
        <v>1</v>
      </c>
      <c r="J1329" s="37" t="n">
        <v>5</v>
      </c>
      <c r="K1329" s="16" t="n">
        <v>60</v>
      </c>
    </row>
    <row r="1330">
      <c r="A1330" s="30" t="n">
        <v>46322.93680555555</v>
      </c>
      <c r="B1330" s="30" t="n">
        <v>46322.97986111111</v>
      </c>
      <c r="C1330" s="9" t="n">
        <v>46325</v>
      </c>
      <c r="D1330" s="10" t="n">
        <v>0.96875</v>
      </c>
      <c r="E1330" s="36" t="n">
        <v>4</v>
      </c>
      <c r="F1330" s="36" t="n">
        <v>1</v>
      </c>
      <c r="G1330" s="36" t="n">
        <v>0</v>
      </c>
      <c r="H1330" s="36" t="n">
        <v>1</v>
      </c>
      <c r="I1330" s="36" t="n">
        <v>2</v>
      </c>
      <c r="J1330" s="36" t="n">
        <v>16</v>
      </c>
      <c r="K1330" s="12" t="n">
        <v>192</v>
      </c>
    </row>
    <row r="1331">
      <c r="A1331" s="33" t="n">
        <v>46322.93680555555</v>
      </c>
      <c r="B1331" s="33" t="n">
        <v>46322.97986111111</v>
      </c>
      <c r="C1331" s="13" t="n">
        <v>46326</v>
      </c>
      <c r="D1331" s="14" t="n">
        <v>0.8020833333333334</v>
      </c>
      <c r="E1331" s="37" t="n">
        <v>1</v>
      </c>
      <c r="F1331" s="37" t="n">
        <v>1</v>
      </c>
      <c r="G1331" s="37" t="n">
        <v>0</v>
      </c>
      <c r="H1331" s="37" t="n">
        <v>0</v>
      </c>
      <c r="I1331" s="37" t="n">
        <v>0</v>
      </c>
      <c r="J1331" s="37" t="n">
        <v>2</v>
      </c>
      <c r="K1331" s="16" t="n">
        <v>24</v>
      </c>
    </row>
    <row r="1332">
      <c r="A1332" s="30" t="n">
        <v>46322.93680555555</v>
      </c>
      <c r="B1332" s="30" t="n">
        <v>46322.97986111111</v>
      </c>
      <c r="C1332" s="9" t="n">
        <v>46326</v>
      </c>
      <c r="D1332" s="10" t="n">
        <v>0.84375</v>
      </c>
      <c r="E1332" s="36" t="n">
        <v>9</v>
      </c>
      <c r="F1332" s="36" t="n">
        <v>2</v>
      </c>
      <c r="G1332" s="36" t="n">
        <v>2</v>
      </c>
      <c r="H1332" s="36" t="n">
        <v>5</v>
      </c>
      <c r="I1332" s="36" t="n">
        <v>0</v>
      </c>
      <c r="J1332" s="36" t="n">
        <v>30</v>
      </c>
      <c r="K1332" s="12" t="n">
        <v>360</v>
      </c>
    </row>
    <row r="1333">
      <c r="A1333" s="33" t="n">
        <v>46322.93680555555</v>
      </c>
      <c r="B1333" s="33" t="n">
        <v>46322.97986111111</v>
      </c>
      <c r="C1333" s="13" t="n">
        <v>46327</v>
      </c>
      <c r="D1333" s="14" t="n">
        <v>0.9270833333333334</v>
      </c>
      <c r="E1333" s="37" t="n">
        <v>2</v>
      </c>
      <c r="F1333" s="37" t="n">
        <v>2</v>
      </c>
      <c r="G1333" s="37" t="n">
        <v>0</v>
      </c>
      <c r="H1333" s="37" t="n">
        <v>0</v>
      </c>
      <c r="I1333" s="37" t="n">
        <v>0</v>
      </c>
      <c r="J1333" s="37" t="n">
        <v>4</v>
      </c>
      <c r="K1333" s="16" t="n">
        <v>48</v>
      </c>
    </row>
    <row r="1334">
      <c r="A1334" s="30" t="n">
        <v>46322.93680555555</v>
      </c>
      <c r="B1334" s="30" t="n">
        <v>46322.97986111111</v>
      </c>
      <c r="C1334" s="9" t="n">
        <v>46327</v>
      </c>
      <c r="D1334" s="10" t="n">
        <v>0.96875</v>
      </c>
      <c r="E1334" s="36" t="n">
        <v>1</v>
      </c>
      <c r="F1334" s="36" t="n">
        <v>1</v>
      </c>
      <c r="G1334" s="36" t="n">
        <v>0</v>
      </c>
      <c r="H1334" s="36" t="n">
        <v>0</v>
      </c>
      <c r="I1334" s="36" t="n">
        <v>0</v>
      </c>
      <c r="J1334" s="36" t="n">
        <v>2</v>
      </c>
      <c r="K1334" s="12" t="n">
        <v>24</v>
      </c>
    </row>
    <row r="1335">
      <c r="A1335" s="33" t="n">
        <v>46322.97986111111</v>
      </c>
      <c r="B1335" s="33" t="n">
        <v>46323.00347222222</v>
      </c>
      <c r="C1335" s="13" t="n">
        <v>46325</v>
      </c>
      <c r="D1335" s="14" t="n">
        <v>0.8854166666666666</v>
      </c>
      <c r="E1335" s="37" t="n">
        <v>1</v>
      </c>
      <c r="F1335" s="37" t="n">
        <v>0</v>
      </c>
      <c r="G1335" s="37" t="n">
        <v>1</v>
      </c>
      <c r="H1335" s="37" t="n">
        <v>0</v>
      </c>
      <c r="I1335" s="37" t="n">
        <v>0</v>
      </c>
      <c r="J1335" s="37" t="n">
        <v>3</v>
      </c>
      <c r="K1335" s="16" t="n">
        <v>36</v>
      </c>
    </row>
    <row r="1336">
      <c r="A1336" s="30" t="n">
        <v>46322.97986111111</v>
      </c>
      <c r="B1336" s="30" t="n">
        <v>46323.00347222222</v>
      </c>
      <c r="C1336" s="9" t="n">
        <v>46325</v>
      </c>
      <c r="D1336" s="10" t="n">
        <v>0.96875</v>
      </c>
      <c r="E1336" s="36" t="n">
        <v>2</v>
      </c>
      <c r="F1336" s="36" t="n">
        <v>1</v>
      </c>
      <c r="G1336" s="36" t="n">
        <v>0</v>
      </c>
      <c r="H1336" s="36" t="n">
        <v>0</v>
      </c>
      <c r="I1336" s="36" t="n">
        <v>1</v>
      </c>
      <c r="J1336" s="36" t="n">
        <v>7</v>
      </c>
      <c r="K1336" s="12" t="n">
        <v>84</v>
      </c>
    </row>
    <row r="1337">
      <c r="A1337" s="33" t="n">
        <v>46322.97986111111</v>
      </c>
      <c r="B1337" s="33" t="n">
        <v>46323.00347222222</v>
      </c>
      <c r="C1337" s="13" t="n">
        <v>46326</v>
      </c>
      <c r="D1337" s="14" t="n">
        <v>0.84375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46322.97986111111</v>
      </c>
      <c r="B1338" s="30" t="n">
        <v>46323.00347222222</v>
      </c>
      <c r="C1338" s="9" t="n">
        <v>46327</v>
      </c>
      <c r="D1338" s="10" t="n">
        <v>0.9270833333333334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46323.00347222222</v>
      </c>
      <c r="B1339" s="33" t="n">
        <v>46323.01944444444</v>
      </c>
      <c r="C1339" s="13" t="n">
        <v>46324</v>
      </c>
      <c r="D1339" s="14" t="n">
        <v>0.9270833333333334</v>
      </c>
      <c r="E1339" s="37" t="n">
        <v>1</v>
      </c>
      <c r="F1339" s="37" t="n">
        <v>0</v>
      </c>
      <c r="G1339" s="37" t="n">
        <v>0</v>
      </c>
      <c r="H1339" s="37" t="n">
        <v>1</v>
      </c>
      <c r="I1339" s="37" t="n">
        <v>0</v>
      </c>
      <c r="J1339" s="37" t="n">
        <v>4</v>
      </c>
      <c r="K1339" s="16" t="n">
        <v>48</v>
      </c>
    </row>
    <row r="1340">
      <c r="A1340" s="30" t="n">
        <v>46323.00347222222</v>
      </c>
      <c r="B1340" s="30" t="n">
        <v>46323.01944444444</v>
      </c>
      <c r="C1340" s="9" t="n">
        <v>46324</v>
      </c>
      <c r="D1340" s="10" t="n">
        <v>0.96875</v>
      </c>
      <c r="E1340" s="36" t="n">
        <v>2</v>
      </c>
      <c r="F1340" s="36" t="n">
        <v>0</v>
      </c>
      <c r="G1340" s="36" t="n">
        <v>1</v>
      </c>
      <c r="H1340" s="36" t="n">
        <v>1</v>
      </c>
      <c r="I1340" s="36" t="n">
        <v>0</v>
      </c>
      <c r="J1340" s="36" t="n">
        <v>7</v>
      </c>
      <c r="K1340" s="12" t="n">
        <v>84</v>
      </c>
    </row>
    <row r="1341">
      <c r="A1341" s="33" t="n">
        <v>46323.00347222222</v>
      </c>
      <c r="B1341" s="33" t="n">
        <v>46323.01944444444</v>
      </c>
      <c r="C1341" s="13" t="n">
        <v>46326</v>
      </c>
      <c r="D1341" s="14" t="n">
        <v>0.84375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46323.01944444444</v>
      </c>
      <c r="B1342" s="30" t="n">
        <v>46323.07083333333</v>
      </c>
      <c r="C1342" s="9" t="n">
        <v>46324</v>
      </c>
      <c r="D1342" s="10" t="n">
        <v>0.96875</v>
      </c>
      <c r="E1342" s="36" t="n">
        <v>1</v>
      </c>
      <c r="F1342" s="36" t="n">
        <v>0</v>
      </c>
      <c r="G1342" s="36" t="n">
        <v>0</v>
      </c>
      <c r="H1342" s="36" t="n">
        <v>0</v>
      </c>
      <c r="I1342" s="36" t="n">
        <v>1</v>
      </c>
      <c r="J1342" s="36" t="n">
        <v>5</v>
      </c>
      <c r="K1342" s="12" t="n">
        <v>60</v>
      </c>
    </row>
    <row r="1343">
      <c r="A1343" s="33" t="n">
        <v>46323.01944444444</v>
      </c>
      <c r="B1343" s="33" t="n">
        <v>46323.07083333333</v>
      </c>
      <c r="C1343" s="13" t="n">
        <v>46324</v>
      </c>
      <c r="D1343" s="14" t="n">
        <v>0.9993055555555556</v>
      </c>
      <c r="E1343" s="37" t="n">
        <v>1</v>
      </c>
      <c r="F1343" s="37" t="n">
        <v>0</v>
      </c>
      <c r="G1343" s="37" t="n">
        <v>0</v>
      </c>
      <c r="H1343" s="37" t="n">
        <v>0</v>
      </c>
      <c r="I1343" s="37" t="n">
        <v>1</v>
      </c>
      <c r="J1343" s="37" t="n">
        <v>5</v>
      </c>
      <c r="K1343" s="16" t="n">
        <v>60</v>
      </c>
    </row>
    <row r="1344">
      <c r="A1344" s="30" t="n">
        <v>46323.01944444444</v>
      </c>
      <c r="B1344" s="30" t="n">
        <v>46323.07083333333</v>
      </c>
      <c r="C1344" s="9" t="n">
        <v>46325</v>
      </c>
      <c r="D1344" s="10" t="n">
        <v>0.84375</v>
      </c>
      <c r="E1344" s="36" t="n">
        <v>1</v>
      </c>
      <c r="F1344" s="36" t="n">
        <v>1</v>
      </c>
      <c r="G1344" s="36" t="n">
        <v>0</v>
      </c>
      <c r="H1344" s="36" t="n">
        <v>0</v>
      </c>
      <c r="I1344" s="36" t="n">
        <v>0</v>
      </c>
      <c r="J1344" s="36" t="n">
        <v>2</v>
      </c>
      <c r="K1344" s="12" t="n">
        <v>24</v>
      </c>
    </row>
    <row r="1345">
      <c r="A1345" s="33" t="n">
        <v>46323.01944444444</v>
      </c>
      <c r="B1345" s="33" t="n">
        <v>46323.07083333333</v>
      </c>
      <c r="C1345" s="13" t="n">
        <v>46325</v>
      </c>
      <c r="D1345" s="14" t="n">
        <v>0.96875</v>
      </c>
      <c r="E1345" s="37" t="n">
        <v>1</v>
      </c>
      <c r="F1345" s="37" t="n">
        <v>1</v>
      </c>
      <c r="G1345" s="37" t="n">
        <v>0</v>
      </c>
      <c r="H1345" s="37" t="n">
        <v>0</v>
      </c>
      <c r="I1345" s="37" t="n">
        <v>0</v>
      </c>
      <c r="J1345" s="37" t="n">
        <v>2</v>
      </c>
      <c r="K1345" s="16" t="n">
        <v>24</v>
      </c>
    </row>
    <row r="1346">
      <c r="A1346" s="30" t="n">
        <v>46323.01944444444</v>
      </c>
      <c r="B1346" s="30" t="n">
        <v>46323.07083333333</v>
      </c>
      <c r="C1346" s="9" t="n">
        <v>46325</v>
      </c>
      <c r="D1346" s="10" t="n">
        <v>0.9993055555555556</v>
      </c>
      <c r="E1346" s="36" t="n">
        <v>1</v>
      </c>
      <c r="F1346" s="36" t="n">
        <v>0</v>
      </c>
      <c r="G1346" s="36" t="n">
        <v>0</v>
      </c>
      <c r="H1346" s="36" t="n">
        <v>1</v>
      </c>
      <c r="I1346" s="36" t="n">
        <v>0</v>
      </c>
      <c r="J1346" s="36" t="n">
        <v>4</v>
      </c>
      <c r="K1346" s="12" t="n">
        <v>48</v>
      </c>
    </row>
    <row r="1347">
      <c r="A1347" s="33" t="n">
        <v>46323.01944444444</v>
      </c>
      <c r="B1347" s="33" t="n">
        <v>46323.07083333333</v>
      </c>
      <c r="C1347" s="13" t="n">
        <v>46326</v>
      </c>
      <c r="D1347" s="14" t="n">
        <v>0.84375</v>
      </c>
      <c r="E1347" s="37" t="n">
        <v>1</v>
      </c>
      <c r="F1347" s="37" t="n">
        <v>0</v>
      </c>
      <c r="G1347" s="37" t="n">
        <v>0</v>
      </c>
      <c r="H1347" s="37" t="n">
        <v>1</v>
      </c>
      <c r="I1347" s="37" t="n">
        <v>0</v>
      </c>
      <c r="J1347" s="37" t="n">
        <v>4</v>
      </c>
      <c r="K1347" s="16" t="n">
        <v>48</v>
      </c>
    </row>
    <row r="1348">
      <c r="A1348" s="30" t="n">
        <v>46323.01944444444</v>
      </c>
      <c r="B1348" s="30" t="n">
        <v>46323.07083333333</v>
      </c>
      <c r="C1348" s="9" t="n">
        <v>46327</v>
      </c>
      <c r="D1348" s="10" t="n">
        <v>0.96875</v>
      </c>
      <c r="E1348" s="36" t="n">
        <v>1</v>
      </c>
      <c r="F1348" s="36" t="n">
        <v>0</v>
      </c>
      <c r="G1348" s="36" t="n">
        <v>0</v>
      </c>
      <c r="H1348" s="36" t="n">
        <v>0</v>
      </c>
      <c r="I1348" s="36" t="n">
        <v>1</v>
      </c>
      <c r="J1348" s="36" t="n">
        <v>5</v>
      </c>
      <c r="K1348" s="12" t="n">
        <v>60</v>
      </c>
    </row>
    <row r="1349">
      <c r="A1349" s="33" t="n">
        <v>46323.01944444444</v>
      </c>
      <c r="B1349" s="33" t="n">
        <v>46323.07083333333</v>
      </c>
      <c r="C1349" s="13" t="n">
        <v>46327</v>
      </c>
      <c r="D1349" s="14" t="n">
        <v>0.9993055555555556</v>
      </c>
      <c r="E1349" s="37" t="n">
        <v>1</v>
      </c>
      <c r="F1349" s="37" t="n">
        <v>0</v>
      </c>
      <c r="G1349" s="37" t="n">
        <v>0</v>
      </c>
      <c r="H1349" s="37" t="n">
        <v>1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46323.07083333333</v>
      </c>
      <c r="B1350" s="30" t="n">
        <v>46323.11805555555</v>
      </c>
      <c r="C1350" s="9" t="n">
        <v>46327</v>
      </c>
      <c r="D1350" s="10" t="n">
        <v>0.96875</v>
      </c>
      <c r="E1350" s="36" t="n">
        <v>1</v>
      </c>
      <c r="F1350" s="36" t="n">
        <v>0</v>
      </c>
      <c r="G1350" s="36" t="n">
        <v>0</v>
      </c>
      <c r="H1350" s="36" t="n">
        <v>0</v>
      </c>
      <c r="I1350" s="36" t="n">
        <v>1</v>
      </c>
      <c r="J1350" s="36" t="n">
        <v>5</v>
      </c>
      <c r="K1350" s="12" t="n">
        <v>60</v>
      </c>
    </row>
    <row r="1351">
      <c r="A1351" s="33" t="n">
        <v>46323.32083333333</v>
      </c>
      <c r="B1351" s="33" t="n">
        <v>46323.37013888889</v>
      </c>
      <c r="C1351" s="13" t="n">
        <v>46324</v>
      </c>
      <c r="D1351" s="14" t="n">
        <v>0.84375</v>
      </c>
      <c r="E1351" s="37" t="n">
        <v>1</v>
      </c>
      <c r="F1351" s="37" t="n">
        <v>0</v>
      </c>
      <c r="G1351" s="37" t="n">
        <v>0</v>
      </c>
      <c r="H1351" s="37" t="n">
        <v>1</v>
      </c>
      <c r="I1351" s="37" t="n">
        <v>0</v>
      </c>
      <c r="J1351" s="37" t="n">
        <v>4</v>
      </c>
      <c r="K1351" s="16" t="n">
        <v>48</v>
      </c>
    </row>
    <row r="1352">
      <c r="A1352" s="30" t="n">
        <v>46323.32083333333</v>
      </c>
      <c r="B1352" s="30" t="n">
        <v>46323.37013888889</v>
      </c>
      <c r="C1352" s="9" t="n">
        <v>46324</v>
      </c>
      <c r="D1352" s="10" t="n">
        <v>0.8854166666666666</v>
      </c>
      <c r="E1352" s="36" t="n">
        <v>2</v>
      </c>
      <c r="F1352" s="36" t="n">
        <v>2</v>
      </c>
      <c r="G1352" s="36" t="n">
        <v>0</v>
      </c>
      <c r="H1352" s="36" t="n">
        <v>0</v>
      </c>
      <c r="I1352" s="36" t="n">
        <v>0</v>
      </c>
      <c r="J1352" s="36" t="n">
        <v>4</v>
      </c>
      <c r="K1352" s="12" t="n">
        <v>48</v>
      </c>
    </row>
    <row r="1353">
      <c r="A1353" s="33" t="n">
        <v>46323.32083333333</v>
      </c>
      <c r="B1353" s="33" t="n">
        <v>46323.37013888889</v>
      </c>
      <c r="C1353" s="13" t="n">
        <v>46325</v>
      </c>
      <c r="D1353" s="14" t="n">
        <v>0.84375</v>
      </c>
      <c r="E1353" s="37" t="n">
        <v>1</v>
      </c>
      <c r="F1353" s="37" t="n">
        <v>0</v>
      </c>
      <c r="G1353" s="37" t="n">
        <v>0</v>
      </c>
      <c r="H1353" s="37" t="n">
        <v>1</v>
      </c>
      <c r="I1353" s="37" t="n">
        <v>0</v>
      </c>
      <c r="J1353" s="37" t="n">
        <v>4</v>
      </c>
      <c r="K1353" s="16" t="n">
        <v>48</v>
      </c>
    </row>
    <row r="1354">
      <c r="A1354" s="30" t="n">
        <v>46323.32083333333</v>
      </c>
      <c r="B1354" s="30" t="n">
        <v>46323.37013888889</v>
      </c>
      <c r="C1354" s="9" t="n">
        <v>46325</v>
      </c>
      <c r="D1354" s="10" t="n">
        <v>0.8854166666666666</v>
      </c>
      <c r="E1354" s="36" t="n">
        <v>2</v>
      </c>
      <c r="F1354" s="36" t="n">
        <v>2</v>
      </c>
      <c r="G1354" s="36" t="n">
        <v>0</v>
      </c>
      <c r="H1354" s="36" t="n">
        <v>0</v>
      </c>
      <c r="I1354" s="36" t="n">
        <v>0</v>
      </c>
      <c r="J1354" s="36" t="n">
        <v>4</v>
      </c>
      <c r="K1354" s="12" t="n">
        <v>48</v>
      </c>
    </row>
    <row r="1355">
      <c r="A1355" s="33" t="n">
        <v>46323.32083333333</v>
      </c>
      <c r="B1355" s="33" t="n">
        <v>46323.37013888889</v>
      </c>
      <c r="C1355" s="13" t="n">
        <v>46325</v>
      </c>
      <c r="D1355" s="14" t="n">
        <v>0.96875</v>
      </c>
      <c r="E1355" s="37" t="n">
        <v>1</v>
      </c>
      <c r="F1355" s="37" t="n">
        <v>0</v>
      </c>
      <c r="G1355" s="37" t="n">
        <v>0</v>
      </c>
      <c r="H1355" s="37" t="n">
        <v>0</v>
      </c>
      <c r="I1355" s="37" t="n">
        <v>1</v>
      </c>
      <c r="J1355" s="37" t="n">
        <v>5</v>
      </c>
      <c r="K1355" s="16" t="n">
        <v>60</v>
      </c>
    </row>
    <row r="1356">
      <c r="A1356" s="30" t="n">
        <v>46323.37013888889</v>
      </c>
      <c r="B1356" s="30" t="n">
        <v>46323.40625</v>
      </c>
      <c r="C1356" s="9" t="n">
        <v>46324</v>
      </c>
      <c r="D1356" s="10" t="n">
        <v>0.96875</v>
      </c>
      <c r="E1356" s="36" t="n">
        <v>2</v>
      </c>
      <c r="F1356" s="36" t="n">
        <v>0</v>
      </c>
      <c r="G1356" s="36" t="n">
        <v>1</v>
      </c>
      <c r="H1356" s="36" t="n">
        <v>1</v>
      </c>
      <c r="I1356" s="36" t="n">
        <v>0</v>
      </c>
      <c r="J1356" s="36" t="n">
        <v>7</v>
      </c>
      <c r="K1356" s="12" t="n">
        <v>84</v>
      </c>
    </row>
    <row r="1357">
      <c r="A1357" s="33" t="n">
        <v>46323.37013888889</v>
      </c>
      <c r="B1357" s="33" t="n">
        <v>46323.40625</v>
      </c>
      <c r="C1357" s="13" t="n">
        <v>46325</v>
      </c>
      <c r="D1357" s="14" t="n">
        <v>0.84375</v>
      </c>
      <c r="E1357" s="37" t="n">
        <v>1</v>
      </c>
      <c r="F1357" s="37" t="n">
        <v>1</v>
      </c>
      <c r="G1357" s="37" t="n">
        <v>0</v>
      </c>
      <c r="H1357" s="37" t="n">
        <v>0</v>
      </c>
      <c r="I1357" s="37" t="n">
        <v>0</v>
      </c>
      <c r="J1357" s="37" t="n">
        <v>2</v>
      </c>
      <c r="K1357" s="16" t="n">
        <v>24</v>
      </c>
    </row>
    <row r="1358">
      <c r="A1358" s="30" t="n">
        <v>46323.37013888889</v>
      </c>
      <c r="B1358" s="30" t="n">
        <v>46323.40625</v>
      </c>
      <c r="C1358" s="9" t="n">
        <v>46325</v>
      </c>
      <c r="D1358" s="10" t="n">
        <v>0.96875</v>
      </c>
      <c r="E1358" s="36" t="n">
        <v>2</v>
      </c>
      <c r="F1358" s="36" t="n">
        <v>2</v>
      </c>
      <c r="G1358" s="36" t="n">
        <v>0</v>
      </c>
      <c r="H1358" s="36" t="n">
        <v>0</v>
      </c>
      <c r="I1358" s="36" t="n">
        <v>0</v>
      </c>
      <c r="J1358" s="36" t="n">
        <v>4</v>
      </c>
      <c r="K1358" s="12" t="n">
        <v>48</v>
      </c>
    </row>
    <row r="1359">
      <c r="A1359" s="33" t="n">
        <v>46323.40625</v>
      </c>
      <c r="B1359" s="33" t="n">
        <v>46323.44097222222</v>
      </c>
      <c r="C1359" s="13" t="n">
        <v>46324</v>
      </c>
      <c r="D1359" s="14" t="n">
        <v>0.8854166666666666</v>
      </c>
      <c r="E1359" s="37" t="n">
        <v>4</v>
      </c>
      <c r="F1359" s="37" t="n">
        <v>1</v>
      </c>
      <c r="G1359" s="37" t="n">
        <v>0</v>
      </c>
      <c r="H1359" s="37" t="n">
        <v>2</v>
      </c>
      <c r="I1359" s="37" t="n">
        <v>1</v>
      </c>
      <c r="J1359" s="37" t="n">
        <v>15</v>
      </c>
      <c r="K1359" s="16" t="n">
        <v>180</v>
      </c>
    </row>
    <row r="1360">
      <c r="A1360" s="30" t="n">
        <v>46323.40625</v>
      </c>
      <c r="B1360" s="30" t="n">
        <v>46323.44097222222</v>
      </c>
      <c r="C1360" s="9" t="n">
        <v>46324</v>
      </c>
      <c r="D1360" s="10" t="n">
        <v>0.9993055555555556</v>
      </c>
      <c r="E1360" s="36" t="n">
        <v>1</v>
      </c>
      <c r="F1360" s="36" t="n">
        <v>0</v>
      </c>
      <c r="G1360" s="36" t="n">
        <v>0</v>
      </c>
      <c r="H1360" s="36" t="n">
        <v>1</v>
      </c>
      <c r="I1360" s="36" t="n">
        <v>0</v>
      </c>
      <c r="J1360" s="36" t="n">
        <v>4</v>
      </c>
      <c r="K1360" s="12" t="n">
        <v>48</v>
      </c>
    </row>
    <row r="1361">
      <c r="A1361" s="33" t="n">
        <v>46323.40625</v>
      </c>
      <c r="B1361" s="33" t="n">
        <v>46323.44097222222</v>
      </c>
      <c r="C1361" s="13" t="n">
        <v>46325</v>
      </c>
      <c r="D1361" s="14" t="n">
        <v>0.84375</v>
      </c>
      <c r="E1361" s="37" t="n">
        <v>1</v>
      </c>
      <c r="F1361" s="37" t="n">
        <v>1</v>
      </c>
      <c r="G1361" s="37" t="n">
        <v>0</v>
      </c>
      <c r="H1361" s="37" t="n">
        <v>0</v>
      </c>
      <c r="I1361" s="37" t="n">
        <v>0</v>
      </c>
      <c r="J1361" s="37" t="n">
        <v>2</v>
      </c>
      <c r="K1361" s="16" t="n">
        <v>24</v>
      </c>
    </row>
    <row r="1362">
      <c r="A1362" s="30" t="n">
        <v>46323.40625</v>
      </c>
      <c r="B1362" s="30" t="n">
        <v>46323.44097222222</v>
      </c>
      <c r="C1362" s="9" t="n">
        <v>46325</v>
      </c>
      <c r="D1362" s="10" t="n">
        <v>0.8854166666666666</v>
      </c>
      <c r="E1362" s="36" t="n">
        <v>2</v>
      </c>
      <c r="F1362" s="36" t="n">
        <v>1</v>
      </c>
      <c r="G1362" s="36" t="n">
        <v>0</v>
      </c>
      <c r="H1362" s="36" t="n">
        <v>0</v>
      </c>
      <c r="I1362" s="36" t="n">
        <v>1</v>
      </c>
      <c r="J1362" s="36" t="n">
        <v>7</v>
      </c>
      <c r="K1362" s="12" t="n">
        <v>84</v>
      </c>
    </row>
    <row r="1363">
      <c r="A1363" s="33" t="n">
        <v>46323.40625</v>
      </c>
      <c r="B1363" s="33" t="n">
        <v>46323.44097222222</v>
      </c>
      <c r="C1363" s="13" t="n">
        <v>46325</v>
      </c>
      <c r="D1363" s="14" t="n">
        <v>0.96875</v>
      </c>
      <c r="E1363" s="37" t="n">
        <v>2</v>
      </c>
      <c r="F1363" s="37" t="n">
        <v>0</v>
      </c>
      <c r="G1363" s="37" t="n">
        <v>1</v>
      </c>
      <c r="H1363" s="37" t="n">
        <v>1</v>
      </c>
      <c r="I1363" s="37" t="n">
        <v>0</v>
      </c>
      <c r="J1363" s="37" t="n">
        <v>7</v>
      </c>
      <c r="K1363" s="16" t="n">
        <v>84</v>
      </c>
    </row>
    <row r="1364">
      <c r="A1364" s="30" t="n">
        <v>46323.40625</v>
      </c>
      <c r="B1364" s="30" t="n">
        <v>46323.44097222222</v>
      </c>
      <c r="C1364" s="9" t="n">
        <v>46325</v>
      </c>
      <c r="D1364" s="10" t="n">
        <v>0.9993055555555556</v>
      </c>
      <c r="E1364" s="36" t="n">
        <v>1</v>
      </c>
      <c r="F1364" s="36" t="n">
        <v>1</v>
      </c>
      <c r="G1364" s="36" t="n">
        <v>0</v>
      </c>
      <c r="H1364" s="36" t="n">
        <v>0</v>
      </c>
      <c r="I1364" s="36" t="n">
        <v>0</v>
      </c>
      <c r="J1364" s="36" t="n">
        <v>2</v>
      </c>
      <c r="K1364" s="12" t="n">
        <v>24</v>
      </c>
    </row>
    <row r="1365">
      <c r="A1365" s="33" t="n">
        <v>46323.40625</v>
      </c>
      <c r="B1365" s="33" t="n">
        <v>46323.44097222222</v>
      </c>
      <c r="C1365" s="13" t="n">
        <v>46326</v>
      </c>
      <c r="D1365" s="14" t="n">
        <v>0.84375</v>
      </c>
      <c r="E1365" s="37" t="n">
        <v>1</v>
      </c>
      <c r="F1365" s="37" t="n">
        <v>1</v>
      </c>
      <c r="G1365" s="37" t="n">
        <v>0</v>
      </c>
      <c r="H1365" s="37" t="n">
        <v>0</v>
      </c>
      <c r="I1365" s="37" t="n">
        <v>0</v>
      </c>
      <c r="J1365" s="37" t="n">
        <v>2</v>
      </c>
      <c r="K1365" s="16" t="n">
        <v>24</v>
      </c>
    </row>
    <row r="1366">
      <c r="A1366" s="30" t="n">
        <v>46323.40625</v>
      </c>
      <c r="B1366" s="30" t="n">
        <v>46323.44097222222</v>
      </c>
      <c r="C1366" s="9" t="n">
        <v>46327</v>
      </c>
      <c r="D1366" s="10" t="n">
        <v>0.8020833333333334</v>
      </c>
      <c r="E1366" s="36" t="n">
        <v>1</v>
      </c>
      <c r="F1366" s="36" t="n">
        <v>0</v>
      </c>
      <c r="G1366" s="36" t="n">
        <v>0</v>
      </c>
      <c r="H1366" s="36" t="n">
        <v>1</v>
      </c>
      <c r="I1366" s="36" t="n">
        <v>0</v>
      </c>
      <c r="J1366" s="36" t="n">
        <v>4</v>
      </c>
      <c r="K1366" s="12" t="n">
        <v>48</v>
      </c>
    </row>
    <row r="1367">
      <c r="A1367" s="33" t="n">
        <v>46323.44583333333</v>
      </c>
      <c r="B1367" s="33" t="n">
        <v>46323.47777777778</v>
      </c>
      <c r="C1367" s="13" t="n">
        <v>46324</v>
      </c>
      <c r="D1367" s="14" t="n">
        <v>0.8854166666666666</v>
      </c>
      <c r="E1367" s="37" t="n">
        <v>1</v>
      </c>
      <c r="F1367" s="37" t="n">
        <v>1</v>
      </c>
      <c r="G1367" s="37" t="n">
        <v>0</v>
      </c>
      <c r="H1367" s="37" t="n">
        <v>0</v>
      </c>
      <c r="I1367" s="37" t="n">
        <v>0</v>
      </c>
      <c r="J1367" s="37" t="n">
        <v>2</v>
      </c>
      <c r="K1367" s="16" t="n">
        <v>24</v>
      </c>
    </row>
    <row r="1368">
      <c r="A1368" s="30" t="n">
        <v>46323.44583333333</v>
      </c>
      <c r="B1368" s="30" t="n">
        <v>46323.47777777778</v>
      </c>
      <c r="C1368" s="9" t="n">
        <v>46325</v>
      </c>
      <c r="D1368" s="10" t="n">
        <v>0.8854166666666666</v>
      </c>
      <c r="E1368" s="36" t="n">
        <v>1</v>
      </c>
      <c r="F1368" s="36" t="n">
        <v>0</v>
      </c>
      <c r="G1368" s="36" t="n">
        <v>0</v>
      </c>
      <c r="H1368" s="36" t="n">
        <v>0</v>
      </c>
      <c r="I1368" s="36" t="n">
        <v>1</v>
      </c>
      <c r="J1368" s="36" t="n">
        <v>5</v>
      </c>
      <c r="K1368" s="12" t="n">
        <v>60</v>
      </c>
    </row>
    <row r="1369">
      <c r="A1369" s="33" t="n">
        <v>46323.44583333333</v>
      </c>
      <c r="B1369" s="33" t="n">
        <v>46323.47777777778</v>
      </c>
      <c r="C1369" s="13" t="n">
        <v>46325</v>
      </c>
      <c r="D1369" s="14" t="n">
        <v>0.96875</v>
      </c>
      <c r="E1369" s="37" t="n">
        <v>2</v>
      </c>
      <c r="F1369" s="37" t="n">
        <v>0</v>
      </c>
      <c r="G1369" s="37" t="n">
        <v>1</v>
      </c>
      <c r="H1369" s="37" t="n">
        <v>1</v>
      </c>
      <c r="I1369" s="37" t="n">
        <v>0</v>
      </c>
      <c r="J1369" s="37" t="n">
        <v>7</v>
      </c>
      <c r="K1369" s="16" t="n">
        <v>84</v>
      </c>
    </row>
    <row r="1370">
      <c r="A1370" s="30" t="n">
        <v>46323.44583333333</v>
      </c>
      <c r="B1370" s="30" t="n">
        <v>46323.47777777778</v>
      </c>
      <c r="C1370" s="9" t="n">
        <v>46326</v>
      </c>
      <c r="D1370" s="10" t="n">
        <v>0.84375</v>
      </c>
      <c r="E1370" s="36" t="n">
        <v>3</v>
      </c>
      <c r="F1370" s="36" t="n">
        <v>2</v>
      </c>
      <c r="G1370" s="36" t="n">
        <v>0</v>
      </c>
      <c r="H1370" s="36" t="n">
        <v>1</v>
      </c>
      <c r="I1370" s="36" t="n">
        <v>0</v>
      </c>
      <c r="J1370" s="36" t="n">
        <v>8</v>
      </c>
      <c r="K1370" s="12" t="n">
        <v>96</v>
      </c>
    </row>
    <row r="1371">
      <c r="A1371" s="33" t="n">
        <v>46323.44583333333</v>
      </c>
      <c r="B1371" s="33" t="n">
        <v>46323.47777777778</v>
      </c>
      <c r="C1371" s="13" t="n">
        <v>46327</v>
      </c>
      <c r="D1371" s="14" t="n">
        <v>0.9270833333333334</v>
      </c>
      <c r="E1371" s="37" t="n">
        <v>2</v>
      </c>
      <c r="F1371" s="37" t="n">
        <v>0</v>
      </c>
      <c r="G1371" s="37" t="n">
        <v>0</v>
      </c>
      <c r="H1371" s="37" t="n">
        <v>2</v>
      </c>
      <c r="I1371" s="37" t="n">
        <v>0</v>
      </c>
      <c r="J1371" s="37" t="n">
        <v>8</v>
      </c>
      <c r="K1371" s="16" t="n">
        <v>96</v>
      </c>
    </row>
    <row r="1372">
      <c r="A1372" s="30" t="n">
        <v>46323.47777777778</v>
      </c>
      <c r="B1372" s="30" t="n">
        <v>46323.48819444444</v>
      </c>
      <c r="C1372" s="9" t="n">
        <v>46324</v>
      </c>
      <c r="D1372" s="10" t="n">
        <v>0.8854166666666666</v>
      </c>
      <c r="E1372" s="36" t="n">
        <v>1</v>
      </c>
      <c r="F1372" s="36" t="n">
        <v>0</v>
      </c>
      <c r="G1372" s="36" t="n">
        <v>0</v>
      </c>
      <c r="H1372" s="36" t="n">
        <v>1</v>
      </c>
      <c r="I1372" s="36" t="n">
        <v>0</v>
      </c>
      <c r="J1372" s="36" t="n">
        <v>4</v>
      </c>
      <c r="K1372" s="12" t="n">
        <v>48</v>
      </c>
    </row>
    <row r="1373">
      <c r="A1373" s="33" t="n">
        <v>46323.47777777778</v>
      </c>
      <c r="B1373" s="33" t="n">
        <v>46323.48819444444</v>
      </c>
      <c r="C1373" s="13" t="n">
        <v>46326</v>
      </c>
      <c r="D1373" s="14" t="n">
        <v>0.8020833333333334</v>
      </c>
      <c r="E1373" s="37" t="n">
        <v>1</v>
      </c>
      <c r="F1373" s="37" t="n">
        <v>1</v>
      </c>
      <c r="G1373" s="37" t="n">
        <v>0</v>
      </c>
      <c r="H1373" s="37" t="n">
        <v>0</v>
      </c>
      <c r="I1373" s="37" t="n">
        <v>0</v>
      </c>
      <c r="J1373" s="37" t="n">
        <v>2</v>
      </c>
      <c r="K1373" s="16" t="n">
        <v>24</v>
      </c>
    </row>
    <row r="1374">
      <c r="A1374" s="30" t="n">
        <v>46323.47777777778</v>
      </c>
      <c r="B1374" s="30" t="n">
        <v>46323.48819444444</v>
      </c>
      <c r="C1374" s="9" t="n">
        <v>46326</v>
      </c>
      <c r="D1374" s="10" t="n">
        <v>0.84375</v>
      </c>
      <c r="E1374" s="36" t="n">
        <v>1</v>
      </c>
      <c r="F1374" s="36" t="n">
        <v>0</v>
      </c>
      <c r="G1374" s="36" t="n">
        <v>0</v>
      </c>
      <c r="H1374" s="36" t="n">
        <v>1</v>
      </c>
      <c r="I1374" s="36" t="n">
        <v>0</v>
      </c>
      <c r="J1374" s="36" t="n">
        <v>4</v>
      </c>
      <c r="K1374" s="12" t="n">
        <v>48</v>
      </c>
    </row>
    <row r="1375">
      <c r="A1375" s="33" t="n">
        <v>46323.47777777778</v>
      </c>
      <c r="B1375" s="33" t="n">
        <v>46323.48819444444</v>
      </c>
      <c r="C1375" s="13" t="n">
        <v>46327</v>
      </c>
      <c r="D1375" s="14" t="n">
        <v>0.9993055555555556</v>
      </c>
      <c r="E1375" s="37" t="n">
        <v>1</v>
      </c>
      <c r="F1375" s="37" t="n">
        <v>0</v>
      </c>
      <c r="G1375" s="37" t="n">
        <v>0</v>
      </c>
      <c r="H1375" s="37" t="n">
        <v>1</v>
      </c>
      <c r="I1375" s="37" t="n">
        <v>0</v>
      </c>
      <c r="J1375" s="37" t="n">
        <v>4</v>
      </c>
      <c r="K1375" s="16" t="n">
        <v>48</v>
      </c>
    </row>
    <row r="1376">
      <c r="A1376" s="30" t="n">
        <v>46323.48819444444</v>
      </c>
      <c r="B1376" s="30" t="n">
        <v>46323.525</v>
      </c>
      <c r="C1376" s="9" t="n">
        <v>46324</v>
      </c>
      <c r="D1376" s="10" t="n">
        <v>0.8854166666666666</v>
      </c>
      <c r="E1376" s="36" t="n">
        <v>3</v>
      </c>
      <c r="F1376" s="36" t="n">
        <v>2</v>
      </c>
      <c r="G1376" s="36" t="n">
        <v>0</v>
      </c>
      <c r="H1376" s="36" t="n">
        <v>0</v>
      </c>
      <c r="I1376" s="36" t="n">
        <v>1</v>
      </c>
      <c r="J1376" s="36" t="n">
        <v>9</v>
      </c>
      <c r="K1376" s="12" t="n">
        <v>108</v>
      </c>
    </row>
    <row r="1377">
      <c r="A1377" s="33" t="n">
        <v>46323.48819444444</v>
      </c>
      <c r="B1377" s="33" t="n">
        <v>46323.525</v>
      </c>
      <c r="C1377" s="13" t="n">
        <v>46324</v>
      </c>
      <c r="D1377" s="14" t="n">
        <v>0.9993055555555556</v>
      </c>
      <c r="E1377" s="37" t="n">
        <v>1</v>
      </c>
      <c r="F1377" s="37" t="n">
        <v>0</v>
      </c>
      <c r="G1377" s="37" t="n">
        <v>0</v>
      </c>
      <c r="H1377" s="37" t="n">
        <v>1</v>
      </c>
      <c r="I1377" s="37" t="n">
        <v>0</v>
      </c>
      <c r="J1377" s="37" t="n">
        <v>4</v>
      </c>
      <c r="K1377" s="16" t="n">
        <v>48</v>
      </c>
    </row>
    <row r="1378">
      <c r="A1378" s="30" t="n">
        <v>46323.48819444444</v>
      </c>
      <c r="B1378" s="30" t="n">
        <v>46323.525</v>
      </c>
      <c r="C1378" s="9" t="n">
        <v>46325</v>
      </c>
      <c r="D1378" s="10" t="n">
        <v>0.96875</v>
      </c>
      <c r="E1378" s="36" t="n">
        <v>2</v>
      </c>
      <c r="F1378" s="36" t="n">
        <v>2</v>
      </c>
      <c r="G1378" s="36" t="n">
        <v>0</v>
      </c>
      <c r="H1378" s="36" t="n">
        <v>0</v>
      </c>
      <c r="I1378" s="36" t="n">
        <v>0</v>
      </c>
      <c r="J1378" s="36" t="n">
        <v>4</v>
      </c>
      <c r="K1378" s="12" t="n">
        <v>48</v>
      </c>
    </row>
    <row r="1379">
      <c r="A1379" s="33" t="n">
        <v>46323.48819444444</v>
      </c>
      <c r="B1379" s="33" t="n">
        <v>46323.525</v>
      </c>
      <c r="C1379" s="13" t="n">
        <v>46326</v>
      </c>
      <c r="D1379" s="14" t="n">
        <v>0.8020833333333334</v>
      </c>
      <c r="E1379" s="37" t="n">
        <v>2</v>
      </c>
      <c r="F1379" s="37" t="n">
        <v>2</v>
      </c>
      <c r="G1379" s="37" t="n">
        <v>0</v>
      </c>
      <c r="H1379" s="37" t="n">
        <v>0</v>
      </c>
      <c r="I1379" s="37" t="n">
        <v>0</v>
      </c>
      <c r="J1379" s="37" t="n">
        <v>4</v>
      </c>
      <c r="K1379" s="16" t="n">
        <v>48</v>
      </c>
    </row>
    <row r="1380">
      <c r="A1380" s="30" t="n">
        <v>46323.48819444444</v>
      </c>
      <c r="B1380" s="30" t="n">
        <v>46323.525</v>
      </c>
      <c r="C1380" s="9" t="n">
        <v>46326</v>
      </c>
      <c r="D1380" s="10" t="n">
        <v>0.84375</v>
      </c>
      <c r="E1380" s="36" t="n">
        <v>2</v>
      </c>
      <c r="F1380" s="36" t="n">
        <v>0</v>
      </c>
      <c r="G1380" s="36" t="n">
        <v>1</v>
      </c>
      <c r="H1380" s="36" t="n">
        <v>1</v>
      </c>
      <c r="I1380" s="36" t="n">
        <v>0</v>
      </c>
      <c r="J1380" s="36" t="n">
        <v>7</v>
      </c>
      <c r="K1380" s="12" t="n">
        <v>84</v>
      </c>
    </row>
    <row r="1381">
      <c r="A1381" s="33" t="n">
        <v>46323.48819444444</v>
      </c>
      <c r="B1381" s="33" t="n">
        <v>46323.525</v>
      </c>
      <c r="C1381" s="13" t="n">
        <v>46327</v>
      </c>
      <c r="D1381" s="14" t="n">
        <v>0.84375</v>
      </c>
      <c r="E1381" s="37" t="n">
        <v>1</v>
      </c>
      <c r="F1381" s="37" t="n">
        <v>0</v>
      </c>
      <c r="G1381" s="37" t="n">
        <v>0</v>
      </c>
      <c r="H1381" s="37" t="n">
        <v>1</v>
      </c>
      <c r="I1381" s="37" t="n">
        <v>0</v>
      </c>
      <c r="J1381" s="37" t="n">
        <v>4</v>
      </c>
      <c r="K1381" s="16" t="n">
        <v>48</v>
      </c>
    </row>
    <row r="1382">
      <c r="A1382" s="30" t="n">
        <v>46323.48819444444</v>
      </c>
      <c r="B1382" s="30" t="n">
        <v>46323.525</v>
      </c>
      <c r="C1382" s="9" t="n">
        <v>46327</v>
      </c>
      <c r="D1382" s="10" t="n">
        <v>0.8854166666666666</v>
      </c>
      <c r="E1382" s="36" t="n">
        <v>1</v>
      </c>
      <c r="F1382" s="36" t="n">
        <v>1</v>
      </c>
      <c r="G1382" s="36" t="n">
        <v>0</v>
      </c>
      <c r="H1382" s="36" t="n">
        <v>0</v>
      </c>
      <c r="I1382" s="36" t="n">
        <v>0</v>
      </c>
      <c r="J1382" s="36" t="n">
        <v>2</v>
      </c>
      <c r="K1382" s="12" t="n">
        <v>24</v>
      </c>
    </row>
    <row r="1383">
      <c r="A1383" s="33" t="n">
        <v>46323.525</v>
      </c>
      <c r="B1383" s="33" t="n">
        <v>46323.56875</v>
      </c>
      <c r="C1383" s="13" t="n">
        <v>46324</v>
      </c>
      <c r="D1383" s="14" t="n">
        <v>0.8854166666666666</v>
      </c>
      <c r="E1383" s="37" t="n">
        <v>5</v>
      </c>
      <c r="F1383" s="37" t="n">
        <v>3</v>
      </c>
      <c r="G1383" s="37" t="n">
        <v>0</v>
      </c>
      <c r="H1383" s="37" t="n">
        <v>2</v>
      </c>
      <c r="I1383" s="37" t="n">
        <v>0</v>
      </c>
      <c r="J1383" s="37" t="n">
        <v>14</v>
      </c>
      <c r="K1383" s="16" t="n">
        <v>168</v>
      </c>
    </row>
    <row r="1384">
      <c r="A1384" s="30" t="n">
        <v>46323.525</v>
      </c>
      <c r="B1384" s="30" t="n">
        <v>46323.56875</v>
      </c>
      <c r="C1384" s="9" t="n">
        <v>46324</v>
      </c>
      <c r="D1384" s="10" t="n">
        <v>0.9993055555555556</v>
      </c>
      <c r="E1384" s="36" t="n">
        <v>2</v>
      </c>
      <c r="F1384" s="36" t="n">
        <v>1</v>
      </c>
      <c r="G1384" s="36" t="n">
        <v>0</v>
      </c>
      <c r="H1384" s="36" t="n">
        <v>1</v>
      </c>
      <c r="I1384" s="36" t="n">
        <v>0</v>
      </c>
      <c r="J1384" s="36" t="n">
        <v>6</v>
      </c>
      <c r="K1384" s="12" t="n">
        <v>72</v>
      </c>
    </row>
    <row r="1385">
      <c r="A1385" s="33" t="n">
        <v>46323.525</v>
      </c>
      <c r="B1385" s="33" t="n">
        <v>46323.56875</v>
      </c>
      <c r="C1385" s="13" t="n">
        <v>46325</v>
      </c>
      <c r="D1385" s="14" t="n">
        <v>0.9270833333333334</v>
      </c>
      <c r="E1385" s="37" t="n">
        <v>-1</v>
      </c>
      <c r="F1385" s="37" t="n">
        <v>-1</v>
      </c>
      <c r="G1385" s="37" t="n">
        <v>0</v>
      </c>
      <c r="H1385" s="37" t="n">
        <v>0</v>
      </c>
      <c r="I1385" s="37" t="n">
        <v>0</v>
      </c>
      <c r="J1385" s="37" t="n">
        <v>-2</v>
      </c>
      <c r="K1385" s="16" t="n">
        <v>-24</v>
      </c>
    </row>
    <row r="1386">
      <c r="A1386" s="30" t="n">
        <v>46323.525</v>
      </c>
      <c r="B1386" s="30" t="n">
        <v>46323.56875</v>
      </c>
      <c r="C1386" s="9" t="n">
        <v>46325</v>
      </c>
      <c r="D1386" s="10" t="n">
        <v>0.96875</v>
      </c>
      <c r="E1386" s="36" t="n">
        <v>2</v>
      </c>
      <c r="F1386" s="36" t="n">
        <v>0</v>
      </c>
      <c r="G1386" s="36" t="n">
        <v>2</v>
      </c>
      <c r="H1386" s="36" t="n">
        <v>0</v>
      </c>
      <c r="I1386" s="36" t="n">
        <v>0</v>
      </c>
      <c r="J1386" s="36" t="n">
        <v>6</v>
      </c>
      <c r="K1386" s="12" t="n">
        <v>72</v>
      </c>
    </row>
    <row r="1387">
      <c r="A1387" s="33" t="n">
        <v>46323.525</v>
      </c>
      <c r="B1387" s="33" t="n">
        <v>46323.56875</v>
      </c>
      <c r="C1387" s="13" t="n">
        <v>46325</v>
      </c>
      <c r="D1387" s="14" t="n">
        <v>0.9993055555555556</v>
      </c>
      <c r="E1387" s="37" t="n">
        <v>1</v>
      </c>
      <c r="F1387" s="37" t="n">
        <v>0</v>
      </c>
      <c r="G1387" s="37" t="n">
        <v>0</v>
      </c>
      <c r="H1387" s="37" t="n">
        <v>1</v>
      </c>
      <c r="I1387" s="37" t="n">
        <v>0</v>
      </c>
      <c r="J1387" s="37" t="n">
        <v>4</v>
      </c>
      <c r="K1387" s="16" t="n">
        <v>48</v>
      </c>
    </row>
    <row r="1388">
      <c r="A1388" s="30" t="n">
        <v>46323.525</v>
      </c>
      <c r="B1388" s="30" t="n">
        <v>46323.56875</v>
      </c>
      <c r="C1388" s="9" t="n">
        <v>46326</v>
      </c>
      <c r="D1388" s="10" t="n">
        <v>0.84375</v>
      </c>
      <c r="E1388" s="36" t="n">
        <v>3</v>
      </c>
      <c r="F1388" s="36" t="n">
        <v>1</v>
      </c>
      <c r="G1388" s="36" t="n">
        <v>1</v>
      </c>
      <c r="H1388" s="36" t="n">
        <v>1</v>
      </c>
      <c r="I1388" s="36" t="n">
        <v>0</v>
      </c>
      <c r="J1388" s="36" t="n">
        <v>9</v>
      </c>
      <c r="K1388" s="12" t="n">
        <v>108</v>
      </c>
    </row>
    <row r="1389">
      <c r="A1389" s="33" t="n">
        <v>46323.525</v>
      </c>
      <c r="B1389" s="33" t="n">
        <v>46323.56875</v>
      </c>
      <c r="C1389" s="13" t="n">
        <v>46327</v>
      </c>
      <c r="D1389" s="14" t="n">
        <v>0.9270833333333334</v>
      </c>
      <c r="E1389" s="37" t="n">
        <v>3</v>
      </c>
      <c r="F1389" s="37" t="n">
        <v>1</v>
      </c>
      <c r="G1389" s="37" t="n">
        <v>0</v>
      </c>
      <c r="H1389" s="37" t="n">
        <v>1</v>
      </c>
      <c r="I1389" s="37" t="n">
        <v>1</v>
      </c>
      <c r="J1389" s="37" t="n">
        <v>11</v>
      </c>
      <c r="K1389" s="16" t="n">
        <v>132</v>
      </c>
    </row>
    <row r="1390">
      <c r="A1390" s="30" t="n">
        <v>46323.525</v>
      </c>
      <c r="B1390" s="30" t="n">
        <v>46323.56875</v>
      </c>
      <c r="C1390" s="9" t="n">
        <v>46327</v>
      </c>
      <c r="D1390" s="10" t="n">
        <v>0.96875</v>
      </c>
      <c r="E1390" s="36" t="n">
        <v>1</v>
      </c>
      <c r="F1390" s="36" t="n">
        <v>0</v>
      </c>
      <c r="G1390" s="36" t="n">
        <v>0</v>
      </c>
      <c r="H1390" s="36" t="n">
        <v>0</v>
      </c>
      <c r="I1390" s="36" t="n">
        <v>1</v>
      </c>
      <c r="J1390" s="36" t="n">
        <v>5</v>
      </c>
      <c r="K1390" s="12" t="n">
        <v>60</v>
      </c>
    </row>
    <row r="1391">
      <c r="A1391" s="33" t="n">
        <v>46323.525</v>
      </c>
      <c r="B1391" s="33" t="n">
        <v>46323.56875</v>
      </c>
      <c r="C1391" s="13" t="n">
        <v>46327</v>
      </c>
      <c r="D1391" s="14" t="n">
        <v>0.9993055555555556</v>
      </c>
      <c r="E1391" s="37" t="n">
        <v>1</v>
      </c>
      <c r="F1391" s="37" t="n">
        <v>1</v>
      </c>
      <c r="G1391" s="37" t="n">
        <v>0</v>
      </c>
      <c r="H1391" s="37" t="n">
        <v>0</v>
      </c>
      <c r="I1391" s="37" t="n">
        <v>0</v>
      </c>
      <c r="J1391" s="37" t="n">
        <v>2</v>
      </c>
      <c r="K1391" s="16" t="n">
        <v>24</v>
      </c>
    </row>
    <row r="1392">
      <c r="A1392" s="30" t="n">
        <v>46323.56875</v>
      </c>
      <c r="B1392" s="30" t="n">
        <v>46323.57152777778</v>
      </c>
      <c r="C1392" s="9" t="n">
        <v>46325</v>
      </c>
      <c r="D1392" s="10" t="n">
        <v>0.9993055555555556</v>
      </c>
      <c r="E1392" s="36" t="n">
        <v>1</v>
      </c>
      <c r="F1392" s="36" t="n">
        <v>0</v>
      </c>
      <c r="G1392" s="36" t="n">
        <v>1</v>
      </c>
      <c r="H1392" s="36" t="n">
        <v>0</v>
      </c>
      <c r="I1392" s="36" t="n">
        <v>0</v>
      </c>
      <c r="J1392" s="36" t="n">
        <v>3</v>
      </c>
      <c r="K1392" s="12" t="n">
        <v>36</v>
      </c>
    </row>
    <row r="1393">
      <c r="A1393" s="33" t="n">
        <v>46323.56875</v>
      </c>
      <c r="B1393" s="33" t="n">
        <v>46323.57152777778</v>
      </c>
      <c r="C1393" s="13" t="n">
        <v>46327</v>
      </c>
      <c r="D1393" s="14" t="n">
        <v>0.8854166666666666</v>
      </c>
      <c r="E1393" s="37" t="n">
        <v>2</v>
      </c>
      <c r="F1393" s="37" t="n">
        <v>1</v>
      </c>
      <c r="G1393" s="37" t="n">
        <v>0</v>
      </c>
      <c r="H1393" s="37" t="n">
        <v>0</v>
      </c>
      <c r="I1393" s="37" t="n">
        <v>1</v>
      </c>
      <c r="J1393" s="37" t="n">
        <v>7</v>
      </c>
      <c r="K1393" s="16" t="n">
        <v>84</v>
      </c>
    </row>
    <row r="1394">
      <c r="A1394" s="30" t="n">
        <v>46323.57152777778</v>
      </c>
      <c r="B1394" s="30" t="n">
        <v>46323.60763888889</v>
      </c>
      <c r="C1394" s="9" t="n">
        <v>46324</v>
      </c>
      <c r="D1394" s="10" t="n">
        <v>0.84375</v>
      </c>
      <c r="E1394" s="36" t="n">
        <v>1</v>
      </c>
      <c r="F1394" s="36" t="n">
        <v>0</v>
      </c>
      <c r="G1394" s="36" t="n">
        <v>0</v>
      </c>
      <c r="H1394" s="36" t="n">
        <v>1</v>
      </c>
      <c r="I1394" s="36" t="n">
        <v>0</v>
      </c>
      <c r="J1394" s="36" t="n">
        <v>4</v>
      </c>
      <c r="K1394" s="12" t="n">
        <v>48</v>
      </c>
    </row>
    <row r="1395">
      <c r="A1395" s="33" t="n">
        <v>46323.57152777778</v>
      </c>
      <c r="B1395" s="33" t="n">
        <v>46323.60763888889</v>
      </c>
      <c r="C1395" s="13" t="n">
        <v>46324</v>
      </c>
      <c r="D1395" s="14" t="n">
        <v>0.8854166666666666</v>
      </c>
      <c r="E1395" s="37" t="n">
        <v>3</v>
      </c>
      <c r="F1395" s="37" t="n">
        <v>2</v>
      </c>
      <c r="G1395" s="37" t="n">
        <v>0</v>
      </c>
      <c r="H1395" s="37" t="n">
        <v>0</v>
      </c>
      <c r="I1395" s="37" t="n">
        <v>1</v>
      </c>
      <c r="J1395" s="37" t="n">
        <v>9</v>
      </c>
      <c r="K1395" s="16" t="n">
        <v>108</v>
      </c>
    </row>
    <row r="1396">
      <c r="A1396" s="30" t="n">
        <v>46323.57152777778</v>
      </c>
      <c r="B1396" s="30" t="n">
        <v>46323.60763888889</v>
      </c>
      <c r="C1396" s="9" t="n">
        <v>46324</v>
      </c>
      <c r="D1396" s="10" t="n">
        <v>0.9993055555555556</v>
      </c>
      <c r="E1396" s="36" t="n">
        <v>4</v>
      </c>
      <c r="F1396" s="36" t="n">
        <v>2</v>
      </c>
      <c r="G1396" s="36" t="n">
        <v>0</v>
      </c>
      <c r="H1396" s="36" t="n">
        <v>1</v>
      </c>
      <c r="I1396" s="36" t="n">
        <v>1</v>
      </c>
      <c r="J1396" s="36" t="n">
        <v>13</v>
      </c>
      <c r="K1396" s="12" t="n">
        <v>156</v>
      </c>
    </row>
    <row r="1397">
      <c r="A1397" s="33" t="n">
        <v>46323.57152777778</v>
      </c>
      <c r="B1397" s="33" t="n">
        <v>46323.60763888889</v>
      </c>
      <c r="C1397" s="13" t="n">
        <v>46325</v>
      </c>
      <c r="D1397" s="14" t="n">
        <v>0.9270833333333334</v>
      </c>
      <c r="E1397" s="37" t="n">
        <v>1</v>
      </c>
      <c r="F1397" s="37" t="n">
        <v>0</v>
      </c>
      <c r="G1397" s="37" t="n">
        <v>0</v>
      </c>
      <c r="H1397" s="37" t="n">
        <v>1</v>
      </c>
      <c r="I1397" s="37" t="n">
        <v>0</v>
      </c>
      <c r="J1397" s="37" t="n">
        <v>4</v>
      </c>
      <c r="K1397" s="16" t="n">
        <v>48</v>
      </c>
    </row>
    <row r="1398">
      <c r="A1398" s="30" t="n">
        <v>46323.57152777778</v>
      </c>
      <c r="B1398" s="30" t="n">
        <v>46323.60763888889</v>
      </c>
      <c r="C1398" s="9" t="n">
        <v>46325</v>
      </c>
      <c r="D1398" s="10" t="n">
        <v>0.96875</v>
      </c>
      <c r="E1398" s="36" t="n">
        <v>3</v>
      </c>
      <c r="F1398" s="36" t="n">
        <v>1</v>
      </c>
      <c r="G1398" s="36" t="n">
        <v>1</v>
      </c>
      <c r="H1398" s="36" t="n">
        <v>1</v>
      </c>
      <c r="I1398" s="36" t="n">
        <v>0</v>
      </c>
      <c r="J1398" s="36" t="n">
        <v>9</v>
      </c>
      <c r="K1398" s="12" t="n">
        <v>108</v>
      </c>
    </row>
    <row r="1399">
      <c r="A1399" s="33" t="n">
        <v>46323.57152777778</v>
      </c>
      <c r="B1399" s="33" t="n">
        <v>46323.60763888889</v>
      </c>
      <c r="C1399" s="13" t="n">
        <v>46325</v>
      </c>
      <c r="D1399" s="14" t="n">
        <v>0.9993055555555556</v>
      </c>
      <c r="E1399" s="37" t="n">
        <v>1</v>
      </c>
      <c r="F1399" s="37" t="n">
        <v>0</v>
      </c>
      <c r="G1399" s="37" t="n">
        <v>1</v>
      </c>
      <c r="H1399" s="37" t="n">
        <v>0</v>
      </c>
      <c r="I1399" s="37" t="n">
        <v>0</v>
      </c>
      <c r="J1399" s="37" t="n">
        <v>3</v>
      </c>
      <c r="K1399" s="16" t="n">
        <v>36</v>
      </c>
    </row>
    <row r="1400">
      <c r="A1400" s="30" t="n">
        <v>46323.57152777778</v>
      </c>
      <c r="B1400" s="30" t="n">
        <v>46323.60763888889</v>
      </c>
      <c r="C1400" s="9" t="n">
        <v>46326</v>
      </c>
      <c r="D1400" s="10" t="n">
        <v>0.8020833333333334</v>
      </c>
      <c r="E1400" s="36" t="n">
        <v>2</v>
      </c>
      <c r="F1400" s="36" t="n">
        <v>2</v>
      </c>
      <c r="G1400" s="36" t="n">
        <v>0</v>
      </c>
      <c r="H1400" s="36" t="n">
        <v>0</v>
      </c>
      <c r="I1400" s="36" t="n">
        <v>0</v>
      </c>
      <c r="J1400" s="36" t="n">
        <v>4</v>
      </c>
      <c r="K1400" s="12" t="n">
        <v>48</v>
      </c>
    </row>
    <row r="1401">
      <c r="A1401" s="33" t="n">
        <v>46323.57152777778</v>
      </c>
      <c r="B1401" s="33" t="n">
        <v>46323.60763888889</v>
      </c>
      <c r="C1401" s="13" t="n">
        <v>46326</v>
      </c>
      <c r="D1401" s="14" t="n">
        <v>0.84375</v>
      </c>
      <c r="E1401" s="37" t="n">
        <v>1</v>
      </c>
      <c r="F1401" s="37" t="n">
        <v>0</v>
      </c>
      <c r="G1401" s="37" t="n">
        <v>0</v>
      </c>
      <c r="H1401" s="37" t="n">
        <v>1</v>
      </c>
      <c r="I1401" s="37" t="n">
        <v>0</v>
      </c>
      <c r="J1401" s="37" t="n">
        <v>4</v>
      </c>
      <c r="K1401" s="16" t="n">
        <v>48</v>
      </c>
    </row>
    <row r="1402">
      <c r="A1402" s="30" t="n">
        <v>46323.57152777778</v>
      </c>
      <c r="B1402" s="30" t="n">
        <v>46323.60763888889</v>
      </c>
      <c r="C1402" s="9" t="n">
        <v>46327</v>
      </c>
      <c r="D1402" s="10" t="n">
        <v>0.8854166666666666</v>
      </c>
      <c r="E1402" s="36" t="n">
        <v>3</v>
      </c>
      <c r="F1402" s="36" t="n">
        <v>0</v>
      </c>
      <c r="G1402" s="36" t="n">
        <v>0</v>
      </c>
      <c r="H1402" s="36" t="n">
        <v>1</v>
      </c>
      <c r="I1402" s="36" t="n">
        <v>2</v>
      </c>
      <c r="J1402" s="36" t="n">
        <v>14</v>
      </c>
      <c r="K1402" s="12" t="n">
        <v>168</v>
      </c>
    </row>
    <row r="1403">
      <c r="A1403" s="33" t="n">
        <v>46323.60763888889</v>
      </c>
      <c r="B1403" s="33" t="n">
        <v>46323.62013888889</v>
      </c>
      <c r="C1403" s="13" t="n">
        <v>46324</v>
      </c>
      <c r="D1403" s="14" t="n">
        <v>0.8854166666666666</v>
      </c>
      <c r="E1403" s="37" t="n">
        <v>2</v>
      </c>
      <c r="F1403" s="37" t="n">
        <v>1</v>
      </c>
      <c r="G1403" s="37" t="n">
        <v>0</v>
      </c>
      <c r="H1403" s="37" t="n">
        <v>0</v>
      </c>
      <c r="I1403" s="37" t="n">
        <v>1</v>
      </c>
      <c r="J1403" s="37" t="n">
        <v>7</v>
      </c>
      <c r="K1403" s="16" t="n">
        <v>84</v>
      </c>
    </row>
    <row r="1404">
      <c r="A1404" s="30" t="n">
        <v>46323.60763888889</v>
      </c>
      <c r="B1404" s="30" t="n">
        <v>46323.62013888889</v>
      </c>
      <c r="C1404" s="9" t="n">
        <v>46324</v>
      </c>
      <c r="D1404" s="10" t="n">
        <v>0.9993055555555556</v>
      </c>
      <c r="E1404" s="36" t="n">
        <v>1</v>
      </c>
      <c r="F1404" s="36" t="n">
        <v>0</v>
      </c>
      <c r="G1404" s="36" t="n">
        <v>0</v>
      </c>
      <c r="H1404" s="36" t="n">
        <v>1</v>
      </c>
      <c r="I1404" s="36" t="n">
        <v>0</v>
      </c>
      <c r="J1404" s="36" t="n">
        <v>4</v>
      </c>
      <c r="K1404" s="12" t="n">
        <v>48</v>
      </c>
    </row>
    <row r="1405">
      <c r="A1405" s="33" t="n">
        <v>46323.60763888889</v>
      </c>
      <c r="B1405" s="33" t="n">
        <v>46323.62013888889</v>
      </c>
      <c r="C1405" s="13" t="n">
        <v>46325</v>
      </c>
      <c r="D1405" s="14" t="n">
        <v>0.96875</v>
      </c>
      <c r="E1405" s="37" t="n">
        <v>3</v>
      </c>
      <c r="F1405" s="37" t="n">
        <v>1</v>
      </c>
      <c r="G1405" s="37" t="n">
        <v>2</v>
      </c>
      <c r="H1405" s="37" t="n">
        <v>0</v>
      </c>
      <c r="I1405" s="37" t="n">
        <v>0</v>
      </c>
      <c r="J1405" s="37" t="n">
        <v>8</v>
      </c>
      <c r="K1405" s="16" t="n">
        <v>96</v>
      </c>
    </row>
    <row r="1406">
      <c r="A1406" s="30" t="n">
        <v>46323.62013888889</v>
      </c>
      <c r="B1406" s="30" t="n">
        <v>46323.63333333333</v>
      </c>
      <c r="C1406" s="9" t="n">
        <v>46324</v>
      </c>
      <c r="D1406" s="10" t="n">
        <v>0.84375</v>
      </c>
      <c r="E1406" s="36" t="n">
        <v>1</v>
      </c>
      <c r="F1406" s="36" t="n">
        <v>0</v>
      </c>
      <c r="G1406" s="36" t="n">
        <v>0</v>
      </c>
      <c r="H1406" s="36" t="n">
        <v>1</v>
      </c>
      <c r="I1406" s="36" t="n">
        <v>0</v>
      </c>
      <c r="J1406" s="36" t="n">
        <v>4</v>
      </c>
      <c r="K1406" s="12" t="n">
        <v>48</v>
      </c>
    </row>
    <row r="1407">
      <c r="A1407" s="33" t="n">
        <v>46323.62013888889</v>
      </c>
      <c r="B1407" s="33" t="n">
        <v>46323.63333333333</v>
      </c>
      <c r="C1407" s="13" t="n">
        <v>46324</v>
      </c>
      <c r="D1407" s="14" t="n">
        <v>0.8854166666666666</v>
      </c>
      <c r="E1407" s="37" t="n">
        <v>2</v>
      </c>
      <c r="F1407" s="37" t="n">
        <v>0</v>
      </c>
      <c r="G1407" s="37" t="n">
        <v>0</v>
      </c>
      <c r="H1407" s="37" t="n">
        <v>1</v>
      </c>
      <c r="I1407" s="37" t="n">
        <v>1</v>
      </c>
      <c r="J1407" s="37" t="n">
        <v>9</v>
      </c>
      <c r="K1407" s="16" t="n">
        <v>108</v>
      </c>
    </row>
    <row r="1408">
      <c r="A1408" s="30" t="n">
        <v>46323.62013888889</v>
      </c>
      <c r="B1408" s="30" t="n">
        <v>46323.63333333333</v>
      </c>
      <c r="C1408" s="9" t="n">
        <v>46327</v>
      </c>
      <c r="D1408" s="10" t="n">
        <v>0.9270833333333334</v>
      </c>
      <c r="E1408" s="36" t="n">
        <v>1</v>
      </c>
      <c r="F1408" s="36" t="n">
        <v>1</v>
      </c>
      <c r="G1408" s="36" t="n">
        <v>0</v>
      </c>
      <c r="H1408" s="36" t="n">
        <v>0</v>
      </c>
      <c r="I1408" s="36" t="n">
        <v>0</v>
      </c>
      <c r="J1408" s="36" t="n">
        <v>2</v>
      </c>
      <c r="K1408" s="12" t="n">
        <v>24</v>
      </c>
    </row>
    <row r="1409">
      <c r="A1409" s="33" t="n">
        <v>46323.63333333333</v>
      </c>
      <c r="B1409" s="33" t="n">
        <v>46323.65833333333</v>
      </c>
      <c r="C1409" s="13" t="n">
        <v>46324</v>
      </c>
      <c r="D1409" s="14" t="n">
        <v>0.9993055555555556</v>
      </c>
      <c r="E1409" s="37" t="n">
        <v>1</v>
      </c>
      <c r="F1409" s="37" t="n">
        <v>1</v>
      </c>
      <c r="G1409" s="37" t="n">
        <v>0</v>
      </c>
      <c r="H1409" s="37" t="n">
        <v>0</v>
      </c>
      <c r="I1409" s="37" t="n">
        <v>0</v>
      </c>
      <c r="J1409" s="37" t="n">
        <v>2</v>
      </c>
      <c r="K1409" s="16" t="n">
        <v>24</v>
      </c>
    </row>
    <row r="1410">
      <c r="A1410" s="30" t="n">
        <v>46323.63333333333</v>
      </c>
      <c r="B1410" s="30" t="n">
        <v>46323.65833333333</v>
      </c>
      <c r="C1410" s="9" t="n">
        <v>46325</v>
      </c>
      <c r="D1410" s="10" t="n">
        <v>0.8854166666666666</v>
      </c>
      <c r="E1410" s="36" t="n">
        <v>1</v>
      </c>
      <c r="F1410" s="36" t="n">
        <v>1</v>
      </c>
      <c r="G1410" s="36" t="n">
        <v>0</v>
      </c>
      <c r="H1410" s="36" t="n">
        <v>0</v>
      </c>
      <c r="I1410" s="36" t="n">
        <v>0</v>
      </c>
      <c r="J1410" s="36" t="n">
        <v>2</v>
      </c>
      <c r="K1410" s="12" t="n">
        <v>24</v>
      </c>
    </row>
    <row r="1411">
      <c r="A1411" s="33" t="n">
        <v>46323.63333333333</v>
      </c>
      <c r="B1411" s="33" t="n">
        <v>46323.65833333333</v>
      </c>
      <c r="C1411" s="13" t="n">
        <v>46326</v>
      </c>
      <c r="D1411" s="14" t="n">
        <v>0.8020833333333334</v>
      </c>
      <c r="E1411" s="37" t="n">
        <v>1</v>
      </c>
      <c r="F1411" s="37" t="n">
        <v>0</v>
      </c>
      <c r="G1411" s="37" t="n">
        <v>0</v>
      </c>
      <c r="H1411" s="37" t="n">
        <v>0</v>
      </c>
      <c r="I1411" s="37" t="n">
        <v>1</v>
      </c>
      <c r="J1411" s="37" t="n">
        <v>5</v>
      </c>
      <c r="K1411" s="16" t="n">
        <v>60</v>
      </c>
    </row>
    <row r="1412">
      <c r="A1412" s="30" t="n">
        <v>46323.63333333333</v>
      </c>
      <c r="B1412" s="30" t="n">
        <v>46323.65833333333</v>
      </c>
      <c r="C1412" s="9" t="n">
        <v>46327</v>
      </c>
      <c r="D1412" s="10" t="n">
        <v>0.9270833333333334</v>
      </c>
      <c r="E1412" s="36" t="n">
        <v>1</v>
      </c>
      <c r="F1412" s="36" t="n">
        <v>0</v>
      </c>
      <c r="G1412" s="36" t="n">
        <v>0</v>
      </c>
      <c r="H1412" s="36" t="n">
        <v>0</v>
      </c>
      <c r="I1412" s="36" t="n">
        <v>1</v>
      </c>
      <c r="J1412" s="36" t="n">
        <v>5</v>
      </c>
      <c r="K1412" s="12" t="n">
        <v>60</v>
      </c>
    </row>
    <row r="1413">
      <c r="A1413" s="33" t="n">
        <v>46323.65833333333</v>
      </c>
      <c r="B1413" s="33" t="n">
        <v>46323.67430555556</v>
      </c>
      <c r="C1413" s="13" t="n">
        <v>46324</v>
      </c>
      <c r="D1413" s="14" t="n">
        <v>0.84375</v>
      </c>
      <c r="E1413" s="37" t="n">
        <v>1</v>
      </c>
      <c r="F1413" s="37" t="n">
        <v>1</v>
      </c>
      <c r="G1413" s="37" t="n">
        <v>0</v>
      </c>
      <c r="H1413" s="37" t="n">
        <v>0</v>
      </c>
      <c r="I1413" s="37" t="n">
        <v>0</v>
      </c>
      <c r="J1413" s="37" t="n">
        <v>2</v>
      </c>
      <c r="K1413" s="16" t="n">
        <v>24</v>
      </c>
    </row>
    <row r="1414">
      <c r="A1414" s="30" t="n">
        <v>46323.65833333333</v>
      </c>
      <c r="B1414" s="30" t="n">
        <v>46323.67430555556</v>
      </c>
      <c r="C1414" s="9" t="n">
        <v>46324</v>
      </c>
      <c r="D1414" s="10" t="n">
        <v>0.8854166666666666</v>
      </c>
      <c r="E1414" s="36" t="n">
        <v>1</v>
      </c>
      <c r="F1414" s="36" t="n">
        <v>0</v>
      </c>
      <c r="G1414" s="36" t="n">
        <v>1</v>
      </c>
      <c r="H1414" s="36" t="n">
        <v>0</v>
      </c>
      <c r="I1414" s="36" t="n">
        <v>0</v>
      </c>
      <c r="J1414" s="36" t="n">
        <v>3</v>
      </c>
      <c r="K1414" s="12" t="n">
        <v>36</v>
      </c>
    </row>
    <row r="1415">
      <c r="A1415" s="33" t="n">
        <v>46323.65833333333</v>
      </c>
      <c r="B1415" s="33" t="n">
        <v>46323.67430555556</v>
      </c>
      <c r="C1415" s="13" t="n">
        <v>46325</v>
      </c>
      <c r="D1415" s="14" t="n">
        <v>0.96875</v>
      </c>
      <c r="E1415" s="37" t="n">
        <v>1</v>
      </c>
      <c r="F1415" s="37" t="n">
        <v>0</v>
      </c>
      <c r="G1415" s="37" t="n">
        <v>0</v>
      </c>
      <c r="H1415" s="37" t="n">
        <v>1</v>
      </c>
      <c r="I1415" s="37" t="n">
        <v>0</v>
      </c>
      <c r="J1415" s="37" t="n">
        <v>4</v>
      </c>
      <c r="K1415" s="16" t="n">
        <v>48</v>
      </c>
    </row>
    <row r="1416">
      <c r="A1416" s="30" t="n">
        <v>46323.65833333333</v>
      </c>
      <c r="B1416" s="30" t="n">
        <v>46323.67430555556</v>
      </c>
      <c r="C1416" s="9" t="n">
        <v>46325</v>
      </c>
      <c r="D1416" s="10" t="n">
        <v>0.9993055555555556</v>
      </c>
      <c r="E1416" s="36" t="n">
        <v>1</v>
      </c>
      <c r="F1416" s="36" t="n">
        <v>0</v>
      </c>
      <c r="G1416" s="36" t="n">
        <v>1</v>
      </c>
      <c r="H1416" s="36" t="n">
        <v>0</v>
      </c>
      <c r="I1416" s="36" t="n">
        <v>0</v>
      </c>
      <c r="J1416" s="36" t="n">
        <v>3</v>
      </c>
      <c r="K1416" s="12" t="n">
        <v>36</v>
      </c>
    </row>
    <row r="1417">
      <c r="A1417" s="33" t="n">
        <v>46323.67430555556</v>
      </c>
      <c r="B1417" s="33" t="n">
        <v>46323.69791666666</v>
      </c>
      <c r="C1417" s="13" t="n">
        <v>46324</v>
      </c>
      <c r="D1417" s="14" t="n">
        <v>0.84375</v>
      </c>
      <c r="E1417" s="37" t="n">
        <v>1</v>
      </c>
      <c r="F1417" s="37" t="n">
        <v>1</v>
      </c>
      <c r="G1417" s="37" t="n">
        <v>0</v>
      </c>
      <c r="H1417" s="37" t="n">
        <v>0</v>
      </c>
      <c r="I1417" s="37" t="n">
        <v>0</v>
      </c>
      <c r="J1417" s="37" t="n">
        <v>2</v>
      </c>
      <c r="K1417" s="16" t="n">
        <v>24</v>
      </c>
    </row>
    <row r="1418">
      <c r="A1418" s="30" t="n">
        <v>46323.67430555556</v>
      </c>
      <c r="B1418" s="30" t="n">
        <v>46323.69791666666</v>
      </c>
      <c r="C1418" s="9" t="n">
        <v>46325</v>
      </c>
      <c r="D1418" s="10" t="n">
        <v>0.96875</v>
      </c>
      <c r="E1418" s="36" t="n">
        <v>1</v>
      </c>
      <c r="F1418" s="36" t="n">
        <v>0</v>
      </c>
      <c r="G1418" s="36" t="n">
        <v>0</v>
      </c>
      <c r="H1418" s="36" t="n">
        <v>0</v>
      </c>
      <c r="I1418" s="36" t="n">
        <v>1</v>
      </c>
      <c r="J1418" s="36" t="n">
        <v>5</v>
      </c>
      <c r="K1418" s="12" t="n">
        <v>60</v>
      </c>
    </row>
    <row r="1419">
      <c r="A1419" s="33" t="n">
        <v>46323.67430555556</v>
      </c>
      <c r="B1419" s="33" t="n">
        <v>46323.69791666666</v>
      </c>
      <c r="C1419" s="13" t="n">
        <v>46325</v>
      </c>
      <c r="D1419" s="14" t="n">
        <v>0.9993055555555556</v>
      </c>
      <c r="E1419" s="37" t="n">
        <v>3</v>
      </c>
      <c r="F1419" s="37" t="n">
        <v>0</v>
      </c>
      <c r="G1419" s="37" t="n">
        <v>0</v>
      </c>
      <c r="H1419" s="37" t="n">
        <v>2</v>
      </c>
      <c r="I1419" s="37" t="n">
        <v>1</v>
      </c>
      <c r="J1419" s="37" t="n">
        <v>13</v>
      </c>
      <c r="K1419" s="16" t="n">
        <v>156</v>
      </c>
    </row>
    <row r="1420">
      <c r="A1420" s="30" t="n">
        <v>46323.69791666666</v>
      </c>
      <c r="B1420" s="30" t="n">
        <v>46323.73888888889</v>
      </c>
      <c r="C1420" s="9" t="n">
        <v>46324</v>
      </c>
      <c r="D1420" s="10" t="n">
        <v>0.84375</v>
      </c>
      <c r="E1420" s="36" t="n">
        <v>1</v>
      </c>
      <c r="F1420" s="36" t="n">
        <v>1</v>
      </c>
      <c r="G1420" s="36" t="n">
        <v>0</v>
      </c>
      <c r="H1420" s="36" t="n">
        <v>0</v>
      </c>
      <c r="I1420" s="36" t="n">
        <v>0</v>
      </c>
      <c r="J1420" s="36" t="n">
        <v>2</v>
      </c>
      <c r="K1420" s="12" t="n">
        <v>24</v>
      </c>
    </row>
    <row r="1421">
      <c r="A1421" s="33" t="n">
        <v>46323.69791666666</v>
      </c>
      <c r="B1421" s="33" t="n">
        <v>46323.73888888889</v>
      </c>
      <c r="C1421" s="13" t="n">
        <v>46324</v>
      </c>
      <c r="D1421" s="14" t="n">
        <v>0.8854166666666666</v>
      </c>
      <c r="E1421" s="37" t="n">
        <v>8</v>
      </c>
      <c r="F1421" s="37" t="n">
        <v>3</v>
      </c>
      <c r="G1421" s="37" t="n">
        <v>0</v>
      </c>
      <c r="H1421" s="37" t="n">
        <v>2</v>
      </c>
      <c r="I1421" s="37" t="n">
        <v>3</v>
      </c>
      <c r="J1421" s="37" t="n">
        <v>29</v>
      </c>
      <c r="K1421" s="16" t="n">
        <v>348</v>
      </c>
    </row>
    <row r="1422">
      <c r="A1422" s="30" t="n">
        <v>46323.69791666666</v>
      </c>
      <c r="B1422" s="30" t="n">
        <v>46323.73888888889</v>
      </c>
      <c r="C1422" s="9" t="n">
        <v>46324</v>
      </c>
      <c r="D1422" s="10" t="n">
        <v>0.9993055555555556</v>
      </c>
      <c r="E1422" s="36" t="n">
        <v>2</v>
      </c>
      <c r="F1422" s="36" t="n">
        <v>0</v>
      </c>
      <c r="G1422" s="36" t="n">
        <v>0</v>
      </c>
      <c r="H1422" s="36" t="n">
        <v>0</v>
      </c>
      <c r="I1422" s="36" t="n">
        <v>2</v>
      </c>
      <c r="J1422" s="36" t="n">
        <v>10</v>
      </c>
      <c r="K1422" s="12" t="n">
        <v>120</v>
      </c>
    </row>
    <row r="1423">
      <c r="A1423" s="33" t="n">
        <v>46323.69791666666</v>
      </c>
      <c r="B1423" s="33" t="n">
        <v>46323.73888888889</v>
      </c>
      <c r="C1423" s="13" t="n">
        <v>46325</v>
      </c>
      <c r="D1423" s="14" t="n">
        <v>0.96875</v>
      </c>
      <c r="E1423" s="37" t="n">
        <v>1</v>
      </c>
      <c r="F1423" s="37" t="n">
        <v>1</v>
      </c>
      <c r="G1423" s="37" t="n">
        <v>0</v>
      </c>
      <c r="H1423" s="37" t="n">
        <v>0</v>
      </c>
      <c r="I1423" s="37" t="n">
        <v>0</v>
      </c>
      <c r="J1423" s="37" t="n">
        <v>2</v>
      </c>
      <c r="K1423" s="16" t="n">
        <v>24</v>
      </c>
    </row>
    <row r="1424">
      <c r="A1424" s="30" t="n">
        <v>46323.69791666666</v>
      </c>
      <c r="B1424" s="30" t="n">
        <v>46323.73888888889</v>
      </c>
      <c r="C1424" s="9" t="n">
        <v>46325</v>
      </c>
      <c r="D1424" s="10" t="n">
        <v>0.9993055555555556</v>
      </c>
      <c r="E1424" s="36" t="n">
        <v>2</v>
      </c>
      <c r="F1424" s="36" t="n">
        <v>0</v>
      </c>
      <c r="G1424" s="36" t="n">
        <v>1</v>
      </c>
      <c r="H1424" s="36" t="n">
        <v>1</v>
      </c>
      <c r="I1424" s="36" t="n">
        <v>0</v>
      </c>
      <c r="J1424" s="36" t="n">
        <v>7</v>
      </c>
      <c r="K1424" s="12" t="n">
        <v>84</v>
      </c>
    </row>
    <row r="1425">
      <c r="A1425" s="33" t="n">
        <v>46323.69791666666</v>
      </c>
      <c r="B1425" s="33" t="n">
        <v>46323.73888888889</v>
      </c>
      <c r="C1425" s="13" t="n">
        <v>46326</v>
      </c>
      <c r="D1425" s="14" t="n">
        <v>0.8020833333333334</v>
      </c>
      <c r="E1425" s="37" t="n">
        <v>3</v>
      </c>
      <c r="F1425" s="37" t="n">
        <v>2</v>
      </c>
      <c r="G1425" s="37" t="n">
        <v>0</v>
      </c>
      <c r="H1425" s="37" t="n">
        <v>0</v>
      </c>
      <c r="I1425" s="37" t="n">
        <v>1</v>
      </c>
      <c r="J1425" s="37" t="n">
        <v>9</v>
      </c>
      <c r="K1425" s="16" t="n">
        <v>108</v>
      </c>
    </row>
    <row r="1426">
      <c r="A1426" s="30" t="n">
        <v>46323.73888888889</v>
      </c>
      <c r="B1426" s="30" t="n">
        <v>46323.74861111111</v>
      </c>
      <c r="C1426" s="9" t="n">
        <v>46324</v>
      </c>
      <c r="D1426" s="10" t="n">
        <v>0.9993055555555556</v>
      </c>
      <c r="E1426" s="36" t="n">
        <v>2</v>
      </c>
      <c r="F1426" s="36" t="n">
        <v>1</v>
      </c>
      <c r="G1426" s="36" t="n">
        <v>0</v>
      </c>
      <c r="H1426" s="36" t="n">
        <v>0</v>
      </c>
      <c r="I1426" s="36" t="n">
        <v>1</v>
      </c>
      <c r="J1426" s="36" t="n">
        <v>7</v>
      </c>
      <c r="K1426" s="12" t="n">
        <v>84</v>
      </c>
    </row>
    <row r="1427">
      <c r="A1427" s="33" t="n">
        <v>46323.73888888889</v>
      </c>
      <c r="B1427" s="33" t="n">
        <v>46323.74861111111</v>
      </c>
      <c r="C1427" s="13" t="n">
        <v>46325</v>
      </c>
      <c r="D1427" s="14" t="n">
        <v>0.9993055555555556</v>
      </c>
      <c r="E1427" s="37" t="n">
        <v>2</v>
      </c>
      <c r="F1427" s="37" t="n">
        <v>0</v>
      </c>
      <c r="G1427" s="37" t="n">
        <v>0</v>
      </c>
      <c r="H1427" s="37" t="n">
        <v>2</v>
      </c>
      <c r="I1427" s="37" t="n">
        <v>0</v>
      </c>
      <c r="J1427" s="37" t="n">
        <v>8</v>
      </c>
      <c r="K1427" s="16" t="n">
        <v>96</v>
      </c>
    </row>
    <row r="1428">
      <c r="A1428" s="30" t="n">
        <v>46323.74861111111</v>
      </c>
      <c r="B1428" s="30" t="n">
        <v>46323.77777777778</v>
      </c>
      <c r="C1428" s="9" t="n">
        <v>46324</v>
      </c>
      <c r="D1428" s="10" t="n">
        <v>0.84375</v>
      </c>
      <c r="E1428" s="36" t="n">
        <v>3</v>
      </c>
      <c r="F1428" s="36" t="n">
        <v>2</v>
      </c>
      <c r="G1428" s="36" t="n">
        <v>0</v>
      </c>
      <c r="H1428" s="36" t="n">
        <v>0</v>
      </c>
      <c r="I1428" s="36" t="n">
        <v>1</v>
      </c>
      <c r="J1428" s="36" t="n">
        <v>9</v>
      </c>
      <c r="K1428" s="12" t="n">
        <v>108</v>
      </c>
    </row>
    <row r="1429">
      <c r="A1429" s="33" t="n">
        <v>46323.74861111111</v>
      </c>
      <c r="B1429" s="33" t="n">
        <v>46323.77777777778</v>
      </c>
      <c r="C1429" s="13" t="n">
        <v>46324</v>
      </c>
      <c r="D1429" s="14" t="n">
        <v>0.9993055555555556</v>
      </c>
      <c r="E1429" s="37" t="n">
        <v>3</v>
      </c>
      <c r="F1429" s="37" t="n">
        <v>0</v>
      </c>
      <c r="G1429" s="37" t="n">
        <v>2</v>
      </c>
      <c r="H1429" s="37" t="n">
        <v>1</v>
      </c>
      <c r="I1429" s="37" t="n">
        <v>0</v>
      </c>
      <c r="J1429" s="37" t="n">
        <v>10</v>
      </c>
      <c r="K1429" s="16" t="n">
        <v>120</v>
      </c>
    </row>
    <row r="1430">
      <c r="A1430" s="30" t="n">
        <v>46323.74861111111</v>
      </c>
      <c r="B1430" s="30" t="n">
        <v>46323.77777777778</v>
      </c>
      <c r="C1430" s="9" t="n">
        <v>46325</v>
      </c>
      <c r="D1430" s="10" t="n">
        <v>0.8854166666666666</v>
      </c>
      <c r="E1430" s="36" t="n">
        <v>1</v>
      </c>
      <c r="F1430" s="36" t="n">
        <v>0</v>
      </c>
      <c r="G1430" s="36" t="n">
        <v>0</v>
      </c>
      <c r="H1430" s="36" t="n">
        <v>1</v>
      </c>
      <c r="I1430" s="36" t="n">
        <v>0</v>
      </c>
      <c r="J1430" s="36" t="n">
        <v>4</v>
      </c>
      <c r="K1430" s="12" t="n">
        <v>48</v>
      </c>
    </row>
    <row r="1431">
      <c r="A1431" s="33" t="n">
        <v>46323.74861111111</v>
      </c>
      <c r="B1431" s="33" t="n">
        <v>46323.77777777778</v>
      </c>
      <c r="C1431" s="13" t="n">
        <v>46325</v>
      </c>
      <c r="D1431" s="14" t="n">
        <v>0.9993055555555556</v>
      </c>
      <c r="E1431" s="37" t="n">
        <v>1</v>
      </c>
      <c r="F1431" s="37" t="n">
        <v>0</v>
      </c>
      <c r="G1431" s="37" t="n">
        <v>0</v>
      </c>
      <c r="H1431" s="37" t="n">
        <v>1</v>
      </c>
      <c r="I1431" s="37" t="n">
        <v>0</v>
      </c>
      <c r="J1431" s="37" t="n">
        <v>4</v>
      </c>
      <c r="K1431" s="16" t="n">
        <v>48</v>
      </c>
    </row>
    <row r="1432">
      <c r="A1432" s="30" t="n">
        <v>46323.74861111111</v>
      </c>
      <c r="B1432" s="30" t="n">
        <v>46323.77777777778</v>
      </c>
      <c r="C1432" s="9" t="n">
        <v>46326</v>
      </c>
      <c r="D1432" s="10" t="n">
        <v>0.8020833333333334</v>
      </c>
      <c r="E1432" s="36" t="n">
        <v>2</v>
      </c>
      <c r="F1432" s="36" t="n">
        <v>0</v>
      </c>
      <c r="G1432" s="36" t="n">
        <v>0</v>
      </c>
      <c r="H1432" s="36" t="n">
        <v>2</v>
      </c>
      <c r="I1432" s="36" t="n">
        <v>0</v>
      </c>
      <c r="J1432" s="36" t="n">
        <v>8</v>
      </c>
      <c r="K1432" s="12" t="n">
        <v>96</v>
      </c>
    </row>
    <row r="1433">
      <c r="A1433" s="33" t="n">
        <v>46323.74861111111</v>
      </c>
      <c r="B1433" s="33" t="n">
        <v>46323.77777777778</v>
      </c>
      <c r="C1433" s="13" t="n">
        <v>46327</v>
      </c>
      <c r="D1433" s="14" t="n">
        <v>0.84375</v>
      </c>
      <c r="E1433" s="37" t="n">
        <v>1</v>
      </c>
      <c r="F1433" s="37" t="n">
        <v>1</v>
      </c>
      <c r="G1433" s="37" t="n">
        <v>0</v>
      </c>
      <c r="H1433" s="37" t="n">
        <v>0</v>
      </c>
      <c r="I1433" s="37" t="n">
        <v>0</v>
      </c>
      <c r="J1433" s="37" t="n">
        <v>2</v>
      </c>
      <c r="K1433" s="16" t="n">
        <v>24</v>
      </c>
    </row>
    <row r="1434">
      <c r="A1434" s="30" t="n">
        <v>46323.74861111111</v>
      </c>
      <c r="B1434" s="30" t="n">
        <v>46323.77777777778</v>
      </c>
      <c r="C1434" s="9" t="n">
        <v>46327</v>
      </c>
      <c r="D1434" s="10" t="n">
        <v>0.8854166666666666</v>
      </c>
      <c r="E1434" s="36" t="n">
        <v>1</v>
      </c>
      <c r="F1434" s="36" t="n">
        <v>1</v>
      </c>
      <c r="G1434" s="36" t="n">
        <v>0</v>
      </c>
      <c r="H1434" s="36" t="n">
        <v>0</v>
      </c>
      <c r="I1434" s="36" t="n">
        <v>0</v>
      </c>
      <c r="J1434" s="36" t="n">
        <v>2</v>
      </c>
      <c r="K1434" s="12" t="n">
        <v>24</v>
      </c>
    </row>
    <row r="1435">
      <c r="A1435" s="33" t="n">
        <v>46323.74861111111</v>
      </c>
      <c r="B1435" s="33" t="n">
        <v>46323.77777777778</v>
      </c>
      <c r="C1435" s="13" t="n">
        <v>46327</v>
      </c>
      <c r="D1435" s="14" t="n">
        <v>0.9270833333333334</v>
      </c>
      <c r="E1435" s="37" t="n">
        <v>1</v>
      </c>
      <c r="F1435" s="37" t="n">
        <v>1</v>
      </c>
      <c r="G1435" s="37" t="n">
        <v>0</v>
      </c>
      <c r="H1435" s="37" t="n">
        <v>0</v>
      </c>
      <c r="I1435" s="37" t="n">
        <v>0</v>
      </c>
      <c r="J1435" s="37" t="n">
        <v>2</v>
      </c>
      <c r="K1435" s="16" t="n">
        <v>24</v>
      </c>
    </row>
    <row r="1436">
      <c r="A1436" s="30" t="n">
        <v>46323.77777777778</v>
      </c>
      <c r="B1436" s="30" t="n">
        <v>46323.80763888889</v>
      </c>
      <c r="C1436" s="9" t="n">
        <v>46324</v>
      </c>
      <c r="D1436" s="10" t="n">
        <v>0.9993055555555556</v>
      </c>
      <c r="E1436" s="36" t="n">
        <v>1</v>
      </c>
      <c r="F1436" s="36" t="n">
        <v>0</v>
      </c>
      <c r="G1436" s="36" t="n">
        <v>0</v>
      </c>
      <c r="H1436" s="36" t="n">
        <v>1</v>
      </c>
      <c r="I1436" s="36" t="n">
        <v>0</v>
      </c>
      <c r="J1436" s="36" t="n">
        <v>4</v>
      </c>
      <c r="K1436" s="12" t="n">
        <v>48</v>
      </c>
    </row>
    <row r="1437">
      <c r="A1437" s="33" t="n">
        <v>46323.77777777778</v>
      </c>
      <c r="B1437" s="33" t="n">
        <v>46323.80763888889</v>
      </c>
      <c r="C1437" s="13" t="n">
        <v>46325</v>
      </c>
      <c r="D1437" s="14" t="n">
        <v>0.84375</v>
      </c>
      <c r="E1437" s="37" t="n">
        <v>1</v>
      </c>
      <c r="F1437" s="37" t="n">
        <v>0</v>
      </c>
      <c r="G1437" s="37" t="n">
        <v>0</v>
      </c>
      <c r="H1437" s="37" t="n">
        <v>1</v>
      </c>
      <c r="I1437" s="37" t="n">
        <v>0</v>
      </c>
      <c r="J1437" s="37" t="n">
        <v>4</v>
      </c>
      <c r="K1437" s="16" t="n">
        <v>48</v>
      </c>
    </row>
    <row r="1438">
      <c r="A1438" s="30" t="n">
        <v>46323.77777777778</v>
      </c>
      <c r="B1438" s="30" t="n">
        <v>46323.80763888889</v>
      </c>
      <c r="C1438" s="9" t="n">
        <v>46325</v>
      </c>
      <c r="D1438" s="10" t="n">
        <v>0.9993055555555556</v>
      </c>
      <c r="E1438" s="36" t="n">
        <v>5</v>
      </c>
      <c r="F1438" s="36" t="n">
        <v>2</v>
      </c>
      <c r="G1438" s="36" t="n">
        <v>0</v>
      </c>
      <c r="H1438" s="36" t="n">
        <v>2</v>
      </c>
      <c r="I1438" s="36" t="n">
        <v>1</v>
      </c>
      <c r="J1438" s="36" t="n">
        <v>17</v>
      </c>
      <c r="K1438" s="12" t="n">
        <v>204</v>
      </c>
    </row>
    <row r="1439">
      <c r="A1439" s="33" t="n">
        <v>46323.77777777778</v>
      </c>
      <c r="B1439" s="33" t="n">
        <v>46323.80763888889</v>
      </c>
      <c r="C1439" s="13" t="n">
        <v>46326</v>
      </c>
      <c r="D1439" s="14" t="n">
        <v>0.8020833333333334</v>
      </c>
      <c r="E1439" s="37" t="n">
        <v>2</v>
      </c>
      <c r="F1439" s="37" t="n">
        <v>0</v>
      </c>
      <c r="G1439" s="37" t="n">
        <v>0</v>
      </c>
      <c r="H1439" s="37" t="n">
        <v>2</v>
      </c>
      <c r="I1439" s="37" t="n">
        <v>0</v>
      </c>
      <c r="J1439" s="37" t="n">
        <v>8</v>
      </c>
      <c r="K1439" s="16" t="n">
        <v>96</v>
      </c>
    </row>
    <row r="1440">
      <c r="A1440" s="30" t="n">
        <v>46323.77777777778</v>
      </c>
      <c r="B1440" s="30" t="n">
        <v>46323.80763888889</v>
      </c>
      <c r="C1440" s="9" t="n">
        <v>46327</v>
      </c>
      <c r="D1440" s="10" t="n">
        <v>0.96875</v>
      </c>
      <c r="E1440" s="36" t="n">
        <v>1</v>
      </c>
      <c r="F1440" s="36" t="n">
        <v>1</v>
      </c>
      <c r="G1440" s="36" t="n">
        <v>0</v>
      </c>
      <c r="H1440" s="36" t="n">
        <v>0</v>
      </c>
      <c r="I1440" s="36" t="n">
        <v>0</v>
      </c>
      <c r="J1440" s="36" t="n">
        <v>2</v>
      </c>
      <c r="K1440" s="12" t="n">
        <v>24</v>
      </c>
    </row>
    <row r="1441">
      <c r="A1441" s="33" t="n">
        <v>46323.80763888889</v>
      </c>
      <c r="B1441" s="33" t="n">
        <v>46323.81944444445</v>
      </c>
      <c r="C1441" s="13" t="n">
        <v>46324</v>
      </c>
      <c r="D1441" s="14" t="n">
        <v>0.84375</v>
      </c>
      <c r="E1441" s="37" t="n">
        <v>1</v>
      </c>
      <c r="F1441" s="37" t="n">
        <v>0</v>
      </c>
      <c r="G1441" s="37" t="n">
        <v>0</v>
      </c>
      <c r="H1441" s="37" t="n">
        <v>1</v>
      </c>
      <c r="I1441" s="37" t="n">
        <v>0</v>
      </c>
      <c r="J1441" s="37" t="n">
        <v>4</v>
      </c>
      <c r="K1441" s="16" t="n">
        <v>48</v>
      </c>
    </row>
    <row r="1442">
      <c r="A1442" s="30" t="n">
        <v>46323.80763888889</v>
      </c>
      <c r="B1442" s="30" t="n">
        <v>46323.81944444445</v>
      </c>
      <c r="C1442" s="9" t="n">
        <v>46325</v>
      </c>
      <c r="D1442" s="10" t="n">
        <v>0.9993055555555556</v>
      </c>
      <c r="E1442" s="36" t="n">
        <v>1</v>
      </c>
      <c r="F1442" s="36" t="n">
        <v>1</v>
      </c>
      <c r="G1442" s="36" t="n">
        <v>0</v>
      </c>
      <c r="H1442" s="36" t="n">
        <v>0</v>
      </c>
      <c r="I1442" s="36" t="n">
        <v>0</v>
      </c>
      <c r="J1442" s="36" t="n">
        <v>2</v>
      </c>
      <c r="K1442" s="12" t="n">
        <v>24</v>
      </c>
    </row>
    <row r="1443">
      <c r="A1443" s="33" t="n">
        <v>46323.80763888889</v>
      </c>
      <c r="B1443" s="33" t="n">
        <v>46323.81944444445</v>
      </c>
      <c r="C1443" s="13" t="n">
        <v>46327</v>
      </c>
      <c r="D1443" s="14" t="n">
        <v>0.8020833333333334</v>
      </c>
      <c r="E1443" s="37" t="n">
        <v>1</v>
      </c>
      <c r="F1443" s="37" t="n">
        <v>1</v>
      </c>
      <c r="G1443" s="37" t="n">
        <v>0</v>
      </c>
      <c r="H1443" s="37" t="n">
        <v>0</v>
      </c>
      <c r="I1443" s="37" t="n">
        <v>0</v>
      </c>
      <c r="J1443" s="37" t="n">
        <v>2</v>
      </c>
      <c r="K1443" s="16" t="n">
        <v>24</v>
      </c>
    </row>
    <row r="1444">
      <c r="A1444" s="30" t="n">
        <v>46323.80763888889</v>
      </c>
      <c r="B1444" s="30" t="n">
        <v>46323.81944444445</v>
      </c>
      <c r="C1444" s="9" t="n">
        <v>46327</v>
      </c>
      <c r="D1444" s="10" t="n">
        <v>0.8854166666666666</v>
      </c>
      <c r="E1444" s="36" t="n">
        <v>2</v>
      </c>
      <c r="F1444" s="36" t="n">
        <v>0</v>
      </c>
      <c r="G1444" s="36" t="n">
        <v>0</v>
      </c>
      <c r="H1444" s="36" t="n">
        <v>2</v>
      </c>
      <c r="I1444" s="36" t="n">
        <v>0</v>
      </c>
      <c r="J1444" s="36" t="n">
        <v>8</v>
      </c>
      <c r="K1444" s="12" t="n">
        <v>96</v>
      </c>
    </row>
    <row r="1445">
      <c r="A1445" s="33" t="n">
        <v>46323.81944444445</v>
      </c>
      <c r="B1445" s="33" t="n">
        <v>46323.84444444445</v>
      </c>
      <c r="C1445" s="13" t="n">
        <v>46324</v>
      </c>
      <c r="D1445" s="14" t="n">
        <v>0.84375</v>
      </c>
      <c r="E1445" s="37" t="n">
        <v>3</v>
      </c>
      <c r="F1445" s="37" t="n">
        <v>1</v>
      </c>
      <c r="G1445" s="37" t="n">
        <v>0</v>
      </c>
      <c r="H1445" s="37" t="n">
        <v>0</v>
      </c>
      <c r="I1445" s="37" t="n">
        <v>2</v>
      </c>
      <c r="J1445" s="37" t="n">
        <v>12</v>
      </c>
      <c r="K1445" s="16" t="n">
        <v>144</v>
      </c>
    </row>
    <row r="1446">
      <c r="A1446" s="30" t="n">
        <v>46323.81944444445</v>
      </c>
      <c r="B1446" s="30" t="n">
        <v>46323.84444444445</v>
      </c>
      <c r="C1446" s="9" t="n">
        <v>46324</v>
      </c>
      <c r="D1446" s="10" t="n">
        <v>0.9993055555555556</v>
      </c>
      <c r="E1446" s="36" t="n">
        <v>1</v>
      </c>
      <c r="F1446" s="36" t="n">
        <v>0</v>
      </c>
      <c r="G1446" s="36" t="n">
        <v>1</v>
      </c>
      <c r="H1446" s="36" t="n">
        <v>0</v>
      </c>
      <c r="I1446" s="36" t="n">
        <v>0</v>
      </c>
      <c r="J1446" s="36" t="n">
        <v>3</v>
      </c>
      <c r="K1446" s="12" t="n">
        <v>36</v>
      </c>
    </row>
    <row r="1447">
      <c r="A1447" s="33" t="n">
        <v>46323.81944444445</v>
      </c>
      <c r="B1447" s="33" t="n">
        <v>46323.84444444445</v>
      </c>
      <c r="C1447" s="13" t="n">
        <v>46325</v>
      </c>
      <c r="D1447" s="14" t="n">
        <v>0.9993055555555556</v>
      </c>
      <c r="E1447" s="37" t="n">
        <v>3</v>
      </c>
      <c r="F1447" s="37" t="n">
        <v>1</v>
      </c>
      <c r="G1447" s="37" t="n">
        <v>0</v>
      </c>
      <c r="H1447" s="37" t="n">
        <v>0</v>
      </c>
      <c r="I1447" s="37" t="n">
        <v>2</v>
      </c>
      <c r="J1447" s="37" t="n">
        <v>12</v>
      </c>
      <c r="K1447" s="16" t="n">
        <v>144</v>
      </c>
    </row>
    <row r="1448">
      <c r="A1448" s="30" t="n">
        <v>46323.81944444445</v>
      </c>
      <c r="B1448" s="30" t="n">
        <v>46323.84444444445</v>
      </c>
      <c r="C1448" s="9" t="n">
        <v>46326</v>
      </c>
      <c r="D1448" s="10" t="n">
        <v>0.8020833333333334</v>
      </c>
      <c r="E1448" s="36" t="n">
        <v>2</v>
      </c>
      <c r="F1448" s="36" t="n">
        <v>1</v>
      </c>
      <c r="G1448" s="36" t="n">
        <v>1</v>
      </c>
      <c r="H1448" s="36" t="n">
        <v>0</v>
      </c>
      <c r="I1448" s="36" t="n">
        <v>0</v>
      </c>
      <c r="J1448" s="36" t="n">
        <v>5</v>
      </c>
      <c r="K1448" s="12" t="n">
        <v>60</v>
      </c>
    </row>
    <row r="1449">
      <c r="A1449" s="33" t="n">
        <v>46323.81944444445</v>
      </c>
      <c r="B1449" s="33" t="n">
        <v>46323.84444444445</v>
      </c>
      <c r="C1449" s="13" t="n">
        <v>46327</v>
      </c>
      <c r="D1449" s="14" t="n">
        <v>0.8020833333333334</v>
      </c>
      <c r="E1449" s="37" t="n">
        <v>1</v>
      </c>
      <c r="F1449" s="37" t="n">
        <v>0</v>
      </c>
      <c r="G1449" s="37" t="n">
        <v>0</v>
      </c>
      <c r="H1449" s="37" t="n">
        <v>0</v>
      </c>
      <c r="I1449" s="37" t="n">
        <v>1</v>
      </c>
      <c r="J1449" s="37" t="n">
        <v>5</v>
      </c>
      <c r="K1449" s="16" t="n">
        <v>60</v>
      </c>
    </row>
    <row r="1450">
      <c r="A1450" s="30" t="n">
        <v>46323.81944444445</v>
      </c>
      <c r="B1450" s="30" t="n">
        <v>46323.84444444445</v>
      </c>
      <c r="C1450" s="9" t="n">
        <v>46327</v>
      </c>
      <c r="D1450" s="10" t="n">
        <v>0.84375</v>
      </c>
      <c r="E1450" s="36" t="n">
        <v>1</v>
      </c>
      <c r="F1450" s="36" t="n">
        <v>0</v>
      </c>
      <c r="G1450" s="36" t="n">
        <v>0</v>
      </c>
      <c r="H1450" s="36" t="n">
        <v>1</v>
      </c>
      <c r="I1450" s="36" t="n">
        <v>0</v>
      </c>
      <c r="J1450" s="36" t="n">
        <v>4</v>
      </c>
      <c r="K1450" s="12" t="n">
        <v>48</v>
      </c>
    </row>
    <row r="1451">
      <c r="A1451" s="33" t="n">
        <v>46323.81944444445</v>
      </c>
      <c r="B1451" s="33" t="n">
        <v>46323.84444444445</v>
      </c>
      <c r="C1451" s="13" t="n">
        <v>46327</v>
      </c>
      <c r="D1451" s="14" t="n">
        <v>0.8854166666666666</v>
      </c>
      <c r="E1451" s="37" t="n">
        <v>1</v>
      </c>
      <c r="F1451" s="37" t="n">
        <v>1</v>
      </c>
      <c r="G1451" s="37" t="n">
        <v>0</v>
      </c>
      <c r="H1451" s="37" t="n">
        <v>0</v>
      </c>
      <c r="I1451" s="37" t="n">
        <v>0</v>
      </c>
      <c r="J1451" s="37" t="n">
        <v>2</v>
      </c>
      <c r="K1451" s="16" t="n">
        <v>24</v>
      </c>
    </row>
    <row r="1452">
      <c r="A1452" s="30" t="n">
        <v>46323.81944444445</v>
      </c>
      <c r="B1452" s="30" t="n">
        <v>46323.84444444445</v>
      </c>
      <c r="C1452" s="9" t="n">
        <v>46327</v>
      </c>
      <c r="D1452" s="10" t="n">
        <v>0.9270833333333334</v>
      </c>
      <c r="E1452" s="36" t="n">
        <v>1</v>
      </c>
      <c r="F1452" s="36" t="n">
        <v>1</v>
      </c>
      <c r="G1452" s="36" t="n">
        <v>0</v>
      </c>
      <c r="H1452" s="36" t="n">
        <v>0</v>
      </c>
      <c r="I1452" s="36" t="n">
        <v>0</v>
      </c>
      <c r="J1452" s="36" t="n">
        <v>2</v>
      </c>
      <c r="K1452" s="12" t="n">
        <v>24</v>
      </c>
    </row>
    <row r="1453">
      <c r="A1453" s="33" t="n">
        <v>46323.84444444445</v>
      </c>
      <c r="B1453" s="33" t="n">
        <v>46323.8625</v>
      </c>
      <c r="C1453" s="13" t="n">
        <v>46324</v>
      </c>
      <c r="D1453" s="14" t="n">
        <v>0.84375</v>
      </c>
      <c r="E1453" s="37" t="n">
        <v>1</v>
      </c>
      <c r="F1453" s="37" t="n">
        <v>1</v>
      </c>
      <c r="G1453" s="37" t="n">
        <v>0</v>
      </c>
      <c r="H1453" s="37" t="n">
        <v>-1</v>
      </c>
      <c r="I1453" s="37" t="n">
        <v>1</v>
      </c>
      <c r="J1453" s="37" t="n">
        <v>3</v>
      </c>
      <c r="K1453" s="16" t="n">
        <v>36</v>
      </c>
    </row>
    <row r="1454">
      <c r="A1454" s="30" t="n">
        <v>46323.84444444445</v>
      </c>
      <c r="B1454" s="30" t="n">
        <v>46323.8625</v>
      </c>
      <c r="C1454" s="9" t="n">
        <v>46324</v>
      </c>
      <c r="D1454" s="10" t="n">
        <v>0.9993055555555556</v>
      </c>
      <c r="E1454" s="36" t="n">
        <v>4</v>
      </c>
      <c r="F1454" s="36" t="n">
        <v>1</v>
      </c>
      <c r="G1454" s="36" t="n">
        <v>1</v>
      </c>
      <c r="H1454" s="36" t="n">
        <v>0</v>
      </c>
      <c r="I1454" s="36" t="n">
        <v>2</v>
      </c>
      <c r="J1454" s="36" t="n">
        <v>15</v>
      </c>
      <c r="K1454" s="12" t="n">
        <v>180</v>
      </c>
    </row>
    <row r="1455">
      <c r="A1455" s="33" t="n">
        <v>46323.84444444445</v>
      </c>
      <c r="B1455" s="33" t="n">
        <v>46323.8625</v>
      </c>
      <c r="C1455" s="13" t="n">
        <v>46327</v>
      </c>
      <c r="D1455" s="14" t="n">
        <v>0.8020833333333334</v>
      </c>
      <c r="E1455" s="37" t="n">
        <v>1</v>
      </c>
      <c r="F1455" s="37" t="n">
        <v>0</v>
      </c>
      <c r="G1455" s="37" t="n">
        <v>1</v>
      </c>
      <c r="H1455" s="37" t="n">
        <v>0</v>
      </c>
      <c r="I1455" s="37" t="n">
        <v>0</v>
      </c>
      <c r="J1455" s="37" t="n">
        <v>3</v>
      </c>
      <c r="K1455" s="16" t="n">
        <v>36</v>
      </c>
    </row>
    <row r="1456">
      <c r="A1456" s="30" t="n">
        <v>46323.84444444445</v>
      </c>
      <c r="B1456" s="30" t="n">
        <v>46323.8625</v>
      </c>
      <c r="C1456" s="9" t="n">
        <v>46327</v>
      </c>
      <c r="D1456" s="10" t="n">
        <v>0.9270833333333334</v>
      </c>
      <c r="E1456" s="36" t="n">
        <v>1</v>
      </c>
      <c r="F1456" s="36" t="n">
        <v>0</v>
      </c>
      <c r="G1456" s="36" t="n">
        <v>0</v>
      </c>
      <c r="H1456" s="36" t="n">
        <v>1</v>
      </c>
      <c r="I1456" s="36" t="n">
        <v>0</v>
      </c>
      <c r="J1456" s="36" t="n">
        <v>4</v>
      </c>
      <c r="K1456" s="12" t="n">
        <v>48</v>
      </c>
    </row>
    <row r="1457">
      <c r="A1457" s="33" t="n">
        <v>46323.8625</v>
      </c>
      <c r="B1457" s="33" t="n">
        <v>46323.89652777778</v>
      </c>
      <c r="C1457" s="13" t="n">
        <v>46324</v>
      </c>
      <c r="D1457" s="14" t="n">
        <v>0.9993055555555556</v>
      </c>
      <c r="E1457" s="37" t="n">
        <v>2</v>
      </c>
      <c r="F1457" s="37" t="n">
        <v>0</v>
      </c>
      <c r="G1457" s="37" t="n">
        <v>0</v>
      </c>
      <c r="H1457" s="37" t="n">
        <v>1</v>
      </c>
      <c r="I1457" s="37" t="n">
        <v>1</v>
      </c>
      <c r="J1457" s="37" t="n">
        <v>9</v>
      </c>
      <c r="K1457" s="16" t="n">
        <v>108</v>
      </c>
    </row>
    <row r="1458">
      <c r="A1458" s="30" t="n">
        <v>46323.8625</v>
      </c>
      <c r="B1458" s="30" t="n">
        <v>46323.89652777778</v>
      </c>
      <c r="C1458" s="9" t="n">
        <v>46325</v>
      </c>
      <c r="D1458" s="10" t="n">
        <v>0.8854166666666666</v>
      </c>
      <c r="E1458" s="36" t="n">
        <v>2</v>
      </c>
      <c r="F1458" s="36" t="n">
        <v>1</v>
      </c>
      <c r="G1458" s="36" t="n">
        <v>0</v>
      </c>
      <c r="H1458" s="36" t="n">
        <v>1</v>
      </c>
      <c r="I1458" s="36" t="n">
        <v>0</v>
      </c>
      <c r="J1458" s="36" t="n">
        <v>6</v>
      </c>
      <c r="K1458" s="12" t="n">
        <v>72</v>
      </c>
    </row>
    <row r="1459">
      <c r="A1459" s="33" t="n">
        <v>46323.8625</v>
      </c>
      <c r="B1459" s="33" t="n">
        <v>46323.89652777778</v>
      </c>
      <c r="C1459" s="13" t="n">
        <v>46325</v>
      </c>
      <c r="D1459" s="14" t="n">
        <v>0.9993055555555556</v>
      </c>
      <c r="E1459" s="37" t="n">
        <v>4</v>
      </c>
      <c r="F1459" s="37" t="n">
        <v>0</v>
      </c>
      <c r="G1459" s="37" t="n">
        <v>1</v>
      </c>
      <c r="H1459" s="37" t="n">
        <v>2</v>
      </c>
      <c r="I1459" s="37" t="n">
        <v>1</v>
      </c>
      <c r="J1459" s="37" t="n">
        <v>16</v>
      </c>
      <c r="K1459" s="16" t="n">
        <v>192</v>
      </c>
    </row>
    <row r="1460">
      <c r="A1460" s="30" t="n">
        <v>46323.8625</v>
      </c>
      <c r="B1460" s="30" t="n">
        <v>46323.89652777778</v>
      </c>
      <c r="C1460" s="9" t="n">
        <v>46326</v>
      </c>
      <c r="D1460" s="10" t="n">
        <v>0.8020833333333334</v>
      </c>
      <c r="E1460" s="36" t="n">
        <v>5</v>
      </c>
      <c r="F1460" s="36" t="n">
        <v>1</v>
      </c>
      <c r="G1460" s="36" t="n">
        <v>1</v>
      </c>
      <c r="H1460" s="36" t="n">
        <v>2</v>
      </c>
      <c r="I1460" s="36" t="n">
        <v>1</v>
      </c>
      <c r="J1460" s="36" t="n">
        <v>18</v>
      </c>
      <c r="K1460" s="12" t="n">
        <v>216</v>
      </c>
    </row>
    <row r="1461">
      <c r="A1461" s="33" t="n">
        <v>46323.8625</v>
      </c>
      <c r="B1461" s="33" t="n">
        <v>46323.89652777778</v>
      </c>
      <c r="C1461" s="13" t="n">
        <v>46327</v>
      </c>
      <c r="D1461" s="14" t="n">
        <v>0.8854166666666666</v>
      </c>
      <c r="E1461" s="37" t="n">
        <v>1</v>
      </c>
      <c r="F1461" s="37" t="n">
        <v>0</v>
      </c>
      <c r="G1461" s="37" t="n">
        <v>0</v>
      </c>
      <c r="H1461" s="37" t="n">
        <v>0</v>
      </c>
      <c r="I1461" s="37" t="n">
        <v>1</v>
      </c>
      <c r="J1461" s="37" t="n">
        <v>5</v>
      </c>
      <c r="K1461" s="16" t="n">
        <v>60</v>
      </c>
    </row>
    <row r="1462">
      <c r="A1462" s="30" t="n">
        <v>46323.8625</v>
      </c>
      <c r="B1462" s="30" t="n">
        <v>46323.89652777778</v>
      </c>
      <c r="C1462" s="9" t="n">
        <v>46327</v>
      </c>
      <c r="D1462" s="10" t="n">
        <v>0.96875</v>
      </c>
      <c r="E1462" s="36" t="n">
        <v>1</v>
      </c>
      <c r="F1462" s="36" t="n">
        <v>0</v>
      </c>
      <c r="G1462" s="36" t="n">
        <v>0</v>
      </c>
      <c r="H1462" s="36" t="n">
        <v>1</v>
      </c>
      <c r="I1462" s="36" t="n">
        <v>0</v>
      </c>
      <c r="J1462" s="36" t="n">
        <v>4</v>
      </c>
      <c r="K1462" s="12" t="n">
        <v>48</v>
      </c>
    </row>
    <row r="1463">
      <c r="A1463" s="33" t="n">
        <v>46323.89930555555</v>
      </c>
      <c r="B1463" s="33" t="n">
        <v>46323.93333333333</v>
      </c>
      <c r="C1463" s="13" t="n">
        <v>46324</v>
      </c>
      <c r="D1463" s="14" t="n">
        <v>0.84375</v>
      </c>
      <c r="E1463" s="37" t="n">
        <v>3</v>
      </c>
      <c r="F1463" s="37" t="n">
        <v>1</v>
      </c>
      <c r="G1463" s="37" t="n">
        <v>1</v>
      </c>
      <c r="H1463" s="37" t="n">
        <v>1</v>
      </c>
      <c r="I1463" s="37" t="n">
        <v>0</v>
      </c>
      <c r="J1463" s="37" t="n">
        <v>9</v>
      </c>
      <c r="K1463" s="16" t="n">
        <v>108</v>
      </c>
    </row>
    <row r="1464">
      <c r="A1464" s="30" t="n">
        <v>46323.89930555555</v>
      </c>
      <c r="B1464" s="30" t="n">
        <v>46323.93333333333</v>
      </c>
      <c r="C1464" s="9" t="n">
        <v>46324</v>
      </c>
      <c r="D1464" s="10" t="n">
        <v>0.9993055555555556</v>
      </c>
      <c r="E1464" s="36" t="n">
        <v>3</v>
      </c>
      <c r="F1464" s="36" t="n">
        <v>0</v>
      </c>
      <c r="G1464" s="36" t="n">
        <v>2</v>
      </c>
      <c r="H1464" s="36" t="n">
        <v>0</v>
      </c>
      <c r="I1464" s="36" t="n">
        <v>1</v>
      </c>
      <c r="J1464" s="36" t="n">
        <v>11</v>
      </c>
      <c r="K1464" s="12" t="n">
        <v>132</v>
      </c>
    </row>
    <row r="1465">
      <c r="A1465" s="33" t="n">
        <v>46323.89930555555</v>
      </c>
      <c r="B1465" s="33" t="n">
        <v>46323.93333333333</v>
      </c>
      <c r="C1465" s="13" t="n">
        <v>46325</v>
      </c>
      <c r="D1465" s="14" t="n">
        <v>0.8854166666666666</v>
      </c>
      <c r="E1465" s="37" t="n">
        <v>4</v>
      </c>
      <c r="F1465" s="37" t="n">
        <v>0</v>
      </c>
      <c r="G1465" s="37" t="n">
        <v>1</v>
      </c>
      <c r="H1465" s="37" t="n">
        <v>3</v>
      </c>
      <c r="I1465" s="37" t="n">
        <v>0</v>
      </c>
      <c r="J1465" s="37" t="n">
        <v>15</v>
      </c>
      <c r="K1465" s="16" t="n">
        <v>180</v>
      </c>
    </row>
    <row r="1466">
      <c r="A1466" s="30" t="n">
        <v>46323.89930555555</v>
      </c>
      <c r="B1466" s="30" t="n">
        <v>46323.93333333333</v>
      </c>
      <c r="C1466" s="9" t="n">
        <v>46325</v>
      </c>
      <c r="D1466" s="10" t="n">
        <v>0.9993055555555556</v>
      </c>
      <c r="E1466" s="36" t="n">
        <v>2</v>
      </c>
      <c r="F1466" s="36" t="n">
        <v>1</v>
      </c>
      <c r="G1466" s="36" t="n">
        <v>0</v>
      </c>
      <c r="H1466" s="36" t="n">
        <v>0</v>
      </c>
      <c r="I1466" s="36" t="n">
        <v>1</v>
      </c>
      <c r="J1466" s="36" t="n">
        <v>7</v>
      </c>
      <c r="K1466" s="12" t="n">
        <v>84</v>
      </c>
    </row>
    <row r="1467">
      <c r="A1467" s="33" t="n">
        <v>46323.89930555555</v>
      </c>
      <c r="B1467" s="33" t="n">
        <v>46323.93333333333</v>
      </c>
      <c r="C1467" s="13" t="n">
        <v>46326</v>
      </c>
      <c r="D1467" s="14" t="n">
        <v>0.8020833333333334</v>
      </c>
      <c r="E1467" s="37" t="n">
        <v>2</v>
      </c>
      <c r="F1467" s="37" t="n">
        <v>0</v>
      </c>
      <c r="G1467" s="37" t="n">
        <v>0</v>
      </c>
      <c r="H1467" s="37" t="n">
        <v>2</v>
      </c>
      <c r="I1467" s="37" t="n">
        <v>0</v>
      </c>
      <c r="J1467" s="37" t="n">
        <v>8</v>
      </c>
      <c r="K1467" s="16" t="n">
        <v>96</v>
      </c>
    </row>
    <row r="1468">
      <c r="A1468" s="30" t="n">
        <v>46323.89930555555</v>
      </c>
      <c r="B1468" s="30" t="n">
        <v>46323.93333333333</v>
      </c>
      <c r="C1468" s="9" t="n">
        <v>46327</v>
      </c>
      <c r="D1468" s="10" t="n">
        <v>0.84375</v>
      </c>
      <c r="E1468" s="36" t="n">
        <v>2</v>
      </c>
      <c r="F1468" s="36" t="n">
        <v>0</v>
      </c>
      <c r="G1468" s="36" t="n">
        <v>0</v>
      </c>
      <c r="H1468" s="36" t="n">
        <v>2</v>
      </c>
      <c r="I1468" s="36" t="n">
        <v>0</v>
      </c>
      <c r="J1468" s="36" t="n">
        <v>8</v>
      </c>
      <c r="K1468" s="12" t="n">
        <v>96</v>
      </c>
    </row>
    <row r="1469">
      <c r="A1469" s="33" t="n">
        <v>46323.89930555555</v>
      </c>
      <c r="B1469" s="33" t="n">
        <v>46323.93333333333</v>
      </c>
      <c r="C1469" s="13" t="n">
        <v>46327</v>
      </c>
      <c r="D1469" s="14" t="n">
        <v>0.9270833333333334</v>
      </c>
      <c r="E1469" s="37" t="n">
        <v>3</v>
      </c>
      <c r="F1469" s="37" t="n">
        <v>0</v>
      </c>
      <c r="G1469" s="37" t="n">
        <v>0</v>
      </c>
      <c r="H1469" s="37" t="n">
        <v>3</v>
      </c>
      <c r="I1469" s="37" t="n">
        <v>0</v>
      </c>
      <c r="J1469" s="37" t="n">
        <v>12</v>
      </c>
      <c r="K1469" s="16" t="n">
        <v>144</v>
      </c>
    </row>
    <row r="1470">
      <c r="A1470" s="30" t="n">
        <v>46323.89930555555</v>
      </c>
      <c r="B1470" s="30" t="n">
        <v>46323.93333333333</v>
      </c>
      <c r="C1470" s="9" t="n">
        <v>46327</v>
      </c>
      <c r="D1470" s="10" t="n">
        <v>0.96875</v>
      </c>
      <c r="E1470" s="36" t="n">
        <v>1</v>
      </c>
      <c r="F1470" s="36" t="n">
        <v>0</v>
      </c>
      <c r="G1470" s="36" t="n">
        <v>0</v>
      </c>
      <c r="H1470" s="36" t="n">
        <v>1</v>
      </c>
      <c r="I1470" s="36" t="n">
        <v>0</v>
      </c>
      <c r="J1470" s="36" t="n">
        <v>4</v>
      </c>
      <c r="K1470" s="12" t="n">
        <v>48</v>
      </c>
    </row>
    <row r="1471">
      <c r="A1471" s="33" t="n">
        <v>46323.93333333333</v>
      </c>
      <c r="B1471" s="33" t="n">
        <v>46323.94027777778</v>
      </c>
      <c r="C1471" s="13" t="n">
        <v>46325</v>
      </c>
      <c r="D1471" s="14" t="n">
        <v>0.9993055555555556</v>
      </c>
      <c r="E1471" s="37" t="n">
        <v>1</v>
      </c>
      <c r="F1471" s="37" t="n">
        <v>0</v>
      </c>
      <c r="G1471" s="37" t="n">
        <v>0</v>
      </c>
      <c r="H1471" s="37" t="n">
        <v>1</v>
      </c>
      <c r="I1471" s="37" t="n">
        <v>0</v>
      </c>
      <c r="J1471" s="37" t="n">
        <v>4</v>
      </c>
      <c r="K1471" s="16" t="n">
        <v>48</v>
      </c>
    </row>
    <row r="1472">
      <c r="A1472" s="30" t="n">
        <v>46323.94027777778</v>
      </c>
      <c r="B1472" s="30" t="n">
        <v>46323.95902777778</v>
      </c>
      <c r="C1472" s="9" t="n">
        <v>46325</v>
      </c>
      <c r="D1472" s="10" t="n">
        <v>0.8854166666666666</v>
      </c>
      <c r="E1472" s="36" t="n">
        <v>3</v>
      </c>
      <c r="F1472" s="36" t="n">
        <v>0</v>
      </c>
      <c r="G1472" s="36" t="n">
        <v>1</v>
      </c>
      <c r="H1472" s="36" t="n">
        <v>1</v>
      </c>
      <c r="I1472" s="36" t="n">
        <v>1</v>
      </c>
      <c r="J1472" s="36" t="n">
        <v>12</v>
      </c>
      <c r="K1472" s="12" t="n">
        <v>144</v>
      </c>
    </row>
    <row r="1473">
      <c r="A1473" s="33" t="n">
        <v>46323.94027777778</v>
      </c>
      <c r="B1473" s="33" t="n">
        <v>46323.95902777778</v>
      </c>
      <c r="C1473" s="13" t="n">
        <v>46325</v>
      </c>
      <c r="D1473" s="14" t="n">
        <v>0.9993055555555556</v>
      </c>
      <c r="E1473" s="37" t="n">
        <v>2</v>
      </c>
      <c r="F1473" s="37" t="n">
        <v>1</v>
      </c>
      <c r="G1473" s="37" t="n">
        <v>0</v>
      </c>
      <c r="H1473" s="37" t="n">
        <v>1</v>
      </c>
      <c r="I1473" s="37" t="n">
        <v>0</v>
      </c>
      <c r="J1473" s="37" t="n">
        <v>6</v>
      </c>
      <c r="K1473" s="16" t="n">
        <v>72</v>
      </c>
    </row>
    <row r="1474">
      <c r="A1474" s="30" t="n">
        <v>46323.94027777778</v>
      </c>
      <c r="B1474" s="30" t="n">
        <v>46323.95902777778</v>
      </c>
      <c r="C1474" s="9" t="n">
        <v>46326</v>
      </c>
      <c r="D1474" s="10" t="n">
        <v>0.8020833333333334</v>
      </c>
      <c r="E1474" s="36" t="n">
        <v>1</v>
      </c>
      <c r="F1474" s="36" t="n">
        <v>1</v>
      </c>
      <c r="G1474" s="36" t="n">
        <v>0</v>
      </c>
      <c r="H1474" s="36" t="n">
        <v>0</v>
      </c>
      <c r="I1474" s="36" t="n">
        <v>0</v>
      </c>
      <c r="J1474" s="36" t="n">
        <v>2</v>
      </c>
      <c r="K1474" s="12" t="n">
        <v>24</v>
      </c>
    </row>
    <row r="1475">
      <c r="A1475" s="33" t="n">
        <v>46323.94027777778</v>
      </c>
      <c r="B1475" s="33" t="n">
        <v>46323.95902777778</v>
      </c>
      <c r="C1475" s="13" t="n">
        <v>46327</v>
      </c>
      <c r="D1475" s="14" t="n">
        <v>0.9270833333333334</v>
      </c>
      <c r="E1475" s="37" t="n">
        <v>1</v>
      </c>
      <c r="F1475" s="37" t="n">
        <v>0</v>
      </c>
      <c r="G1475" s="37" t="n">
        <v>1</v>
      </c>
      <c r="H1475" s="37" t="n">
        <v>0</v>
      </c>
      <c r="I1475" s="37" t="n">
        <v>0</v>
      </c>
      <c r="J1475" s="37" t="n">
        <v>3</v>
      </c>
      <c r="K1475" s="16" t="n">
        <v>36</v>
      </c>
    </row>
    <row r="1476">
      <c r="A1476" s="30" t="n">
        <v>46323.94027777778</v>
      </c>
      <c r="B1476" s="30" t="n">
        <v>46323.95902777778</v>
      </c>
      <c r="C1476" s="9" t="n">
        <v>46327</v>
      </c>
      <c r="D1476" s="10" t="n">
        <v>0.96875</v>
      </c>
      <c r="E1476" s="36" t="n">
        <v>3</v>
      </c>
      <c r="F1476" s="36" t="n">
        <v>0</v>
      </c>
      <c r="G1476" s="36" t="n">
        <v>2</v>
      </c>
      <c r="H1476" s="36" t="n">
        <v>0</v>
      </c>
      <c r="I1476" s="36" t="n">
        <v>1</v>
      </c>
      <c r="J1476" s="36" t="n">
        <v>11</v>
      </c>
      <c r="K1476" s="12" t="n">
        <v>132</v>
      </c>
    </row>
    <row r="1477">
      <c r="A1477" s="33" t="n">
        <v>46323.94027777778</v>
      </c>
      <c r="B1477" s="33" t="n">
        <v>46323.95902777778</v>
      </c>
      <c r="C1477" s="13" t="n">
        <v>46327</v>
      </c>
      <c r="D1477" s="14" t="n">
        <v>0.9993055555555556</v>
      </c>
      <c r="E1477" s="37" t="n">
        <v>1</v>
      </c>
      <c r="F1477" s="37" t="n">
        <v>1</v>
      </c>
      <c r="G1477" s="37" t="n">
        <v>0</v>
      </c>
      <c r="H1477" s="37" t="n">
        <v>0</v>
      </c>
      <c r="I1477" s="37" t="n">
        <v>0</v>
      </c>
      <c r="J1477" s="37" t="n">
        <v>2</v>
      </c>
      <c r="K1477" s="16" t="n">
        <v>24</v>
      </c>
    </row>
    <row r="1478">
      <c r="A1478" s="30" t="n">
        <v>46323.95902777778</v>
      </c>
      <c r="B1478" s="30" t="n">
        <v>46323.98194444444</v>
      </c>
      <c r="C1478" s="9" t="n">
        <v>46324</v>
      </c>
      <c r="D1478" s="10" t="n">
        <v>0.84375</v>
      </c>
      <c r="E1478" s="36" t="n">
        <v>1</v>
      </c>
      <c r="F1478" s="36" t="n">
        <v>0</v>
      </c>
      <c r="G1478" s="36" t="n">
        <v>0</v>
      </c>
      <c r="H1478" s="36" t="n">
        <v>1</v>
      </c>
      <c r="I1478" s="36" t="n">
        <v>0</v>
      </c>
      <c r="J1478" s="36" t="n">
        <v>4</v>
      </c>
      <c r="K1478" s="12" t="n">
        <v>48</v>
      </c>
    </row>
    <row r="1479">
      <c r="A1479" s="33" t="n">
        <v>46323.95902777778</v>
      </c>
      <c r="B1479" s="33" t="n">
        <v>46323.98194444444</v>
      </c>
      <c r="C1479" s="13" t="n">
        <v>46325</v>
      </c>
      <c r="D1479" s="14" t="n">
        <v>0.84375</v>
      </c>
      <c r="E1479" s="37" t="n">
        <v>1</v>
      </c>
      <c r="F1479" s="37" t="n">
        <v>0</v>
      </c>
      <c r="G1479" s="37" t="n">
        <v>0</v>
      </c>
      <c r="H1479" s="37" t="n">
        <v>0</v>
      </c>
      <c r="I1479" s="37" t="n">
        <v>1</v>
      </c>
      <c r="J1479" s="37" t="n">
        <v>5</v>
      </c>
      <c r="K1479" s="16" t="n">
        <v>60</v>
      </c>
    </row>
    <row r="1480">
      <c r="A1480" s="30" t="n">
        <v>46323.95902777778</v>
      </c>
      <c r="B1480" s="30" t="n">
        <v>46323.98194444444</v>
      </c>
      <c r="C1480" s="9" t="n">
        <v>46325</v>
      </c>
      <c r="D1480" s="10" t="n">
        <v>0.8854166666666666</v>
      </c>
      <c r="E1480" s="36" t="n">
        <v>3</v>
      </c>
      <c r="F1480" s="36" t="n">
        <v>2</v>
      </c>
      <c r="G1480" s="36" t="n">
        <v>0</v>
      </c>
      <c r="H1480" s="36" t="n">
        <v>0</v>
      </c>
      <c r="I1480" s="36" t="n">
        <v>1</v>
      </c>
      <c r="J1480" s="36" t="n">
        <v>9</v>
      </c>
      <c r="K1480" s="12" t="n">
        <v>108</v>
      </c>
    </row>
    <row r="1481">
      <c r="A1481" s="33" t="n">
        <v>46323.95902777778</v>
      </c>
      <c r="B1481" s="33" t="n">
        <v>46323.98194444444</v>
      </c>
      <c r="C1481" s="13" t="n">
        <v>46325</v>
      </c>
      <c r="D1481" s="14" t="n">
        <v>0.9993055555555556</v>
      </c>
      <c r="E1481" s="37" t="n">
        <v>2</v>
      </c>
      <c r="F1481" s="37" t="n">
        <v>1</v>
      </c>
      <c r="G1481" s="37" t="n">
        <v>0</v>
      </c>
      <c r="H1481" s="37" t="n">
        <v>1</v>
      </c>
      <c r="I1481" s="37" t="n">
        <v>0</v>
      </c>
      <c r="J1481" s="37" t="n">
        <v>6</v>
      </c>
      <c r="K1481" s="16" t="n">
        <v>72</v>
      </c>
    </row>
    <row r="1482">
      <c r="A1482" s="30" t="n">
        <v>46323.95902777778</v>
      </c>
      <c r="B1482" s="30" t="n">
        <v>46323.98194444444</v>
      </c>
      <c r="C1482" s="9" t="n">
        <v>46326</v>
      </c>
      <c r="D1482" s="10" t="n">
        <v>0.8020833333333334</v>
      </c>
      <c r="E1482" s="36" t="n">
        <v>1</v>
      </c>
      <c r="F1482" s="36" t="n">
        <v>0</v>
      </c>
      <c r="G1482" s="36" t="n">
        <v>0</v>
      </c>
      <c r="H1482" s="36" t="n">
        <v>0</v>
      </c>
      <c r="I1482" s="36" t="n">
        <v>1</v>
      </c>
      <c r="J1482" s="36" t="n">
        <v>5</v>
      </c>
      <c r="K1482" s="12" t="n">
        <v>60</v>
      </c>
    </row>
    <row r="1483">
      <c r="A1483" s="33" t="n">
        <v>46323.95902777778</v>
      </c>
      <c r="B1483" s="33" t="n">
        <v>46323.98194444444</v>
      </c>
      <c r="C1483" s="13" t="n">
        <v>46326</v>
      </c>
      <c r="D1483" s="14" t="n">
        <v>0.84375</v>
      </c>
      <c r="E1483" s="37" t="n">
        <v>-1</v>
      </c>
      <c r="F1483" s="37" t="n">
        <v>0</v>
      </c>
      <c r="G1483" s="37" t="n">
        <v>0</v>
      </c>
      <c r="H1483" s="37" t="n">
        <v>-1</v>
      </c>
      <c r="I1483" s="37" t="n">
        <v>0</v>
      </c>
      <c r="J1483" s="37" t="n">
        <v>-4</v>
      </c>
      <c r="K1483" s="16" t="n">
        <v>-48</v>
      </c>
    </row>
    <row r="1484">
      <c r="A1484" s="30" t="n">
        <v>46323.95902777778</v>
      </c>
      <c r="B1484" s="30" t="n">
        <v>46323.98194444444</v>
      </c>
      <c r="C1484" s="9" t="n">
        <v>46327</v>
      </c>
      <c r="D1484" s="10" t="n">
        <v>0.9270833333333334</v>
      </c>
      <c r="E1484" s="36" t="n">
        <v>2</v>
      </c>
      <c r="F1484" s="36" t="n">
        <v>1</v>
      </c>
      <c r="G1484" s="36" t="n">
        <v>0</v>
      </c>
      <c r="H1484" s="36" t="n">
        <v>1</v>
      </c>
      <c r="I1484" s="36" t="n">
        <v>0</v>
      </c>
      <c r="J1484" s="36" t="n">
        <v>6</v>
      </c>
      <c r="K1484" s="12" t="n">
        <v>72</v>
      </c>
    </row>
    <row r="1485">
      <c r="A1485" s="33" t="n">
        <v>46323.98194444444</v>
      </c>
      <c r="B1485" s="33" t="n">
        <v>46324.00833333333</v>
      </c>
      <c r="C1485" s="13" t="n">
        <v>46324</v>
      </c>
      <c r="D1485" s="14" t="n">
        <v>0.9993055555555556</v>
      </c>
      <c r="E1485" s="37" t="n">
        <v>1</v>
      </c>
      <c r="F1485" s="37" t="n">
        <v>0</v>
      </c>
      <c r="G1485" s="37" t="n">
        <v>1</v>
      </c>
      <c r="H1485" s="37" t="n">
        <v>0</v>
      </c>
      <c r="I1485" s="37" t="n">
        <v>0</v>
      </c>
      <c r="J1485" s="37" t="n">
        <v>3</v>
      </c>
      <c r="K1485" s="16" t="n">
        <v>36</v>
      </c>
    </row>
    <row r="1486">
      <c r="A1486" s="30" t="n">
        <v>46323.98194444444</v>
      </c>
      <c r="B1486" s="30" t="n">
        <v>46324.00833333333</v>
      </c>
      <c r="C1486" s="9" t="n">
        <v>46325</v>
      </c>
      <c r="D1486" s="10" t="n">
        <v>0.84375</v>
      </c>
      <c r="E1486" s="36" t="n">
        <v>2</v>
      </c>
      <c r="F1486" s="36" t="n">
        <v>2</v>
      </c>
      <c r="G1486" s="36" t="n">
        <v>0</v>
      </c>
      <c r="H1486" s="36" t="n">
        <v>0</v>
      </c>
      <c r="I1486" s="36" t="n">
        <v>0</v>
      </c>
      <c r="J1486" s="36" t="n">
        <v>4</v>
      </c>
      <c r="K1486" s="12" t="n">
        <v>48</v>
      </c>
    </row>
    <row r="1487">
      <c r="A1487" s="33" t="n">
        <v>46323.98194444444</v>
      </c>
      <c r="B1487" s="33" t="n">
        <v>46324.00833333333</v>
      </c>
      <c r="C1487" s="13" t="n">
        <v>46325</v>
      </c>
      <c r="D1487" s="14" t="n">
        <v>0.9993055555555556</v>
      </c>
      <c r="E1487" s="37" t="n">
        <v>2</v>
      </c>
      <c r="F1487" s="37" t="n">
        <v>0</v>
      </c>
      <c r="G1487" s="37" t="n">
        <v>1</v>
      </c>
      <c r="H1487" s="37" t="n">
        <v>1</v>
      </c>
      <c r="I1487" s="37" t="n">
        <v>0</v>
      </c>
      <c r="J1487" s="37" t="n">
        <v>7</v>
      </c>
      <c r="K1487" s="16" t="n">
        <v>84</v>
      </c>
    </row>
    <row r="1488">
      <c r="A1488" s="30" t="n">
        <v>46323.98194444444</v>
      </c>
      <c r="B1488" s="30" t="n">
        <v>46324.00833333333</v>
      </c>
      <c r="C1488" s="9" t="n">
        <v>46326</v>
      </c>
      <c r="D1488" s="10" t="n">
        <v>0.8020833333333334</v>
      </c>
      <c r="E1488" s="36" t="n">
        <v>3</v>
      </c>
      <c r="F1488" s="36" t="n">
        <v>2</v>
      </c>
      <c r="G1488" s="36" t="n">
        <v>0</v>
      </c>
      <c r="H1488" s="36" t="n">
        <v>1</v>
      </c>
      <c r="I1488" s="36" t="n">
        <v>0</v>
      </c>
      <c r="J1488" s="36" t="n">
        <v>8</v>
      </c>
      <c r="K1488" s="12" t="n">
        <v>96</v>
      </c>
    </row>
    <row r="1489">
      <c r="A1489" s="33" t="n">
        <v>46323.98194444444</v>
      </c>
      <c r="B1489" s="33" t="n">
        <v>46324.00833333333</v>
      </c>
      <c r="C1489" s="13" t="n">
        <v>46326</v>
      </c>
      <c r="D1489" s="14" t="n">
        <v>0.84375</v>
      </c>
      <c r="E1489" s="37" t="n">
        <v>1</v>
      </c>
      <c r="F1489" s="37" t="n">
        <v>1</v>
      </c>
      <c r="G1489" s="37" t="n">
        <v>0</v>
      </c>
      <c r="H1489" s="37" t="n">
        <v>0</v>
      </c>
      <c r="I1489" s="37" t="n">
        <v>0</v>
      </c>
      <c r="J1489" s="37" t="n">
        <v>2</v>
      </c>
      <c r="K1489" s="16" t="n">
        <v>24</v>
      </c>
    </row>
    <row r="1490">
      <c r="A1490" s="30" t="n">
        <v>46323.98194444444</v>
      </c>
      <c r="B1490" s="30" t="n">
        <v>46324.00833333333</v>
      </c>
      <c r="C1490" s="9" t="n">
        <v>46327</v>
      </c>
      <c r="D1490" s="10" t="n">
        <v>0.96875</v>
      </c>
      <c r="E1490" s="36" t="n">
        <v>1</v>
      </c>
      <c r="F1490" s="36" t="n">
        <v>0</v>
      </c>
      <c r="G1490" s="36" t="n">
        <v>1</v>
      </c>
      <c r="H1490" s="36" t="n">
        <v>0</v>
      </c>
      <c r="I1490" s="36" t="n">
        <v>0</v>
      </c>
      <c r="J1490" s="36" t="n">
        <v>3</v>
      </c>
      <c r="K1490" s="12" t="n">
        <v>36</v>
      </c>
    </row>
    <row r="1491">
      <c r="A1491" s="33" t="n">
        <v>46324.00833333333</v>
      </c>
      <c r="B1491" s="33" t="n">
        <v>46324.02083333334</v>
      </c>
      <c r="C1491" s="13" t="n">
        <v>46324</v>
      </c>
      <c r="D1491" s="14" t="n">
        <v>0.9993055555555556</v>
      </c>
      <c r="E1491" s="37" t="n">
        <v>1</v>
      </c>
      <c r="F1491" s="37" t="n">
        <v>0</v>
      </c>
      <c r="G1491" s="37" t="n">
        <v>0</v>
      </c>
      <c r="H1491" s="37" t="n">
        <v>0</v>
      </c>
      <c r="I1491" s="37" t="n">
        <v>1</v>
      </c>
      <c r="J1491" s="37" t="n">
        <v>5</v>
      </c>
      <c r="K1491" s="16" t="n">
        <v>60</v>
      </c>
    </row>
    <row r="1492">
      <c r="A1492" s="30" t="n">
        <v>46324.00833333333</v>
      </c>
      <c r="B1492" s="30" t="n">
        <v>46324.02083333334</v>
      </c>
      <c r="C1492" s="9" t="n">
        <v>46325</v>
      </c>
      <c r="D1492" s="10" t="n">
        <v>0.9993055555555556</v>
      </c>
      <c r="E1492" s="36" t="n">
        <v>1</v>
      </c>
      <c r="F1492" s="36" t="n">
        <v>1</v>
      </c>
      <c r="G1492" s="36" t="n">
        <v>0</v>
      </c>
      <c r="H1492" s="36" t="n">
        <v>0</v>
      </c>
      <c r="I1492" s="36" t="n">
        <v>0</v>
      </c>
      <c r="J1492" s="36" t="n">
        <v>2</v>
      </c>
      <c r="K1492" s="12" t="n">
        <v>24</v>
      </c>
    </row>
    <row r="1493">
      <c r="A1493" s="33" t="n">
        <v>46324.00833333333</v>
      </c>
      <c r="B1493" s="33" t="n">
        <v>46324.02083333334</v>
      </c>
      <c r="C1493" s="13" t="n">
        <v>46327</v>
      </c>
      <c r="D1493" s="14" t="n">
        <v>0.9270833333333334</v>
      </c>
      <c r="E1493" s="37" t="n">
        <v>2</v>
      </c>
      <c r="F1493" s="37" t="n">
        <v>0</v>
      </c>
      <c r="G1493" s="37" t="n">
        <v>0</v>
      </c>
      <c r="H1493" s="37" t="n">
        <v>2</v>
      </c>
      <c r="I1493" s="37" t="n">
        <v>0</v>
      </c>
      <c r="J1493" s="37" t="n">
        <v>8</v>
      </c>
      <c r="K1493" s="16" t="n">
        <v>96</v>
      </c>
    </row>
    <row r="1494">
      <c r="A1494" s="30" t="n">
        <v>46324.02083333334</v>
      </c>
      <c r="B1494" s="30" t="n">
        <v>46324.0625</v>
      </c>
      <c r="C1494" s="9" t="n">
        <v>46324</v>
      </c>
      <c r="D1494" s="10" t="n">
        <v>0.9993055555555556</v>
      </c>
      <c r="E1494" s="36" t="n">
        <v>2</v>
      </c>
      <c r="F1494" s="36" t="n">
        <v>0</v>
      </c>
      <c r="G1494" s="36" t="n">
        <v>0</v>
      </c>
      <c r="H1494" s="36" t="n">
        <v>2</v>
      </c>
      <c r="I1494" s="36" t="n">
        <v>0</v>
      </c>
      <c r="J1494" s="36" t="n">
        <v>8</v>
      </c>
      <c r="K1494" s="12" t="n">
        <v>96</v>
      </c>
    </row>
    <row r="1495">
      <c r="A1495" s="33" t="n">
        <v>46324.02083333334</v>
      </c>
      <c r="B1495" s="33" t="n">
        <v>46324.0625</v>
      </c>
      <c r="C1495" s="13" t="n">
        <v>46325</v>
      </c>
      <c r="D1495" s="14" t="n">
        <v>0.9993055555555556</v>
      </c>
      <c r="E1495" s="37" t="n">
        <v>2</v>
      </c>
      <c r="F1495" s="37" t="n">
        <v>2</v>
      </c>
      <c r="G1495" s="37" t="n">
        <v>0</v>
      </c>
      <c r="H1495" s="37" t="n">
        <v>0</v>
      </c>
      <c r="I1495" s="37" t="n">
        <v>0</v>
      </c>
      <c r="J1495" s="37" t="n">
        <v>4</v>
      </c>
      <c r="K1495" s="16" t="n">
        <v>48</v>
      </c>
    </row>
    <row r="1496">
      <c r="A1496" s="30" t="n">
        <v>46324.02083333334</v>
      </c>
      <c r="B1496" s="30" t="n">
        <v>46324.0625</v>
      </c>
      <c r="C1496" s="9" t="n">
        <v>46327</v>
      </c>
      <c r="D1496" s="10" t="n">
        <v>0.8854166666666666</v>
      </c>
      <c r="E1496" s="36" t="n">
        <v>2</v>
      </c>
      <c r="F1496" s="36" t="n">
        <v>0</v>
      </c>
      <c r="G1496" s="36" t="n">
        <v>0</v>
      </c>
      <c r="H1496" s="36" t="n">
        <v>2</v>
      </c>
      <c r="I1496" s="36" t="n">
        <v>0</v>
      </c>
      <c r="J1496" s="36" t="n">
        <v>8</v>
      </c>
      <c r="K1496" s="12" t="n">
        <v>96</v>
      </c>
    </row>
    <row r="1497">
      <c r="A1497" s="33" t="n">
        <v>46324.0625</v>
      </c>
      <c r="B1497" s="33" t="n">
        <v>46324.07083333333</v>
      </c>
      <c r="C1497" s="13" t="n">
        <v>46325</v>
      </c>
      <c r="D1497" s="14" t="n">
        <v>0.9993055555555556</v>
      </c>
      <c r="E1497" s="37" t="n">
        <v>3</v>
      </c>
      <c r="F1497" s="37" t="n">
        <v>1</v>
      </c>
      <c r="G1497" s="37" t="n">
        <v>1</v>
      </c>
      <c r="H1497" s="37" t="n">
        <v>0</v>
      </c>
      <c r="I1497" s="37" t="n">
        <v>1</v>
      </c>
      <c r="J1497" s="37" t="n">
        <v>10</v>
      </c>
      <c r="K1497" s="16" t="n">
        <v>120</v>
      </c>
    </row>
    <row r="1498">
      <c r="A1498" s="30" t="n">
        <v>46324.0625</v>
      </c>
      <c r="B1498" s="30" t="n">
        <v>46324.07083333333</v>
      </c>
      <c r="C1498" s="9" t="n">
        <v>46327</v>
      </c>
      <c r="D1498" s="10" t="n">
        <v>0.9993055555555556</v>
      </c>
      <c r="E1498" s="36" t="n">
        <v>1</v>
      </c>
      <c r="F1498" s="36" t="n">
        <v>1</v>
      </c>
      <c r="G1498" s="36" t="n">
        <v>0</v>
      </c>
      <c r="H1498" s="36" t="n">
        <v>0</v>
      </c>
      <c r="I1498" s="36" t="n">
        <v>0</v>
      </c>
      <c r="J1498" s="36" t="n">
        <v>2</v>
      </c>
      <c r="K1498" s="12" t="n">
        <v>24</v>
      </c>
    </row>
    <row r="1499">
      <c r="A1499" s="33" t="n">
        <v>46324.07083333333</v>
      </c>
      <c r="B1499" s="33" t="n">
        <v>46324.11944444444</v>
      </c>
      <c r="C1499" s="13" t="n">
        <v>46327</v>
      </c>
      <c r="D1499" s="14" t="n">
        <v>0.96875</v>
      </c>
      <c r="E1499" s="37" t="n">
        <v>1</v>
      </c>
      <c r="F1499" s="37" t="n">
        <v>0</v>
      </c>
      <c r="G1499" s="37" t="n">
        <v>0</v>
      </c>
      <c r="H1499" s="37" t="n">
        <v>1</v>
      </c>
      <c r="I1499" s="37" t="n">
        <v>0</v>
      </c>
      <c r="J1499" s="37" t="n">
        <v>4</v>
      </c>
      <c r="K1499" s="16" t="n">
        <v>48</v>
      </c>
    </row>
    <row r="1500">
      <c r="A1500" s="30" t="n">
        <v>46324.23680555556</v>
      </c>
      <c r="B1500" s="30" t="n">
        <v>46324.27708333333</v>
      </c>
      <c r="C1500" s="9" t="n">
        <v>46325</v>
      </c>
      <c r="D1500" s="10" t="n">
        <v>0.9993055555555556</v>
      </c>
      <c r="E1500" s="36" t="n">
        <v>1</v>
      </c>
      <c r="F1500" s="36" t="n">
        <v>1</v>
      </c>
      <c r="G1500" s="36" t="n">
        <v>0</v>
      </c>
      <c r="H1500" s="36" t="n">
        <v>0</v>
      </c>
      <c r="I1500" s="36" t="n">
        <v>0</v>
      </c>
      <c r="J1500" s="36" t="n">
        <v>2</v>
      </c>
      <c r="K1500" s="12" t="n">
        <v>24</v>
      </c>
    </row>
    <row r="1501">
      <c r="A1501" s="33" t="n">
        <v>46324.27708333333</v>
      </c>
      <c r="B1501" s="33" t="n">
        <v>46324.32222222222</v>
      </c>
      <c r="C1501" s="13" t="n">
        <v>46327</v>
      </c>
      <c r="D1501" s="14" t="n">
        <v>0.8020833333333334</v>
      </c>
      <c r="E1501" s="37" t="n">
        <v>1</v>
      </c>
      <c r="F1501" s="37" t="n">
        <v>0</v>
      </c>
      <c r="G1501" s="37" t="n">
        <v>0</v>
      </c>
      <c r="H1501" s="37" t="n">
        <v>0</v>
      </c>
      <c r="I1501" s="37" t="n">
        <v>1</v>
      </c>
      <c r="J1501" s="37" t="n">
        <v>5</v>
      </c>
      <c r="K1501" s="16" t="n">
        <v>60</v>
      </c>
    </row>
    <row r="1502">
      <c r="A1502" s="30" t="n">
        <v>46324.27708333333</v>
      </c>
      <c r="B1502" s="30" t="n">
        <v>46324.32222222222</v>
      </c>
      <c r="C1502" s="9" t="n">
        <v>46327</v>
      </c>
      <c r="D1502" s="10" t="n">
        <v>0.8854166666666666</v>
      </c>
      <c r="E1502" s="36" t="n">
        <v>1</v>
      </c>
      <c r="F1502" s="36" t="n">
        <v>1</v>
      </c>
      <c r="G1502" s="36" t="n">
        <v>0</v>
      </c>
      <c r="H1502" s="36" t="n">
        <v>0</v>
      </c>
      <c r="I1502" s="36" t="n">
        <v>0</v>
      </c>
      <c r="J1502" s="36" t="n">
        <v>2</v>
      </c>
      <c r="K1502" s="12" t="n">
        <v>24</v>
      </c>
    </row>
    <row r="1503">
      <c r="A1503" s="33" t="n">
        <v>46324.32222222222</v>
      </c>
      <c r="B1503" s="33" t="n">
        <v>46324.37152777778</v>
      </c>
      <c r="C1503" s="13" t="n">
        <v>46324</v>
      </c>
      <c r="D1503" s="14" t="n">
        <v>0.84375</v>
      </c>
      <c r="E1503" s="37" t="n">
        <v>1</v>
      </c>
      <c r="F1503" s="37" t="n">
        <v>1</v>
      </c>
      <c r="G1503" s="37" t="n">
        <v>0</v>
      </c>
      <c r="H1503" s="37" t="n">
        <v>0</v>
      </c>
      <c r="I1503" s="37" t="n">
        <v>0</v>
      </c>
      <c r="J1503" s="37" t="n">
        <v>2</v>
      </c>
      <c r="K1503" s="16" t="n">
        <v>24</v>
      </c>
    </row>
    <row r="1504">
      <c r="A1504" s="30" t="n">
        <v>46324.32222222222</v>
      </c>
      <c r="B1504" s="30" t="n">
        <v>46324.37152777778</v>
      </c>
      <c r="C1504" s="9" t="n">
        <v>46325</v>
      </c>
      <c r="D1504" s="10" t="n">
        <v>0.8854166666666666</v>
      </c>
      <c r="E1504" s="36" t="n">
        <v>3</v>
      </c>
      <c r="F1504" s="36" t="n">
        <v>1</v>
      </c>
      <c r="G1504" s="36" t="n">
        <v>0</v>
      </c>
      <c r="H1504" s="36" t="n">
        <v>2</v>
      </c>
      <c r="I1504" s="36" t="n">
        <v>0</v>
      </c>
      <c r="J1504" s="36" t="n">
        <v>10</v>
      </c>
      <c r="K1504" s="12" t="n">
        <v>120</v>
      </c>
    </row>
    <row r="1505">
      <c r="A1505" s="33" t="n">
        <v>46324.32222222222</v>
      </c>
      <c r="B1505" s="33" t="n">
        <v>46324.37152777778</v>
      </c>
      <c r="C1505" s="13" t="n">
        <v>46325</v>
      </c>
      <c r="D1505" s="14" t="n">
        <v>0.9993055555555556</v>
      </c>
      <c r="E1505" s="37" t="n">
        <v>2</v>
      </c>
      <c r="F1505" s="37" t="n">
        <v>1</v>
      </c>
      <c r="G1505" s="37" t="n">
        <v>0</v>
      </c>
      <c r="H1505" s="37" t="n">
        <v>1</v>
      </c>
      <c r="I1505" s="37" t="n">
        <v>0</v>
      </c>
      <c r="J1505" s="37" t="n">
        <v>6</v>
      </c>
      <c r="K1505" s="16" t="n">
        <v>72</v>
      </c>
    </row>
    <row r="1506">
      <c r="A1506" s="30" t="n">
        <v>46324.32222222222</v>
      </c>
      <c r="B1506" s="30" t="n">
        <v>46324.37152777778</v>
      </c>
      <c r="C1506" s="9" t="n">
        <v>46326</v>
      </c>
      <c r="D1506" s="10" t="n">
        <v>0.8020833333333334</v>
      </c>
      <c r="E1506" s="36" t="n">
        <v>1</v>
      </c>
      <c r="F1506" s="36" t="n">
        <v>0</v>
      </c>
      <c r="G1506" s="36" t="n">
        <v>0</v>
      </c>
      <c r="H1506" s="36" t="n">
        <v>1</v>
      </c>
      <c r="I1506" s="36" t="n">
        <v>0</v>
      </c>
      <c r="J1506" s="36" t="n">
        <v>4</v>
      </c>
      <c r="K1506" s="12" t="n">
        <v>48</v>
      </c>
    </row>
    <row r="1507">
      <c r="A1507" s="33" t="n">
        <v>46324.37152777778</v>
      </c>
      <c r="B1507" s="33" t="n">
        <v>46324.39791666667</v>
      </c>
      <c r="C1507" s="13" t="n">
        <v>46324</v>
      </c>
      <c r="D1507" s="14" t="n">
        <v>0.84375</v>
      </c>
      <c r="E1507" s="37" t="n">
        <v>1</v>
      </c>
      <c r="F1507" s="37" t="n">
        <v>1</v>
      </c>
      <c r="G1507" s="37" t="n">
        <v>0</v>
      </c>
      <c r="H1507" s="37" t="n">
        <v>0</v>
      </c>
      <c r="I1507" s="37" t="n">
        <v>0</v>
      </c>
      <c r="J1507" s="37" t="n">
        <v>2</v>
      </c>
      <c r="K1507" s="16" t="n">
        <v>24</v>
      </c>
    </row>
    <row r="1508">
      <c r="A1508" s="30" t="n">
        <v>46324.37152777778</v>
      </c>
      <c r="B1508" s="30" t="n">
        <v>46324.39791666667</v>
      </c>
      <c r="C1508" s="9" t="n">
        <v>46327</v>
      </c>
      <c r="D1508" s="10" t="n">
        <v>0.96875</v>
      </c>
      <c r="E1508" s="36" t="n">
        <v>1</v>
      </c>
      <c r="F1508" s="36" t="n">
        <v>0</v>
      </c>
      <c r="G1508" s="36" t="n">
        <v>0</v>
      </c>
      <c r="H1508" s="36" t="n">
        <v>1</v>
      </c>
      <c r="I1508" s="36" t="n">
        <v>0</v>
      </c>
      <c r="J1508" s="36" t="n">
        <v>4</v>
      </c>
      <c r="K1508" s="12" t="n">
        <v>48</v>
      </c>
    </row>
    <row r="1509">
      <c r="A1509" s="33" t="n">
        <v>46324.39791666667</v>
      </c>
      <c r="B1509" s="33" t="n">
        <v>46324.40833333333</v>
      </c>
      <c r="C1509" s="13" t="n">
        <v>46324</v>
      </c>
      <c r="D1509" s="14" t="n">
        <v>0.9993055555555556</v>
      </c>
      <c r="E1509" s="37" t="n">
        <v>2</v>
      </c>
      <c r="F1509" s="37" t="n">
        <v>1</v>
      </c>
      <c r="G1509" s="37" t="n">
        <v>0</v>
      </c>
      <c r="H1509" s="37" t="n">
        <v>0</v>
      </c>
      <c r="I1509" s="37" t="n">
        <v>1</v>
      </c>
      <c r="J1509" s="37" t="n">
        <v>7</v>
      </c>
      <c r="K1509" s="16" t="n">
        <v>84</v>
      </c>
    </row>
    <row r="1510">
      <c r="A1510" s="30" t="n">
        <v>46324.39791666667</v>
      </c>
      <c r="B1510" s="30" t="n">
        <v>46324.40833333333</v>
      </c>
      <c r="C1510" s="9" t="n">
        <v>46325</v>
      </c>
      <c r="D1510" s="10" t="n">
        <v>0.9993055555555556</v>
      </c>
      <c r="E1510" s="36" t="n">
        <v>2</v>
      </c>
      <c r="F1510" s="36" t="n">
        <v>0</v>
      </c>
      <c r="G1510" s="36" t="n">
        <v>2</v>
      </c>
      <c r="H1510" s="36" t="n">
        <v>0</v>
      </c>
      <c r="I1510" s="36" t="n">
        <v>0</v>
      </c>
      <c r="J1510" s="36" t="n">
        <v>6</v>
      </c>
      <c r="K1510" s="12" t="n">
        <v>72</v>
      </c>
    </row>
    <row r="1511">
      <c r="A1511" s="33" t="n">
        <v>46324.39791666667</v>
      </c>
      <c r="B1511" s="33" t="n">
        <v>46324.40833333333</v>
      </c>
      <c r="C1511" s="13" t="n">
        <v>46326</v>
      </c>
      <c r="D1511" s="14" t="n">
        <v>0.8020833333333334</v>
      </c>
      <c r="E1511" s="37" t="n">
        <v>1</v>
      </c>
      <c r="F1511" s="37" t="n">
        <v>1</v>
      </c>
      <c r="G1511" s="37" t="n">
        <v>0</v>
      </c>
      <c r="H1511" s="37" t="n">
        <v>0</v>
      </c>
      <c r="I1511" s="37" t="n">
        <v>0</v>
      </c>
      <c r="J1511" s="37" t="n">
        <v>2</v>
      </c>
      <c r="K1511" s="16" t="n">
        <v>24</v>
      </c>
    </row>
    <row r="1512">
      <c r="A1512" s="30" t="n">
        <v>46324.40833333333</v>
      </c>
      <c r="B1512" s="30" t="n">
        <v>46324.43472222222</v>
      </c>
      <c r="C1512" s="9" t="n">
        <v>46324</v>
      </c>
      <c r="D1512" s="10" t="n">
        <v>0.84375</v>
      </c>
      <c r="E1512" s="36" t="n">
        <v>1</v>
      </c>
      <c r="F1512" s="36" t="n">
        <v>0</v>
      </c>
      <c r="G1512" s="36" t="n">
        <v>0</v>
      </c>
      <c r="H1512" s="36" t="n">
        <v>1</v>
      </c>
      <c r="I1512" s="36" t="n">
        <v>0</v>
      </c>
      <c r="J1512" s="36" t="n">
        <v>4</v>
      </c>
      <c r="K1512" s="12" t="n">
        <v>48</v>
      </c>
    </row>
    <row r="1513">
      <c r="A1513" s="33" t="n">
        <v>46324.40833333333</v>
      </c>
      <c r="B1513" s="33" t="n">
        <v>46324.43472222222</v>
      </c>
      <c r="C1513" s="13" t="n">
        <v>46325</v>
      </c>
      <c r="D1513" s="14" t="n">
        <v>0.8854166666666666</v>
      </c>
      <c r="E1513" s="37" t="n">
        <v>1</v>
      </c>
      <c r="F1513" s="37" t="n">
        <v>0</v>
      </c>
      <c r="G1513" s="37" t="n">
        <v>0</v>
      </c>
      <c r="H1513" s="37" t="n">
        <v>0</v>
      </c>
      <c r="I1513" s="37" t="n">
        <v>1</v>
      </c>
      <c r="J1513" s="37" t="n">
        <v>5</v>
      </c>
      <c r="K1513" s="16" t="n">
        <v>60</v>
      </c>
    </row>
    <row r="1514">
      <c r="A1514" s="30" t="n">
        <v>46324.40833333333</v>
      </c>
      <c r="B1514" s="30" t="n">
        <v>46324.43472222222</v>
      </c>
      <c r="C1514" s="9" t="n">
        <v>46327</v>
      </c>
      <c r="D1514" s="10" t="n">
        <v>0.9270833333333334</v>
      </c>
      <c r="E1514" s="36" t="n">
        <v>1</v>
      </c>
      <c r="F1514" s="36" t="n">
        <v>0</v>
      </c>
      <c r="G1514" s="36" t="n">
        <v>0</v>
      </c>
      <c r="H1514" s="36" t="n">
        <v>1</v>
      </c>
      <c r="I1514" s="36" t="n">
        <v>0</v>
      </c>
      <c r="J1514" s="36" t="n">
        <v>4</v>
      </c>
      <c r="K1514" s="12" t="n">
        <v>48</v>
      </c>
    </row>
    <row r="1515">
      <c r="A1515" s="33" t="n">
        <v>46324.43472222222</v>
      </c>
      <c r="B1515" s="33" t="n">
        <v>46324.44722222222</v>
      </c>
      <c r="C1515" s="13" t="n">
        <v>46325</v>
      </c>
      <c r="D1515" s="14" t="n">
        <v>0.84375</v>
      </c>
      <c r="E1515" s="37" t="n">
        <v>1</v>
      </c>
      <c r="F1515" s="37" t="n">
        <v>0</v>
      </c>
      <c r="G1515" s="37" t="n">
        <v>1</v>
      </c>
      <c r="H1515" s="37" t="n">
        <v>0</v>
      </c>
      <c r="I1515" s="37" t="n">
        <v>0</v>
      </c>
      <c r="J1515" s="37" t="n">
        <v>3</v>
      </c>
      <c r="K1515" s="16" t="n">
        <v>36</v>
      </c>
    </row>
    <row r="1516">
      <c r="A1516" s="30" t="n">
        <v>46324.43472222222</v>
      </c>
      <c r="B1516" s="30" t="n">
        <v>46324.44722222222</v>
      </c>
      <c r="C1516" s="9" t="n">
        <v>46325</v>
      </c>
      <c r="D1516" s="10" t="n">
        <v>0.9993055555555556</v>
      </c>
      <c r="E1516" s="36" t="n">
        <v>2</v>
      </c>
      <c r="F1516" s="36" t="n">
        <v>0</v>
      </c>
      <c r="G1516" s="36" t="n">
        <v>0</v>
      </c>
      <c r="H1516" s="36" t="n">
        <v>1</v>
      </c>
      <c r="I1516" s="36" t="n">
        <v>1</v>
      </c>
      <c r="J1516" s="36" t="n">
        <v>9</v>
      </c>
      <c r="K1516" s="12" t="n">
        <v>108</v>
      </c>
    </row>
    <row r="1517">
      <c r="A1517" s="33" t="n">
        <v>46324.44722222222</v>
      </c>
      <c r="B1517" s="33" t="n">
        <v>46324.47361111111</v>
      </c>
      <c r="C1517" s="13" t="n">
        <v>46324</v>
      </c>
      <c r="D1517" s="14" t="n">
        <v>0.84375</v>
      </c>
      <c r="E1517" s="37" t="n">
        <v>1</v>
      </c>
      <c r="F1517" s="37" t="n">
        <v>1</v>
      </c>
      <c r="G1517" s="37" t="n">
        <v>0</v>
      </c>
      <c r="H1517" s="37" t="n">
        <v>0</v>
      </c>
      <c r="I1517" s="37" t="n">
        <v>0</v>
      </c>
      <c r="J1517" s="37" t="n">
        <v>2</v>
      </c>
      <c r="K1517" s="16" t="n">
        <v>24</v>
      </c>
    </row>
    <row r="1518">
      <c r="A1518" s="30" t="n">
        <v>46324.44722222222</v>
      </c>
      <c r="B1518" s="30" t="n">
        <v>46324.47361111111</v>
      </c>
      <c r="C1518" s="9" t="n">
        <v>46324</v>
      </c>
      <c r="D1518" s="10" t="n">
        <v>0.9993055555555556</v>
      </c>
      <c r="E1518" s="36" t="n">
        <v>1</v>
      </c>
      <c r="F1518" s="36" t="n">
        <v>0</v>
      </c>
      <c r="G1518" s="36" t="n">
        <v>1</v>
      </c>
      <c r="H1518" s="36" t="n">
        <v>0</v>
      </c>
      <c r="I1518" s="36" t="n">
        <v>0</v>
      </c>
      <c r="J1518" s="36" t="n">
        <v>3</v>
      </c>
      <c r="K1518" s="12" t="n">
        <v>36</v>
      </c>
    </row>
    <row r="1519">
      <c r="A1519" s="33" t="n">
        <v>46324.44722222222</v>
      </c>
      <c r="B1519" s="33" t="n">
        <v>46324.47361111111</v>
      </c>
      <c r="C1519" s="13" t="n">
        <v>46325</v>
      </c>
      <c r="D1519" s="14" t="n">
        <v>0.8854166666666666</v>
      </c>
      <c r="E1519" s="37" t="n">
        <v>1</v>
      </c>
      <c r="F1519" s="37" t="n">
        <v>0</v>
      </c>
      <c r="G1519" s="37" t="n">
        <v>0</v>
      </c>
      <c r="H1519" s="37" t="n">
        <v>1</v>
      </c>
      <c r="I1519" s="37" t="n">
        <v>0</v>
      </c>
      <c r="J1519" s="37" t="n">
        <v>4</v>
      </c>
      <c r="K1519" s="16" t="n">
        <v>48</v>
      </c>
    </row>
    <row r="1520">
      <c r="A1520" s="30" t="n">
        <v>46324.44722222222</v>
      </c>
      <c r="B1520" s="30" t="n">
        <v>46324.47361111111</v>
      </c>
      <c r="C1520" s="9" t="n">
        <v>46325</v>
      </c>
      <c r="D1520" s="10" t="n">
        <v>0.9993055555555556</v>
      </c>
      <c r="E1520" s="36" t="n">
        <v>2</v>
      </c>
      <c r="F1520" s="36" t="n">
        <v>0</v>
      </c>
      <c r="G1520" s="36" t="n">
        <v>0</v>
      </c>
      <c r="H1520" s="36" t="n">
        <v>0</v>
      </c>
      <c r="I1520" s="36" t="n">
        <v>2</v>
      </c>
      <c r="J1520" s="36" t="n">
        <v>10</v>
      </c>
      <c r="K1520" s="12" t="n">
        <v>120</v>
      </c>
    </row>
    <row r="1521">
      <c r="A1521" s="33" t="n">
        <v>46324.44722222222</v>
      </c>
      <c r="B1521" s="33" t="n">
        <v>46324.47361111111</v>
      </c>
      <c r="C1521" s="13" t="n">
        <v>46327</v>
      </c>
      <c r="D1521" s="14" t="n">
        <v>0.8854166666666666</v>
      </c>
      <c r="E1521" s="37" t="n">
        <v>1</v>
      </c>
      <c r="F1521" s="37" t="n">
        <v>0</v>
      </c>
      <c r="G1521" s="37" t="n">
        <v>0</v>
      </c>
      <c r="H1521" s="37" t="n">
        <v>0</v>
      </c>
      <c r="I1521" s="37" t="n">
        <v>1</v>
      </c>
      <c r="J1521" s="37" t="n">
        <v>5</v>
      </c>
      <c r="K1521" s="16" t="n">
        <v>60</v>
      </c>
    </row>
    <row r="1522">
      <c r="A1522" s="30" t="n">
        <v>46324.44722222222</v>
      </c>
      <c r="B1522" s="30" t="n">
        <v>46324.47361111111</v>
      </c>
      <c r="C1522" s="9" t="n">
        <v>46327</v>
      </c>
      <c r="D1522" s="10" t="n">
        <v>0.9270833333333334</v>
      </c>
      <c r="E1522" s="36" t="n">
        <v>1</v>
      </c>
      <c r="F1522" s="36" t="n">
        <v>0</v>
      </c>
      <c r="G1522" s="36" t="n">
        <v>0</v>
      </c>
      <c r="H1522" s="36" t="n">
        <v>0</v>
      </c>
      <c r="I1522" s="36" t="n">
        <v>1</v>
      </c>
      <c r="J1522" s="36" t="n">
        <v>5</v>
      </c>
      <c r="K1522" s="12" t="n">
        <v>60</v>
      </c>
    </row>
    <row r="1523">
      <c r="A1523" s="33" t="n">
        <v>46324.47361111111</v>
      </c>
      <c r="B1523" s="33" t="n">
        <v>46324.4875</v>
      </c>
      <c r="C1523" s="13" t="n">
        <v>46324</v>
      </c>
      <c r="D1523" s="14" t="n">
        <v>0.84375</v>
      </c>
      <c r="E1523" s="37" t="n">
        <v>2</v>
      </c>
      <c r="F1523" s="37" t="n">
        <v>1</v>
      </c>
      <c r="G1523" s="37" t="n">
        <v>0</v>
      </c>
      <c r="H1523" s="37" t="n">
        <v>1</v>
      </c>
      <c r="I1523" s="37" t="n">
        <v>0</v>
      </c>
      <c r="J1523" s="37" t="n">
        <v>6</v>
      </c>
      <c r="K1523" s="16" t="n">
        <v>72</v>
      </c>
    </row>
    <row r="1524">
      <c r="A1524" s="30" t="n">
        <v>46324.47361111111</v>
      </c>
      <c r="B1524" s="30" t="n">
        <v>46324.4875</v>
      </c>
      <c r="C1524" s="9" t="n">
        <v>46324</v>
      </c>
      <c r="D1524" s="10" t="n">
        <v>0.9993055555555556</v>
      </c>
      <c r="E1524" s="36" t="n">
        <v>1</v>
      </c>
      <c r="F1524" s="36" t="n">
        <v>0</v>
      </c>
      <c r="G1524" s="36" t="n">
        <v>1</v>
      </c>
      <c r="H1524" s="36" t="n">
        <v>0</v>
      </c>
      <c r="I1524" s="36" t="n">
        <v>0</v>
      </c>
      <c r="J1524" s="36" t="n">
        <v>3</v>
      </c>
      <c r="K1524" s="12" t="n">
        <v>36</v>
      </c>
    </row>
    <row r="1525">
      <c r="A1525" s="33" t="n">
        <v>46324.47361111111</v>
      </c>
      <c r="B1525" s="33" t="n">
        <v>46324.4875</v>
      </c>
      <c r="C1525" s="13" t="n">
        <v>46325</v>
      </c>
      <c r="D1525" s="14" t="n">
        <v>0.8854166666666666</v>
      </c>
      <c r="E1525" s="37" t="n">
        <v>2</v>
      </c>
      <c r="F1525" s="37" t="n">
        <v>1</v>
      </c>
      <c r="G1525" s="37" t="n">
        <v>0</v>
      </c>
      <c r="H1525" s="37" t="n">
        <v>1</v>
      </c>
      <c r="I1525" s="37" t="n">
        <v>0</v>
      </c>
      <c r="J1525" s="37" t="n">
        <v>6</v>
      </c>
      <c r="K1525" s="16" t="n">
        <v>72</v>
      </c>
    </row>
    <row r="1526">
      <c r="A1526" s="30" t="n">
        <v>46324.47361111111</v>
      </c>
      <c r="B1526" s="30" t="n">
        <v>46324.4875</v>
      </c>
      <c r="C1526" s="9" t="n">
        <v>46325</v>
      </c>
      <c r="D1526" s="10" t="n">
        <v>0.9993055555555556</v>
      </c>
      <c r="E1526" s="36" t="n">
        <v>1</v>
      </c>
      <c r="F1526" s="36" t="n">
        <v>0</v>
      </c>
      <c r="G1526" s="36" t="n">
        <v>0</v>
      </c>
      <c r="H1526" s="36" t="n">
        <v>1</v>
      </c>
      <c r="I1526" s="36" t="n">
        <v>0</v>
      </c>
      <c r="J1526" s="36" t="n">
        <v>4</v>
      </c>
      <c r="K1526" s="12" t="n">
        <v>48</v>
      </c>
    </row>
    <row r="1527">
      <c r="A1527" s="33" t="n">
        <v>46324.47361111111</v>
      </c>
      <c r="B1527" s="33" t="n">
        <v>46324.4875</v>
      </c>
      <c r="C1527" s="13" t="n">
        <v>46326</v>
      </c>
      <c r="D1527" s="14" t="n">
        <v>0.8020833333333334</v>
      </c>
      <c r="E1527" s="37" t="n">
        <v>2</v>
      </c>
      <c r="F1527" s="37" t="n">
        <v>2</v>
      </c>
      <c r="G1527" s="37" t="n">
        <v>0</v>
      </c>
      <c r="H1527" s="37" t="n">
        <v>0</v>
      </c>
      <c r="I1527" s="37" t="n">
        <v>0</v>
      </c>
      <c r="J1527" s="37" t="n">
        <v>4</v>
      </c>
      <c r="K1527" s="16" t="n">
        <v>48</v>
      </c>
    </row>
    <row r="1528">
      <c r="A1528" s="30" t="n">
        <v>46324.4875</v>
      </c>
      <c r="B1528" s="30" t="n">
        <v>46324.52569444444</v>
      </c>
      <c r="C1528" s="9" t="n">
        <v>46324</v>
      </c>
      <c r="D1528" s="10" t="n">
        <v>0.84375</v>
      </c>
      <c r="E1528" s="36" t="n">
        <v>1</v>
      </c>
      <c r="F1528" s="36" t="n">
        <v>1</v>
      </c>
      <c r="G1528" s="36" t="n">
        <v>0</v>
      </c>
      <c r="H1528" s="36" t="n">
        <v>0</v>
      </c>
      <c r="I1528" s="36" t="n">
        <v>0</v>
      </c>
      <c r="J1528" s="36" t="n">
        <v>2</v>
      </c>
      <c r="K1528" s="12" t="n">
        <v>24</v>
      </c>
    </row>
    <row r="1529">
      <c r="A1529" s="33" t="n">
        <v>46324.4875</v>
      </c>
      <c r="B1529" s="33" t="n">
        <v>46324.52569444444</v>
      </c>
      <c r="C1529" s="13" t="n">
        <v>46324</v>
      </c>
      <c r="D1529" s="14" t="n">
        <v>0.9993055555555556</v>
      </c>
      <c r="E1529" s="37" t="n">
        <v>4</v>
      </c>
      <c r="F1529" s="37" t="n">
        <v>2</v>
      </c>
      <c r="G1529" s="37" t="n">
        <v>0</v>
      </c>
      <c r="H1529" s="37" t="n">
        <v>2</v>
      </c>
      <c r="I1529" s="37" t="n">
        <v>0</v>
      </c>
      <c r="J1529" s="37" t="n">
        <v>12</v>
      </c>
      <c r="K1529" s="16" t="n">
        <v>144</v>
      </c>
    </row>
    <row r="1530">
      <c r="A1530" s="30" t="n">
        <v>46324.4875</v>
      </c>
      <c r="B1530" s="30" t="n">
        <v>46324.52569444444</v>
      </c>
      <c r="C1530" s="9" t="n">
        <v>46325</v>
      </c>
      <c r="D1530" s="10" t="n">
        <v>0.8854166666666666</v>
      </c>
      <c r="E1530" s="36" t="n">
        <v>5</v>
      </c>
      <c r="F1530" s="36" t="n">
        <v>2</v>
      </c>
      <c r="G1530" s="36" t="n">
        <v>1</v>
      </c>
      <c r="H1530" s="36" t="n">
        <v>2</v>
      </c>
      <c r="I1530" s="36" t="n">
        <v>0</v>
      </c>
      <c r="J1530" s="36" t="n">
        <v>15</v>
      </c>
      <c r="K1530" s="12" t="n">
        <v>180</v>
      </c>
    </row>
    <row r="1531">
      <c r="A1531" s="33" t="n">
        <v>46324.4875</v>
      </c>
      <c r="B1531" s="33" t="n">
        <v>46324.52569444444</v>
      </c>
      <c r="C1531" s="13" t="n">
        <v>46325</v>
      </c>
      <c r="D1531" s="14" t="n">
        <v>0.9993055555555556</v>
      </c>
      <c r="E1531" s="37" t="n">
        <v>1</v>
      </c>
      <c r="F1531" s="37" t="n">
        <v>0</v>
      </c>
      <c r="G1531" s="37" t="n">
        <v>0</v>
      </c>
      <c r="H1531" s="37" t="n">
        <v>0</v>
      </c>
      <c r="I1531" s="37" t="n">
        <v>1</v>
      </c>
      <c r="J1531" s="37" t="n">
        <v>5</v>
      </c>
      <c r="K1531" s="16" t="n">
        <v>60</v>
      </c>
    </row>
    <row r="1532">
      <c r="A1532" s="30" t="n">
        <v>46324.4875</v>
      </c>
      <c r="B1532" s="30" t="n">
        <v>46324.52569444444</v>
      </c>
      <c r="C1532" s="9" t="n">
        <v>46326</v>
      </c>
      <c r="D1532" s="10" t="n">
        <v>0.8020833333333334</v>
      </c>
      <c r="E1532" s="36" t="n">
        <v>1</v>
      </c>
      <c r="F1532" s="36" t="n">
        <v>1</v>
      </c>
      <c r="G1532" s="36" t="n">
        <v>0</v>
      </c>
      <c r="H1532" s="36" t="n">
        <v>0</v>
      </c>
      <c r="I1532" s="36" t="n">
        <v>0</v>
      </c>
      <c r="J1532" s="36" t="n">
        <v>2</v>
      </c>
      <c r="K1532" s="12" t="n">
        <v>24</v>
      </c>
    </row>
    <row r="1533">
      <c r="A1533" s="33" t="n">
        <v>46324.4875</v>
      </c>
      <c r="B1533" s="33" t="n">
        <v>46324.52569444444</v>
      </c>
      <c r="C1533" s="13" t="n">
        <v>46327</v>
      </c>
      <c r="D1533" s="14" t="n">
        <v>0.84375</v>
      </c>
      <c r="E1533" s="37" t="n">
        <v>1</v>
      </c>
      <c r="F1533" s="37" t="n">
        <v>1</v>
      </c>
      <c r="G1533" s="37" t="n">
        <v>0</v>
      </c>
      <c r="H1533" s="37" t="n">
        <v>0</v>
      </c>
      <c r="I1533" s="37" t="n">
        <v>0</v>
      </c>
      <c r="J1533" s="37" t="n">
        <v>2</v>
      </c>
      <c r="K1533" s="16" t="n">
        <v>24</v>
      </c>
    </row>
    <row r="1534">
      <c r="A1534" s="30" t="n">
        <v>46324.4875</v>
      </c>
      <c r="B1534" s="30" t="n">
        <v>46324.52569444444</v>
      </c>
      <c r="C1534" s="9" t="n">
        <v>46327</v>
      </c>
      <c r="D1534" s="10" t="n">
        <v>0.8854166666666666</v>
      </c>
      <c r="E1534" s="36" t="n">
        <v>1</v>
      </c>
      <c r="F1534" s="36" t="n">
        <v>0</v>
      </c>
      <c r="G1534" s="36" t="n">
        <v>1</v>
      </c>
      <c r="H1534" s="36" t="n">
        <v>0</v>
      </c>
      <c r="I1534" s="36" t="n">
        <v>0</v>
      </c>
      <c r="J1534" s="36" t="n">
        <v>3</v>
      </c>
      <c r="K1534" s="12" t="n">
        <v>36</v>
      </c>
    </row>
    <row r="1535">
      <c r="A1535" s="33" t="n">
        <v>46324.4875</v>
      </c>
      <c r="B1535" s="33" t="n">
        <v>46324.52569444444</v>
      </c>
      <c r="C1535" s="13" t="n">
        <v>46327</v>
      </c>
      <c r="D1535" s="14" t="n">
        <v>0.9270833333333334</v>
      </c>
      <c r="E1535" s="37" t="n">
        <v>2</v>
      </c>
      <c r="F1535" s="37" t="n">
        <v>0</v>
      </c>
      <c r="G1535" s="37" t="n">
        <v>0</v>
      </c>
      <c r="H1535" s="37" t="n">
        <v>1</v>
      </c>
      <c r="I1535" s="37" t="n">
        <v>1</v>
      </c>
      <c r="J1535" s="37" t="n">
        <v>9</v>
      </c>
      <c r="K1535" s="16" t="n">
        <v>108</v>
      </c>
    </row>
    <row r="1536">
      <c r="A1536" s="30" t="n">
        <v>46324.4875</v>
      </c>
      <c r="B1536" s="30" t="n">
        <v>46324.52569444444</v>
      </c>
      <c r="C1536" s="9" t="n">
        <v>46327</v>
      </c>
      <c r="D1536" s="10" t="n">
        <v>0.96875</v>
      </c>
      <c r="E1536" s="36" t="n">
        <v>3</v>
      </c>
      <c r="F1536" s="36" t="n">
        <v>1</v>
      </c>
      <c r="G1536" s="36" t="n">
        <v>1</v>
      </c>
      <c r="H1536" s="36" t="n">
        <v>1</v>
      </c>
      <c r="I1536" s="36" t="n">
        <v>0</v>
      </c>
      <c r="J1536" s="36" t="n">
        <v>9</v>
      </c>
      <c r="K1536" s="12" t="n">
        <v>108</v>
      </c>
    </row>
    <row r="1537">
      <c r="A1537" s="33" t="n">
        <v>46324.52569444444</v>
      </c>
      <c r="B1537" s="33" t="n">
        <v>46324.57222222222</v>
      </c>
      <c r="C1537" s="13" t="n">
        <v>46324</v>
      </c>
      <c r="D1537" s="14" t="n">
        <v>0.84375</v>
      </c>
      <c r="E1537" s="37" t="n">
        <v>2</v>
      </c>
      <c r="F1537" s="37" t="n">
        <v>1</v>
      </c>
      <c r="G1537" s="37" t="n">
        <v>1</v>
      </c>
      <c r="H1537" s="37" t="n">
        <v>0</v>
      </c>
      <c r="I1537" s="37" t="n">
        <v>0</v>
      </c>
      <c r="J1537" s="37" t="n">
        <v>5</v>
      </c>
      <c r="K1537" s="16" t="n">
        <v>60</v>
      </c>
    </row>
    <row r="1538">
      <c r="A1538" s="30" t="n">
        <v>46324.52569444444</v>
      </c>
      <c r="B1538" s="30" t="n">
        <v>46324.57222222222</v>
      </c>
      <c r="C1538" s="9" t="n">
        <v>46324</v>
      </c>
      <c r="D1538" s="10" t="n">
        <v>0.9993055555555556</v>
      </c>
      <c r="E1538" s="36" t="n">
        <v>8</v>
      </c>
      <c r="F1538" s="36" t="n">
        <v>1</v>
      </c>
      <c r="G1538" s="36" t="n">
        <v>3</v>
      </c>
      <c r="H1538" s="36" t="n">
        <v>3</v>
      </c>
      <c r="I1538" s="36" t="n">
        <v>1</v>
      </c>
      <c r="J1538" s="36" t="n">
        <v>28</v>
      </c>
      <c r="K1538" s="12" t="n">
        <v>336</v>
      </c>
    </row>
    <row r="1539">
      <c r="A1539" s="33" t="n">
        <v>46324.52569444444</v>
      </c>
      <c r="B1539" s="33" t="n">
        <v>46324.57222222222</v>
      </c>
      <c r="C1539" s="13" t="n">
        <v>46325</v>
      </c>
      <c r="D1539" s="14" t="n">
        <v>0.8854166666666666</v>
      </c>
      <c r="E1539" s="37" t="n">
        <v>7</v>
      </c>
      <c r="F1539" s="37" t="n">
        <v>1</v>
      </c>
      <c r="G1539" s="37" t="n">
        <v>1</v>
      </c>
      <c r="H1539" s="37" t="n">
        <v>2</v>
      </c>
      <c r="I1539" s="37" t="n">
        <v>3</v>
      </c>
      <c r="J1539" s="37" t="n">
        <v>28</v>
      </c>
      <c r="K1539" s="16" t="n">
        <v>336</v>
      </c>
    </row>
    <row r="1540">
      <c r="A1540" s="30" t="n">
        <v>46324.52569444444</v>
      </c>
      <c r="B1540" s="30" t="n">
        <v>46324.57222222222</v>
      </c>
      <c r="C1540" s="9" t="n">
        <v>46326</v>
      </c>
      <c r="D1540" s="10" t="n">
        <v>0.8020833333333334</v>
      </c>
      <c r="E1540" s="36" t="n">
        <v>1</v>
      </c>
      <c r="F1540" s="36" t="n">
        <v>1</v>
      </c>
      <c r="G1540" s="36" t="n">
        <v>0</v>
      </c>
      <c r="H1540" s="36" t="n">
        <v>0</v>
      </c>
      <c r="I1540" s="36" t="n">
        <v>0</v>
      </c>
      <c r="J1540" s="36" t="n">
        <v>2</v>
      </c>
      <c r="K1540" s="12" t="n">
        <v>24</v>
      </c>
    </row>
    <row r="1541">
      <c r="A1541" s="33" t="n">
        <v>46324.52569444444</v>
      </c>
      <c r="B1541" s="33" t="n">
        <v>46324.57222222222</v>
      </c>
      <c r="C1541" s="13" t="n">
        <v>46327</v>
      </c>
      <c r="D1541" s="14" t="n">
        <v>0.8854166666666666</v>
      </c>
      <c r="E1541" s="37" t="n">
        <v>1</v>
      </c>
      <c r="F1541" s="37" t="n">
        <v>0</v>
      </c>
      <c r="G1541" s="37" t="n">
        <v>0</v>
      </c>
      <c r="H1541" s="37" t="n">
        <v>1</v>
      </c>
      <c r="I1541" s="37" t="n">
        <v>0</v>
      </c>
      <c r="J1541" s="37" t="n">
        <v>4</v>
      </c>
      <c r="K1541" s="16" t="n">
        <v>48</v>
      </c>
    </row>
    <row r="1542">
      <c r="A1542" s="30" t="n">
        <v>46324.52569444444</v>
      </c>
      <c r="B1542" s="30" t="n">
        <v>46324.57222222222</v>
      </c>
      <c r="C1542" s="9" t="n">
        <v>46327</v>
      </c>
      <c r="D1542" s="10" t="n">
        <v>0.9270833333333334</v>
      </c>
      <c r="E1542" s="36" t="n">
        <v>2</v>
      </c>
      <c r="F1542" s="36" t="n">
        <v>0</v>
      </c>
      <c r="G1542" s="36" t="n">
        <v>0</v>
      </c>
      <c r="H1542" s="36" t="n">
        <v>2</v>
      </c>
      <c r="I1542" s="36" t="n">
        <v>0</v>
      </c>
      <c r="J1542" s="36" t="n">
        <v>8</v>
      </c>
      <c r="K1542" s="12" t="n">
        <v>96</v>
      </c>
    </row>
    <row r="1543">
      <c r="A1543" s="33" t="n">
        <v>46324.52569444444</v>
      </c>
      <c r="B1543" s="33" t="n">
        <v>46324.57222222222</v>
      </c>
      <c r="C1543" s="13" t="n">
        <v>46327</v>
      </c>
      <c r="D1543" s="14" t="n">
        <v>0.96875</v>
      </c>
      <c r="E1543" s="37" t="n">
        <v>2</v>
      </c>
      <c r="F1543" s="37" t="n">
        <v>0</v>
      </c>
      <c r="G1543" s="37" t="n">
        <v>0</v>
      </c>
      <c r="H1543" s="37" t="n">
        <v>2</v>
      </c>
      <c r="I1543" s="37" t="n">
        <v>0</v>
      </c>
      <c r="J1543" s="37" t="n">
        <v>8</v>
      </c>
      <c r="K1543" s="16" t="n">
        <v>96</v>
      </c>
    </row>
    <row r="1544">
      <c r="A1544" s="30" t="n">
        <v>46324.57222222222</v>
      </c>
      <c r="B1544" s="30" t="n">
        <v>46324.62152777778</v>
      </c>
      <c r="C1544" s="9" t="n">
        <v>46324</v>
      </c>
      <c r="D1544" s="10" t="n">
        <v>0.84375</v>
      </c>
      <c r="E1544" s="36" t="n">
        <v>10</v>
      </c>
      <c r="F1544" s="36" t="n">
        <v>2</v>
      </c>
      <c r="G1544" s="36" t="n">
        <v>2</v>
      </c>
      <c r="H1544" s="36" t="n">
        <v>4</v>
      </c>
      <c r="I1544" s="36" t="n">
        <v>2</v>
      </c>
      <c r="J1544" s="36" t="n">
        <v>36</v>
      </c>
      <c r="K1544" s="12" t="n">
        <v>432</v>
      </c>
    </row>
    <row r="1545">
      <c r="A1545" s="33" t="n">
        <v>46324.57222222222</v>
      </c>
      <c r="B1545" s="33" t="n">
        <v>46324.62152777778</v>
      </c>
      <c r="C1545" s="13" t="n">
        <v>46324</v>
      </c>
      <c r="D1545" s="14" t="n">
        <v>0.9993055555555556</v>
      </c>
      <c r="E1545" s="37" t="n">
        <v>9</v>
      </c>
      <c r="F1545" s="37" t="n">
        <v>3</v>
      </c>
      <c r="G1545" s="37" t="n">
        <v>1</v>
      </c>
      <c r="H1545" s="37" t="n">
        <v>5</v>
      </c>
      <c r="I1545" s="37" t="n">
        <v>0</v>
      </c>
      <c r="J1545" s="37" t="n">
        <v>29</v>
      </c>
      <c r="K1545" s="16" t="n">
        <v>348</v>
      </c>
    </row>
    <row r="1546">
      <c r="A1546" s="30" t="n">
        <v>46324.57222222222</v>
      </c>
      <c r="B1546" s="30" t="n">
        <v>46324.62152777778</v>
      </c>
      <c r="C1546" s="9" t="n">
        <v>46325</v>
      </c>
      <c r="D1546" s="10" t="n">
        <v>0.84375</v>
      </c>
      <c r="E1546" s="36" t="n">
        <v>7</v>
      </c>
      <c r="F1546" s="36" t="n">
        <v>1</v>
      </c>
      <c r="G1546" s="36" t="n">
        <v>2</v>
      </c>
      <c r="H1546" s="36" t="n">
        <v>3</v>
      </c>
      <c r="I1546" s="36" t="n">
        <v>1</v>
      </c>
      <c r="J1546" s="36" t="n">
        <v>25</v>
      </c>
      <c r="K1546" s="12" t="n">
        <v>300</v>
      </c>
    </row>
    <row r="1547">
      <c r="A1547" s="33" t="n">
        <v>46324.57222222222</v>
      </c>
      <c r="B1547" s="33" t="n">
        <v>46324.62152777778</v>
      </c>
      <c r="C1547" s="13" t="n">
        <v>46325</v>
      </c>
      <c r="D1547" s="14" t="n">
        <v>0.8854166666666666</v>
      </c>
      <c r="E1547" s="37" t="n">
        <v>4</v>
      </c>
      <c r="F1547" s="37" t="n">
        <v>2</v>
      </c>
      <c r="G1547" s="37" t="n">
        <v>0</v>
      </c>
      <c r="H1547" s="37" t="n">
        <v>2</v>
      </c>
      <c r="I1547" s="37" t="n">
        <v>0</v>
      </c>
      <c r="J1547" s="37" t="n">
        <v>12</v>
      </c>
      <c r="K1547" s="16" t="n">
        <v>144</v>
      </c>
    </row>
    <row r="1548">
      <c r="A1548" s="30" t="n">
        <v>46324.57222222222</v>
      </c>
      <c r="B1548" s="30" t="n">
        <v>46324.62152777778</v>
      </c>
      <c r="C1548" s="9" t="n">
        <v>46326</v>
      </c>
      <c r="D1548" s="10" t="n">
        <v>0.8020833333333334</v>
      </c>
      <c r="E1548" s="36" t="n">
        <v>3</v>
      </c>
      <c r="F1548" s="36" t="n">
        <v>1</v>
      </c>
      <c r="G1548" s="36" t="n">
        <v>0</v>
      </c>
      <c r="H1548" s="36" t="n">
        <v>2</v>
      </c>
      <c r="I1548" s="36" t="n">
        <v>0</v>
      </c>
      <c r="J1548" s="36" t="n">
        <v>10</v>
      </c>
      <c r="K1548" s="12" t="n">
        <v>120</v>
      </c>
    </row>
    <row r="1549">
      <c r="A1549" s="33" t="n">
        <v>46324.57222222222</v>
      </c>
      <c r="B1549" s="33" t="n">
        <v>46324.62152777778</v>
      </c>
      <c r="C1549" s="13" t="n">
        <v>46327</v>
      </c>
      <c r="D1549" s="14" t="n">
        <v>0.8854166666666666</v>
      </c>
      <c r="E1549" s="37" t="n">
        <v>1</v>
      </c>
      <c r="F1549" s="37" t="n">
        <v>0</v>
      </c>
      <c r="G1549" s="37" t="n">
        <v>0</v>
      </c>
      <c r="H1549" s="37" t="n">
        <v>1</v>
      </c>
      <c r="I1549" s="37" t="n">
        <v>0</v>
      </c>
      <c r="J1549" s="37" t="n">
        <v>4</v>
      </c>
      <c r="K1549" s="16" t="n">
        <v>48</v>
      </c>
    </row>
    <row r="1550">
      <c r="A1550" s="30" t="n">
        <v>46324.57222222222</v>
      </c>
      <c r="B1550" s="30" t="n">
        <v>46324.62152777778</v>
      </c>
      <c r="C1550" s="9" t="n">
        <v>46327</v>
      </c>
      <c r="D1550" s="10" t="n">
        <v>0.96875</v>
      </c>
      <c r="E1550" s="36" t="n">
        <v>1</v>
      </c>
      <c r="F1550" s="36" t="n">
        <v>0</v>
      </c>
      <c r="G1550" s="36" t="n">
        <v>0</v>
      </c>
      <c r="H1550" s="36" t="n">
        <v>1</v>
      </c>
      <c r="I1550" s="36" t="n">
        <v>0</v>
      </c>
      <c r="J1550" s="36" t="n">
        <v>4</v>
      </c>
      <c r="K1550" s="12" t="n">
        <v>48</v>
      </c>
    </row>
    <row r="1551">
      <c r="A1551" s="33" t="n">
        <v>46324.57222222222</v>
      </c>
      <c r="B1551" s="33" t="n">
        <v>46324.62152777778</v>
      </c>
      <c r="C1551" s="13" t="n">
        <v>46327</v>
      </c>
      <c r="D1551" s="14" t="n">
        <v>0.9993055555555556</v>
      </c>
      <c r="E1551" s="37" t="n">
        <v>1</v>
      </c>
      <c r="F1551" s="37" t="n">
        <v>1</v>
      </c>
      <c r="G1551" s="37" t="n">
        <v>0</v>
      </c>
      <c r="H1551" s="37" t="n">
        <v>0</v>
      </c>
      <c r="I1551" s="37" t="n">
        <v>0</v>
      </c>
      <c r="J1551" s="37" t="n">
        <v>2</v>
      </c>
      <c r="K1551" s="16" t="n">
        <v>24</v>
      </c>
    </row>
    <row r="1552">
      <c r="A1552" s="30" t="n">
        <v>46324.62152777778</v>
      </c>
      <c r="B1552" s="30" t="n">
        <v>46324.63194444445</v>
      </c>
      <c r="C1552" s="9" t="n">
        <v>46324</v>
      </c>
      <c r="D1552" s="10" t="n">
        <v>0.84375</v>
      </c>
      <c r="E1552" s="36" t="n">
        <v>2</v>
      </c>
      <c r="F1552" s="36" t="n">
        <v>2</v>
      </c>
      <c r="G1552" s="36" t="n">
        <v>0</v>
      </c>
      <c r="H1552" s="36" t="n">
        <v>0</v>
      </c>
      <c r="I1552" s="36" t="n">
        <v>0</v>
      </c>
      <c r="J1552" s="36" t="n">
        <v>4</v>
      </c>
      <c r="K1552" s="12" t="n">
        <v>48</v>
      </c>
    </row>
    <row r="1553">
      <c r="A1553" s="33" t="n">
        <v>46324.62152777778</v>
      </c>
      <c r="B1553" s="33" t="n">
        <v>46324.63194444445</v>
      </c>
      <c r="C1553" s="13" t="n">
        <v>46324</v>
      </c>
      <c r="D1553" s="14" t="n">
        <v>0.9993055555555556</v>
      </c>
      <c r="E1553" s="37" t="n">
        <v>2</v>
      </c>
      <c r="F1553" s="37" t="n">
        <v>0</v>
      </c>
      <c r="G1553" s="37" t="n">
        <v>1</v>
      </c>
      <c r="H1553" s="37" t="n">
        <v>0</v>
      </c>
      <c r="I1553" s="37" t="n">
        <v>1</v>
      </c>
      <c r="J1553" s="37" t="n">
        <v>8</v>
      </c>
      <c r="K1553" s="16" t="n">
        <v>96</v>
      </c>
    </row>
    <row r="1554">
      <c r="A1554" s="30" t="n">
        <v>46324.62152777778</v>
      </c>
      <c r="B1554" s="30" t="n">
        <v>46324.63194444445</v>
      </c>
      <c r="C1554" s="9" t="n">
        <v>46325</v>
      </c>
      <c r="D1554" s="10" t="n">
        <v>0.84375</v>
      </c>
      <c r="E1554" s="36" t="n">
        <v>2</v>
      </c>
      <c r="F1554" s="36" t="n">
        <v>1</v>
      </c>
      <c r="G1554" s="36" t="n">
        <v>0</v>
      </c>
      <c r="H1554" s="36" t="n">
        <v>1</v>
      </c>
      <c r="I1554" s="36" t="n">
        <v>0</v>
      </c>
      <c r="J1554" s="36" t="n">
        <v>6</v>
      </c>
      <c r="K1554" s="12" t="n">
        <v>72</v>
      </c>
    </row>
    <row r="1555">
      <c r="A1555" s="33" t="n">
        <v>46324.62152777778</v>
      </c>
      <c r="B1555" s="33" t="n">
        <v>46324.63194444445</v>
      </c>
      <c r="C1555" s="13" t="n">
        <v>46326</v>
      </c>
      <c r="D1555" s="14" t="n">
        <v>0.8020833333333334</v>
      </c>
      <c r="E1555" s="37" t="n">
        <v>1</v>
      </c>
      <c r="F1555" s="37" t="n">
        <v>1</v>
      </c>
      <c r="G1555" s="37" t="n">
        <v>0</v>
      </c>
      <c r="H1555" s="37" t="n">
        <v>0</v>
      </c>
      <c r="I1555" s="37" t="n">
        <v>0</v>
      </c>
      <c r="J1555" s="37" t="n">
        <v>2</v>
      </c>
      <c r="K1555" s="16" t="n">
        <v>24</v>
      </c>
    </row>
    <row r="1556">
      <c r="A1556" s="30" t="n">
        <v>46324.62152777778</v>
      </c>
      <c r="B1556" s="30" t="n">
        <v>46324.63194444445</v>
      </c>
      <c r="C1556" s="9" t="n">
        <v>46327</v>
      </c>
      <c r="D1556" s="10" t="n">
        <v>0.84375</v>
      </c>
      <c r="E1556" s="36" t="n">
        <v>1</v>
      </c>
      <c r="F1556" s="36" t="n">
        <v>0</v>
      </c>
      <c r="G1556" s="36" t="n">
        <v>1</v>
      </c>
      <c r="H1556" s="36" t="n">
        <v>0</v>
      </c>
      <c r="I1556" s="36" t="n">
        <v>0</v>
      </c>
      <c r="J1556" s="36" t="n">
        <v>3</v>
      </c>
      <c r="K1556" s="12" t="n">
        <v>36</v>
      </c>
    </row>
    <row r="1557">
      <c r="A1557" s="33" t="n">
        <v>46324.63194444445</v>
      </c>
      <c r="B1557" s="33" t="n">
        <v>46324.64236111111</v>
      </c>
      <c r="C1557" s="13" t="n">
        <v>46324</v>
      </c>
      <c r="D1557" s="14" t="n">
        <v>0.84375</v>
      </c>
      <c r="E1557" s="37" t="n">
        <v>2</v>
      </c>
      <c r="F1557" s="37" t="n">
        <v>2</v>
      </c>
      <c r="G1557" s="37" t="n">
        <v>0</v>
      </c>
      <c r="H1557" s="37" t="n">
        <v>0</v>
      </c>
      <c r="I1557" s="37" t="n">
        <v>0</v>
      </c>
      <c r="J1557" s="37" t="n">
        <v>4</v>
      </c>
      <c r="K1557" s="16" t="n">
        <v>48</v>
      </c>
    </row>
    <row r="1558">
      <c r="A1558" s="30" t="n">
        <v>46324.63194444445</v>
      </c>
      <c r="B1558" s="30" t="n">
        <v>46324.64236111111</v>
      </c>
      <c r="C1558" s="9" t="n">
        <v>46325</v>
      </c>
      <c r="D1558" s="10" t="n">
        <v>0.84375</v>
      </c>
      <c r="E1558" s="36" t="n">
        <v>1</v>
      </c>
      <c r="F1558" s="36" t="n">
        <v>0</v>
      </c>
      <c r="G1558" s="36" t="n">
        <v>0</v>
      </c>
      <c r="H1558" s="36" t="n">
        <v>1</v>
      </c>
      <c r="I1558" s="36" t="n">
        <v>0</v>
      </c>
      <c r="J1558" s="36" t="n">
        <v>4</v>
      </c>
      <c r="K1558" s="12" t="n">
        <v>48</v>
      </c>
    </row>
    <row r="1559">
      <c r="A1559" s="33" t="n">
        <v>46324.63194444445</v>
      </c>
      <c r="B1559" s="33" t="n">
        <v>46324.64236111111</v>
      </c>
      <c r="C1559" s="13" t="n">
        <v>46327</v>
      </c>
      <c r="D1559" s="14" t="n">
        <v>0.96875</v>
      </c>
      <c r="E1559" s="37" t="n">
        <v>2</v>
      </c>
      <c r="F1559" s="37" t="n">
        <v>0</v>
      </c>
      <c r="G1559" s="37" t="n">
        <v>1</v>
      </c>
      <c r="H1559" s="37" t="n">
        <v>1</v>
      </c>
      <c r="I1559" s="37" t="n">
        <v>0</v>
      </c>
      <c r="J1559" s="37" t="n">
        <v>7</v>
      </c>
      <c r="K1559" s="16" t="n">
        <v>84</v>
      </c>
    </row>
    <row r="1560">
      <c r="A1560" s="30" t="n">
        <v>46324.64236111111</v>
      </c>
      <c r="B1560" s="30" t="n">
        <v>46324.64444444444</v>
      </c>
      <c r="C1560" s="9" t="n">
        <v>46327</v>
      </c>
      <c r="D1560" s="10" t="n">
        <v>0.9270833333333334</v>
      </c>
      <c r="E1560" s="36" t="n">
        <v>2</v>
      </c>
      <c r="F1560" s="36" t="n">
        <v>2</v>
      </c>
      <c r="G1560" s="36" t="n">
        <v>0</v>
      </c>
      <c r="H1560" s="36" t="n">
        <v>0</v>
      </c>
      <c r="I1560" s="36" t="n">
        <v>0</v>
      </c>
      <c r="J1560" s="36" t="n">
        <v>4</v>
      </c>
      <c r="K1560" s="12" t="n">
        <v>48</v>
      </c>
    </row>
    <row r="1561">
      <c r="A1561" s="33" t="n">
        <v>46324.64444444444</v>
      </c>
      <c r="B1561" s="33" t="n">
        <v>46324.68263888889</v>
      </c>
      <c r="C1561" s="13" t="n">
        <v>46324</v>
      </c>
      <c r="D1561" s="14" t="n">
        <v>0.84375</v>
      </c>
      <c r="E1561" s="37" t="n">
        <v>6</v>
      </c>
      <c r="F1561" s="37" t="n">
        <v>1</v>
      </c>
      <c r="G1561" s="37" t="n">
        <v>1</v>
      </c>
      <c r="H1561" s="37" t="n">
        <v>3</v>
      </c>
      <c r="I1561" s="37" t="n">
        <v>1</v>
      </c>
      <c r="J1561" s="37" t="n">
        <v>22</v>
      </c>
      <c r="K1561" s="16" t="n">
        <v>264</v>
      </c>
    </row>
    <row r="1562">
      <c r="A1562" s="30" t="n">
        <v>46324.64444444444</v>
      </c>
      <c r="B1562" s="30" t="n">
        <v>46324.68263888889</v>
      </c>
      <c r="C1562" s="9" t="n">
        <v>46325</v>
      </c>
      <c r="D1562" s="10" t="n">
        <v>0.84375</v>
      </c>
      <c r="E1562" s="36" t="n">
        <v>2</v>
      </c>
      <c r="F1562" s="36" t="n">
        <v>0</v>
      </c>
      <c r="G1562" s="36" t="n">
        <v>1</v>
      </c>
      <c r="H1562" s="36" t="n">
        <v>1</v>
      </c>
      <c r="I1562" s="36" t="n">
        <v>0</v>
      </c>
      <c r="J1562" s="36" t="n">
        <v>7</v>
      </c>
      <c r="K1562" s="12" t="n">
        <v>84</v>
      </c>
    </row>
    <row r="1563">
      <c r="A1563" s="33" t="n">
        <v>46324.64444444444</v>
      </c>
      <c r="B1563" s="33" t="n">
        <v>46324.68263888889</v>
      </c>
      <c r="C1563" s="13" t="n">
        <v>46326</v>
      </c>
      <c r="D1563" s="14" t="n">
        <v>0.8020833333333334</v>
      </c>
      <c r="E1563" s="37" t="n">
        <v>1</v>
      </c>
      <c r="F1563" s="37" t="n">
        <v>0</v>
      </c>
      <c r="G1563" s="37" t="n">
        <v>0</v>
      </c>
      <c r="H1563" s="37" t="n">
        <v>1</v>
      </c>
      <c r="I1563" s="37" t="n">
        <v>0</v>
      </c>
      <c r="J1563" s="37" t="n">
        <v>4</v>
      </c>
      <c r="K1563" s="16" t="n">
        <v>48</v>
      </c>
    </row>
    <row r="1564">
      <c r="A1564" s="30" t="n">
        <v>46324.64444444444</v>
      </c>
      <c r="B1564" s="30" t="n">
        <v>46324.68263888889</v>
      </c>
      <c r="C1564" s="9" t="n">
        <v>46327</v>
      </c>
      <c r="D1564" s="10" t="n">
        <v>0.8854166666666666</v>
      </c>
      <c r="E1564" s="36" t="n">
        <v>2</v>
      </c>
      <c r="F1564" s="36" t="n">
        <v>1</v>
      </c>
      <c r="G1564" s="36" t="n">
        <v>0</v>
      </c>
      <c r="H1564" s="36" t="n">
        <v>1</v>
      </c>
      <c r="I1564" s="36" t="n">
        <v>0</v>
      </c>
      <c r="J1564" s="36" t="n">
        <v>6</v>
      </c>
      <c r="K1564" s="12" t="n">
        <v>72</v>
      </c>
    </row>
    <row r="1565">
      <c r="A1565" s="33" t="n">
        <v>46324.64444444444</v>
      </c>
      <c r="B1565" s="33" t="n">
        <v>46324.68263888889</v>
      </c>
      <c r="C1565" s="13" t="n">
        <v>46327</v>
      </c>
      <c r="D1565" s="14" t="n">
        <v>0.9270833333333334</v>
      </c>
      <c r="E1565" s="37" t="n">
        <v>2</v>
      </c>
      <c r="F1565" s="37" t="n">
        <v>0</v>
      </c>
      <c r="G1565" s="37" t="n">
        <v>2</v>
      </c>
      <c r="H1565" s="37" t="n">
        <v>0</v>
      </c>
      <c r="I1565" s="37" t="n">
        <v>0</v>
      </c>
      <c r="J1565" s="37" t="n">
        <v>6</v>
      </c>
      <c r="K1565" s="16" t="n">
        <v>72</v>
      </c>
    </row>
    <row r="1566">
      <c r="A1566" s="30" t="n">
        <v>46324.64444444444</v>
      </c>
      <c r="B1566" s="30" t="n">
        <v>46324.68263888889</v>
      </c>
      <c r="C1566" s="9" t="n">
        <v>46327</v>
      </c>
      <c r="D1566" s="10" t="n">
        <v>0.96875</v>
      </c>
      <c r="E1566" s="36" t="n">
        <v>1</v>
      </c>
      <c r="F1566" s="36" t="n">
        <v>0</v>
      </c>
      <c r="G1566" s="36" t="n">
        <v>0</v>
      </c>
      <c r="H1566" s="36" t="n">
        <v>1</v>
      </c>
      <c r="I1566" s="36" t="n">
        <v>0</v>
      </c>
      <c r="J1566" s="36" t="n">
        <v>4</v>
      </c>
      <c r="K1566" s="12" t="n">
        <v>48</v>
      </c>
    </row>
    <row r="1567">
      <c r="A1567" s="33" t="n">
        <v>46324.64444444444</v>
      </c>
      <c r="B1567" s="33" t="n">
        <v>46324.68263888889</v>
      </c>
      <c r="C1567" s="13" t="n">
        <v>46327</v>
      </c>
      <c r="D1567" s="14" t="n">
        <v>0.9993055555555556</v>
      </c>
      <c r="E1567" s="37" t="n">
        <v>4</v>
      </c>
      <c r="F1567" s="37" t="n">
        <v>3</v>
      </c>
      <c r="G1567" s="37" t="n">
        <v>0</v>
      </c>
      <c r="H1567" s="37" t="n">
        <v>1</v>
      </c>
      <c r="I1567" s="37" t="n">
        <v>0</v>
      </c>
      <c r="J1567" s="37" t="n">
        <v>10</v>
      </c>
      <c r="K1567" s="16" t="n">
        <v>120</v>
      </c>
    </row>
    <row r="1568">
      <c r="A1568" s="30" t="n">
        <v>46324.68263888889</v>
      </c>
      <c r="B1568" s="30" t="n">
        <v>46324.71180555555</v>
      </c>
      <c r="C1568" s="9" t="n">
        <v>46324</v>
      </c>
      <c r="D1568" s="10" t="n">
        <v>0.84375</v>
      </c>
      <c r="E1568" s="36" t="n">
        <v>4</v>
      </c>
      <c r="F1568" s="36" t="n">
        <v>3</v>
      </c>
      <c r="G1568" s="36" t="n">
        <v>0</v>
      </c>
      <c r="H1568" s="36" t="n">
        <v>0</v>
      </c>
      <c r="I1568" s="36" t="n">
        <v>1</v>
      </c>
      <c r="J1568" s="36" t="n">
        <v>11</v>
      </c>
      <c r="K1568" s="12" t="n">
        <v>132</v>
      </c>
    </row>
    <row r="1569">
      <c r="A1569" s="33" t="n">
        <v>46324.68263888889</v>
      </c>
      <c r="B1569" s="33" t="n">
        <v>46324.71180555555</v>
      </c>
      <c r="C1569" s="13" t="n">
        <v>46325</v>
      </c>
      <c r="D1569" s="14" t="n">
        <v>0.84375</v>
      </c>
      <c r="E1569" s="37" t="n">
        <v>1</v>
      </c>
      <c r="F1569" s="37" t="n">
        <v>1</v>
      </c>
      <c r="G1569" s="37" t="n">
        <v>0</v>
      </c>
      <c r="H1569" s="37" t="n">
        <v>0</v>
      </c>
      <c r="I1569" s="37" t="n">
        <v>0</v>
      </c>
      <c r="J1569" s="37" t="n">
        <v>2</v>
      </c>
      <c r="K1569" s="16" t="n">
        <v>24</v>
      </c>
    </row>
    <row r="1570">
      <c r="A1570" s="30" t="n">
        <v>46324.68263888889</v>
      </c>
      <c r="B1570" s="30" t="n">
        <v>46324.71180555555</v>
      </c>
      <c r="C1570" s="9" t="n">
        <v>46326</v>
      </c>
      <c r="D1570" s="10" t="n">
        <v>0.8020833333333334</v>
      </c>
      <c r="E1570" s="36" t="n">
        <v>1</v>
      </c>
      <c r="F1570" s="36" t="n">
        <v>0</v>
      </c>
      <c r="G1570" s="36" t="n">
        <v>0</v>
      </c>
      <c r="H1570" s="36" t="n">
        <v>1</v>
      </c>
      <c r="I1570" s="36" t="n">
        <v>0</v>
      </c>
      <c r="J1570" s="36" t="n">
        <v>4</v>
      </c>
      <c r="K1570" s="12" t="n">
        <v>48</v>
      </c>
    </row>
    <row r="1571">
      <c r="A1571" s="33" t="n">
        <v>46324.68263888889</v>
      </c>
      <c r="B1571" s="33" t="n">
        <v>46324.71180555555</v>
      </c>
      <c r="C1571" s="13" t="n">
        <v>46327</v>
      </c>
      <c r="D1571" s="14" t="n">
        <v>0.96875</v>
      </c>
      <c r="E1571" s="37" t="n">
        <v>3</v>
      </c>
      <c r="F1571" s="37" t="n">
        <v>0</v>
      </c>
      <c r="G1571" s="37" t="n">
        <v>0</v>
      </c>
      <c r="H1571" s="37" t="n">
        <v>3</v>
      </c>
      <c r="I1571" s="37" t="n">
        <v>0</v>
      </c>
      <c r="J1571" s="37" t="n">
        <v>12</v>
      </c>
      <c r="K1571" s="16" t="n">
        <v>144</v>
      </c>
    </row>
    <row r="1572">
      <c r="A1572" s="30" t="n">
        <v>46324.68263888889</v>
      </c>
      <c r="B1572" s="30" t="n">
        <v>46324.71180555555</v>
      </c>
      <c r="C1572" s="9" t="n">
        <v>46327</v>
      </c>
      <c r="D1572" s="10" t="n">
        <v>0.9993055555555556</v>
      </c>
      <c r="E1572" s="36" t="n">
        <v>4</v>
      </c>
      <c r="F1572" s="36" t="n">
        <v>1</v>
      </c>
      <c r="G1572" s="36" t="n">
        <v>0</v>
      </c>
      <c r="H1572" s="36" t="n">
        <v>3</v>
      </c>
      <c r="I1572" s="36" t="n">
        <v>0</v>
      </c>
      <c r="J1572" s="36" t="n">
        <v>14</v>
      </c>
      <c r="K1572" s="12" t="n">
        <v>168</v>
      </c>
    </row>
    <row r="1573">
      <c r="A1573" s="33" t="n">
        <v>46324.71180555555</v>
      </c>
      <c r="B1573" s="33" t="n">
        <v>46324.73680555556</v>
      </c>
      <c r="C1573" s="13" t="n">
        <v>46324</v>
      </c>
      <c r="D1573" s="14" t="n">
        <v>0.84375</v>
      </c>
      <c r="E1573" s="37" t="n">
        <v>4</v>
      </c>
      <c r="F1573" s="37" t="n">
        <v>1</v>
      </c>
      <c r="G1573" s="37" t="n">
        <v>1</v>
      </c>
      <c r="H1573" s="37" t="n">
        <v>1</v>
      </c>
      <c r="I1573" s="37" t="n">
        <v>1</v>
      </c>
      <c r="J1573" s="37" t="n">
        <v>14</v>
      </c>
      <c r="K1573" s="16" t="n">
        <v>168</v>
      </c>
    </row>
    <row r="1574">
      <c r="A1574" s="30" t="n">
        <v>46324.71180555555</v>
      </c>
      <c r="B1574" s="30" t="n">
        <v>46324.73680555556</v>
      </c>
      <c r="C1574" s="9" t="n">
        <v>46325</v>
      </c>
      <c r="D1574" s="10" t="n">
        <v>0.84375</v>
      </c>
      <c r="E1574" s="36" t="n">
        <v>4</v>
      </c>
      <c r="F1574" s="36" t="n">
        <v>1</v>
      </c>
      <c r="G1574" s="36" t="n">
        <v>0</v>
      </c>
      <c r="H1574" s="36" t="n">
        <v>3</v>
      </c>
      <c r="I1574" s="36" t="n">
        <v>0</v>
      </c>
      <c r="J1574" s="36" t="n">
        <v>14</v>
      </c>
      <c r="K1574" s="12" t="n">
        <v>168</v>
      </c>
    </row>
    <row r="1575">
      <c r="A1575" s="33" t="n">
        <v>46324.71180555555</v>
      </c>
      <c r="B1575" s="33" t="n">
        <v>46324.73680555556</v>
      </c>
      <c r="C1575" s="13" t="n">
        <v>46326</v>
      </c>
      <c r="D1575" s="14" t="n">
        <v>0.8020833333333334</v>
      </c>
      <c r="E1575" s="37" t="n">
        <v>2</v>
      </c>
      <c r="F1575" s="37" t="n">
        <v>0</v>
      </c>
      <c r="G1575" s="37" t="n">
        <v>0</v>
      </c>
      <c r="H1575" s="37" t="n">
        <v>1</v>
      </c>
      <c r="I1575" s="37" t="n">
        <v>1</v>
      </c>
      <c r="J1575" s="37" t="n">
        <v>9</v>
      </c>
      <c r="K1575" s="16" t="n">
        <v>108</v>
      </c>
    </row>
    <row r="1576">
      <c r="A1576" s="30" t="n">
        <v>46324.71180555555</v>
      </c>
      <c r="B1576" s="30" t="n">
        <v>46324.73680555556</v>
      </c>
      <c r="C1576" s="9" t="n">
        <v>46327</v>
      </c>
      <c r="D1576" s="10" t="n">
        <v>0.96875</v>
      </c>
      <c r="E1576" s="36" t="n">
        <v>1</v>
      </c>
      <c r="F1576" s="36" t="n">
        <v>1</v>
      </c>
      <c r="G1576" s="36" t="n">
        <v>0</v>
      </c>
      <c r="H1576" s="36" t="n">
        <v>0</v>
      </c>
      <c r="I1576" s="36" t="n">
        <v>0</v>
      </c>
      <c r="J1576" s="36" t="n">
        <v>2</v>
      </c>
      <c r="K1576" s="12" t="n">
        <v>24</v>
      </c>
    </row>
    <row r="1577">
      <c r="A1577" s="33" t="n">
        <v>46324.74027777778</v>
      </c>
      <c r="B1577" s="33" t="n">
        <v>46324.74652777778</v>
      </c>
      <c r="C1577" s="13" t="n">
        <v>46324</v>
      </c>
      <c r="D1577" s="14" t="n">
        <v>0.84375</v>
      </c>
      <c r="E1577" s="37" t="n">
        <v>1</v>
      </c>
      <c r="F1577" s="37" t="n">
        <v>0</v>
      </c>
      <c r="G1577" s="37" t="n">
        <v>1</v>
      </c>
      <c r="H1577" s="37" t="n">
        <v>0</v>
      </c>
      <c r="I1577" s="37" t="n">
        <v>0</v>
      </c>
      <c r="J1577" s="37" t="n">
        <v>3</v>
      </c>
      <c r="K1577" s="16" t="n">
        <v>36</v>
      </c>
    </row>
    <row r="1578">
      <c r="A1578" s="30" t="n">
        <v>46324.74652777778</v>
      </c>
      <c r="B1578" s="30" t="n">
        <v>46324.76041666666</v>
      </c>
      <c r="C1578" s="9" t="n">
        <v>46324</v>
      </c>
      <c r="D1578" s="10" t="n">
        <v>0.84375</v>
      </c>
      <c r="E1578" s="36" t="n">
        <v>2</v>
      </c>
      <c r="F1578" s="36" t="n">
        <v>1</v>
      </c>
      <c r="G1578" s="36" t="n">
        <v>0</v>
      </c>
      <c r="H1578" s="36" t="n">
        <v>0</v>
      </c>
      <c r="I1578" s="36" t="n">
        <v>1</v>
      </c>
      <c r="J1578" s="36" t="n">
        <v>7</v>
      </c>
      <c r="K1578" s="12" t="n">
        <v>84</v>
      </c>
    </row>
    <row r="1579">
      <c r="A1579" s="33" t="n">
        <v>46324.74652777778</v>
      </c>
      <c r="B1579" s="33" t="n">
        <v>46324.76041666666</v>
      </c>
      <c r="C1579" s="13" t="n">
        <v>46325</v>
      </c>
      <c r="D1579" s="14" t="n">
        <v>0.84375</v>
      </c>
      <c r="E1579" s="37" t="n">
        <v>2</v>
      </c>
      <c r="F1579" s="37" t="n">
        <v>1</v>
      </c>
      <c r="G1579" s="37" t="n">
        <v>0</v>
      </c>
      <c r="H1579" s="37" t="n">
        <v>1</v>
      </c>
      <c r="I1579" s="37" t="n">
        <v>0</v>
      </c>
      <c r="J1579" s="37" t="n">
        <v>6</v>
      </c>
      <c r="K1579" s="16" t="n">
        <v>72</v>
      </c>
    </row>
    <row r="1580">
      <c r="A1580" s="30" t="n">
        <v>46324.74652777778</v>
      </c>
      <c r="B1580" s="30" t="n">
        <v>46324.76041666666</v>
      </c>
      <c r="C1580" s="9" t="n">
        <v>46326</v>
      </c>
      <c r="D1580" s="10" t="n">
        <v>0.8020833333333334</v>
      </c>
      <c r="E1580" s="36" t="n">
        <v>2</v>
      </c>
      <c r="F1580" s="36" t="n">
        <v>2</v>
      </c>
      <c r="G1580" s="36" t="n">
        <v>0</v>
      </c>
      <c r="H1580" s="36" t="n">
        <v>0</v>
      </c>
      <c r="I1580" s="36" t="n">
        <v>0</v>
      </c>
      <c r="J1580" s="36" t="n">
        <v>4</v>
      </c>
      <c r="K1580" s="12" t="n">
        <v>48</v>
      </c>
    </row>
    <row r="1581">
      <c r="A1581" s="33" t="n">
        <v>46324.74652777778</v>
      </c>
      <c r="B1581" s="33" t="n">
        <v>46324.76041666666</v>
      </c>
      <c r="C1581" s="13" t="n">
        <v>46327</v>
      </c>
      <c r="D1581" s="14" t="n">
        <v>0.9270833333333334</v>
      </c>
      <c r="E1581" s="37" t="n">
        <v>2</v>
      </c>
      <c r="F1581" s="37" t="n">
        <v>1</v>
      </c>
      <c r="G1581" s="37" t="n">
        <v>0</v>
      </c>
      <c r="H1581" s="37" t="n">
        <v>1</v>
      </c>
      <c r="I1581" s="37" t="n">
        <v>0</v>
      </c>
      <c r="J1581" s="37" t="n">
        <v>6</v>
      </c>
      <c r="K1581" s="16" t="n">
        <v>72</v>
      </c>
    </row>
    <row r="1582">
      <c r="A1582" s="30" t="n">
        <v>46324.74652777778</v>
      </c>
      <c r="B1582" s="30" t="n">
        <v>46324.76041666666</v>
      </c>
      <c r="C1582" s="9" t="n">
        <v>46327</v>
      </c>
      <c r="D1582" s="10" t="n">
        <v>0.96875</v>
      </c>
      <c r="E1582" s="36" t="n">
        <v>3</v>
      </c>
      <c r="F1582" s="36" t="n">
        <v>0</v>
      </c>
      <c r="G1582" s="36" t="n">
        <v>1</v>
      </c>
      <c r="H1582" s="36" t="n">
        <v>1</v>
      </c>
      <c r="I1582" s="36" t="n">
        <v>1</v>
      </c>
      <c r="J1582" s="36" t="n">
        <v>12</v>
      </c>
      <c r="K1582" s="12" t="n">
        <v>144</v>
      </c>
    </row>
    <row r="1583">
      <c r="A1583" s="33" t="n">
        <v>46324.76041666666</v>
      </c>
      <c r="B1583" s="33" t="n">
        <v>46324.77847222222</v>
      </c>
      <c r="C1583" s="13" t="n">
        <v>46324</v>
      </c>
      <c r="D1583" s="14" t="n">
        <v>0.84375</v>
      </c>
      <c r="E1583" s="37" t="n">
        <v>3</v>
      </c>
      <c r="F1583" s="37" t="n">
        <v>2</v>
      </c>
      <c r="G1583" s="37" t="n">
        <v>0</v>
      </c>
      <c r="H1583" s="37" t="n">
        <v>0</v>
      </c>
      <c r="I1583" s="37" t="n">
        <v>1</v>
      </c>
      <c r="J1583" s="37" t="n">
        <v>9</v>
      </c>
      <c r="K1583" s="16" t="n">
        <v>108</v>
      </c>
    </row>
    <row r="1584">
      <c r="A1584" s="30" t="n">
        <v>46324.76041666666</v>
      </c>
      <c r="B1584" s="30" t="n">
        <v>46324.77847222222</v>
      </c>
      <c r="C1584" s="9" t="n">
        <v>46325</v>
      </c>
      <c r="D1584" s="10" t="n">
        <v>0.84375</v>
      </c>
      <c r="E1584" s="36" t="n">
        <v>2</v>
      </c>
      <c r="F1584" s="36" t="n">
        <v>2</v>
      </c>
      <c r="G1584" s="36" t="n">
        <v>0</v>
      </c>
      <c r="H1584" s="36" t="n">
        <v>0</v>
      </c>
      <c r="I1584" s="36" t="n">
        <v>0</v>
      </c>
      <c r="J1584" s="36" t="n">
        <v>4</v>
      </c>
      <c r="K1584" s="12" t="n">
        <v>48</v>
      </c>
    </row>
    <row r="1585">
      <c r="A1585" s="33" t="n">
        <v>46324.76041666666</v>
      </c>
      <c r="B1585" s="33" t="n">
        <v>46324.77847222222</v>
      </c>
      <c r="C1585" s="13" t="n">
        <v>46327</v>
      </c>
      <c r="D1585" s="14" t="n">
        <v>0.96875</v>
      </c>
      <c r="E1585" s="37" t="n">
        <v>1</v>
      </c>
      <c r="F1585" s="37" t="n">
        <v>1</v>
      </c>
      <c r="G1585" s="37" t="n">
        <v>0</v>
      </c>
      <c r="H1585" s="37" t="n">
        <v>0</v>
      </c>
      <c r="I1585" s="37" t="n">
        <v>0</v>
      </c>
      <c r="J1585" s="37" t="n">
        <v>2</v>
      </c>
      <c r="K1585" s="16" t="n">
        <v>24</v>
      </c>
    </row>
    <row r="1586">
      <c r="A1586" s="30" t="n">
        <v>46324.76041666666</v>
      </c>
      <c r="B1586" s="30" t="n">
        <v>46324.77847222222</v>
      </c>
      <c r="C1586" s="9" t="n">
        <v>46327</v>
      </c>
      <c r="D1586" s="10" t="n">
        <v>0.9993055555555556</v>
      </c>
      <c r="E1586" s="36" t="n">
        <v>5</v>
      </c>
      <c r="F1586" s="36" t="n">
        <v>2</v>
      </c>
      <c r="G1586" s="36" t="n">
        <v>1</v>
      </c>
      <c r="H1586" s="36" t="n">
        <v>2</v>
      </c>
      <c r="I1586" s="36" t="n">
        <v>0</v>
      </c>
      <c r="J1586" s="36" t="n">
        <v>15</v>
      </c>
      <c r="K1586" s="12" t="n">
        <v>180</v>
      </c>
    </row>
    <row r="1587">
      <c r="A1587" s="33" t="n">
        <v>46324.77847222222</v>
      </c>
      <c r="B1587" s="33" t="n">
        <v>46324.78194444445</v>
      </c>
      <c r="C1587" s="13" t="n">
        <v>46325</v>
      </c>
      <c r="D1587" s="14" t="n">
        <v>0.84375</v>
      </c>
      <c r="E1587" s="37" t="n">
        <v>1</v>
      </c>
      <c r="F1587" s="37" t="n">
        <v>1</v>
      </c>
      <c r="G1587" s="37" t="n">
        <v>0</v>
      </c>
      <c r="H1587" s="37" t="n">
        <v>0</v>
      </c>
      <c r="I1587" s="37" t="n">
        <v>0</v>
      </c>
      <c r="J1587" s="37" t="n">
        <v>2</v>
      </c>
      <c r="K1587" s="16" t="n">
        <v>24</v>
      </c>
    </row>
    <row r="1588">
      <c r="A1588" s="30" t="n">
        <v>46324.77847222222</v>
      </c>
      <c r="B1588" s="30" t="n">
        <v>46324.78194444445</v>
      </c>
      <c r="C1588" s="9" t="n">
        <v>46326</v>
      </c>
      <c r="D1588" s="10" t="n">
        <v>0.8020833333333334</v>
      </c>
      <c r="E1588" s="36" t="n">
        <v>1</v>
      </c>
      <c r="F1588" s="36" t="n">
        <v>0</v>
      </c>
      <c r="G1588" s="36" t="n">
        <v>0</v>
      </c>
      <c r="H1588" s="36" t="n">
        <v>1</v>
      </c>
      <c r="I1588" s="36" t="n">
        <v>0</v>
      </c>
      <c r="J1588" s="36" t="n">
        <v>4</v>
      </c>
      <c r="K1588" s="12" t="n">
        <v>48</v>
      </c>
    </row>
    <row r="1589">
      <c r="A1589" s="33" t="n">
        <v>46324.77847222222</v>
      </c>
      <c r="B1589" s="33" t="n">
        <v>46324.78194444445</v>
      </c>
      <c r="C1589" s="13" t="n">
        <v>46327</v>
      </c>
      <c r="D1589" s="14" t="n">
        <v>0.8854166666666666</v>
      </c>
      <c r="E1589" s="37" t="n">
        <v>1</v>
      </c>
      <c r="F1589" s="37" t="n">
        <v>0</v>
      </c>
      <c r="G1589" s="37" t="n">
        <v>0</v>
      </c>
      <c r="H1589" s="37" t="n">
        <v>1</v>
      </c>
      <c r="I1589" s="37" t="n">
        <v>0</v>
      </c>
      <c r="J1589" s="37" t="n">
        <v>4</v>
      </c>
      <c r="K1589" s="16" t="n">
        <v>48</v>
      </c>
    </row>
    <row r="1590">
      <c r="A1590" s="30" t="n">
        <v>46324.78194444445</v>
      </c>
      <c r="B1590" s="30" t="n">
        <v>46324.81875</v>
      </c>
      <c r="C1590" s="9" t="n">
        <v>46325</v>
      </c>
      <c r="D1590" s="10" t="n">
        <v>0.84375</v>
      </c>
      <c r="E1590" s="36" t="n">
        <v>6</v>
      </c>
      <c r="F1590" s="36" t="n">
        <v>3</v>
      </c>
      <c r="G1590" s="36" t="n">
        <v>2</v>
      </c>
      <c r="H1590" s="36" t="n">
        <v>0</v>
      </c>
      <c r="I1590" s="36" t="n">
        <v>1</v>
      </c>
      <c r="J1590" s="36" t="n">
        <v>17</v>
      </c>
      <c r="K1590" s="12" t="n">
        <v>204</v>
      </c>
    </row>
    <row r="1591">
      <c r="A1591" s="33" t="n">
        <v>46324.78194444445</v>
      </c>
      <c r="B1591" s="33" t="n">
        <v>46324.81875</v>
      </c>
      <c r="C1591" s="13" t="n">
        <v>46326</v>
      </c>
      <c r="D1591" s="14" t="n">
        <v>0.8020833333333334</v>
      </c>
      <c r="E1591" s="37" t="n">
        <v>8</v>
      </c>
      <c r="F1591" s="37" t="n">
        <v>3</v>
      </c>
      <c r="G1591" s="37" t="n">
        <v>1</v>
      </c>
      <c r="H1591" s="37" t="n">
        <v>2</v>
      </c>
      <c r="I1591" s="37" t="n">
        <v>2</v>
      </c>
      <c r="J1591" s="37" t="n">
        <v>27</v>
      </c>
      <c r="K1591" s="16" t="n">
        <v>324</v>
      </c>
    </row>
    <row r="1592">
      <c r="A1592" s="30" t="n">
        <v>46324.78194444445</v>
      </c>
      <c r="B1592" s="30" t="n">
        <v>46324.81875</v>
      </c>
      <c r="C1592" s="9" t="n">
        <v>46327</v>
      </c>
      <c r="D1592" s="10" t="n">
        <v>0.8854166666666666</v>
      </c>
      <c r="E1592" s="36" t="n">
        <v>2</v>
      </c>
      <c r="F1592" s="36" t="n">
        <v>0</v>
      </c>
      <c r="G1592" s="36" t="n">
        <v>0</v>
      </c>
      <c r="H1592" s="36" t="n">
        <v>1</v>
      </c>
      <c r="I1592" s="36" t="n">
        <v>1</v>
      </c>
      <c r="J1592" s="36" t="n">
        <v>9</v>
      </c>
      <c r="K1592" s="12" t="n">
        <v>108</v>
      </c>
    </row>
    <row r="1593">
      <c r="A1593" s="33" t="n">
        <v>46324.78194444445</v>
      </c>
      <c r="B1593" s="33" t="n">
        <v>46324.81875</v>
      </c>
      <c r="C1593" s="13" t="n">
        <v>46327</v>
      </c>
      <c r="D1593" s="14" t="n">
        <v>0.9270833333333334</v>
      </c>
      <c r="E1593" s="37" t="n">
        <v>2</v>
      </c>
      <c r="F1593" s="37" t="n">
        <v>1</v>
      </c>
      <c r="G1593" s="37" t="n">
        <v>0</v>
      </c>
      <c r="H1593" s="37" t="n">
        <v>1</v>
      </c>
      <c r="I1593" s="37" t="n">
        <v>0</v>
      </c>
      <c r="J1593" s="37" t="n">
        <v>6</v>
      </c>
      <c r="K1593" s="16" t="n">
        <v>72</v>
      </c>
    </row>
    <row r="1594">
      <c r="A1594" s="30" t="n">
        <v>46324.78194444445</v>
      </c>
      <c r="B1594" s="30" t="n">
        <v>46324.81875</v>
      </c>
      <c r="C1594" s="9" t="n">
        <v>46327</v>
      </c>
      <c r="D1594" s="10" t="n">
        <v>0.9993055555555556</v>
      </c>
      <c r="E1594" s="36" t="n">
        <v>4</v>
      </c>
      <c r="F1594" s="36" t="n">
        <v>2</v>
      </c>
      <c r="G1594" s="36" t="n">
        <v>0</v>
      </c>
      <c r="H1594" s="36" t="n">
        <v>2</v>
      </c>
      <c r="I1594" s="36" t="n">
        <v>0</v>
      </c>
      <c r="J1594" s="36" t="n">
        <v>12</v>
      </c>
      <c r="K1594" s="12" t="n">
        <v>144</v>
      </c>
    </row>
    <row r="1595">
      <c r="A1595" s="33" t="n">
        <v>46324.82083333333</v>
      </c>
      <c r="B1595" s="33" t="n">
        <v>46324.85972222222</v>
      </c>
      <c r="C1595" s="13" t="n">
        <v>46325</v>
      </c>
      <c r="D1595" s="14" t="n">
        <v>0.84375</v>
      </c>
      <c r="E1595" s="37" t="n">
        <v>6</v>
      </c>
      <c r="F1595" s="37" t="n">
        <v>0</v>
      </c>
      <c r="G1595" s="37" t="n">
        <v>3</v>
      </c>
      <c r="H1595" s="37" t="n">
        <v>3</v>
      </c>
      <c r="I1595" s="37" t="n">
        <v>0</v>
      </c>
      <c r="J1595" s="37" t="n">
        <v>21</v>
      </c>
      <c r="K1595" s="16" t="n">
        <v>252</v>
      </c>
    </row>
    <row r="1596">
      <c r="A1596" s="30" t="n">
        <v>46324.82083333333</v>
      </c>
      <c r="B1596" s="30" t="n">
        <v>46324.85972222222</v>
      </c>
      <c r="C1596" s="9" t="n">
        <v>46326</v>
      </c>
      <c r="D1596" s="10" t="n">
        <v>0.8020833333333334</v>
      </c>
      <c r="E1596" s="36" t="n">
        <v>5</v>
      </c>
      <c r="F1596" s="36" t="n">
        <v>2</v>
      </c>
      <c r="G1596" s="36" t="n">
        <v>1</v>
      </c>
      <c r="H1596" s="36" t="n">
        <v>2</v>
      </c>
      <c r="I1596" s="36" t="n">
        <v>0</v>
      </c>
      <c r="J1596" s="36" t="n">
        <v>15</v>
      </c>
      <c r="K1596" s="12" t="n">
        <v>180</v>
      </c>
    </row>
    <row r="1597">
      <c r="A1597" s="33" t="n">
        <v>46324.82083333333</v>
      </c>
      <c r="B1597" s="33" t="n">
        <v>46324.85972222222</v>
      </c>
      <c r="C1597" s="13" t="n">
        <v>46327</v>
      </c>
      <c r="D1597" s="14" t="n">
        <v>0.84375</v>
      </c>
      <c r="E1597" s="37" t="n">
        <v>1</v>
      </c>
      <c r="F1597" s="37" t="n">
        <v>1</v>
      </c>
      <c r="G1597" s="37" t="n">
        <v>0</v>
      </c>
      <c r="H1597" s="37" t="n">
        <v>0</v>
      </c>
      <c r="I1597" s="37" t="n">
        <v>0</v>
      </c>
      <c r="J1597" s="37" t="n">
        <v>2</v>
      </c>
      <c r="K1597" s="16" t="n">
        <v>24</v>
      </c>
    </row>
    <row r="1598">
      <c r="A1598" s="30" t="n">
        <v>46324.82083333333</v>
      </c>
      <c r="B1598" s="30" t="n">
        <v>46324.85972222222</v>
      </c>
      <c r="C1598" s="9" t="n">
        <v>46327</v>
      </c>
      <c r="D1598" s="10" t="n">
        <v>0.8854166666666666</v>
      </c>
      <c r="E1598" s="36" t="n">
        <v>2</v>
      </c>
      <c r="F1598" s="36" t="n">
        <v>1</v>
      </c>
      <c r="G1598" s="36" t="n">
        <v>0</v>
      </c>
      <c r="H1598" s="36" t="n">
        <v>1</v>
      </c>
      <c r="I1598" s="36" t="n">
        <v>0</v>
      </c>
      <c r="J1598" s="36" t="n">
        <v>6</v>
      </c>
      <c r="K1598" s="12" t="n">
        <v>72</v>
      </c>
    </row>
    <row r="1599">
      <c r="A1599" s="33" t="n">
        <v>46324.82083333333</v>
      </c>
      <c r="B1599" s="33" t="n">
        <v>46324.85972222222</v>
      </c>
      <c r="C1599" s="13" t="n">
        <v>46327</v>
      </c>
      <c r="D1599" s="14" t="n">
        <v>0.9270833333333334</v>
      </c>
      <c r="E1599" s="37" t="n">
        <v>2</v>
      </c>
      <c r="F1599" s="37" t="n">
        <v>1</v>
      </c>
      <c r="G1599" s="37" t="n">
        <v>0</v>
      </c>
      <c r="H1599" s="37" t="n">
        <v>1</v>
      </c>
      <c r="I1599" s="37" t="n">
        <v>0</v>
      </c>
      <c r="J1599" s="37" t="n">
        <v>6</v>
      </c>
      <c r="K1599" s="16" t="n">
        <v>72</v>
      </c>
    </row>
    <row r="1600">
      <c r="A1600" s="30" t="n">
        <v>46324.82083333333</v>
      </c>
      <c r="B1600" s="30" t="n">
        <v>46324.85972222222</v>
      </c>
      <c r="C1600" s="9" t="n">
        <v>46327</v>
      </c>
      <c r="D1600" s="10" t="n">
        <v>0.96875</v>
      </c>
      <c r="E1600" s="36" t="n">
        <v>2</v>
      </c>
      <c r="F1600" s="36" t="n">
        <v>1</v>
      </c>
      <c r="G1600" s="36" t="n">
        <v>0</v>
      </c>
      <c r="H1600" s="36" t="n">
        <v>1</v>
      </c>
      <c r="I1600" s="36" t="n">
        <v>0</v>
      </c>
      <c r="J1600" s="36" t="n">
        <v>6</v>
      </c>
      <c r="K1600" s="12" t="n">
        <v>72</v>
      </c>
    </row>
    <row r="1601">
      <c r="A1601" s="33" t="n">
        <v>46324.82083333333</v>
      </c>
      <c r="B1601" s="33" t="n">
        <v>46324.85972222222</v>
      </c>
      <c r="C1601" s="13" t="n">
        <v>46327</v>
      </c>
      <c r="D1601" s="14" t="n">
        <v>0.9993055555555556</v>
      </c>
      <c r="E1601" s="37" t="n">
        <v>2</v>
      </c>
      <c r="F1601" s="37" t="n">
        <v>0</v>
      </c>
      <c r="G1601" s="37" t="n">
        <v>0</v>
      </c>
      <c r="H1601" s="37" t="n">
        <v>2</v>
      </c>
      <c r="I1601" s="37" t="n">
        <v>0</v>
      </c>
      <c r="J1601" s="37" t="n">
        <v>8</v>
      </c>
      <c r="K1601" s="16" t="n">
        <v>96</v>
      </c>
    </row>
  </sheetData>
  <autoFilter ref="A1:K160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51</v>
      </c>
      <c r="H4" s="11" t="n">
        <v>178</v>
      </c>
      <c r="I4" s="12" t="n">
        <v>2136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42</v>
      </c>
      <c r="H5" s="11" t="n">
        <v>136</v>
      </c>
      <c r="I5" s="12" t="n">
        <v>1632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5</v>
      </c>
      <c r="H6" s="11" t="n">
        <v>17</v>
      </c>
      <c r="I6" s="12" t="n">
        <v>204</v>
      </c>
      <c r="K6" s="38" t="inlineStr">
        <is>
          <t>Mercoledì</t>
        </is>
      </c>
      <c r="L6" s="11" t="n">
        <v>352</v>
      </c>
      <c r="M6" s="11" t="n">
        <v>1147</v>
      </c>
      <c r="N6" s="12" t="n">
        <v>13764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356</v>
      </c>
      <c r="M7" s="11" t="n">
        <v>1145</v>
      </c>
      <c r="N7" s="12" t="n">
        <v>13740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5</v>
      </c>
      <c r="H10" s="11" t="n">
        <v>16</v>
      </c>
      <c r="I10" s="12" t="n">
        <v>192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10</v>
      </c>
      <c r="H11" s="11" t="n">
        <v>35</v>
      </c>
      <c r="I11" s="12" t="n">
        <v>420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29</v>
      </c>
      <c r="H12" s="11" t="n">
        <v>83</v>
      </c>
      <c r="I12" s="12" t="n">
        <v>996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45</v>
      </c>
      <c r="H13" s="11" t="n">
        <v>135</v>
      </c>
      <c r="I13" s="12" t="n">
        <v>1620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73</v>
      </c>
      <c r="H14" s="11" t="n">
        <v>235</v>
      </c>
      <c r="I14" s="12" t="n">
        <v>2820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103</v>
      </c>
      <c r="H15" s="11" t="n">
        <v>329</v>
      </c>
      <c r="I15" s="12" t="n">
        <v>3948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107</v>
      </c>
      <c r="H16" s="11" t="n">
        <v>330</v>
      </c>
      <c r="I16" s="12" t="n">
        <v>3960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144</v>
      </c>
      <c r="H17" s="11" t="n">
        <v>450</v>
      </c>
      <c r="I17" s="12" t="n">
        <v>5400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193</v>
      </c>
      <c r="H18" s="11" t="n">
        <v>622</v>
      </c>
      <c r="I18" s="12" t="n">
        <v>7464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161</v>
      </c>
      <c r="H19" s="11" t="n">
        <v>524</v>
      </c>
      <c r="I19" s="12" t="n">
        <v>6288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175</v>
      </c>
      <c r="H20" s="11" t="n">
        <v>557</v>
      </c>
      <c r="I20" s="12" t="n">
        <v>6684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140</v>
      </c>
      <c r="H21" s="11" t="n">
        <v>427</v>
      </c>
      <c r="I21" s="12" t="n">
        <v>5124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224</v>
      </c>
      <c r="H22" s="11" t="n">
        <v>682</v>
      </c>
      <c r="I22" s="12" t="n">
        <v>8184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231</v>
      </c>
      <c r="H23" s="11" t="n">
        <v>713</v>
      </c>
      <c r="I23" s="12" t="n">
        <v>8556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145</v>
      </c>
      <c r="H24" s="11" t="n">
        <v>454</v>
      </c>
      <c r="I24" s="12" t="n">
        <v>5454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239</v>
      </c>
      <c r="H25" s="11" t="n">
        <v>763</v>
      </c>
      <c r="I25" s="12" t="n">
        <v>9165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191</v>
      </c>
      <c r="H26" s="11" t="n">
        <v>609</v>
      </c>
      <c r="I26" s="12" t="n">
        <v>7320</v>
      </c>
    </row>
    <row r="27">
      <c r="A27" s="9" t="n">
        <v>46323</v>
      </c>
      <c r="B27" s="11" t="n">
        <v>260</v>
      </c>
      <c r="C27" s="11" t="n">
        <v>882</v>
      </c>
      <c r="D27" s="12" t="n">
        <v>10584</v>
      </c>
      <c r="F27" s="38" t="inlineStr">
        <is>
          <t>23:00-00:00</t>
        </is>
      </c>
      <c r="G27" s="11" t="n">
        <v>119</v>
      </c>
      <c r="H27" s="11" t="n">
        <v>401</v>
      </c>
      <c r="I27" s="12" t="n">
        <v>4821</v>
      </c>
    </row>
    <row r="28">
      <c r="A28" s="9" t="n">
        <v>46324</v>
      </c>
      <c r="B28" s="11" t="n">
        <v>256</v>
      </c>
      <c r="C28" s="11" t="n">
        <v>840</v>
      </c>
      <c r="D28" s="12" t="n">
        <v>10080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2026-10-29T19:38:59Z</dcterms:created>
  <dcterms:modified xsi:type="dcterms:W3CDTF">2026-10-29T19:38:59Z</dcterms:modified>
</cp:coreProperties>
</file>