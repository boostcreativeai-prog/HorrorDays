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'Vendite'!$A$1:$R$131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'Storico'!$A$1:$G$683</definedName>
    <definedName name="_xlnm._FilterDatabase" localSheetId="8" hidden="1">'Registro vendite'!$A$1:$K$952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'Storico'!$H$2:$H$683</f>
            </numRef>
          </cat>
          <val>
            <numRef>
              <f>'Storico'!$C$2:$C$683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MAX(Storico!A2:A683)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816</v>
      </c>
      <c r="K58" s="12" t="n">
        <v>0</v>
      </c>
      <c r="L58" s="12" t="n">
        <v>741.88</v>
      </c>
      <c r="M58" s="12" t="n">
        <v>74.12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17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216</v>
      </c>
      <c r="K59" s="16" t="n">
        <v>0</v>
      </c>
      <c r="L59" s="16" t="n">
        <v>196.38</v>
      </c>
      <c r="M59" s="16" t="n">
        <v>19.62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6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2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288</v>
      </c>
      <c r="K61" s="16" t="n">
        <v>0</v>
      </c>
      <c r="L61" s="16" t="n">
        <v>261.84</v>
      </c>
      <c r="M61" s="16" t="n">
        <v>26.16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12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2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6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480</v>
      </c>
      <c r="K69" s="16" t="n">
        <v>0</v>
      </c>
      <c r="L69" s="16" t="n">
        <v>436.4</v>
      </c>
      <c r="M69" s="16" t="n">
        <v>43.6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10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 24€</t>
        </is>
      </c>
      <c r="F71" s="23">
        <f>IFERROR(INDEX(Tariffe!$B$2:$B$200,MATCH(E71,Tariffe!$A$2:$A$200,0)),"DA DEFINIRE")</f>
        <v/>
      </c>
      <c r="G71" s="16" t="n">
        <v>24</v>
      </c>
      <c r="H71" s="15">
        <f>Q71*R71</f>
        <v/>
      </c>
      <c r="I71" s="15" t="n">
        <v>0</v>
      </c>
      <c r="J71" s="16" t="n">
        <v>408</v>
      </c>
      <c r="K71" s="16" t="n">
        <v>0</v>
      </c>
      <c r="L71" s="16" t="n">
        <v>370.94</v>
      </c>
      <c r="M71" s="16" t="n">
        <v>37.06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17</v>
      </c>
      <c r="R71" s="15">
        <f>IFERROR(INDEX(Tariffe!$E$2:$E$200,MATCH(E71,Tariffe!$A$2:$A$200,0))*1,1)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 48€</t>
        </is>
      </c>
      <c r="F72" s="22">
        <f>IFERROR(INDEX(Tariffe!$B$2:$B$200,MATCH(E72,Tariffe!$A$2:$A$200,0)),"DA DEFINIRE")</f>
        <v/>
      </c>
      <c r="G72" s="12" t="n">
        <v>48</v>
      </c>
      <c r="H72" s="11">
        <f>Q72*R72</f>
        <v/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 36€</t>
        </is>
      </c>
      <c r="F73" s="23">
        <f>IFERROR(INDEX(Tariffe!$B$2:$B$200,MATCH(E73,Tariffe!$A$2:$A$200,0)),"DA DEFINIRE")</f>
        <v/>
      </c>
      <c r="G73" s="16" t="n">
        <v>36</v>
      </c>
      <c r="H73" s="15">
        <f>Q73*R73</f>
        <v/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 60€</t>
        </is>
      </c>
      <c r="F74" s="22">
        <f>IFERROR(INDEX(Tariffe!$B$2:$B$200,MATCH(E74,Tariffe!$A$2:$A$200,0)),"DA DEFINIRE")</f>
        <v/>
      </c>
      <c r="G74" s="12" t="n">
        <v>60</v>
      </c>
      <c r="H74" s="11">
        <f>Q74*R74</f>
        <v/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4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 24€</t>
        </is>
      </c>
      <c r="F75" s="23">
        <f>IFERROR(INDEX(Tariffe!$B$2:$B$200,MATCH(E75,Tariffe!$A$2:$A$200,0)),"DA DEFINIRE")</f>
        <v/>
      </c>
      <c r="G75" s="16" t="n">
        <v>24</v>
      </c>
      <c r="H75" s="15">
        <f>Q75*R75</f>
        <v/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 48€</t>
        </is>
      </c>
      <c r="F76" s="22">
        <f>IFERROR(INDEX(Tariffe!$B$2:$B$200,MATCH(E76,Tariffe!$A$2:$A$200,0)),"DA DEFINIRE")</f>
        <v/>
      </c>
      <c r="G76" s="12" t="n">
        <v>48</v>
      </c>
      <c r="H76" s="11">
        <f>Q76*R76</f>
        <v/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3</v>
      </c>
      <c r="R77" s="15">
        <f>IFERROR(INDEX(Tariffe!$E$2:$E$200,MATCH(E77,Tariffe!$A$2:$A$200,0))*1,1)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I5 60€</t>
        </is>
      </c>
      <c r="F81" s="23">
        <f>IFERROR(INDEX(Tariffe!$B$2:$B$200,MATCH(E81,Tariffe!$A$2:$A$200,0)),"DA DEFINIRE")</f>
        <v/>
      </c>
      <c r="G81" s="16" t="n">
        <v>60</v>
      </c>
      <c r="H81" s="15">
        <f>Q81*R81</f>
        <v/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1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8</v>
      </c>
      <c r="R82" s="11">
        <f>IFERROR(INDEX(Tariffe!$E$2:$E$200,MATCH(E82,Tariffe!$A$2:$A$200,0))*1,1)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576</v>
      </c>
      <c r="K83" s="16" t="n">
        <v>0</v>
      </c>
      <c r="L83" s="16" t="n">
        <v>523.6799999999999</v>
      </c>
      <c r="M83" s="16" t="n">
        <v>52.32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12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72</v>
      </c>
      <c r="K84" s="12" t="n">
        <v>0</v>
      </c>
      <c r="L84" s="12" t="n">
        <v>65.45999999999999</v>
      </c>
      <c r="M84" s="12" t="n">
        <v>6.54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180</v>
      </c>
      <c r="K85" s="16" t="n">
        <v>0</v>
      </c>
      <c r="L85" s="16" t="n">
        <v>163.65</v>
      </c>
      <c r="M85" s="16" t="n">
        <v>16.35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3</v>
      </c>
      <c r="J86" s="12" t="n">
        <v>312</v>
      </c>
      <c r="K86" s="12" t="n">
        <v>0</v>
      </c>
      <c r="L86" s="12" t="n">
        <v>283.66</v>
      </c>
      <c r="M86" s="12" t="n">
        <v>28.34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13</v>
      </c>
      <c r="R86" s="11">
        <f>IFERROR(INDEX(Tariffe!$E$2:$E$200,MATCH(E86,Tariffe!$A$2:$A$200,0))*1,1)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240</v>
      </c>
      <c r="K87" s="16" t="n">
        <v>0</v>
      </c>
      <c r="L87" s="16" t="n">
        <v>218.2</v>
      </c>
      <c r="M87" s="16" t="n">
        <v>21.8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8</v>
      </c>
      <c r="R90" s="11">
        <f>IFERROR(INDEX(Tariffe!$E$2:$E$200,MATCH(E90,Tariffe!$A$2:$A$200,0))*1,1)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48</v>
      </c>
      <c r="K91" s="16" t="n">
        <v>0</v>
      </c>
      <c r="L91" s="16" t="n">
        <v>43.64</v>
      </c>
      <c r="M91" s="16" t="n">
        <v>4.36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0</v>
      </c>
      <c r="J93" s="16" t="n">
        <v>192</v>
      </c>
      <c r="K93" s="16" t="n">
        <v>0</v>
      </c>
      <c r="L93" s="16" t="n">
        <v>174.56</v>
      </c>
      <c r="M93" s="16" t="n">
        <v>17.44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8</v>
      </c>
      <c r="R93" s="15">
        <f>IFERROR(INDEX(Tariffe!$E$2:$E$200,MATCH(E93,Tariffe!$A$2:$A$200,0))*1,1)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5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2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2</v>
      </c>
      <c r="J96" s="12" t="n">
        <v>180</v>
      </c>
      <c r="K96" s="12" t="n">
        <v>0</v>
      </c>
      <c r="L96" s="12" t="n">
        <v>163.65</v>
      </c>
      <c r="M96" s="12" t="n">
        <v>16.35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72</v>
      </c>
      <c r="K97" s="16" t="n">
        <v>0</v>
      </c>
      <c r="L97" s="16" t="n">
        <v>65.45999999999999</v>
      </c>
      <c r="M97" s="16" t="n">
        <v>6.54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624</v>
      </c>
      <c r="K98" s="12" t="n">
        <v>0</v>
      </c>
      <c r="L98" s="12" t="n">
        <v>567.3200000000001</v>
      </c>
      <c r="M98" s="12" t="n">
        <v>56.68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13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144</v>
      </c>
      <c r="K99" s="16" t="n">
        <v>0</v>
      </c>
      <c r="L99" s="16" t="n">
        <v>130.92</v>
      </c>
      <c r="M99" s="16" t="n">
        <v>13.08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120</v>
      </c>
      <c r="K100" s="12" t="n">
        <v>0</v>
      </c>
      <c r="L100" s="12" t="n">
        <v>109.1</v>
      </c>
      <c r="M100" s="12" t="n">
        <v>10.9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216</v>
      </c>
      <c r="K101" s="16" t="n">
        <v>0</v>
      </c>
      <c r="L101" s="16" t="n">
        <v>196.38</v>
      </c>
      <c r="M101" s="16" t="n">
        <v>19.62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9</v>
      </c>
      <c r="R101" s="15">
        <f>IFERROR(INDEX(Tariffe!$E$2:$E$200,MATCH(E101,Tariffe!$A$2:$A$200,0))*1,1)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3</v>
      </c>
      <c r="J102" s="12" t="n">
        <v>672</v>
      </c>
      <c r="K102" s="12" t="n">
        <v>0</v>
      </c>
      <c r="L102" s="12" t="n">
        <v>610.96</v>
      </c>
      <c r="M102" s="12" t="n">
        <v>61.04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14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108</v>
      </c>
      <c r="K103" s="16" t="n">
        <v>0</v>
      </c>
      <c r="L103" s="16" t="n">
        <v>98.19</v>
      </c>
      <c r="M103" s="16" t="n">
        <v>9.81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768</v>
      </c>
      <c r="K105" s="16" t="n">
        <v>0</v>
      </c>
      <c r="L105" s="16" t="n">
        <v>698.24</v>
      </c>
      <c r="M105" s="16" t="n">
        <v>69.76000000000001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32</v>
      </c>
      <c r="R105" s="15">
        <f>IFERROR(INDEX(Tariffe!$E$2:$E$200,MATCH(E105,Tariffe!$A$2:$A$200,0))*1,1)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0</v>
      </c>
      <c r="J106" s="12" t="n">
        <v>1200</v>
      </c>
      <c r="K106" s="12" t="n">
        <v>0</v>
      </c>
      <c r="L106" s="12" t="n">
        <v>1091</v>
      </c>
      <c r="M106" s="12" t="n">
        <v>109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25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108</v>
      </c>
      <c r="K107" s="16" t="n">
        <v>0</v>
      </c>
      <c r="L107" s="16" t="n">
        <v>98.19</v>
      </c>
      <c r="M107" s="16" t="n">
        <v>9.81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0</v>
      </c>
      <c r="J108" s="12" t="n">
        <v>180</v>
      </c>
      <c r="K108" s="12" t="n">
        <v>0</v>
      </c>
      <c r="L108" s="12" t="n">
        <v>163.65</v>
      </c>
      <c r="M108" s="12" t="n">
        <v>16.35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456</v>
      </c>
      <c r="K109" s="16" t="n">
        <v>0</v>
      </c>
      <c r="L109" s="16" t="n">
        <v>414.58</v>
      </c>
      <c r="M109" s="16" t="n">
        <v>41.42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19</v>
      </c>
      <c r="R109" s="15">
        <f>IFERROR(INDEX(Tariffe!$E$2:$E$200,MATCH(E109,Tariffe!$A$2:$A$200,0))*1,1)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816</v>
      </c>
      <c r="K110" s="12" t="n">
        <v>0</v>
      </c>
      <c r="L110" s="12" t="n">
        <v>741.88</v>
      </c>
      <c r="M110" s="12" t="n">
        <v>74.12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17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120</v>
      </c>
      <c r="K112" s="12" t="n">
        <v>0</v>
      </c>
      <c r="L112" s="12" t="n">
        <v>109.1</v>
      </c>
      <c r="M112" s="12" t="n">
        <v>10.9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336</v>
      </c>
      <c r="K113" s="16" t="n">
        <v>0</v>
      </c>
      <c r="L113" s="16" t="n">
        <v>305.48</v>
      </c>
      <c r="M113" s="16" t="n">
        <v>30.52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14</v>
      </c>
      <c r="R113" s="15">
        <f>IFERROR(INDEX(Tariffe!$E$2:$E$200,MATCH(E113,Tariffe!$A$2:$A$200,0))*1,1)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1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2</v>
      </c>
      <c r="R116" s="11">
        <f>IFERROR(INDEX(Tariffe!$E$2:$E$200,MATCH(E116,Tariffe!$A$2:$A$200,0))*1,1)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192</v>
      </c>
      <c r="K117" s="16" t="n">
        <v>0</v>
      </c>
      <c r="L117" s="16" t="n">
        <v>174.56</v>
      </c>
      <c r="M117" s="16" t="n">
        <v>17.44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144</v>
      </c>
      <c r="K118" s="12" t="n">
        <v>0</v>
      </c>
      <c r="L118" s="12" t="n">
        <v>130.92</v>
      </c>
      <c r="M118" s="12" t="n">
        <v>13.08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192</v>
      </c>
      <c r="K119" s="16" t="n">
        <v>0</v>
      </c>
      <c r="L119" s="16" t="n">
        <v>174.56</v>
      </c>
      <c r="M119" s="16" t="n">
        <v>17.44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8</v>
      </c>
      <c r="R119" s="15">
        <f>IFERROR(INDEX(Tariffe!$E$2:$E$200,MATCH(E119,Tariffe!$A$2:$A$200,0))*1,1)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144</v>
      </c>
      <c r="K120" s="12" t="n">
        <v>0</v>
      </c>
      <c r="L120" s="12" t="n">
        <v>130.92</v>
      </c>
      <c r="M120" s="12" t="n">
        <v>13.08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3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108</v>
      </c>
      <c r="K121" s="16" t="n">
        <v>0</v>
      </c>
      <c r="L121" s="16" t="n">
        <v>98.19</v>
      </c>
      <c r="M121" s="16" t="n">
        <v>9.81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144</v>
      </c>
      <c r="K123" s="16" t="n">
        <v>0</v>
      </c>
      <c r="L123" s="16" t="n">
        <v>130.92</v>
      </c>
      <c r="M123" s="16" t="n">
        <v>13.08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6</v>
      </c>
      <c r="R123" s="15">
        <f>IFERROR(INDEX(Tariffe!$E$2:$E$200,MATCH(E123,Tariffe!$A$2:$A$200,0))*1,1)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72</v>
      </c>
      <c r="K124" s="12" t="n">
        <v>0</v>
      </c>
      <c r="L124" s="12" t="n">
        <v>65.45999999999999</v>
      </c>
      <c r="M124" s="12" t="n">
        <v>6.54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48</v>
      </c>
      <c r="K125" s="16" t="n">
        <v>0</v>
      </c>
      <c r="L125" s="16" t="n">
        <v>43.64</v>
      </c>
      <c r="M125" s="16" t="n">
        <v>4.36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24</v>
      </c>
      <c r="K127" s="16" t="n">
        <v>0</v>
      </c>
      <c r="L127" s="16" t="n">
        <v>21.82</v>
      </c>
      <c r="M127" s="16" t="n">
        <v>2.18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20261102_2015</t>
        </is>
      </c>
      <c r="B128" s="9" t="n">
        <v>46328</v>
      </c>
      <c r="C128" s="10" t="n">
        <v>0.84375</v>
      </c>
      <c r="D128" s="22" t="inlineStr">
        <is>
          <t>UN Unico</t>
        </is>
      </c>
      <c r="E128" s="22" t="inlineStr">
        <is>
          <t>I1 15€</t>
        </is>
      </c>
      <c r="F128" s="22">
        <f>IFERROR(INDEX(Tariffe!$B$2:$B$200,MATCH(E128,Tariffe!$A$2:$A$200,0)),"DA DEFINIRE")</f>
        <v/>
      </c>
      <c r="G128" s="12" t="n">
        <v>15</v>
      </c>
      <c r="H128" s="11">
        <f>Q128*R128</f>
        <v/>
      </c>
      <c r="I128" s="11" t="n">
        <v>0</v>
      </c>
      <c r="J128" s="12" t="n">
        <v>30</v>
      </c>
      <c r="K128" s="12" t="n">
        <v>0</v>
      </c>
      <c r="L128" s="12" t="n">
        <v>27.28</v>
      </c>
      <c r="M128" s="12" t="n">
        <v>2.72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20261102_2215</t>
        </is>
      </c>
      <c r="B129" s="13" t="n">
        <v>46328</v>
      </c>
      <c r="C129" s="14" t="n">
        <v>0.9270833333333334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3</v>
      </c>
      <c r="R129" s="15">
        <f>IFERROR(INDEX(Tariffe!$E$2:$E$200,MATCH(E129,Tariffe!$A$2:$A$200,0))*1,1)</f>
        <v/>
      </c>
    </row>
    <row r="130">
      <c r="A130" s="22" t="inlineStr">
        <is>
          <t>20261102_2315</t>
        </is>
      </c>
      <c r="B130" s="9" t="n">
        <v>46328</v>
      </c>
      <c r="C130" s="10" t="n">
        <v>0.96875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45</v>
      </c>
      <c r="K130" s="12" t="n">
        <v>0</v>
      </c>
      <c r="L130" s="12" t="n">
        <v>40.92</v>
      </c>
      <c r="M130" s="12" t="n">
        <v>4.08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3</v>
      </c>
      <c r="R130" s="11">
        <f>IFERROR(INDEX(Tariffe!$E$2:$E$200,MATCH(E130,Tariffe!$A$2:$A$200,0))*1,1)</f>
        <v/>
      </c>
    </row>
    <row r="131">
      <c r="A131" s="23" t="inlineStr">
        <is>
          <t>20261102_2359</t>
        </is>
      </c>
      <c r="B131" s="13" t="n">
        <v>46328</v>
      </c>
      <c r="C131" s="14" t="n">
        <v>0.9993055555555556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15</v>
      </c>
      <c r="K131" s="16" t="n">
        <v>0</v>
      </c>
      <c r="L131" s="16" t="n">
        <v>13.64</v>
      </c>
      <c r="M131" s="16" t="n">
        <v>1.36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</sheetData>
  <autoFilter ref="A1:R13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</sheetData>
  <autoFilter ref="A1:G68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</sheetData>
  <autoFilter ref="A1:K9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366</v>
      </c>
      <c r="M10" s="11" t="n">
        <v>1144</v>
      </c>
      <c r="N10" s="12" t="n">
        <v>13728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107</v>
      </c>
      <c r="H23" s="11" t="n">
        <v>325</v>
      </c>
      <c r="I23" s="12" t="n">
        <v>3900</v>
      </c>
    </row>
    <row r="24">
      <c r="A24" s="9" t="n">
        <v>46320</v>
      </c>
      <c r="B24" s="11" t="n">
        <v>289</v>
      </c>
      <c r="C24" s="11" t="n">
        <v>895</v>
      </c>
      <c r="D24" s="12" t="n">
        <v>10740</v>
      </c>
      <c r="F24" s="38" t="inlineStr">
        <is>
          <t>20:00-21:00</t>
        </is>
      </c>
      <c r="G24" s="11" t="n">
        <v>69</v>
      </c>
      <c r="H24" s="11" t="n">
        <v>197</v>
      </c>
      <c r="I24" s="12" t="n">
        <v>2370</v>
      </c>
    </row>
    <row r="25">
      <c r="F25" s="38" t="inlineStr">
        <is>
          <t>21:00-22:00</t>
        </is>
      </c>
      <c r="G25" s="11" t="n">
        <v>90</v>
      </c>
      <c r="H25" s="11" t="n">
        <v>268</v>
      </c>
      <c r="I25" s="12" t="n">
        <v>3222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2026-10-25T18:24:38Z</dcterms:created>
  <dcterms:modified xsi:type="dcterms:W3CDTF">2026-10-25T18:24:39Z</dcterms:modified>
</cp:coreProperties>
</file>