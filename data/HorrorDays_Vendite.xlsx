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'Vendite'!$A$1:$P$76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'Storico'!$A$1:$G$265</definedName>
    <definedName name="_xlnm._FilterDatabase" localSheetId="8" hidden="1">'Registro vendite'!$A$1:$K$191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'Storico'!$H$2:$H$265</f>
            </numRef>
          </cat>
          <val>
            <numRef>
              <f>'Storico'!$C$2:$C$265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vendite'!$A$4:$A$11</f>
            </numRef>
          </cat>
          <val>
            <numRef>
              <f>'Picchi vendite'!$B$4:$B$11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MAX(Storico!A2:A265)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I8</t>
        </is>
      </c>
      <c r="F2" s="22">
        <f>IFERROR(INDEX(Tariffe!$B$2:$B$200,MATCH(E2,Tariffe!$A$2:$A$200,0)),"DA DEFINIRE")</f>
        <v/>
      </c>
      <c r="G2" s="12" t="n">
        <v>24</v>
      </c>
      <c r="H2" s="11" t="n">
        <v>5</v>
      </c>
      <c r="I2" s="11" t="n">
        <v>0</v>
      </c>
      <c r="J2" s="12" t="n">
        <v>120</v>
      </c>
      <c r="K2" s="12" t="n">
        <v>0</v>
      </c>
      <c r="L2" s="12" t="n">
        <v>109.1</v>
      </c>
      <c r="M2" s="12" t="n">
        <v>10.9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20261023_2115</t>
        </is>
      </c>
      <c r="B3" s="13" t="n">
        <v>46318</v>
      </c>
      <c r="C3" s="14" t="n">
        <v>0.8854166666666666</v>
      </c>
      <c r="D3" s="23" t="inlineStr">
        <is>
          <t>UN Unico</t>
        </is>
      </c>
      <c r="E3" s="23" t="inlineStr">
        <is>
          <t>I1</t>
        </is>
      </c>
      <c r="F3" s="23">
        <f>IFERROR(INDEX(Tariffe!$B$2:$B$200,MATCH(E3,Tariffe!$A$2:$A$200,0)),"DA DEFINIRE")</f>
        <v/>
      </c>
      <c r="G3" s="16" t="n">
        <v>48</v>
      </c>
      <c r="H3" s="15" t="n">
        <v>5</v>
      </c>
      <c r="I3" s="15" t="n">
        <v>1</v>
      </c>
      <c r="J3" s="16" t="n">
        <v>240</v>
      </c>
      <c r="K3" s="16" t="n">
        <v>0</v>
      </c>
      <c r="L3" s="16" t="n">
        <v>218.2</v>
      </c>
      <c r="M3" s="16" t="n">
        <v>21.8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20261023_2115</t>
        </is>
      </c>
      <c r="B4" s="9" t="n">
        <v>46318</v>
      </c>
      <c r="C4" s="10" t="n">
        <v>0.8854166666666666</v>
      </c>
      <c r="D4" s="22" t="inlineStr">
        <is>
          <t>UN Unico</t>
        </is>
      </c>
      <c r="E4" s="22" t="inlineStr">
        <is>
          <t>I2</t>
        </is>
      </c>
      <c r="F4" s="22">
        <f>IFERROR(INDEX(Tariffe!$B$2:$B$200,MATCH(E4,Tariffe!$A$2:$A$200,0)),"DA DEFINIRE")</f>
        <v/>
      </c>
      <c r="G4" s="12" t="n">
        <v>36</v>
      </c>
      <c r="H4" s="11" t="n">
        <v>1</v>
      </c>
      <c r="I4" s="11" t="n">
        <v>0</v>
      </c>
      <c r="J4" s="12" t="n">
        <v>36</v>
      </c>
      <c r="K4" s="12" t="n">
        <v>0</v>
      </c>
      <c r="L4" s="12" t="n">
        <v>32.73</v>
      </c>
      <c r="M4" s="12" t="n">
        <v>3.27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I5</t>
        </is>
      </c>
      <c r="F5" s="23">
        <f>IFERROR(INDEX(Tariffe!$B$2:$B$200,MATCH(E5,Tariffe!$A$2:$A$200,0)),"DA DEFINIRE")</f>
        <v/>
      </c>
      <c r="G5" s="16" t="n">
        <v>60</v>
      </c>
      <c r="H5" s="15" t="n">
        <v>1</v>
      </c>
      <c r="I5" s="15" t="n">
        <v>0</v>
      </c>
      <c r="J5" s="16" t="n">
        <v>60</v>
      </c>
      <c r="K5" s="16" t="n">
        <v>0</v>
      </c>
      <c r="L5" s="16" t="n">
        <v>54.55</v>
      </c>
      <c r="M5" s="16" t="n">
        <v>5.45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I8</t>
        </is>
      </c>
      <c r="F6" s="22">
        <f>IFERROR(INDEX(Tariffe!$B$2:$B$200,MATCH(E6,Tariffe!$A$2:$A$200,0)),"DA DEFINIRE")</f>
        <v/>
      </c>
      <c r="G6" s="12" t="n">
        <v>24</v>
      </c>
      <c r="H6" s="11" t="n">
        <v>10</v>
      </c>
      <c r="I6" s="11" t="n">
        <v>0</v>
      </c>
      <c r="J6" s="12" t="n">
        <v>240</v>
      </c>
      <c r="K6" s="12" t="n">
        <v>0</v>
      </c>
      <c r="L6" s="12" t="n">
        <v>218.2</v>
      </c>
      <c r="M6" s="12" t="n">
        <v>21.8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20261023_2215</t>
        </is>
      </c>
      <c r="B7" s="13" t="n">
        <v>46318</v>
      </c>
      <c r="C7" s="14" t="n">
        <v>0.9270833333333334</v>
      </c>
      <c r="D7" s="23" t="inlineStr">
        <is>
          <t>UN Unico</t>
        </is>
      </c>
      <c r="E7" s="23" t="inlineStr">
        <is>
          <t>I1</t>
        </is>
      </c>
      <c r="F7" s="23">
        <f>IFERROR(INDEX(Tariffe!$B$2:$B$200,MATCH(E7,Tariffe!$A$2:$A$200,0)),"DA DEFINIRE")</f>
        <v/>
      </c>
      <c r="G7" s="16" t="n">
        <v>48</v>
      </c>
      <c r="H7" s="15" t="n">
        <v>9</v>
      </c>
      <c r="I7" s="15" t="n">
        <v>0</v>
      </c>
      <c r="J7" s="16" t="n">
        <v>432</v>
      </c>
      <c r="K7" s="16" t="n">
        <v>0</v>
      </c>
      <c r="L7" s="16" t="n">
        <v>392.76</v>
      </c>
      <c r="M7" s="16" t="n">
        <v>39.24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20261023_2215</t>
        </is>
      </c>
      <c r="B8" s="9" t="n">
        <v>46318</v>
      </c>
      <c r="C8" s="10" t="n">
        <v>0.9270833333333334</v>
      </c>
      <c r="D8" s="22" t="inlineStr">
        <is>
          <t>UN Unico</t>
        </is>
      </c>
      <c r="E8" s="22" t="inlineStr">
        <is>
          <t>I2</t>
        </is>
      </c>
      <c r="F8" s="22">
        <f>IFERROR(INDEX(Tariffe!$B$2:$B$200,MATCH(E8,Tariffe!$A$2:$A$200,0)),"DA DEFINIRE")</f>
        <v/>
      </c>
      <c r="G8" s="12" t="n">
        <v>36</v>
      </c>
      <c r="H8" s="11" t="n">
        <v>2</v>
      </c>
      <c r="I8" s="11" t="n">
        <v>0</v>
      </c>
      <c r="J8" s="12" t="n">
        <v>72</v>
      </c>
      <c r="K8" s="12" t="n">
        <v>0</v>
      </c>
      <c r="L8" s="12" t="n">
        <v>65.45999999999999</v>
      </c>
      <c r="M8" s="12" t="n">
        <v>6.54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20261023_2215</t>
        </is>
      </c>
      <c r="B9" s="13" t="n">
        <v>46318</v>
      </c>
      <c r="C9" s="14" t="n">
        <v>0.9270833333333334</v>
      </c>
      <c r="D9" s="23" t="inlineStr">
        <is>
          <t>UN Unico</t>
        </is>
      </c>
      <c r="E9" s="23" t="inlineStr">
        <is>
          <t>I5</t>
        </is>
      </c>
      <c r="F9" s="23">
        <f>IFERROR(INDEX(Tariffe!$B$2:$B$200,MATCH(E9,Tariffe!$A$2:$A$200,0)),"DA DEFINIRE")</f>
        <v/>
      </c>
      <c r="G9" s="16" t="n">
        <v>60</v>
      </c>
      <c r="H9" s="15" t="n">
        <v>1</v>
      </c>
      <c r="I9" s="15" t="n">
        <v>0</v>
      </c>
      <c r="J9" s="16" t="n">
        <v>60</v>
      </c>
      <c r="K9" s="16" t="n">
        <v>0</v>
      </c>
      <c r="L9" s="16" t="n">
        <v>54.55</v>
      </c>
      <c r="M9" s="16" t="n">
        <v>5.45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I8</t>
        </is>
      </c>
      <c r="F10" s="22">
        <f>IFERROR(INDEX(Tariffe!$B$2:$B$200,MATCH(E10,Tariffe!$A$2:$A$200,0)),"DA DEFINIRE")</f>
        <v/>
      </c>
      <c r="G10" s="12" t="n">
        <v>24</v>
      </c>
      <c r="H10" s="11" t="n">
        <v>7</v>
      </c>
      <c r="I10" s="11" t="n">
        <v>0</v>
      </c>
      <c r="J10" s="12" t="n">
        <v>168</v>
      </c>
      <c r="K10" s="12" t="n">
        <v>0</v>
      </c>
      <c r="L10" s="12" t="n">
        <v>152.74</v>
      </c>
      <c r="M10" s="12" t="n">
        <v>15.26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20261023_2315</t>
        </is>
      </c>
      <c r="B11" s="13" t="n">
        <v>46318</v>
      </c>
      <c r="C11" s="14" t="n">
        <v>0.96875</v>
      </c>
      <c r="D11" s="23" t="inlineStr">
        <is>
          <t>UN Unico</t>
        </is>
      </c>
      <c r="E11" s="23" t="inlineStr">
        <is>
          <t>I1</t>
        </is>
      </c>
      <c r="F11" s="23">
        <f>IFERROR(INDEX(Tariffe!$B$2:$B$200,MATCH(E11,Tariffe!$A$2:$A$200,0)),"DA DEFINIRE")</f>
        <v/>
      </c>
      <c r="G11" s="16" t="n">
        <v>48</v>
      </c>
      <c r="H11" s="15" t="n">
        <v>4</v>
      </c>
      <c r="I11" s="15" t="n">
        <v>1</v>
      </c>
      <c r="J11" s="16" t="n">
        <v>192</v>
      </c>
      <c r="K11" s="16" t="n">
        <v>0</v>
      </c>
      <c r="L11" s="16" t="n">
        <v>174.56</v>
      </c>
      <c r="M11" s="16" t="n">
        <v>17.44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20261023_2315</t>
        </is>
      </c>
      <c r="B12" s="9" t="n">
        <v>46318</v>
      </c>
      <c r="C12" s="10" t="n">
        <v>0.96875</v>
      </c>
      <c r="D12" s="22" t="inlineStr">
        <is>
          <t>UN Unico</t>
        </is>
      </c>
      <c r="E12" s="22" t="inlineStr">
        <is>
          <t>I2</t>
        </is>
      </c>
      <c r="F12" s="22">
        <f>IFERROR(INDEX(Tariffe!$B$2:$B$200,MATCH(E12,Tariffe!$A$2:$A$200,0)),"DA DEFINIRE")</f>
        <v/>
      </c>
      <c r="G12" s="12" t="n">
        <v>36</v>
      </c>
      <c r="H12" s="11" t="n">
        <v>3</v>
      </c>
      <c r="I12" s="11" t="n">
        <v>0</v>
      </c>
      <c r="J12" s="12" t="n">
        <v>108</v>
      </c>
      <c r="K12" s="12" t="n">
        <v>0</v>
      </c>
      <c r="L12" s="12" t="n">
        <v>98.19</v>
      </c>
      <c r="M12" s="12" t="n">
        <v>9.81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20261023_2315</t>
        </is>
      </c>
      <c r="B13" s="13" t="n">
        <v>46318</v>
      </c>
      <c r="C13" s="14" t="n">
        <v>0.96875</v>
      </c>
      <c r="D13" s="23" t="inlineStr">
        <is>
          <t>UN Unico</t>
        </is>
      </c>
      <c r="E13" s="23" t="inlineStr">
        <is>
          <t>I5</t>
        </is>
      </c>
      <c r="F13" s="23">
        <f>IFERROR(INDEX(Tariffe!$B$2:$B$200,MATCH(E13,Tariffe!$A$2:$A$200,0)),"DA DEFINIRE")</f>
        <v/>
      </c>
      <c r="G13" s="16" t="n">
        <v>60</v>
      </c>
      <c r="H13" s="15" t="n">
        <v>1</v>
      </c>
      <c r="I13" s="15" t="n">
        <v>0</v>
      </c>
      <c r="J13" s="16" t="n">
        <v>60</v>
      </c>
      <c r="K13" s="16" t="n">
        <v>0</v>
      </c>
      <c r="L13" s="16" t="n">
        <v>54.55</v>
      </c>
      <c r="M13" s="16" t="n">
        <v>5.45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I8</t>
        </is>
      </c>
      <c r="F14" s="22">
        <f>IFERROR(INDEX(Tariffe!$B$2:$B$200,MATCH(E14,Tariffe!$A$2:$A$200,0)),"DA DEFINIRE")</f>
        <v/>
      </c>
      <c r="G14" s="12" t="n">
        <v>24</v>
      </c>
      <c r="H14" s="11" t="n">
        <v>9</v>
      </c>
      <c r="I14" s="11" t="n">
        <v>0</v>
      </c>
      <c r="J14" s="12" t="n">
        <v>216</v>
      </c>
      <c r="K14" s="12" t="n">
        <v>0</v>
      </c>
      <c r="L14" s="12" t="n">
        <v>196.38</v>
      </c>
      <c r="M14" s="12" t="n">
        <v>19.62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20261023_2358</t>
        </is>
      </c>
      <c r="B15" s="13" t="n">
        <v>46318</v>
      </c>
      <c r="C15" s="14" t="n">
        <v>0.9986111111111111</v>
      </c>
      <c r="D15" s="23" t="inlineStr">
        <is>
          <t>UN Unico</t>
        </is>
      </c>
      <c r="E15" s="23" t="inlineStr">
        <is>
          <t>I1</t>
        </is>
      </c>
      <c r="F15" s="23">
        <f>IFERROR(INDEX(Tariffe!$B$2:$B$200,MATCH(E15,Tariffe!$A$2:$A$200,0)),"DA DEFINIRE")</f>
        <v/>
      </c>
      <c r="G15" s="16" t="n">
        <v>48</v>
      </c>
      <c r="H15" s="15" t="n">
        <v>2</v>
      </c>
      <c r="I15" s="15" t="n">
        <v>0</v>
      </c>
      <c r="J15" s="16" t="n">
        <v>96</v>
      </c>
      <c r="K15" s="16" t="n">
        <v>0</v>
      </c>
      <c r="L15" s="16" t="n">
        <v>87.28</v>
      </c>
      <c r="M15" s="16" t="n">
        <v>8.720000000000001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20261023_2358</t>
        </is>
      </c>
      <c r="B16" s="9" t="n">
        <v>46318</v>
      </c>
      <c r="C16" s="10" t="n">
        <v>0.9986111111111111</v>
      </c>
      <c r="D16" s="22" t="inlineStr">
        <is>
          <t>UN Unico</t>
        </is>
      </c>
      <c r="E16" s="22" t="inlineStr">
        <is>
          <t>I2</t>
        </is>
      </c>
      <c r="F16" s="22">
        <f>IFERROR(INDEX(Tariffe!$B$2:$B$200,MATCH(E16,Tariffe!$A$2:$A$200,0)),"DA DEFINIRE")</f>
        <v/>
      </c>
      <c r="G16" s="12" t="n">
        <v>36</v>
      </c>
      <c r="H16" s="11" t="n">
        <v>1</v>
      </c>
      <c r="I16" s="11" t="n">
        <v>1</v>
      </c>
      <c r="J16" s="12" t="n">
        <v>36</v>
      </c>
      <c r="K16" s="12" t="n">
        <v>0</v>
      </c>
      <c r="L16" s="12" t="n">
        <v>32.73</v>
      </c>
      <c r="M16" s="12" t="n">
        <v>3.27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20261023_2358</t>
        </is>
      </c>
      <c r="B17" s="13" t="n">
        <v>46318</v>
      </c>
      <c r="C17" s="14" t="n">
        <v>0.9986111111111111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4</v>
      </c>
      <c r="I17" s="15" t="n">
        <v>0</v>
      </c>
      <c r="J17" s="16" t="n">
        <v>96</v>
      </c>
      <c r="K17" s="16" t="n">
        <v>0</v>
      </c>
      <c r="L17" s="16" t="n">
        <v>87.28</v>
      </c>
      <c r="M17" s="16" t="n">
        <v>8.720000000000001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20261024_2015</t>
        </is>
      </c>
      <c r="B18" s="9" t="n">
        <v>46319</v>
      </c>
      <c r="C18" s="10" t="n">
        <v>0.84375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1</v>
      </c>
      <c r="I18" s="11" t="n">
        <v>0</v>
      </c>
      <c r="J18" s="12" t="n">
        <v>48</v>
      </c>
      <c r="K18" s="12" t="n">
        <v>0</v>
      </c>
      <c r="L18" s="12" t="n">
        <v>43.64</v>
      </c>
      <c r="M18" s="12" t="n">
        <v>4.36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20261024_2015</t>
        </is>
      </c>
      <c r="B19" s="13" t="n">
        <v>46319</v>
      </c>
      <c r="C19" s="14" t="n">
        <v>0.84375</v>
      </c>
      <c r="D19" s="23" t="inlineStr">
        <is>
          <t>UN Unico</t>
        </is>
      </c>
      <c r="E19" s="23" t="inlineStr">
        <is>
          <t>I8</t>
        </is>
      </c>
      <c r="F19" s="23">
        <f>IFERROR(INDEX(Tariffe!$B$2:$B$200,MATCH(E19,Tariffe!$A$2:$A$200,0)),"DA DEFINIRE")</f>
        <v/>
      </c>
      <c r="G19" s="16" t="n">
        <v>24</v>
      </c>
      <c r="H19" s="15" t="n">
        <v>3</v>
      </c>
      <c r="I19" s="15" t="n">
        <v>0</v>
      </c>
      <c r="J19" s="16" t="n">
        <v>72</v>
      </c>
      <c r="K19" s="16" t="n">
        <v>0</v>
      </c>
      <c r="L19" s="16" t="n">
        <v>65.45999999999999</v>
      </c>
      <c r="M19" s="16" t="n">
        <v>6.54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20261024_2115</t>
        </is>
      </c>
      <c r="B20" s="9" t="n">
        <v>46319</v>
      </c>
      <c r="C20" s="10" t="n">
        <v>0.8854166666666666</v>
      </c>
      <c r="D20" s="22" t="inlineStr">
        <is>
          <t>UN Unico</t>
        </is>
      </c>
      <c r="E20" s="22" t="inlineStr">
        <is>
          <t>I1</t>
        </is>
      </c>
      <c r="F20" s="22">
        <f>IFERROR(INDEX(Tariffe!$B$2:$B$200,MATCH(E20,Tariffe!$A$2:$A$200,0)),"DA DEFINIRE")</f>
        <v/>
      </c>
      <c r="G20" s="12" t="n">
        <v>48</v>
      </c>
      <c r="H20" s="11" t="n">
        <v>3</v>
      </c>
      <c r="I20" s="11" t="n">
        <v>0</v>
      </c>
      <c r="J20" s="12" t="n">
        <v>144</v>
      </c>
      <c r="K20" s="12" t="n">
        <v>0</v>
      </c>
      <c r="L20" s="12" t="n">
        <v>130.92</v>
      </c>
      <c r="M20" s="12" t="n">
        <v>13.08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20261024_2115</t>
        </is>
      </c>
      <c r="B21" s="13" t="n">
        <v>46319</v>
      </c>
      <c r="C21" s="14" t="n">
        <v>0.8854166666666666</v>
      </c>
      <c r="D21" s="23" t="inlineStr">
        <is>
          <t>UN Unico</t>
        </is>
      </c>
      <c r="E21" s="23" t="inlineStr">
        <is>
          <t>I2</t>
        </is>
      </c>
      <c r="F21" s="23">
        <f>IFERROR(INDEX(Tariffe!$B$2:$B$200,MATCH(E21,Tariffe!$A$2:$A$200,0)),"DA DEFINIRE")</f>
        <v/>
      </c>
      <c r="G21" s="16" t="n">
        <v>36</v>
      </c>
      <c r="H21" s="15" t="n">
        <v>1</v>
      </c>
      <c r="I21" s="15" t="n">
        <v>0</v>
      </c>
      <c r="J21" s="16" t="n">
        <v>36</v>
      </c>
      <c r="K21" s="16" t="n">
        <v>0</v>
      </c>
      <c r="L21" s="16" t="n">
        <v>32.73</v>
      </c>
      <c r="M21" s="16" t="n">
        <v>3.27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20261024_2115</t>
        </is>
      </c>
      <c r="B22" s="9" t="n">
        <v>46319</v>
      </c>
      <c r="C22" s="10" t="n">
        <v>0.8854166666666666</v>
      </c>
      <c r="D22" s="22" t="inlineStr">
        <is>
          <t>UN Unico</t>
        </is>
      </c>
      <c r="E22" s="22" t="inlineStr">
        <is>
          <t>I5</t>
        </is>
      </c>
      <c r="F22" s="22">
        <f>IFERROR(INDEX(Tariffe!$B$2:$B$200,MATCH(E22,Tariffe!$A$2:$A$200,0)),"DA DEFINIRE")</f>
        <v/>
      </c>
      <c r="G22" s="12" t="n">
        <v>60</v>
      </c>
      <c r="H22" s="11" t="n">
        <v>1</v>
      </c>
      <c r="I22" s="11" t="n">
        <v>0</v>
      </c>
      <c r="J22" s="12" t="n">
        <v>60</v>
      </c>
      <c r="K22" s="12" t="n">
        <v>0</v>
      </c>
      <c r="L22" s="12" t="n">
        <v>54.55</v>
      </c>
      <c r="M22" s="12" t="n">
        <v>5.45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20261024_2115</t>
        </is>
      </c>
      <c r="B23" s="13" t="n">
        <v>46319</v>
      </c>
      <c r="C23" s="14" t="n">
        <v>0.8854166666666666</v>
      </c>
      <c r="D23" s="23" t="inlineStr">
        <is>
          <t>UN Unico</t>
        </is>
      </c>
      <c r="E23" s="23" t="inlineStr">
        <is>
          <t>I8</t>
        </is>
      </c>
      <c r="F23" s="23">
        <f>IFERROR(INDEX(Tariffe!$B$2:$B$200,MATCH(E23,Tariffe!$A$2:$A$200,0)),"DA DEFINIRE")</f>
        <v/>
      </c>
      <c r="G23" s="16" t="n">
        <v>24</v>
      </c>
      <c r="H23" s="15" t="n">
        <v>4</v>
      </c>
      <c r="I23" s="15" t="n">
        <v>0</v>
      </c>
      <c r="J23" s="16" t="n">
        <v>96</v>
      </c>
      <c r="K23" s="16" t="n">
        <v>0</v>
      </c>
      <c r="L23" s="16" t="n">
        <v>87.28</v>
      </c>
      <c r="M23" s="16" t="n">
        <v>8.720000000000001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20261024_2215</t>
        </is>
      </c>
      <c r="B24" s="9" t="n">
        <v>46319</v>
      </c>
      <c r="C24" s="10" t="n">
        <v>0.9270833333333334</v>
      </c>
      <c r="D24" s="22" t="inlineStr">
        <is>
          <t>UN Unico</t>
        </is>
      </c>
      <c r="E24" s="22" t="inlineStr">
        <is>
          <t>I1</t>
        </is>
      </c>
      <c r="F24" s="22">
        <f>IFERROR(INDEX(Tariffe!$B$2:$B$200,MATCH(E24,Tariffe!$A$2:$A$200,0)),"DA DEFINIRE")</f>
        <v/>
      </c>
      <c r="G24" s="12" t="n">
        <v>48</v>
      </c>
      <c r="H24" s="11" t="n">
        <v>4</v>
      </c>
      <c r="I24" s="11" t="n">
        <v>0</v>
      </c>
      <c r="J24" s="12" t="n">
        <v>192</v>
      </c>
      <c r="K24" s="12" t="n">
        <v>0</v>
      </c>
      <c r="L24" s="12" t="n">
        <v>174.56</v>
      </c>
      <c r="M24" s="12" t="n">
        <v>17.44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20261024_2215</t>
        </is>
      </c>
      <c r="B25" s="13" t="n">
        <v>46319</v>
      </c>
      <c r="C25" s="14" t="n">
        <v>0.9270833333333334</v>
      </c>
      <c r="D25" s="23" t="inlineStr">
        <is>
          <t>UN Unico</t>
        </is>
      </c>
      <c r="E25" s="23" t="inlineStr">
        <is>
          <t>I2</t>
        </is>
      </c>
      <c r="F25" s="23">
        <f>IFERROR(INDEX(Tariffe!$B$2:$B$200,MATCH(E25,Tariffe!$A$2:$A$200,0)),"DA DEFINIRE")</f>
        <v/>
      </c>
      <c r="G25" s="16" t="n">
        <v>36</v>
      </c>
      <c r="H25" s="15" t="n">
        <v>1</v>
      </c>
      <c r="I25" s="15" t="n">
        <v>0</v>
      </c>
      <c r="J25" s="16" t="n">
        <v>36</v>
      </c>
      <c r="K25" s="16" t="n">
        <v>0</v>
      </c>
      <c r="L25" s="16" t="n">
        <v>32.73</v>
      </c>
      <c r="M25" s="16" t="n">
        <v>3.27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20261024_2215</t>
        </is>
      </c>
      <c r="B26" s="9" t="n">
        <v>46319</v>
      </c>
      <c r="C26" s="10" t="n">
        <v>0.9270833333333334</v>
      </c>
      <c r="D26" s="22" t="inlineStr">
        <is>
          <t>UN Unico</t>
        </is>
      </c>
      <c r="E26" s="22" t="inlineStr">
        <is>
          <t>I8</t>
        </is>
      </c>
      <c r="F26" s="22">
        <f>IFERROR(INDEX(Tariffe!$B$2:$B$200,MATCH(E26,Tariffe!$A$2:$A$200,0)),"DA DEFINIRE")</f>
        <v/>
      </c>
      <c r="G26" s="12" t="n">
        <v>24</v>
      </c>
      <c r="H26" s="11" t="n">
        <v>10</v>
      </c>
      <c r="I26" s="11" t="n">
        <v>0</v>
      </c>
      <c r="J26" s="12" t="n">
        <v>240</v>
      </c>
      <c r="K26" s="12" t="n">
        <v>0</v>
      </c>
      <c r="L26" s="12" t="n">
        <v>218.2</v>
      </c>
      <c r="M26" s="12" t="n">
        <v>21.8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20261024_2315</t>
        </is>
      </c>
      <c r="B27" s="13" t="n">
        <v>46319</v>
      </c>
      <c r="C27" s="14" t="n">
        <v>0.96875</v>
      </c>
      <c r="D27" s="23" t="inlineStr">
        <is>
          <t>UN Unico</t>
        </is>
      </c>
      <c r="E27" s="23" t="inlineStr">
        <is>
          <t>I1</t>
        </is>
      </c>
      <c r="F27" s="23">
        <f>IFERROR(INDEX(Tariffe!$B$2:$B$200,MATCH(E27,Tariffe!$A$2:$A$200,0)),"DA DEFINIRE")</f>
        <v/>
      </c>
      <c r="G27" s="16" t="n">
        <v>48</v>
      </c>
      <c r="H27" s="15" t="n">
        <v>2</v>
      </c>
      <c r="I27" s="15" t="n">
        <v>0</v>
      </c>
      <c r="J27" s="16" t="n">
        <v>96</v>
      </c>
      <c r="K27" s="16" t="n">
        <v>0</v>
      </c>
      <c r="L27" s="16" t="n">
        <v>87.28</v>
      </c>
      <c r="M27" s="16" t="n">
        <v>8.720000000000001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20261024_2315</t>
        </is>
      </c>
      <c r="B28" s="9" t="n">
        <v>46319</v>
      </c>
      <c r="C28" s="10" t="n">
        <v>0.96875</v>
      </c>
      <c r="D28" s="22" t="inlineStr">
        <is>
          <t>UN Unico</t>
        </is>
      </c>
      <c r="E28" s="22" t="inlineStr">
        <is>
          <t>I2</t>
        </is>
      </c>
      <c r="F28" s="22">
        <f>IFERROR(INDEX(Tariffe!$B$2:$B$200,MATCH(E28,Tariffe!$A$2:$A$200,0)),"DA DEFINIRE")</f>
        <v/>
      </c>
      <c r="G28" s="12" t="n">
        <v>36</v>
      </c>
      <c r="H28" s="11" t="n">
        <v>1</v>
      </c>
      <c r="I28" s="11" t="n">
        <v>0</v>
      </c>
      <c r="J28" s="12" t="n">
        <v>36</v>
      </c>
      <c r="K28" s="12" t="n">
        <v>0</v>
      </c>
      <c r="L28" s="12" t="n">
        <v>32.73</v>
      </c>
      <c r="M28" s="12" t="n">
        <v>3.27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20261024_2315</t>
        </is>
      </c>
      <c r="B29" s="13" t="n">
        <v>46319</v>
      </c>
      <c r="C29" s="14" t="n">
        <v>0.96875</v>
      </c>
      <c r="D29" s="23" t="inlineStr">
        <is>
          <t>UN Unico</t>
        </is>
      </c>
      <c r="E29" s="23" t="inlineStr">
        <is>
          <t>I5</t>
        </is>
      </c>
      <c r="F29" s="23">
        <f>IFERROR(INDEX(Tariffe!$B$2:$B$200,MATCH(E29,Tariffe!$A$2:$A$200,0)),"DA DEFINIRE")</f>
        <v/>
      </c>
      <c r="G29" s="16" t="n">
        <v>60</v>
      </c>
      <c r="H29" s="15" t="n">
        <v>4</v>
      </c>
      <c r="I29" s="15" t="n">
        <v>0</v>
      </c>
      <c r="J29" s="16" t="n">
        <v>240</v>
      </c>
      <c r="K29" s="16" t="n">
        <v>0</v>
      </c>
      <c r="L29" s="16" t="n">
        <v>218.2</v>
      </c>
      <c r="M29" s="16" t="n">
        <v>21.8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20261024_2315</t>
        </is>
      </c>
      <c r="B30" s="9" t="n">
        <v>46319</v>
      </c>
      <c r="C30" s="10" t="n">
        <v>0.96875</v>
      </c>
      <c r="D30" s="22" t="inlineStr">
        <is>
          <t>UN Unico</t>
        </is>
      </c>
      <c r="E30" s="22" t="inlineStr">
        <is>
          <t>I8</t>
        </is>
      </c>
      <c r="F30" s="22">
        <f>IFERROR(INDEX(Tariffe!$B$2:$B$200,MATCH(E30,Tariffe!$A$2:$A$200,0)),"DA DEFINIRE")</f>
        <v/>
      </c>
      <c r="G30" s="12" t="n">
        <v>24</v>
      </c>
      <c r="H30" s="11" t="n">
        <v>5</v>
      </c>
      <c r="I30" s="11" t="n">
        <v>0</v>
      </c>
      <c r="J30" s="12" t="n">
        <v>120</v>
      </c>
      <c r="K30" s="12" t="n">
        <v>0</v>
      </c>
      <c r="L30" s="12" t="n">
        <v>109.1</v>
      </c>
      <c r="M30" s="12" t="n">
        <v>10.9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20261024_2359</t>
        </is>
      </c>
      <c r="B31" s="13" t="n">
        <v>46319</v>
      </c>
      <c r="C31" s="14" t="n">
        <v>0.9993055555555556</v>
      </c>
      <c r="D31" s="23" t="inlineStr">
        <is>
          <t>UN Unico</t>
        </is>
      </c>
      <c r="E31" s="23" t="inlineStr">
        <is>
          <t>I1</t>
        </is>
      </c>
      <c r="F31" s="23">
        <f>IFERROR(INDEX(Tariffe!$B$2:$B$200,MATCH(E31,Tariffe!$A$2:$A$200,0)),"DA DEFINIRE")</f>
        <v/>
      </c>
      <c r="G31" s="16" t="n">
        <v>48</v>
      </c>
      <c r="H31" s="15" t="n">
        <v>3</v>
      </c>
      <c r="I31" s="15" t="n">
        <v>0</v>
      </c>
      <c r="J31" s="16" t="n">
        <v>144</v>
      </c>
      <c r="K31" s="16" t="n">
        <v>0</v>
      </c>
      <c r="L31" s="16" t="n">
        <v>130.92</v>
      </c>
      <c r="M31" s="16" t="n">
        <v>13.08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20261024_2359</t>
        </is>
      </c>
      <c r="B32" s="9" t="n">
        <v>46319</v>
      </c>
      <c r="C32" s="10" t="n">
        <v>0.9993055555555556</v>
      </c>
      <c r="D32" s="22" t="inlineStr">
        <is>
          <t>UN Unico</t>
        </is>
      </c>
      <c r="E32" s="22" t="inlineStr">
        <is>
          <t>I8</t>
        </is>
      </c>
      <c r="F32" s="22">
        <f>IFERROR(INDEX(Tariffe!$B$2:$B$200,MATCH(E32,Tariffe!$A$2:$A$200,0)),"DA DEFINIRE")</f>
        <v/>
      </c>
      <c r="G32" s="12" t="n">
        <v>24</v>
      </c>
      <c r="H32" s="11" t="n">
        <v>3</v>
      </c>
      <c r="I32" s="11" t="n">
        <v>0</v>
      </c>
      <c r="J32" s="12" t="n">
        <v>72</v>
      </c>
      <c r="K32" s="12" t="n">
        <v>0</v>
      </c>
      <c r="L32" s="12" t="n">
        <v>65.45999999999999</v>
      </c>
      <c r="M32" s="12" t="n">
        <v>6.54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20261025_2015</t>
        </is>
      </c>
      <c r="B33" s="13" t="n">
        <v>46320</v>
      </c>
      <c r="C33" s="14" t="n">
        <v>0.84375</v>
      </c>
      <c r="D33" s="23" t="inlineStr">
        <is>
          <t>UN Unico</t>
        </is>
      </c>
      <c r="E33" s="23" t="inlineStr">
        <is>
          <t>I1</t>
        </is>
      </c>
      <c r="F33" s="23">
        <f>IFERROR(INDEX(Tariffe!$B$2:$B$200,MATCH(E33,Tariffe!$A$2:$A$200,0)),"DA DEFINIRE")</f>
        <v/>
      </c>
      <c r="G33" s="16" t="n">
        <v>48</v>
      </c>
      <c r="H33" s="15" t="n">
        <v>1</v>
      </c>
      <c r="I33" s="15" t="n">
        <v>0</v>
      </c>
      <c r="J33" s="16" t="n">
        <v>48</v>
      </c>
      <c r="K33" s="16" t="n">
        <v>0</v>
      </c>
      <c r="L33" s="16" t="n">
        <v>43.64</v>
      </c>
      <c r="M33" s="16" t="n">
        <v>4.36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20261025_2015</t>
        </is>
      </c>
      <c r="B34" s="9" t="n">
        <v>46320</v>
      </c>
      <c r="C34" s="10" t="n">
        <v>0.84375</v>
      </c>
      <c r="D34" s="22" t="inlineStr">
        <is>
          <t>UN Unico</t>
        </is>
      </c>
      <c r="E34" s="22" t="inlineStr">
        <is>
          <t>I2</t>
        </is>
      </c>
      <c r="F34" s="22">
        <f>IFERROR(INDEX(Tariffe!$B$2:$B$200,MATCH(E34,Tariffe!$A$2:$A$200,0)),"DA DEFINIRE")</f>
        <v/>
      </c>
      <c r="G34" s="12" t="n">
        <v>36</v>
      </c>
      <c r="H34" s="11" t="n">
        <v>1</v>
      </c>
      <c r="I34" s="11" t="n">
        <v>0</v>
      </c>
      <c r="J34" s="12" t="n">
        <v>36</v>
      </c>
      <c r="K34" s="12" t="n">
        <v>0</v>
      </c>
      <c r="L34" s="12" t="n">
        <v>32.73</v>
      </c>
      <c r="M34" s="12" t="n">
        <v>3.27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20261025_2015</t>
        </is>
      </c>
      <c r="B35" s="13" t="n">
        <v>46320</v>
      </c>
      <c r="C35" s="14" t="n">
        <v>0.84375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1</v>
      </c>
      <c r="I35" s="15" t="n">
        <v>0</v>
      </c>
      <c r="J35" s="16" t="n">
        <v>24</v>
      </c>
      <c r="K35" s="16" t="n">
        <v>0</v>
      </c>
      <c r="L35" s="16" t="n">
        <v>21.82</v>
      </c>
      <c r="M35" s="16" t="n">
        <v>2.18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20261025_2115</t>
        </is>
      </c>
      <c r="B36" s="9" t="n">
        <v>46320</v>
      </c>
      <c r="C36" s="10" t="n">
        <v>0.8854166666666666</v>
      </c>
      <c r="D36" s="22" t="inlineStr">
        <is>
          <t>UN Unico</t>
        </is>
      </c>
      <c r="E36" s="22" t="inlineStr">
        <is>
          <t>I1</t>
        </is>
      </c>
      <c r="F36" s="22">
        <f>IFERROR(INDEX(Tariffe!$B$2:$B$200,MATCH(E36,Tariffe!$A$2:$A$200,0)),"DA DEFINIRE")</f>
        <v/>
      </c>
      <c r="G36" s="12" t="n">
        <v>48</v>
      </c>
      <c r="H36" s="11" t="n">
        <v>2</v>
      </c>
      <c r="I36" s="11" t="n">
        <v>0</v>
      </c>
      <c r="J36" s="12" t="n">
        <v>96</v>
      </c>
      <c r="K36" s="12" t="n">
        <v>0</v>
      </c>
      <c r="L36" s="12" t="n">
        <v>87.28</v>
      </c>
      <c r="M36" s="12" t="n">
        <v>8.720000000000001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20261025_2115</t>
        </is>
      </c>
      <c r="B37" s="13" t="n">
        <v>46320</v>
      </c>
      <c r="C37" s="14" t="n">
        <v>0.8854166666666666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1</v>
      </c>
      <c r="I37" s="15" t="n">
        <v>0</v>
      </c>
      <c r="J37" s="16" t="n">
        <v>24</v>
      </c>
      <c r="K37" s="16" t="n">
        <v>0</v>
      </c>
      <c r="L37" s="16" t="n">
        <v>21.82</v>
      </c>
      <c r="M37" s="16" t="n">
        <v>2.18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20261025_2215</t>
        </is>
      </c>
      <c r="B38" s="9" t="n">
        <v>46320</v>
      </c>
      <c r="C38" s="10" t="n">
        <v>0.9270833333333334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1</v>
      </c>
      <c r="I38" s="11" t="n">
        <v>0</v>
      </c>
      <c r="J38" s="12" t="n">
        <v>48</v>
      </c>
      <c r="K38" s="12" t="n">
        <v>0</v>
      </c>
      <c r="L38" s="12" t="n">
        <v>43.64</v>
      </c>
      <c r="M38" s="12" t="n">
        <v>4.36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20261025_2215</t>
        </is>
      </c>
      <c r="B39" s="13" t="n">
        <v>46320</v>
      </c>
      <c r="C39" s="14" t="n">
        <v>0.9270833333333334</v>
      </c>
      <c r="D39" s="23" t="inlineStr">
        <is>
          <t>UN Unico</t>
        </is>
      </c>
      <c r="E39" s="23" t="inlineStr">
        <is>
          <t>I8</t>
        </is>
      </c>
      <c r="F39" s="23">
        <f>IFERROR(INDEX(Tariffe!$B$2:$B$200,MATCH(E39,Tariffe!$A$2:$A$200,0)),"DA DEFINIRE")</f>
        <v/>
      </c>
      <c r="G39" s="16" t="n">
        <v>24</v>
      </c>
      <c r="H39" s="15" t="n">
        <v>4</v>
      </c>
      <c r="I39" s="15" t="n">
        <v>0</v>
      </c>
      <c r="J39" s="16" t="n">
        <v>96</v>
      </c>
      <c r="K39" s="16" t="n">
        <v>0</v>
      </c>
      <c r="L39" s="16" t="n">
        <v>87.28</v>
      </c>
      <c r="M39" s="16" t="n">
        <v>8.720000000000001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20261025_2315</t>
        </is>
      </c>
      <c r="B40" s="9" t="n">
        <v>46320</v>
      </c>
      <c r="C40" s="10" t="n">
        <v>0.96875</v>
      </c>
      <c r="D40" s="22" t="inlineStr">
        <is>
          <t>UN Unico</t>
        </is>
      </c>
      <c r="E40" s="22" t="inlineStr">
        <is>
          <t>I1</t>
        </is>
      </c>
      <c r="F40" s="22">
        <f>IFERROR(INDEX(Tariffe!$B$2:$B$200,MATCH(E40,Tariffe!$A$2:$A$200,0)),"DA DEFINIRE")</f>
        <v/>
      </c>
      <c r="G40" s="12" t="n">
        <v>48</v>
      </c>
      <c r="H40" s="11" t="n">
        <v>1</v>
      </c>
      <c r="I40" s="11" t="n">
        <v>0</v>
      </c>
      <c r="J40" s="12" t="n">
        <v>48</v>
      </c>
      <c r="K40" s="12" t="n">
        <v>0</v>
      </c>
      <c r="L40" s="12" t="n">
        <v>43.64</v>
      </c>
      <c r="M40" s="12" t="n">
        <v>4.36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20261025_2315</t>
        </is>
      </c>
      <c r="B41" s="13" t="n">
        <v>46320</v>
      </c>
      <c r="C41" s="14" t="n">
        <v>0.96875</v>
      </c>
      <c r="D41" s="23" t="inlineStr">
        <is>
          <t>UN Unico</t>
        </is>
      </c>
      <c r="E41" s="23" t="inlineStr">
        <is>
          <t>I8</t>
        </is>
      </c>
      <c r="F41" s="23">
        <f>IFERROR(INDEX(Tariffe!$B$2:$B$200,MATCH(E41,Tariffe!$A$2:$A$200,0)),"DA DEFINIRE")</f>
        <v/>
      </c>
      <c r="G41" s="16" t="n">
        <v>24</v>
      </c>
      <c r="H41" s="15" t="n">
        <v>2</v>
      </c>
      <c r="I41" s="15" t="n">
        <v>0</v>
      </c>
      <c r="J41" s="16" t="n">
        <v>48</v>
      </c>
      <c r="K41" s="16" t="n">
        <v>0</v>
      </c>
      <c r="L41" s="16" t="n">
        <v>43.64</v>
      </c>
      <c r="M41" s="16" t="n">
        <v>4.36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20261025_2359</t>
        </is>
      </c>
      <c r="B42" s="9" t="n">
        <v>46320</v>
      </c>
      <c r="C42" s="10" t="n">
        <v>0.9993055555555556</v>
      </c>
      <c r="D42" s="22" t="inlineStr">
        <is>
          <t>UN Unico</t>
        </is>
      </c>
      <c r="E42" s="22" t="inlineStr">
        <is>
          <t>I5</t>
        </is>
      </c>
      <c r="F42" s="22">
        <f>IFERROR(INDEX(Tariffe!$B$2:$B$200,MATCH(E42,Tariffe!$A$2:$A$200,0)),"DA DEFINIRE")</f>
        <v/>
      </c>
      <c r="G42" s="12" t="n">
        <v>60</v>
      </c>
      <c r="H42" s="11" t="n">
        <v>1</v>
      </c>
      <c r="I42" s="11" t="n">
        <v>0</v>
      </c>
      <c r="J42" s="12" t="n">
        <v>60</v>
      </c>
      <c r="K42" s="12" t="n">
        <v>0</v>
      </c>
      <c r="L42" s="12" t="n">
        <v>54.55</v>
      </c>
      <c r="M42" s="12" t="n">
        <v>5.45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20261025_2359</t>
        </is>
      </c>
      <c r="B43" s="13" t="n">
        <v>46320</v>
      </c>
      <c r="C43" s="14" t="n">
        <v>0.9993055555555556</v>
      </c>
      <c r="D43" s="23" t="inlineStr">
        <is>
          <t>UN Unico</t>
        </is>
      </c>
      <c r="E43" s="23" t="inlineStr">
        <is>
          <t>I8</t>
        </is>
      </c>
      <c r="F43" s="23">
        <f>IFERROR(INDEX(Tariffe!$B$2:$B$200,MATCH(E43,Tariffe!$A$2:$A$200,0)),"DA DEFINIRE")</f>
        <v/>
      </c>
      <c r="G43" s="16" t="n">
        <v>24</v>
      </c>
      <c r="H43" s="15" t="n">
        <v>1</v>
      </c>
      <c r="I43" s="15" t="n">
        <v>0</v>
      </c>
      <c r="J43" s="16" t="n">
        <v>24</v>
      </c>
      <c r="K43" s="16" t="n">
        <v>0</v>
      </c>
      <c r="L43" s="16" t="n">
        <v>21.82</v>
      </c>
      <c r="M43" s="16" t="n">
        <v>2.18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20261029_2015</t>
        </is>
      </c>
      <c r="B44" s="9" t="n">
        <v>46324</v>
      </c>
      <c r="C44" s="10" t="n">
        <v>0.84375</v>
      </c>
      <c r="D44" s="22" t="inlineStr">
        <is>
          <t>UN Unico</t>
        </is>
      </c>
      <c r="E44" s="22" t="inlineStr">
        <is>
          <t>I1</t>
        </is>
      </c>
      <c r="F44" s="22">
        <f>IFERROR(INDEX(Tariffe!$B$2:$B$200,MATCH(E44,Tariffe!$A$2:$A$200,0)),"DA DEFINIRE")</f>
        <v/>
      </c>
      <c r="G44" s="12" t="n">
        <v>48</v>
      </c>
      <c r="H44" s="11" t="n">
        <v>1</v>
      </c>
      <c r="I44" s="11" t="n">
        <v>0</v>
      </c>
      <c r="J44" s="12" t="n">
        <v>48</v>
      </c>
      <c r="K44" s="12" t="n">
        <v>0</v>
      </c>
      <c r="L44" s="12" t="n">
        <v>43.64</v>
      </c>
      <c r="M44" s="12" t="n">
        <v>4.36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20261029_2015</t>
        </is>
      </c>
      <c r="B45" s="13" t="n">
        <v>46324</v>
      </c>
      <c r="C45" s="14" t="n">
        <v>0.84375</v>
      </c>
      <c r="D45" s="23" t="inlineStr">
        <is>
          <t>UN Unico</t>
        </is>
      </c>
      <c r="E45" s="23" t="inlineStr">
        <is>
          <t>I5</t>
        </is>
      </c>
      <c r="F45" s="23">
        <f>IFERROR(INDEX(Tariffe!$B$2:$B$200,MATCH(E45,Tariffe!$A$2:$A$200,0)),"DA DEFINIRE")</f>
        <v/>
      </c>
      <c r="G45" s="16" t="n">
        <v>60</v>
      </c>
      <c r="H45" s="15" t="n">
        <v>1</v>
      </c>
      <c r="I45" s="15" t="n">
        <v>0</v>
      </c>
      <c r="J45" s="16" t="n">
        <v>60</v>
      </c>
      <c r="K45" s="16" t="n">
        <v>0</v>
      </c>
      <c r="L45" s="16" t="n">
        <v>54.55</v>
      </c>
      <c r="M45" s="16" t="n">
        <v>5.45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20261029_2015</t>
        </is>
      </c>
      <c r="B46" s="9" t="n">
        <v>46324</v>
      </c>
      <c r="C46" s="10" t="n">
        <v>0.84375</v>
      </c>
      <c r="D46" s="22" t="inlineStr">
        <is>
          <t>UN Unico</t>
        </is>
      </c>
      <c r="E46" s="22" t="inlineStr">
        <is>
          <t>I8</t>
        </is>
      </c>
      <c r="F46" s="22">
        <f>IFERROR(INDEX(Tariffe!$B$2:$B$200,MATCH(E46,Tariffe!$A$2:$A$200,0)),"DA DEFINIRE")</f>
        <v/>
      </c>
      <c r="G46" s="12" t="n">
        <v>24</v>
      </c>
      <c r="H46" s="11" t="n">
        <v>1</v>
      </c>
      <c r="I46" s="11" t="n">
        <v>0</v>
      </c>
      <c r="J46" s="12" t="n">
        <v>24</v>
      </c>
      <c r="K46" s="12" t="n">
        <v>0</v>
      </c>
      <c r="L46" s="12" t="n">
        <v>21.82</v>
      </c>
      <c r="M46" s="12" t="n">
        <v>2.18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20261029_2115</t>
        </is>
      </c>
      <c r="B47" s="13" t="n">
        <v>46324</v>
      </c>
      <c r="C47" s="14" t="n">
        <v>0.8854166666666666</v>
      </c>
      <c r="D47" s="23" t="inlineStr">
        <is>
          <t>UN Unico</t>
        </is>
      </c>
      <c r="E47" s="23" t="inlineStr">
        <is>
          <t>I8</t>
        </is>
      </c>
      <c r="F47" s="23">
        <f>IFERROR(INDEX(Tariffe!$B$2:$B$200,MATCH(E47,Tariffe!$A$2:$A$200,0)),"DA DEFINIRE")</f>
        <v/>
      </c>
      <c r="G47" s="16" t="n">
        <v>24</v>
      </c>
      <c r="H47" s="15" t="n">
        <v>1</v>
      </c>
      <c r="I47" s="15" t="n">
        <v>0</v>
      </c>
      <c r="J47" s="16" t="n">
        <v>24</v>
      </c>
      <c r="K47" s="16" t="n">
        <v>0</v>
      </c>
      <c r="L47" s="16" t="n">
        <v>21.82</v>
      </c>
      <c r="M47" s="16" t="n">
        <v>2.18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20261029_2215</t>
        </is>
      </c>
      <c r="B48" s="9" t="n">
        <v>46324</v>
      </c>
      <c r="C48" s="10" t="n">
        <v>0.9270833333333334</v>
      </c>
      <c r="D48" s="22" t="inlineStr">
        <is>
          <t>UN Unico</t>
        </is>
      </c>
      <c r="E48" s="22" t="inlineStr">
        <is>
          <t>I1</t>
        </is>
      </c>
      <c r="F48" s="22">
        <f>IFERROR(INDEX(Tariffe!$B$2:$B$200,MATCH(E48,Tariffe!$A$2:$A$200,0)),"DA DEFINIRE")</f>
        <v/>
      </c>
      <c r="G48" s="12" t="n">
        <v>48</v>
      </c>
      <c r="H48" s="11" t="n">
        <v>3</v>
      </c>
      <c r="I48" s="11" t="n">
        <v>0</v>
      </c>
      <c r="J48" s="12" t="n">
        <v>144</v>
      </c>
      <c r="K48" s="12" t="n">
        <v>0</v>
      </c>
      <c r="L48" s="12" t="n">
        <v>130.92</v>
      </c>
      <c r="M48" s="12" t="n">
        <v>13.08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20261029_2215</t>
        </is>
      </c>
      <c r="B49" s="13" t="n">
        <v>46324</v>
      </c>
      <c r="C49" s="14" t="n">
        <v>0.9270833333333334</v>
      </c>
      <c r="D49" s="23" t="inlineStr">
        <is>
          <t>UN Unico</t>
        </is>
      </c>
      <c r="E49" s="23" t="inlineStr">
        <is>
          <t>I2</t>
        </is>
      </c>
      <c r="F49" s="23">
        <f>IFERROR(INDEX(Tariffe!$B$2:$B$200,MATCH(E49,Tariffe!$A$2:$A$200,0)),"DA DEFINIRE")</f>
        <v/>
      </c>
      <c r="G49" s="16" t="n">
        <v>36</v>
      </c>
      <c r="H49" s="15" t="n">
        <v>1</v>
      </c>
      <c r="I49" s="15" t="n">
        <v>0</v>
      </c>
      <c r="J49" s="16" t="n">
        <v>36</v>
      </c>
      <c r="K49" s="16" t="n">
        <v>0</v>
      </c>
      <c r="L49" s="16" t="n">
        <v>32.73</v>
      </c>
      <c r="M49" s="16" t="n">
        <v>3.27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20261029_2215</t>
        </is>
      </c>
      <c r="B50" s="9" t="n">
        <v>46324</v>
      </c>
      <c r="C50" s="10" t="n">
        <v>0.9270833333333334</v>
      </c>
      <c r="D50" s="22" t="inlineStr">
        <is>
          <t>UN Unico</t>
        </is>
      </c>
      <c r="E50" s="22" t="inlineStr">
        <is>
          <t>I8</t>
        </is>
      </c>
      <c r="F50" s="22">
        <f>IFERROR(INDEX(Tariffe!$B$2:$B$200,MATCH(E50,Tariffe!$A$2:$A$200,0)),"DA DEFINIRE")</f>
        <v/>
      </c>
      <c r="G50" s="12" t="n">
        <v>24</v>
      </c>
      <c r="H50" s="11" t="n">
        <v>5</v>
      </c>
      <c r="I50" s="11" t="n">
        <v>0</v>
      </c>
      <c r="J50" s="12" t="n">
        <v>120</v>
      </c>
      <c r="K50" s="12" t="n">
        <v>0</v>
      </c>
      <c r="L50" s="12" t="n">
        <v>109.1</v>
      </c>
      <c r="M50" s="12" t="n">
        <v>10.9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20261029_2315</t>
        </is>
      </c>
      <c r="B51" s="13" t="n">
        <v>46324</v>
      </c>
      <c r="C51" s="14" t="n">
        <v>0.96875</v>
      </c>
      <c r="D51" s="23" t="inlineStr">
        <is>
          <t>UN Unico</t>
        </is>
      </c>
      <c r="E51" s="23" t="inlineStr">
        <is>
          <t>I1</t>
        </is>
      </c>
      <c r="F51" s="23">
        <f>IFERROR(INDEX(Tariffe!$B$2:$B$200,MATCH(E51,Tariffe!$A$2:$A$200,0)),"DA DEFINIRE")</f>
        <v/>
      </c>
      <c r="G51" s="16" t="n">
        <v>48</v>
      </c>
      <c r="H51" s="15" t="n">
        <v>4</v>
      </c>
      <c r="I51" s="15" t="n">
        <v>0</v>
      </c>
      <c r="J51" s="16" t="n">
        <v>192</v>
      </c>
      <c r="K51" s="16" t="n">
        <v>0</v>
      </c>
      <c r="L51" s="16" t="n">
        <v>174.56</v>
      </c>
      <c r="M51" s="16" t="n">
        <v>17.44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20261029_2315</t>
        </is>
      </c>
      <c r="B52" s="9" t="n">
        <v>46324</v>
      </c>
      <c r="C52" s="10" t="n">
        <v>0.96875</v>
      </c>
      <c r="D52" s="22" t="inlineStr">
        <is>
          <t>UN Unico</t>
        </is>
      </c>
      <c r="E52" s="22" t="inlineStr">
        <is>
          <t>I5</t>
        </is>
      </c>
      <c r="F52" s="22">
        <f>IFERROR(INDEX(Tariffe!$B$2:$B$200,MATCH(E52,Tariffe!$A$2:$A$200,0)),"DA DEFINIRE")</f>
        <v/>
      </c>
      <c r="G52" s="12" t="n">
        <v>60</v>
      </c>
      <c r="H52" s="11" t="n">
        <v>2</v>
      </c>
      <c r="I52" s="11" t="n">
        <v>0</v>
      </c>
      <c r="J52" s="12" t="n">
        <v>120</v>
      </c>
      <c r="K52" s="12" t="n">
        <v>0</v>
      </c>
      <c r="L52" s="12" t="n">
        <v>109.1</v>
      </c>
      <c r="M52" s="12" t="n">
        <v>10.9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20261029_2359</t>
        </is>
      </c>
      <c r="B53" s="13" t="n">
        <v>46324</v>
      </c>
      <c r="C53" s="14" t="n">
        <v>0.9993055555555556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1</v>
      </c>
      <c r="I53" s="15" t="n">
        <v>0</v>
      </c>
      <c r="J53" s="16" t="n">
        <v>24</v>
      </c>
      <c r="K53" s="16" t="n">
        <v>0</v>
      </c>
      <c r="L53" s="16" t="n">
        <v>21.82</v>
      </c>
      <c r="M53" s="16" t="n">
        <v>2.18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20261030_2015</t>
        </is>
      </c>
      <c r="B54" s="9" t="n">
        <v>46325</v>
      </c>
      <c r="C54" s="10" t="n">
        <v>0.84375</v>
      </c>
      <c r="D54" s="22" t="inlineStr">
        <is>
          <t>UN Unico</t>
        </is>
      </c>
      <c r="E54" s="22" t="inlineStr">
        <is>
          <t>I1</t>
        </is>
      </c>
      <c r="F54" s="22">
        <f>IFERROR(INDEX(Tariffe!$B$2:$B$200,MATCH(E54,Tariffe!$A$2:$A$200,0)),"DA DEFINIRE")</f>
        <v/>
      </c>
      <c r="G54" s="12" t="n">
        <v>48</v>
      </c>
      <c r="H54" s="11" t="n">
        <v>1</v>
      </c>
      <c r="I54" s="11" t="n">
        <v>0</v>
      </c>
      <c r="J54" s="12" t="n">
        <v>48</v>
      </c>
      <c r="K54" s="12" t="n">
        <v>0</v>
      </c>
      <c r="L54" s="12" t="n">
        <v>43.64</v>
      </c>
      <c r="M54" s="12" t="n">
        <v>4.36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20261030_2015</t>
        </is>
      </c>
      <c r="B55" s="13" t="n">
        <v>46325</v>
      </c>
      <c r="C55" s="14" t="n">
        <v>0.84375</v>
      </c>
      <c r="D55" s="23" t="inlineStr">
        <is>
          <t>UN Unico</t>
        </is>
      </c>
      <c r="E55" s="23" t="inlineStr">
        <is>
          <t>I8</t>
        </is>
      </c>
      <c r="F55" s="23">
        <f>IFERROR(INDEX(Tariffe!$B$2:$B$200,MATCH(E55,Tariffe!$A$2:$A$200,0)),"DA DEFINIRE")</f>
        <v/>
      </c>
      <c r="G55" s="16" t="n">
        <v>24</v>
      </c>
      <c r="H55" s="15" t="n">
        <v>1</v>
      </c>
      <c r="I55" s="15" t="n">
        <v>0</v>
      </c>
      <c r="J55" s="16" t="n">
        <v>24</v>
      </c>
      <c r="K55" s="16" t="n">
        <v>0</v>
      </c>
      <c r="L55" s="16" t="n">
        <v>21.82</v>
      </c>
      <c r="M55" s="16" t="n">
        <v>2.18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20261030_2115</t>
        </is>
      </c>
      <c r="B56" s="9" t="n">
        <v>46325</v>
      </c>
      <c r="C56" s="10" t="n">
        <v>0.8854166666666666</v>
      </c>
      <c r="D56" s="22" t="inlineStr">
        <is>
          <t>UN Unico</t>
        </is>
      </c>
      <c r="E56" s="22" t="inlineStr">
        <is>
          <t>I8</t>
        </is>
      </c>
      <c r="F56" s="22">
        <f>IFERROR(INDEX(Tariffe!$B$2:$B$200,MATCH(E56,Tariffe!$A$2:$A$200,0)),"DA DEFINIRE")</f>
        <v/>
      </c>
      <c r="G56" s="12" t="n">
        <v>24</v>
      </c>
      <c r="H56" s="11" t="n">
        <v>1</v>
      </c>
      <c r="I56" s="11" t="n">
        <v>0</v>
      </c>
      <c r="J56" s="12" t="n">
        <v>24</v>
      </c>
      <c r="K56" s="12" t="n">
        <v>0</v>
      </c>
      <c r="L56" s="12" t="n">
        <v>21.82</v>
      </c>
      <c r="M56" s="12" t="n">
        <v>2.18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20261030_2215</t>
        </is>
      </c>
      <c r="B57" s="13" t="n">
        <v>46325</v>
      </c>
      <c r="C57" s="14" t="n">
        <v>0.9270833333333334</v>
      </c>
      <c r="D57" s="23" t="inlineStr">
        <is>
          <t>UN Unico</t>
        </is>
      </c>
      <c r="E57" s="23" t="inlineStr">
        <is>
          <t>I1</t>
        </is>
      </c>
      <c r="F57" s="23">
        <f>IFERROR(INDEX(Tariffe!$B$2:$B$200,MATCH(E57,Tariffe!$A$2:$A$200,0)),"DA DEFINIRE")</f>
        <v/>
      </c>
      <c r="G57" s="16" t="n">
        <v>48</v>
      </c>
      <c r="H57" s="15" t="n">
        <v>2</v>
      </c>
      <c r="I57" s="15" t="n">
        <v>0</v>
      </c>
      <c r="J57" s="16" t="n">
        <v>96</v>
      </c>
      <c r="K57" s="16" t="n">
        <v>0</v>
      </c>
      <c r="L57" s="16" t="n">
        <v>87.28</v>
      </c>
      <c r="M57" s="16" t="n">
        <v>8.720000000000001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20261030_2215</t>
        </is>
      </c>
      <c r="B58" s="9" t="n">
        <v>46325</v>
      </c>
      <c r="C58" s="10" t="n">
        <v>0.9270833333333334</v>
      </c>
      <c r="D58" s="22" t="inlineStr">
        <is>
          <t>UN Unico</t>
        </is>
      </c>
      <c r="E58" s="22" t="inlineStr">
        <is>
          <t>I8</t>
        </is>
      </c>
      <c r="F58" s="22">
        <f>IFERROR(INDEX(Tariffe!$B$2:$B$200,MATCH(E58,Tariffe!$A$2:$A$200,0)),"DA DEFINIRE")</f>
        <v/>
      </c>
      <c r="G58" s="12" t="n">
        <v>24</v>
      </c>
      <c r="H58" s="11" t="n">
        <v>4</v>
      </c>
      <c r="I58" s="11" t="n">
        <v>3</v>
      </c>
      <c r="J58" s="12" t="n">
        <v>96</v>
      </c>
      <c r="K58" s="12" t="n">
        <v>0</v>
      </c>
      <c r="L58" s="12" t="n">
        <v>87.28</v>
      </c>
      <c r="M58" s="12" t="n">
        <v>8.720000000000001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20261030_2315</t>
        </is>
      </c>
      <c r="B59" s="13" t="n">
        <v>46325</v>
      </c>
      <c r="C59" s="14" t="n">
        <v>0.96875</v>
      </c>
      <c r="D59" s="23" t="inlineStr">
        <is>
          <t>UN Unico</t>
        </is>
      </c>
      <c r="E59" s="23" t="inlineStr">
        <is>
          <t>I1</t>
        </is>
      </c>
      <c r="F59" s="23">
        <f>IFERROR(INDEX(Tariffe!$B$2:$B$200,MATCH(E59,Tariffe!$A$2:$A$200,0)),"DA DEFINIRE")</f>
        <v/>
      </c>
      <c r="G59" s="16" t="n">
        <v>48</v>
      </c>
      <c r="H59" s="15" t="n">
        <v>3</v>
      </c>
      <c r="I59" s="15" t="n">
        <v>0</v>
      </c>
      <c r="J59" s="16" t="n">
        <v>144</v>
      </c>
      <c r="K59" s="16" t="n">
        <v>0</v>
      </c>
      <c r="L59" s="16" t="n">
        <v>130.92</v>
      </c>
      <c r="M59" s="16" t="n">
        <v>13.08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20261030_2315</t>
        </is>
      </c>
      <c r="B60" s="9" t="n">
        <v>46325</v>
      </c>
      <c r="C60" s="10" t="n">
        <v>0.96875</v>
      </c>
      <c r="D60" s="22" t="inlineStr">
        <is>
          <t>UN Unico</t>
        </is>
      </c>
      <c r="E60" s="22" t="inlineStr">
        <is>
          <t>I5</t>
        </is>
      </c>
      <c r="F60" s="22">
        <f>IFERROR(INDEX(Tariffe!$B$2:$B$200,MATCH(E60,Tariffe!$A$2:$A$200,0)),"DA DEFINIRE")</f>
        <v/>
      </c>
      <c r="G60" s="12" t="n">
        <v>60</v>
      </c>
      <c r="H60" s="11" t="n">
        <v>1</v>
      </c>
      <c r="I60" s="11" t="n">
        <v>0</v>
      </c>
      <c r="J60" s="12" t="n">
        <v>60</v>
      </c>
      <c r="K60" s="12" t="n">
        <v>0</v>
      </c>
      <c r="L60" s="12" t="n">
        <v>54.55</v>
      </c>
      <c r="M60" s="12" t="n">
        <v>5.45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20261030_2315</t>
        </is>
      </c>
      <c r="B61" s="13" t="n">
        <v>46325</v>
      </c>
      <c r="C61" s="14" t="n">
        <v>0.96875</v>
      </c>
      <c r="D61" s="23" t="inlineStr">
        <is>
          <t>UN Unico</t>
        </is>
      </c>
      <c r="E61" s="23" t="inlineStr">
        <is>
          <t>I8</t>
        </is>
      </c>
      <c r="F61" s="23">
        <f>IFERROR(INDEX(Tariffe!$B$2:$B$200,MATCH(E61,Tariffe!$A$2:$A$200,0)),"DA DEFINIRE")</f>
        <v/>
      </c>
      <c r="G61" s="16" t="n">
        <v>24</v>
      </c>
      <c r="H61" s="15" t="n">
        <v>2</v>
      </c>
      <c r="I61" s="15" t="n">
        <v>0</v>
      </c>
      <c r="J61" s="16" t="n">
        <v>48</v>
      </c>
      <c r="K61" s="16" t="n">
        <v>0</v>
      </c>
      <c r="L61" s="16" t="n">
        <v>43.64</v>
      </c>
      <c r="M61" s="16" t="n">
        <v>4.36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20261030_2359</t>
        </is>
      </c>
      <c r="B62" s="9" t="n">
        <v>46325</v>
      </c>
      <c r="C62" s="10" t="n">
        <v>0.9993055555555556</v>
      </c>
      <c r="D62" s="22" t="inlineStr">
        <is>
          <t>UN Unico</t>
        </is>
      </c>
      <c r="E62" s="22" t="inlineStr">
        <is>
          <t>I8</t>
        </is>
      </c>
      <c r="F62" s="22">
        <f>IFERROR(INDEX(Tariffe!$B$2:$B$200,MATCH(E62,Tariffe!$A$2:$A$200,0)),"DA DEFINIRE")</f>
        <v/>
      </c>
      <c r="G62" s="12" t="n">
        <v>24</v>
      </c>
      <c r="H62" s="11" t="n">
        <v>4</v>
      </c>
      <c r="I62" s="11" t="n">
        <v>0</v>
      </c>
      <c r="J62" s="12" t="n">
        <v>96</v>
      </c>
      <c r="K62" s="12" t="n">
        <v>0</v>
      </c>
      <c r="L62" s="12" t="n">
        <v>87.28</v>
      </c>
      <c r="M62" s="12" t="n">
        <v>8.720000000000001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20261031_2015</t>
        </is>
      </c>
      <c r="B63" s="13" t="n">
        <v>46326</v>
      </c>
      <c r="C63" s="14" t="n">
        <v>0.84375</v>
      </c>
      <c r="D63" s="23" t="inlineStr">
        <is>
          <t>UN Unico</t>
        </is>
      </c>
      <c r="E63" s="23" t="inlineStr">
        <is>
          <t>I5</t>
        </is>
      </c>
      <c r="F63" s="23">
        <f>IFERROR(INDEX(Tariffe!$B$2:$B$200,MATCH(E63,Tariffe!$A$2:$A$200,0)),"DA DEFINIRE")</f>
        <v/>
      </c>
      <c r="G63" s="16" t="n">
        <v>60</v>
      </c>
      <c r="H63" s="15" t="n">
        <v>1</v>
      </c>
      <c r="I63" s="15" t="n">
        <v>0</v>
      </c>
      <c r="J63" s="16" t="n">
        <v>60</v>
      </c>
      <c r="K63" s="16" t="n">
        <v>0</v>
      </c>
      <c r="L63" s="16" t="n">
        <v>54.55</v>
      </c>
      <c r="M63" s="16" t="n">
        <v>5.45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20261031_2015</t>
        </is>
      </c>
      <c r="B64" s="9" t="n">
        <v>46326</v>
      </c>
      <c r="C64" s="10" t="n">
        <v>0.84375</v>
      </c>
      <c r="D64" s="22" t="inlineStr">
        <is>
          <t>UN Unico</t>
        </is>
      </c>
      <c r="E64" s="22" t="inlineStr">
        <is>
          <t>I8</t>
        </is>
      </c>
      <c r="F64" s="22">
        <f>IFERROR(INDEX(Tariffe!$B$2:$B$200,MATCH(E64,Tariffe!$A$2:$A$200,0)),"DA DEFINIRE")</f>
        <v/>
      </c>
      <c r="G64" s="12" t="n">
        <v>24</v>
      </c>
      <c r="H64" s="11" t="n">
        <v>1</v>
      </c>
      <c r="I64" s="11" t="n">
        <v>0</v>
      </c>
      <c r="J64" s="12" t="n">
        <v>24</v>
      </c>
      <c r="K64" s="12" t="n">
        <v>0</v>
      </c>
      <c r="L64" s="12" t="n">
        <v>21.82</v>
      </c>
      <c r="M64" s="12" t="n">
        <v>2.18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20261031_2115</t>
        </is>
      </c>
      <c r="B65" s="13" t="n">
        <v>46326</v>
      </c>
      <c r="C65" s="14" t="n">
        <v>0.8854166666666666</v>
      </c>
      <c r="D65" s="23" t="inlineStr">
        <is>
          <t>UN Unico</t>
        </is>
      </c>
      <c r="E65" s="23" t="inlineStr">
        <is>
          <t>I1</t>
        </is>
      </c>
      <c r="F65" s="23">
        <f>IFERROR(INDEX(Tariffe!$B$2:$B$200,MATCH(E65,Tariffe!$A$2:$A$200,0)),"DA DEFINIRE")</f>
        <v/>
      </c>
      <c r="G65" s="16" t="n">
        <v>48</v>
      </c>
      <c r="H65" s="15" t="n">
        <v>1</v>
      </c>
      <c r="I65" s="15" t="n">
        <v>0</v>
      </c>
      <c r="J65" s="16" t="n">
        <v>48</v>
      </c>
      <c r="K65" s="16" t="n">
        <v>0</v>
      </c>
      <c r="L65" s="16" t="n">
        <v>43.64</v>
      </c>
      <c r="M65" s="16" t="n">
        <v>4.36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20261031_2115</t>
        </is>
      </c>
      <c r="B66" s="9" t="n">
        <v>46326</v>
      </c>
      <c r="C66" s="10" t="n">
        <v>0.8854166666666666</v>
      </c>
      <c r="D66" s="22" t="inlineStr">
        <is>
          <t>UN Unico</t>
        </is>
      </c>
      <c r="E66" s="22" t="inlineStr">
        <is>
          <t>I8</t>
        </is>
      </c>
      <c r="F66" s="22">
        <f>IFERROR(INDEX(Tariffe!$B$2:$B$200,MATCH(E66,Tariffe!$A$2:$A$200,0)),"DA DEFINIRE")</f>
        <v/>
      </c>
      <c r="G66" s="12" t="n">
        <v>24</v>
      </c>
      <c r="H66" s="11" t="n">
        <v>5</v>
      </c>
      <c r="I66" s="11" t="n">
        <v>0</v>
      </c>
      <c r="J66" s="12" t="n">
        <v>120</v>
      </c>
      <c r="K66" s="12" t="n">
        <v>0</v>
      </c>
      <c r="L66" s="12" t="n">
        <v>109.1</v>
      </c>
      <c r="M66" s="12" t="n">
        <v>10.9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20261031_2215</t>
        </is>
      </c>
      <c r="B67" s="13" t="n">
        <v>46326</v>
      </c>
      <c r="C67" s="14" t="n">
        <v>0.9270833333333334</v>
      </c>
      <c r="D67" s="23" t="inlineStr">
        <is>
          <t>UN Unico</t>
        </is>
      </c>
      <c r="E67" s="23" t="inlineStr">
        <is>
          <t>I1</t>
        </is>
      </c>
      <c r="F67" s="23">
        <f>IFERROR(INDEX(Tariffe!$B$2:$B$200,MATCH(E67,Tariffe!$A$2:$A$200,0)),"DA DEFINIRE")</f>
        <v/>
      </c>
      <c r="G67" s="16" t="n">
        <v>48</v>
      </c>
      <c r="H67" s="15" t="n">
        <v>2</v>
      </c>
      <c r="I67" s="15" t="n">
        <v>0</v>
      </c>
      <c r="J67" s="16" t="n">
        <v>96</v>
      </c>
      <c r="K67" s="16" t="n">
        <v>0</v>
      </c>
      <c r="L67" s="16" t="n">
        <v>87.28</v>
      </c>
      <c r="M67" s="16" t="n">
        <v>8.720000000000001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20261031_2215</t>
        </is>
      </c>
      <c r="B68" s="9" t="n">
        <v>46326</v>
      </c>
      <c r="C68" s="10" t="n">
        <v>0.9270833333333334</v>
      </c>
      <c r="D68" s="22" t="inlineStr">
        <is>
          <t>UN Unico</t>
        </is>
      </c>
      <c r="E68" s="22" t="inlineStr">
        <is>
          <t>I2</t>
        </is>
      </c>
      <c r="F68" s="22">
        <f>IFERROR(INDEX(Tariffe!$B$2:$B$200,MATCH(E68,Tariffe!$A$2:$A$200,0)),"DA DEFINIRE")</f>
        <v/>
      </c>
      <c r="G68" s="12" t="n">
        <v>36</v>
      </c>
      <c r="H68" s="11" t="n">
        <v>1</v>
      </c>
      <c r="I68" s="11" t="n">
        <v>0</v>
      </c>
      <c r="J68" s="12" t="n">
        <v>36</v>
      </c>
      <c r="K68" s="12" t="n">
        <v>0</v>
      </c>
      <c r="L68" s="12" t="n">
        <v>32.73</v>
      </c>
      <c r="M68" s="12" t="n">
        <v>3.27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20261031_2215</t>
        </is>
      </c>
      <c r="B69" s="13" t="n">
        <v>46326</v>
      </c>
      <c r="C69" s="14" t="n">
        <v>0.9270833333333334</v>
      </c>
      <c r="D69" s="23" t="inlineStr">
        <is>
          <t>UN Unico</t>
        </is>
      </c>
      <c r="E69" s="23" t="inlineStr">
        <is>
          <t>I8</t>
        </is>
      </c>
      <c r="F69" s="23">
        <f>IFERROR(INDEX(Tariffe!$B$2:$B$200,MATCH(E69,Tariffe!$A$2:$A$200,0)),"DA DEFINIRE")</f>
        <v/>
      </c>
      <c r="G69" s="16" t="n">
        <v>24</v>
      </c>
      <c r="H69" s="15" t="n">
        <v>4</v>
      </c>
      <c r="I69" s="15" t="n">
        <v>0</v>
      </c>
      <c r="J69" s="16" t="n">
        <v>96</v>
      </c>
      <c r="K69" s="16" t="n">
        <v>0</v>
      </c>
      <c r="L69" s="16" t="n">
        <v>87.28</v>
      </c>
      <c r="M69" s="16" t="n">
        <v>8.720000000000001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20261031_2315</t>
        </is>
      </c>
      <c r="B70" s="9" t="n">
        <v>46326</v>
      </c>
      <c r="C70" s="10" t="n">
        <v>0.96875</v>
      </c>
      <c r="D70" s="22" t="inlineStr">
        <is>
          <t>UN Unico</t>
        </is>
      </c>
      <c r="E70" s="22" t="inlineStr">
        <is>
          <t>I1</t>
        </is>
      </c>
      <c r="F70" s="22">
        <f>IFERROR(INDEX(Tariffe!$B$2:$B$200,MATCH(E70,Tariffe!$A$2:$A$200,0)),"DA DEFINIRE")</f>
        <v/>
      </c>
      <c r="G70" s="12" t="n">
        <v>48</v>
      </c>
      <c r="H70" s="11" t="n">
        <v>4</v>
      </c>
      <c r="I70" s="11" t="n">
        <v>0</v>
      </c>
      <c r="J70" s="12" t="n">
        <v>192</v>
      </c>
      <c r="K70" s="12" t="n">
        <v>0</v>
      </c>
      <c r="L70" s="12" t="n">
        <v>174.56</v>
      </c>
      <c r="M70" s="12" t="n">
        <v>17.44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20261031_2315</t>
        </is>
      </c>
      <c r="B71" s="13" t="n">
        <v>46326</v>
      </c>
      <c r="C71" s="14" t="n">
        <v>0.96875</v>
      </c>
      <c r="D71" s="23" t="inlineStr">
        <is>
          <t>UN Unico</t>
        </is>
      </c>
      <c r="E71" s="23" t="inlineStr">
        <is>
          <t>I8</t>
        </is>
      </c>
      <c r="F71" s="23">
        <f>IFERROR(INDEX(Tariffe!$B$2:$B$200,MATCH(E71,Tariffe!$A$2:$A$200,0)),"DA DEFINIRE")</f>
        <v/>
      </c>
      <c r="G71" s="16" t="n">
        <v>24</v>
      </c>
      <c r="H71" s="15" t="n">
        <v>6</v>
      </c>
      <c r="I71" s="15" t="n">
        <v>0</v>
      </c>
      <c r="J71" s="16" t="n">
        <v>144</v>
      </c>
      <c r="K71" s="16" t="n">
        <v>0</v>
      </c>
      <c r="L71" s="16" t="n">
        <v>130.92</v>
      </c>
      <c r="M71" s="16" t="n">
        <v>13.08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20261031_2359</t>
        </is>
      </c>
      <c r="B72" s="9" t="n">
        <v>46326</v>
      </c>
      <c r="C72" s="10" t="n">
        <v>0.9993055555555556</v>
      </c>
      <c r="D72" s="22" t="inlineStr">
        <is>
          <t>UN Unico</t>
        </is>
      </c>
      <c r="E72" s="22" t="inlineStr">
        <is>
          <t>I1</t>
        </is>
      </c>
      <c r="F72" s="22">
        <f>IFERROR(INDEX(Tariffe!$B$2:$B$200,MATCH(E72,Tariffe!$A$2:$A$200,0)),"DA DEFINIRE")</f>
        <v/>
      </c>
      <c r="G72" s="12" t="n">
        <v>48</v>
      </c>
      <c r="H72" s="11" t="n">
        <v>4</v>
      </c>
      <c r="I72" s="11" t="n">
        <v>0</v>
      </c>
      <c r="J72" s="12" t="n">
        <v>192</v>
      </c>
      <c r="K72" s="12" t="n">
        <v>0</v>
      </c>
      <c r="L72" s="12" t="n">
        <v>174.56</v>
      </c>
      <c r="M72" s="12" t="n">
        <v>17.44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20261031_2359</t>
        </is>
      </c>
      <c r="B73" s="13" t="n">
        <v>46326</v>
      </c>
      <c r="C73" s="14" t="n">
        <v>0.9993055555555556</v>
      </c>
      <c r="D73" s="23" t="inlineStr">
        <is>
          <t>UN Unico</t>
        </is>
      </c>
      <c r="E73" s="23" t="inlineStr">
        <is>
          <t>I8</t>
        </is>
      </c>
      <c r="F73" s="23">
        <f>IFERROR(INDEX(Tariffe!$B$2:$B$200,MATCH(E73,Tariffe!$A$2:$A$200,0)),"DA DEFINIRE")</f>
        <v/>
      </c>
      <c r="G73" s="16" t="n">
        <v>24</v>
      </c>
      <c r="H73" s="15" t="n">
        <v>2</v>
      </c>
      <c r="I73" s="15" t="n">
        <v>0</v>
      </c>
      <c r="J73" s="16" t="n">
        <v>48</v>
      </c>
      <c r="K73" s="16" t="n">
        <v>0</v>
      </c>
      <c r="L73" s="16" t="n">
        <v>43.64</v>
      </c>
      <c r="M73" s="16" t="n">
        <v>4.36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20261101_2015</t>
        </is>
      </c>
      <c r="B74" s="9" t="n">
        <v>46327</v>
      </c>
      <c r="C74" s="10" t="n">
        <v>0.84375</v>
      </c>
      <c r="D74" s="22" t="inlineStr">
        <is>
          <t>UN Unico</t>
        </is>
      </c>
      <c r="E74" s="22" t="inlineStr">
        <is>
          <t>I1</t>
        </is>
      </c>
      <c r="F74" s="22">
        <f>IFERROR(INDEX(Tariffe!$B$2:$B$200,MATCH(E74,Tariffe!$A$2:$A$200,0)),"DA DEFINIRE")</f>
        <v/>
      </c>
      <c r="G74" s="12" t="n">
        <v>48</v>
      </c>
      <c r="H74" s="11" t="n">
        <v>1</v>
      </c>
      <c r="I74" s="11" t="n">
        <v>0</v>
      </c>
      <c r="J74" s="12" t="n">
        <v>48</v>
      </c>
      <c r="K74" s="12" t="n">
        <v>0</v>
      </c>
      <c r="L74" s="12" t="n">
        <v>43.64</v>
      </c>
      <c r="M74" s="12" t="n">
        <v>4.36</v>
      </c>
      <c r="N74" s="22" t="inlineStr">
        <is>
          <t>11/2026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20261101_2115</t>
        </is>
      </c>
      <c r="B75" s="13" t="n">
        <v>46327</v>
      </c>
      <c r="C75" s="14" t="n">
        <v>0.8854166666666666</v>
      </c>
      <c r="D75" s="23" t="inlineStr">
        <is>
          <t>UN Unico</t>
        </is>
      </c>
      <c r="E75" s="23" t="inlineStr">
        <is>
          <t>I8</t>
        </is>
      </c>
      <c r="F75" s="23">
        <f>IFERROR(INDEX(Tariffe!$B$2:$B$200,MATCH(E75,Tariffe!$A$2:$A$200,0)),"DA DEFINIRE")</f>
        <v/>
      </c>
      <c r="G75" s="16" t="n">
        <v>24</v>
      </c>
      <c r="H75" s="15" t="n">
        <v>1</v>
      </c>
      <c r="I75" s="15" t="n">
        <v>0</v>
      </c>
      <c r="J75" s="16" t="n">
        <v>24</v>
      </c>
      <c r="K75" s="16" t="n">
        <v>0</v>
      </c>
      <c r="L75" s="16" t="n">
        <v>21.82</v>
      </c>
      <c r="M75" s="16" t="n">
        <v>2.18</v>
      </c>
      <c r="N75" s="23" t="inlineStr">
        <is>
          <t>11/2026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20261101_2215</t>
        </is>
      </c>
      <c r="B76" s="9" t="n">
        <v>46327</v>
      </c>
      <c r="C76" s="10" t="n">
        <v>0.9270833333333334</v>
      </c>
      <c r="D76" s="22" t="inlineStr">
        <is>
          <t>UN Unico</t>
        </is>
      </c>
      <c r="E76" s="22" t="inlineStr">
        <is>
          <t>I8</t>
        </is>
      </c>
      <c r="F76" s="22">
        <f>IFERROR(INDEX(Tariffe!$B$2:$B$200,MATCH(E76,Tariffe!$A$2:$A$200,0)),"DA DEFINIRE")</f>
        <v/>
      </c>
      <c r="G76" s="12" t="n">
        <v>24</v>
      </c>
      <c r="H76" s="11" t="n">
        <v>1</v>
      </c>
      <c r="I76" s="11" t="n">
        <v>0</v>
      </c>
      <c r="J76" s="12" t="n">
        <v>24</v>
      </c>
      <c r="K76" s="12" t="n">
        <v>0</v>
      </c>
      <c r="L76" s="12" t="n">
        <v>21.82</v>
      </c>
      <c r="M76" s="12" t="n">
        <v>2.18</v>
      </c>
      <c r="N76" s="22" t="inlineStr">
        <is>
          <t>11/2026</t>
        </is>
      </c>
      <c r="O76" s="11">
        <f>IFERROR(INDEX(Tariffe!$D$2:$D$200,MATCH(E76,Tariffe!$A$2:$A$200,0))*1,0)</f>
        <v/>
      </c>
      <c r="P76" s="11">
        <f>H76*O76</f>
        <v/>
      </c>
    </row>
  </sheetData>
  <autoFilter ref="A1:P76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</sheetData>
  <autoFilter ref="A1:G265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</sheetData>
  <autoFilter ref="A1:K191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4</v>
      </c>
      <c r="H4" s="11" t="n">
        <v>13</v>
      </c>
      <c r="I4" s="12" t="n">
        <v>156</v>
      </c>
      <c r="K4" s="38" t="inlineStr">
        <is>
          <t>Lunedì</t>
        </is>
      </c>
      <c r="L4" s="11" t="n">
        <v>49</v>
      </c>
      <c r="M4" s="11" t="n">
        <v>135</v>
      </c>
      <c r="N4" s="12" t="n">
        <v>1620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2</v>
      </c>
      <c r="H5" s="11" t="n">
        <v>4</v>
      </c>
      <c r="I5" s="12" t="n">
        <v>48</v>
      </c>
      <c r="K5" s="38" t="inlineStr">
        <is>
          <t>Martedì</t>
        </is>
      </c>
      <c r="L5" s="11" t="n">
        <v>26</v>
      </c>
      <c r="M5" s="11" t="n">
        <v>75</v>
      </c>
      <c r="N5" s="12" t="n">
        <v>900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23</v>
      </c>
      <c r="M6" s="11" t="n">
        <v>68</v>
      </c>
      <c r="N6" s="12" t="n">
        <v>816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35</v>
      </c>
      <c r="M7" s="11" t="n">
        <v>113</v>
      </c>
      <c r="N7" s="12" t="n">
        <v>1356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23</v>
      </c>
      <c r="M8" s="11" t="n">
        <v>72</v>
      </c>
      <c r="N8" s="12" t="n">
        <v>864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19</v>
      </c>
      <c r="M9" s="11" t="n">
        <v>47</v>
      </c>
      <c r="N9" s="12" t="n">
        <v>564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21</v>
      </c>
      <c r="M10" s="11" t="n">
        <v>63</v>
      </c>
      <c r="N10" s="12" t="n">
        <v>756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2</v>
      </c>
      <c r="H11" s="11" t="n">
        <v>6</v>
      </c>
      <c r="I11" s="12" t="n">
        <v>72</v>
      </c>
    </row>
    <row r="12"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F13" s="38" t="inlineStr">
        <is>
          <t>09:00-10:00</t>
        </is>
      </c>
      <c r="G13" s="11" t="n">
        <v>5</v>
      </c>
      <c r="H13" s="11" t="n">
        <v>16</v>
      </c>
      <c r="I13" s="12" t="n">
        <v>192</v>
      </c>
    </row>
    <row r="14">
      <c r="F14" s="38" t="inlineStr">
        <is>
          <t>10:00-11:00</t>
        </is>
      </c>
      <c r="G14" s="11" t="n">
        <v>4</v>
      </c>
      <c r="H14" s="11" t="n">
        <v>15</v>
      </c>
      <c r="I14" s="12" t="n">
        <v>180</v>
      </c>
    </row>
    <row r="15">
      <c r="F15" s="38" t="inlineStr">
        <is>
          <t>11:00-12:00</t>
        </is>
      </c>
      <c r="G15" s="11" t="n">
        <v>8</v>
      </c>
      <c r="H15" s="11" t="n">
        <v>23</v>
      </c>
      <c r="I15" s="12" t="n">
        <v>276</v>
      </c>
    </row>
    <row r="16">
      <c r="F16" s="38" t="inlineStr">
        <is>
          <t>12:00-13:00</t>
        </is>
      </c>
      <c r="G16" s="11" t="n">
        <v>13</v>
      </c>
      <c r="H16" s="11" t="n">
        <v>33</v>
      </c>
      <c r="I16" s="12" t="n">
        <v>396</v>
      </c>
    </row>
    <row r="17">
      <c r="F17" s="38" t="inlineStr">
        <is>
          <t>13:00-14:00</t>
        </is>
      </c>
      <c r="G17" s="11" t="n">
        <v>9</v>
      </c>
      <c r="H17" s="11" t="n">
        <v>19</v>
      </c>
      <c r="I17" s="12" t="n">
        <v>228</v>
      </c>
    </row>
    <row r="18">
      <c r="F18" s="38" t="inlineStr">
        <is>
          <t>14:00-15:00</t>
        </is>
      </c>
      <c r="G18" s="11" t="n">
        <v>6</v>
      </c>
      <c r="H18" s="11" t="n">
        <v>18</v>
      </c>
      <c r="I18" s="12" t="n">
        <v>216</v>
      </c>
    </row>
    <row r="19">
      <c r="F19" s="38" t="inlineStr">
        <is>
          <t>15:00-16:00</t>
        </is>
      </c>
      <c r="G19" s="11" t="n">
        <v>7</v>
      </c>
      <c r="H19" s="11" t="n">
        <v>18</v>
      </c>
      <c r="I19" s="12" t="n">
        <v>216</v>
      </c>
    </row>
    <row r="20">
      <c r="F20" s="38" t="inlineStr">
        <is>
          <t>16:00-17:00</t>
        </is>
      </c>
      <c r="G20" s="11" t="n">
        <v>14</v>
      </c>
      <c r="H20" s="11" t="n">
        <v>37</v>
      </c>
      <c r="I20" s="12" t="n">
        <v>444</v>
      </c>
    </row>
    <row r="21">
      <c r="F21" s="38" t="inlineStr">
        <is>
          <t>17:00-18:00</t>
        </is>
      </c>
      <c r="G21" s="11" t="n">
        <v>9</v>
      </c>
      <c r="H21" s="11" t="n">
        <v>29</v>
      </c>
      <c r="I21" s="12" t="n">
        <v>348</v>
      </c>
    </row>
    <row r="22">
      <c r="F22" s="38" t="inlineStr">
        <is>
          <t>18:00-19:00</t>
        </is>
      </c>
      <c r="G22" s="11" t="n">
        <v>8</v>
      </c>
      <c r="H22" s="11" t="n">
        <v>25</v>
      </c>
      <c r="I22" s="12" t="n">
        <v>300</v>
      </c>
    </row>
    <row r="23">
      <c r="F23" s="38" t="inlineStr">
        <is>
          <t>19:00-20:00</t>
        </is>
      </c>
      <c r="G23" s="11" t="n">
        <v>14</v>
      </c>
      <c r="H23" s="11" t="n">
        <v>47</v>
      </c>
      <c r="I23" s="12" t="n">
        <v>564</v>
      </c>
    </row>
    <row r="24">
      <c r="F24" s="38" t="inlineStr">
        <is>
          <t>20:00-21:00</t>
        </is>
      </c>
      <c r="G24" s="11" t="n">
        <v>25</v>
      </c>
      <c r="H24" s="11" t="n">
        <v>77</v>
      </c>
      <c r="I24" s="12" t="n">
        <v>924</v>
      </c>
    </row>
    <row r="25">
      <c r="F25" s="38" t="inlineStr">
        <is>
          <t>21:00-22:00</t>
        </is>
      </c>
      <c r="G25" s="11" t="n">
        <v>23</v>
      </c>
      <c r="H25" s="11" t="n">
        <v>66</v>
      </c>
      <c r="I25" s="12" t="n">
        <v>792</v>
      </c>
    </row>
    <row r="26">
      <c r="F26" s="38" t="inlineStr">
        <is>
          <t>22:00-23:00</t>
        </is>
      </c>
      <c r="G26" s="11" t="n">
        <v>29</v>
      </c>
      <c r="H26" s="11" t="n">
        <v>81</v>
      </c>
      <c r="I26" s="12" t="n">
        <v>972</v>
      </c>
    </row>
    <row r="27">
      <c r="F27" s="38" t="inlineStr">
        <is>
          <t>23:00-00:00</t>
        </is>
      </c>
      <c r="G27" s="11" t="n">
        <v>11</v>
      </c>
      <c r="H27" s="11" t="n">
        <v>37</v>
      </c>
      <c r="I27" s="12" t="n">
        <v>444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2026-10-13T01:19:57Z</dcterms:created>
  <dcterms:modified xsi:type="dcterms:W3CDTF">2026-10-13T01:19:57Z</dcterms:modified>
</cp:coreProperties>
</file>