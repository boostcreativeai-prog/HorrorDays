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'Storico'!$A$1:$G$168</definedName>
    <definedName name="_xlnm._FilterDatabase" localSheetId="8" hidden="1">'Registro vendite'!$A$1:$K$125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'Storico'!$H$2:$H$168</f>
            </numRef>
          </cat>
          <val>
            <numRef>
              <f>'Storico'!$C$2:$C$168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20261030_2359</t>
        </is>
      </c>
      <c r="B52" s="9" t="n">
        <v>46325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4</v>
      </c>
      <c r="I52" s="11" t="n">
        <v>0</v>
      </c>
      <c r="J52" s="12" t="n">
        <v>96</v>
      </c>
      <c r="K52" s="12" t="n">
        <v>0</v>
      </c>
      <c r="L52" s="12" t="n">
        <v>87.28</v>
      </c>
      <c r="M52" s="12" t="n">
        <v>8.720000000000001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20261031_2015</t>
        </is>
      </c>
      <c r="B53" s="13" t="n">
        <v>46326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20261031_2115</t>
        </is>
      </c>
      <c r="B55" s="13" t="n">
        <v>46326</v>
      </c>
      <c r="C55" s="14" t="n">
        <v>0.8854166666666666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20261031_2215</t>
        </is>
      </c>
      <c r="B57" s="13" t="n">
        <v>46326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20261031_2315</t>
        </is>
      </c>
      <c r="B59" s="13" t="n">
        <v>46326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4</v>
      </c>
      <c r="I59" s="15" t="n">
        <v>0</v>
      </c>
      <c r="J59" s="16" t="n">
        <v>192</v>
      </c>
      <c r="K59" s="16" t="n">
        <v>0</v>
      </c>
      <c r="L59" s="16" t="n">
        <v>174.56</v>
      </c>
      <c r="M59" s="16" t="n">
        <v>17.44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20261031_2359</t>
        </is>
      </c>
      <c r="B61" s="13" t="n">
        <v>46326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20261101_2015</t>
        </is>
      </c>
      <c r="B62" s="9" t="n">
        <v>46327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11/2026</t>
        </is>
      </c>
      <c r="O62" s="11">
        <f>IFERROR(INDEX(Tariffe!$D$2:$D$200,MATCH(E62,Tariffe!$A$2:$A$200,0))*1,0)</f>
        <v/>
      </c>
      <c r="P62" s="11">
        <f>H62*O62</f>
        <v/>
      </c>
    </row>
  </sheetData>
  <autoFilter ref="A1:P6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</sheetData>
  <autoFilter ref="A1:G1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</sheetData>
  <autoFilter ref="A1:K1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21</v>
      </c>
      <c r="C8" s="11" t="n">
        <v>64</v>
      </c>
      <c r="D8" s="12" t="n">
        <v>768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21</v>
      </c>
      <c r="M8" s="11" t="n">
        <v>64</v>
      </c>
      <c r="N8" s="12" t="n">
        <v>768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2026-10-09T21:17:40Z</dcterms:created>
  <dcterms:modified xsi:type="dcterms:W3CDTF">2026-10-09T21:17:40Z</dcterms:modified>
</cp:coreProperties>
</file>