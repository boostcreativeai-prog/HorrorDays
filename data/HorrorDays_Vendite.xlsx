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'Storico'!$A$1:$G$222</definedName>
    <definedName name="_xlnm._FilterDatabase" localSheetId="8" hidden="1">'Registro vendite'!$A$1:$K$156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'Storico'!$H$2:$H$222</f>
            </numRef>
          </cat>
          <val>
            <numRef>
              <f>'Storico'!$C$2:$C$222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vendite'!$A$4:$A$10</f>
            </numRef>
          </cat>
          <val>
            <numRef>
              <f>'Picchi vendite'!$B$4:$B$10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MAX(Storico!A2:A222)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8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2</v>
      </c>
      <c r="I29" s="15" t="n">
        <v>0</v>
      </c>
      <c r="J29" s="16" t="n">
        <v>120</v>
      </c>
      <c r="K29" s="16" t="n">
        <v>0</v>
      </c>
      <c r="L29" s="16" t="n">
        <v>109.1</v>
      </c>
      <c r="M29" s="16" t="n">
        <v>10.9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4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2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20261025_2315</t>
        </is>
      </c>
      <c r="B39" s="13" t="n">
        <v>46320</v>
      </c>
      <c r="C39" s="14" t="n">
        <v>0.96875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20261025_2359</t>
        </is>
      </c>
      <c r="B40" s="9" t="n">
        <v>46320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20261029_2015</t>
        </is>
      </c>
      <c r="B41" s="13" t="n">
        <v>46324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1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20261029_2015</t>
        </is>
      </c>
      <c r="B42" s="9" t="n">
        <v>46324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1</v>
      </c>
      <c r="I42" s="11" t="n">
        <v>0</v>
      </c>
      <c r="J42" s="12" t="n">
        <v>24</v>
      </c>
      <c r="K42" s="12" t="n">
        <v>0</v>
      </c>
      <c r="L42" s="12" t="n">
        <v>21.82</v>
      </c>
      <c r="M42" s="12" t="n">
        <v>2.18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20261029_2215</t>
        </is>
      </c>
      <c r="B43" s="13" t="n">
        <v>46324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3</v>
      </c>
      <c r="I43" s="15" t="n">
        <v>0</v>
      </c>
      <c r="J43" s="16" t="n">
        <v>144</v>
      </c>
      <c r="K43" s="16" t="n">
        <v>0</v>
      </c>
      <c r="L43" s="16" t="n">
        <v>130.92</v>
      </c>
      <c r="M43" s="16" t="n">
        <v>13.08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20261029_2215</t>
        </is>
      </c>
      <c r="B44" s="9" t="n">
        <v>46324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20261029_2215</t>
        </is>
      </c>
      <c r="B45" s="13" t="n">
        <v>46324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4</v>
      </c>
      <c r="I45" s="15" t="n">
        <v>0</v>
      </c>
      <c r="J45" s="16" t="n">
        <v>96</v>
      </c>
      <c r="K45" s="16" t="n">
        <v>0</v>
      </c>
      <c r="L45" s="16" t="n">
        <v>87.28</v>
      </c>
      <c r="M45" s="16" t="n">
        <v>8.720000000000001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20261029_2315</t>
        </is>
      </c>
      <c r="B46" s="9" t="n">
        <v>46324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20261029_2315</t>
        </is>
      </c>
      <c r="B47" s="13" t="n">
        <v>46324</v>
      </c>
      <c r="C47" s="14" t="n">
        <v>0.96875</v>
      </c>
      <c r="D47" s="23" t="inlineStr">
        <is>
          <t>UN Unico</t>
        </is>
      </c>
      <c r="E47" s="23" t="inlineStr">
        <is>
          <t>I5</t>
        </is>
      </c>
      <c r="F47" s="23">
        <f>IFERROR(INDEX(Tariffe!$B$2:$B$200,MATCH(E47,Tariffe!$A$2:$A$200,0)),"DA DEFINIRE")</f>
        <v/>
      </c>
      <c r="G47" s="16" t="n">
        <v>60</v>
      </c>
      <c r="H47" s="15" t="n">
        <v>1</v>
      </c>
      <c r="I47" s="15" t="n">
        <v>0</v>
      </c>
      <c r="J47" s="16" t="n">
        <v>60</v>
      </c>
      <c r="K47" s="16" t="n">
        <v>0</v>
      </c>
      <c r="L47" s="16" t="n">
        <v>54.55</v>
      </c>
      <c r="M47" s="16" t="n">
        <v>5.45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20261029_2359</t>
        </is>
      </c>
      <c r="B48" s="9" t="n">
        <v>46324</v>
      </c>
      <c r="C48" s="10" t="n">
        <v>0.9993055555555556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20261030_2015</t>
        </is>
      </c>
      <c r="B49" s="13" t="n">
        <v>46325</v>
      </c>
      <c r="C49" s="14" t="n">
        <v>0.84375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20261030_2015</t>
        </is>
      </c>
      <c r="B50" s="9" t="n">
        <v>46325</v>
      </c>
      <c r="C50" s="10" t="n">
        <v>0.84375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</v>
      </c>
      <c r="I50" s="11" t="n">
        <v>0</v>
      </c>
      <c r="J50" s="12" t="n">
        <v>24</v>
      </c>
      <c r="K50" s="12" t="n">
        <v>0</v>
      </c>
      <c r="L50" s="12" t="n">
        <v>21.82</v>
      </c>
      <c r="M50" s="12" t="n">
        <v>2.18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20261030_2115</t>
        </is>
      </c>
      <c r="B51" s="13" t="n">
        <v>46325</v>
      </c>
      <c r="C51" s="14" t="n">
        <v>0.8854166666666666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20261030_2215</t>
        </is>
      </c>
      <c r="B52" s="9" t="n">
        <v>46325</v>
      </c>
      <c r="C52" s="10" t="n">
        <v>0.9270833333333334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20261030_2215</t>
        </is>
      </c>
      <c r="B53" s="13" t="n">
        <v>46325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3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20261030_2315</t>
        </is>
      </c>
      <c r="B54" s="9" t="n">
        <v>46325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3</v>
      </c>
      <c r="I54" s="11" t="n">
        <v>0</v>
      </c>
      <c r="J54" s="12" t="n">
        <v>144</v>
      </c>
      <c r="K54" s="12" t="n">
        <v>0</v>
      </c>
      <c r="L54" s="12" t="n">
        <v>130.92</v>
      </c>
      <c r="M54" s="12" t="n">
        <v>13.08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20261030_2315</t>
        </is>
      </c>
      <c r="B55" s="13" t="n">
        <v>46325</v>
      </c>
      <c r="C55" s="14" t="n">
        <v>0.96875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20261030_2315</t>
        </is>
      </c>
      <c r="B56" s="9" t="n">
        <v>46325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2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20261030_2359</t>
        </is>
      </c>
      <c r="B57" s="13" t="n">
        <v>46325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4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20261031_2015</t>
        </is>
      </c>
      <c r="B58" s="9" t="n">
        <v>46326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20261031_2015</t>
        </is>
      </c>
      <c r="B59" s="13" t="n">
        <v>46326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20261031_2115</t>
        </is>
      </c>
      <c r="B60" s="9" t="n">
        <v>46326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20261031_2115</t>
        </is>
      </c>
      <c r="B61" s="13" t="n">
        <v>46326</v>
      </c>
      <c r="C61" s="14" t="n">
        <v>0.8854166666666666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20261031_2215</t>
        </is>
      </c>
      <c r="B62" s="9" t="n">
        <v>46326</v>
      </c>
      <c r="C62" s="10" t="n">
        <v>0.9270833333333334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2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20261031_2215</t>
        </is>
      </c>
      <c r="B63" s="13" t="n">
        <v>46326</v>
      </c>
      <c r="C63" s="14" t="n">
        <v>0.9270833333333334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2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20261031_2315</t>
        </is>
      </c>
      <c r="B64" s="9" t="n">
        <v>46326</v>
      </c>
      <c r="C64" s="10" t="n">
        <v>0.96875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4</v>
      </c>
      <c r="I64" s="11" t="n">
        <v>0</v>
      </c>
      <c r="J64" s="12" t="n">
        <v>192</v>
      </c>
      <c r="K64" s="12" t="n">
        <v>0</v>
      </c>
      <c r="L64" s="12" t="n">
        <v>174.56</v>
      </c>
      <c r="M64" s="12" t="n">
        <v>17.44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20261031_2315</t>
        </is>
      </c>
      <c r="B65" s="13" t="n">
        <v>46326</v>
      </c>
      <c r="C65" s="14" t="n">
        <v>0.96875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4</v>
      </c>
      <c r="I65" s="15" t="n">
        <v>0</v>
      </c>
      <c r="J65" s="16" t="n">
        <v>96</v>
      </c>
      <c r="K65" s="16" t="n">
        <v>0</v>
      </c>
      <c r="L65" s="16" t="n">
        <v>87.28</v>
      </c>
      <c r="M65" s="16" t="n">
        <v>8.720000000000001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20261031_2359</t>
        </is>
      </c>
      <c r="B66" s="9" t="n">
        <v>46326</v>
      </c>
      <c r="C66" s="10" t="n">
        <v>0.9993055555555556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3</v>
      </c>
      <c r="I66" s="11" t="n">
        <v>0</v>
      </c>
      <c r="J66" s="12" t="n">
        <v>144</v>
      </c>
      <c r="K66" s="12" t="n">
        <v>0</v>
      </c>
      <c r="L66" s="12" t="n">
        <v>130.92</v>
      </c>
      <c r="M66" s="12" t="n">
        <v>13.08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20261031_2359</t>
        </is>
      </c>
      <c r="B67" s="13" t="n">
        <v>46326</v>
      </c>
      <c r="C67" s="14" t="n">
        <v>0.9993055555555556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2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20261101_2015</t>
        </is>
      </c>
      <c r="B68" s="9" t="n">
        <v>46327</v>
      </c>
      <c r="C68" s="10" t="n">
        <v>0.84375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11/2026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20261101_2115</t>
        </is>
      </c>
      <c r="B69" s="13" t="n">
        <v>46327</v>
      </c>
      <c r="C69" s="14" t="n">
        <v>0.8854166666666666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1</v>
      </c>
      <c r="I69" s="15" t="n">
        <v>0</v>
      </c>
      <c r="J69" s="16" t="n">
        <v>24</v>
      </c>
      <c r="K69" s="16" t="n">
        <v>0</v>
      </c>
      <c r="L69" s="16" t="n">
        <v>21.82</v>
      </c>
      <c r="M69" s="16" t="n">
        <v>2.18</v>
      </c>
      <c r="N69" s="23" t="inlineStr">
        <is>
          <t>11/2026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20261101_2215</t>
        </is>
      </c>
      <c r="B70" s="9" t="n">
        <v>46327</v>
      </c>
      <c r="C70" s="10" t="n">
        <v>0.9270833333333334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1</v>
      </c>
      <c r="I70" s="11" t="n">
        <v>0</v>
      </c>
      <c r="J70" s="12" t="n">
        <v>24</v>
      </c>
      <c r="K70" s="12" t="n">
        <v>0</v>
      </c>
      <c r="L70" s="12" t="n">
        <v>21.82</v>
      </c>
      <c r="M70" s="12" t="n">
        <v>2.18</v>
      </c>
      <c r="N70" s="22" t="inlineStr">
        <is>
          <t>11/2026</t>
        </is>
      </c>
      <c r="O70" s="11">
        <f>IFERROR(INDEX(Tariffe!$D$2:$D$200,MATCH(E70,Tariffe!$A$2:$A$200,0))*1,0)</f>
        <v/>
      </c>
      <c r="P70" s="11">
        <f>H70*O70</f>
        <v/>
      </c>
    </row>
  </sheetData>
  <autoFilter ref="A1:P7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</sheetData>
  <autoFilter ref="A1:G22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</sheetData>
  <autoFilter ref="A1:K15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11</v>
      </c>
      <c r="C10" s="11" t="n">
        <v>27</v>
      </c>
      <c r="D10" s="12" t="n">
        <v>324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11</v>
      </c>
      <c r="M10" s="11" t="n">
        <v>27</v>
      </c>
      <c r="N10" s="12" t="n">
        <v>324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7</v>
      </c>
      <c r="H15" s="11" t="n">
        <v>21</v>
      </c>
      <c r="I15" s="12" t="n">
        <v>252</v>
      </c>
    </row>
    <row r="16">
      <c r="F16" s="38" t="inlineStr">
        <is>
          <t>12:00-13:00</t>
        </is>
      </c>
      <c r="G16" s="11" t="n">
        <v>12</v>
      </c>
      <c r="H16" s="11" t="n">
        <v>29</v>
      </c>
      <c r="I16" s="12" t="n">
        <v>348</v>
      </c>
    </row>
    <row r="17">
      <c r="F17" s="38" t="inlineStr">
        <is>
          <t>13:00-14:00</t>
        </is>
      </c>
      <c r="G17" s="11" t="n">
        <v>10</v>
      </c>
      <c r="H17" s="11" t="n">
        <v>23</v>
      </c>
      <c r="I17" s="12" t="n">
        <v>276</v>
      </c>
    </row>
    <row r="18">
      <c r="F18" s="38" t="inlineStr">
        <is>
          <t>14:00-15:00</t>
        </is>
      </c>
      <c r="G18" s="11" t="n">
        <v>3</v>
      </c>
      <c r="H18" s="11" t="n">
        <v>10</v>
      </c>
      <c r="I18" s="12" t="n">
        <v>120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6</v>
      </c>
      <c r="H22" s="11" t="n">
        <v>18</v>
      </c>
      <c r="I22" s="12" t="n">
        <v>216</v>
      </c>
    </row>
    <row r="23">
      <c r="F23" s="38" t="inlineStr">
        <is>
          <t>19:00-20:00</t>
        </is>
      </c>
      <c r="G23" s="11" t="n">
        <v>7</v>
      </c>
      <c r="H23" s="11" t="n">
        <v>26</v>
      </c>
      <c r="I23" s="12" t="n">
        <v>312</v>
      </c>
    </row>
    <row r="24">
      <c r="F24" s="38" t="inlineStr">
        <is>
          <t>20:00-21:00</t>
        </is>
      </c>
      <c r="G24" s="11" t="n">
        <v>15</v>
      </c>
      <c r="H24" s="11" t="n">
        <v>41</v>
      </c>
      <c r="I24" s="12" t="n">
        <v>492</v>
      </c>
    </row>
    <row r="25">
      <c r="F25" s="38" t="inlineStr">
        <is>
          <t>21:00-22:00</t>
        </is>
      </c>
      <c r="G25" s="11" t="n">
        <v>17</v>
      </c>
      <c r="H25" s="11" t="n">
        <v>53</v>
      </c>
      <c r="I25" s="12" t="n">
        <v>636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2026-10-11T15:14:21Z</dcterms:created>
  <dcterms:modified xsi:type="dcterms:W3CDTF">2026-10-11T15:14:21Z</dcterms:modified>
</cp:coreProperties>
</file>