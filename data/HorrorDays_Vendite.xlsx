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'Vendite'!$A$1:$P$43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'Storico'!$A$1:$G$93</definedName>
    <definedName name="_xlnm._FilterDatabase" localSheetId="8" hidden="1">'Registro vendite'!$A$1:$K$68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'Storico'!$H$2:$H$93</f>
            </numRef>
          </cat>
          <val>
            <numRef>
              <f>'Storico'!$C$2:$C$93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MAX(Storico!A2:A93)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4</v>
      </c>
      <c r="I5" s="15" t="n">
        <v>0</v>
      </c>
      <c r="J5" s="16" t="n">
        <v>192</v>
      </c>
      <c r="K5" s="16" t="n">
        <v>0</v>
      </c>
      <c r="L5" s="16" t="n">
        <v>174.56</v>
      </c>
      <c r="M5" s="16" t="n">
        <v>17.44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3</v>
      </c>
      <c r="I7" s="15" t="n">
        <v>0</v>
      </c>
      <c r="J7" s="16" t="n">
        <v>72</v>
      </c>
      <c r="K7" s="16" t="n">
        <v>0</v>
      </c>
      <c r="L7" s="16" t="n">
        <v>65.45999999999999</v>
      </c>
      <c r="M7" s="16" t="n">
        <v>6.54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I1</t>
        </is>
      </c>
      <c r="F8" s="22">
        <f>IFERROR(INDEX(Tariffe!$B$2:$B$200,MATCH(E8,Tariffe!$A$2:$A$200,0)),"DA DEFINIRE")</f>
        <v/>
      </c>
      <c r="G8" s="12" t="n">
        <v>48</v>
      </c>
      <c r="H8" s="11" t="n">
        <v>1</v>
      </c>
      <c r="I8" s="11" t="n">
        <v>0</v>
      </c>
      <c r="J8" s="12" t="n">
        <v>48</v>
      </c>
      <c r="K8" s="12" t="n">
        <v>0</v>
      </c>
      <c r="L8" s="12" t="n">
        <v>43.64</v>
      </c>
      <c r="M8" s="12" t="n">
        <v>4.36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I2</t>
        </is>
      </c>
      <c r="F9" s="23">
        <f>IFERROR(INDEX(Tariffe!$B$2:$B$200,MATCH(E9,Tariffe!$A$2:$A$200,0)),"DA DEFINIRE")</f>
        <v/>
      </c>
      <c r="G9" s="16" t="n">
        <v>36</v>
      </c>
      <c r="H9" s="15" t="n">
        <v>1</v>
      </c>
      <c r="I9" s="15" t="n">
        <v>0</v>
      </c>
      <c r="J9" s="16" t="n">
        <v>36</v>
      </c>
      <c r="K9" s="16" t="n">
        <v>0</v>
      </c>
      <c r="L9" s="16" t="n">
        <v>32.73</v>
      </c>
      <c r="M9" s="16" t="n">
        <v>3.27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I5</t>
        </is>
      </c>
      <c r="F10" s="22">
        <f>IFERROR(INDEX(Tariffe!$B$2:$B$200,MATCH(E10,Tariffe!$A$2:$A$200,0)),"DA DEFINIRE")</f>
        <v/>
      </c>
      <c r="G10" s="12" t="n">
        <v>60</v>
      </c>
      <c r="H10" s="11" t="n">
        <v>1</v>
      </c>
      <c r="I10" s="11" t="n">
        <v>0</v>
      </c>
      <c r="J10" s="12" t="n">
        <v>60</v>
      </c>
      <c r="K10" s="12" t="n">
        <v>0</v>
      </c>
      <c r="L10" s="12" t="n">
        <v>54.55</v>
      </c>
      <c r="M10" s="12" t="n">
        <v>5.45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I8</t>
        </is>
      </c>
      <c r="F11" s="23">
        <f>IFERROR(INDEX(Tariffe!$B$2:$B$200,MATCH(E11,Tariffe!$A$2:$A$200,0)),"DA DEFINIRE")</f>
        <v/>
      </c>
      <c r="G11" s="16" t="n">
        <v>24</v>
      </c>
      <c r="H11" s="15" t="n">
        <v>4</v>
      </c>
      <c r="I11" s="15" t="n">
        <v>0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I1</t>
        </is>
      </c>
      <c r="F12" s="22">
        <f>IFERROR(INDEX(Tariffe!$B$2:$B$200,MATCH(E12,Tariffe!$A$2:$A$200,0)),"DA DEFINIRE")</f>
        <v/>
      </c>
      <c r="G12" s="12" t="n">
        <v>48</v>
      </c>
      <c r="H12" s="11" t="n">
        <v>1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</v>
      </c>
      <c r="I13" s="15" t="n">
        <v>0</v>
      </c>
      <c r="J13" s="16" t="n">
        <v>72</v>
      </c>
      <c r="K13" s="16" t="n">
        <v>0</v>
      </c>
      <c r="L13" s="16" t="n">
        <v>65.45999999999999</v>
      </c>
      <c r="M13" s="16" t="n">
        <v>6.54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20261024_2015</t>
        </is>
      </c>
      <c r="B14" s="9" t="n">
        <v>46319</v>
      </c>
      <c r="C14" s="10" t="n">
        <v>0.84375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I8</t>
        </is>
      </c>
      <c r="F15" s="23">
        <f>IFERROR(INDEX(Tariffe!$B$2:$B$200,MATCH(E15,Tariffe!$A$2:$A$200,0)),"DA DEFINIRE")</f>
        <v/>
      </c>
      <c r="G15" s="16" t="n">
        <v>24</v>
      </c>
      <c r="H15" s="15" t="n">
        <v>1</v>
      </c>
      <c r="I15" s="15" t="n">
        <v>0</v>
      </c>
      <c r="J15" s="16" t="n">
        <v>24</v>
      </c>
      <c r="K15" s="16" t="n">
        <v>0</v>
      </c>
      <c r="L15" s="16" t="n">
        <v>21.82</v>
      </c>
      <c r="M15" s="16" t="n">
        <v>2.18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20261024_2115</t>
        </is>
      </c>
      <c r="B16" s="9" t="n">
        <v>46319</v>
      </c>
      <c r="C16" s="10" t="n">
        <v>0.8854166666666666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1</v>
      </c>
      <c r="I16" s="11" t="n">
        <v>0</v>
      </c>
      <c r="J16" s="12" t="n">
        <v>60</v>
      </c>
      <c r="K16" s="12" t="n">
        <v>0</v>
      </c>
      <c r="L16" s="12" t="n">
        <v>54.55</v>
      </c>
      <c r="M16" s="12" t="n">
        <v>5.45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20261024_2215</t>
        </is>
      </c>
      <c r="B18" s="9" t="n">
        <v>46319</v>
      </c>
      <c r="C18" s="10" t="n">
        <v>0.9270833333333334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2</v>
      </c>
      <c r="I18" s="11" t="n">
        <v>0</v>
      </c>
      <c r="J18" s="12" t="n">
        <v>96</v>
      </c>
      <c r="K18" s="12" t="n">
        <v>0</v>
      </c>
      <c r="L18" s="12" t="n">
        <v>87.28</v>
      </c>
      <c r="M18" s="12" t="n">
        <v>8.720000000000001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1</v>
      </c>
      <c r="I19" s="15" t="n">
        <v>0</v>
      </c>
      <c r="J19" s="16" t="n">
        <v>36</v>
      </c>
      <c r="K19" s="16" t="n">
        <v>0</v>
      </c>
      <c r="L19" s="16" t="n">
        <v>32.73</v>
      </c>
      <c r="M19" s="16" t="n">
        <v>3.27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5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20261024_2315</t>
        </is>
      </c>
      <c r="B21" s="13" t="n">
        <v>46319</v>
      </c>
      <c r="C21" s="14" t="n">
        <v>0.96875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2</v>
      </c>
      <c r="I22" s="11" t="n">
        <v>0</v>
      </c>
      <c r="J22" s="12" t="n">
        <v>48</v>
      </c>
      <c r="K22" s="12" t="n">
        <v>0</v>
      </c>
      <c r="L22" s="12" t="n">
        <v>43.64</v>
      </c>
      <c r="M22" s="12" t="n">
        <v>4.36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20261024_2359</t>
        </is>
      </c>
      <c r="B23" s="13" t="n">
        <v>46319</v>
      </c>
      <c r="C23" s="14" t="n">
        <v>0.9993055555555556</v>
      </c>
      <c r="D23" s="23" t="inlineStr">
        <is>
          <t>UN Unico</t>
        </is>
      </c>
      <c r="E23" s="23" t="inlineStr">
        <is>
          <t>I1</t>
        </is>
      </c>
      <c r="F23" s="23">
        <f>IFERROR(INDEX(Tariffe!$B$2:$B$200,MATCH(E23,Tariffe!$A$2:$A$200,0)),"DA DEFINIRE")</f>
        <v/>
      </c>
      <c r="G23" s="16" t="n">
        <v>48</v>
      </c>
      <c r="H23" s="15" t="n">
        <v>1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20261025_2015</t>
        </is>
      </c>
      <c r="B25" s="13" t="n">
        <v>46320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</v>
      </c>
      <c r="I26" s="11" t="n">
        <v>0</v>
      </c>
      <c r="J26" s="12" t="n">
        <v>24</v>
      </c>
      <c r="K26" s="12" t="n">
        <v>0</v>
      </c>
      <c r="L26" s="12" t="n">
        <v>21.82</v>
      </c>
      <c r="M26" s="12" t="n">
        <v>2.18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20261025_2115</t>
        </is>
      </c>
      <c r="B27" s="13" t="n">
        <v>46320</v>
      </c>
      <c r="C27" s="14" t="n">
        <v>0.8854166666666666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20261025_2215</t>
        </is>
      </c>
      <c r="B28" s="9" t="n">
        <v>46320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20261025_2315</t>
        </is>
      </c>
      <c r="B29" s="13" t="n">
        <v>46320</v>
      </c>
      <c r="C29" s="14" t="n">
        <v>0.96875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20261029_2015</t>
        </is>
      </c>
      <c r="B30" s="9" t="n">
        <v>46324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20261029_2215</t>
        </is>
      </c>
      <c r="B31" s="13" t="n">
        <v>46324</v>
      </c>
      <c r="C31" s="14" t="n">
        <v>0.9270833333333334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20261029_2359</t>
        </is>
      </c>
      <c r="B34" s="9" t="n">
        <v>46324</v>
      </c>
      <c r="C34" s="10" t="n">
        <v>0.9993055555555556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20261030_2015</t>
        </is>
      </c>
      <c r="B35" s="13" t="n">
        <v>46325</v>
      </c>
      <c r="C35" s="14" t="n">
        <v>0.84375</v>
      </c>
      <c r="D35" s="23" t="inlineStr">
        <is>
          <t>UN Unico</t>
        </is>
      </c>
      <c r="E35" s="23" t="inlineStr">
        <is>
          <t>I1</t>
        </is>
      </c>
      <c r="F35" s="23">
        <f>IFERROR(INDEX(Tariffe!$B$2:$B$200,MATCH(E35,Tariffe!$A$2:$A$200,0)),"DA DEFINIRE")</f>
        <v/>
      </c>
      <c r="G35" s="16" t="n">
        <v>48</v>
      </c>
      <c r="H35" s="15" t="n">
        <v>1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20261030_2115</t>
        </is>
      </c>
      <c r="B36" s="9" t="n">
        <v>46325</v>
      </c>
      <c r="C36" s="10" t="n">
        <v>0.8854166666666666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20261030_2215</t>
        </is>
      </c>
      <c r="B37" s="13" t="n">
        <v>46325</v>
      </c>
      <c r="C37" s="14" t="n">
        <v>0.9270833333333334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20261030_2315</t>
        </is>
      </c>
      <c r="B38" s="9" t="n">
        <v>46325</v>
      </c>
      <c r="C38" s="10" t="n">
        <v>0.96875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2</v>
      </c>
      <c r="I38" s="11" t="n">
        <v>0</v>
      </c>
      <c r="J38" s="12" t="n">
        <v>96</v>
      </c>
      <c r="K38" s="12" t="n">
        <v>0</v>
      </c>
      <c r="L38" s="12" t="n">
        <v>87.28</v>
      </c>
      <c r="M38" s="12" t="n">
        <v>8.720000000000001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20261030_2359</t>
        </is>
      </c>
      <c r="B39" s="13" t="n">
        <v>46325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20261031_2115</t>
        </is>
      </c>
      <c r="B40" s="9" t="n">
        <v>46326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20261031_2315</t>
        </is>
      </c>
      <c r="B41" s="13" t="n">
        <v>46326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1</v>
      </c>
      <c r="I42" s="11" t="n">
        <v>0</v>
      </c>
      <c r="J42" s="12" t="n">
        <v>24</v>
      </c>
      <c r="K42" s="12" t="n">
        <v>0</v>
      </c>
      <c r="L42" s="12" t="n">
        <v>21.82</v>
      </c>
      <c r="M42" s="12" t="n">
        <v>2.18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20261031_2359</t>
        </is>
      </c>
      <c r="B43" s="13" t="n">
        <v>46326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</sheetData>
  <autoFilter ref="A1:P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</sheetData>
  <autoFilter ref="A1:G9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</sheetData>
  <autoFilter ref="A1:K6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20</v>
      </c>
      <c r="C6" s="11" t="n">
        <v>57</v>
      </c>
      <c r="D6" s="12" t="n">
        <v>684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20</v>
      </c>
      <c r="M6" s="11" t="n">
        <v>57</v>
      </c>
      <c r="N6" s="12" t="n">
        <v>684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2026-10-07T20:43:19Z</dcterms:created>
  <dcterms:modified xsi:type="dcterms:W3CDTF">2026-10-07T20:43:19Z</dcterms:modified>
</cp:coreProperties>
</file>