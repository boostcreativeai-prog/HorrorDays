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'Storico'!$A$1:$G$144</definedName>
    <definedName name="_xlnm._FilterDatabase" localSheetId="8" hidden="1">'Registro vendite'!$A$1:$K$108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'Storico'!$H$2:$H$144</f>
            </numRef>
          </cat>
          <val>
            <numRef>
              <f>'Storico'!$C$2:$C$144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vendite'!$A$4:$A$8</f>
            </numRef>
          </cat>
          <val>
            <numRef>
              <f>'Picchi vendite'!$B$4:$B$8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MAX(Storico!A2:A144)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8</v>
      </c>
      <c r="I6" s="11" t="n">
        <v>0</v>
      </c>
      <c r="J6" s="12" t="n">
        <v>384</v>
      </c>
      <c r="K6" s="12" t="n">
        <v>0</v>
      </c>
      <c r="L6" s="12" t="n">
        <v>349.12</v>
      </c>
      <c r="M6" s="12" t="n">
        <v>34.88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1</v>
      </c>
      <c r="I8" s="11" t="n">
        <v>0</v>
      </c>
      <c r="J8" s="12" t="n">
        <v>60</v>
      </c>
      <c r="K8" s="12" t="n">
        <v>0</v>
      </c>
      <c r="L8" s="12" t="n">
        <v>54.55</v>
      </c>
      <c r="M8" s="12" t="n">
        <v>5.45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5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</v>
      </c>
      <c r="I10" s="11" t="n">
        <v>1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7</v>
      </c>
      <c r="I13" s="15" t="n">
        <v>0</v>
      </c>
      <c r="J13" s="16" t="n">
        <v>168</v>
      </c>
      <c r="K13" s="16" t="n">
        <v>0</v>
      </c>
      <c r="L13" s="16" t="n">
        <v>152.74</v>
      </c>
      <c r="M13" s="16" t="n">
        <v>15.26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2</v>
      </c>
      <c r="I15" s="15" t="n">
        <v>0</v>
      </c>
      <c r="J15" s="16" t="n">
        <v>72</v>
      </c>
      <c r="K15" s="16" t="n">
        <v>0</v>
      </c>
      <c r="L15" s="16" t="n">
        <v>65.45999999999999</v>
      </c>
      <c r="M15" s="16" t="n">
        <v>6.54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20261024_2015</t>
        </is>
      </c>
      <c r="B17" s="13" t="n">
        <v>46319</v>
      </c>
      <c r="C17" s="14" t="n">
        <v>0.84375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1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1</v>
      </c>
      <c r="I18" s="11" t="n">
        <v>0</v>
      </c>
      <c r="J18" s="12" t="n">
        <v>24</v>
      </c>
      <c r="K18" s="12" t="n">
        <v>0</v>
      </c>
      <c r="L18" s="12" t="n">
        <v>21.82</v>
      </c>
      <c r="M18" s="12" t="n">
        <v>2.18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20261024_2115</t>
        </is>
      </c>
      <c r="B19" s="13" t="n">
        <v>46319</v>
      </c>
      <c r="C19" s="14" t="n">
        <v>0.8854166666666666</v>
      </c>
      <c r="D19" s="23" t="inlineStr">
        <is>
          <t>UN Unico</t>
        </is>
      </c>
      <c r="E19" s="23" t="inlineStr">
        <is>
          <t>I5</t>
        </is>
      </c>
      <c r="F19" s="23">
        <f>IFERROR(INDEX(Tariffe!$B$2:$B$200,MATCH(E19,Tariffe!$A$2:$A$200,0)),"DA DEFINIRE")</f>
        <v/>
      </c>
      <c r="G19" s="16" t="n">
        <v>60</v>
      </c>
      <c r="H19" s="15" t="n">
        <v>1</v>
      </c>
      <c r="I19" s="15" t="n">
        <v>0</v>
      </c>
      <c r="J19" s="16" t="n">
        <v>60</v>
      </c>
      <c r="K19" s="16" t="n">
        <v>0</v>
      </c>
      <c r="L19" s="16" t="n">
        <v>54.55</v>
      </c>
      <c r="M19" s="16" t="n">
        <v>5.45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3</v>
      </c>
      <c r="I20" s="11" t="n">
        <v>0</v>
      </c>
      <c r="J20" s="12" t="n">
        <v>72</v>
      </c>
      <c r="K20" s="12" t="n">
        <v>0</v>
      </c>
      <c r="L20" s="12" t="n">
        <v>65.45999999999999</v>
      </c>
      <c r="M20" s="12" t="n">
        <v>6.54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3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6</v>
      </c>
      <c r="I23" s="15" t="n">
        <v>0</v>
      </c>
      <c r="J23" s="16" t="n">
        <v>144</v>
      </c>
      <c r="K23" s="16" t="n">
        <v>0</v>
      </c>
      <c r="L23" s="16" t="n">
        <v>130.92</v>
      </c>
      <c r="M23" s="16" t="n">
        <v>13.08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I5</t>
        </is>
      </c>
      <c r="F25" s="23">
        <f>IFERROR(INDEX(Tariffe!$B$2:$B$200,MATCH(E25,Tariffe!$A$2:$A$200,0)),"DA DEFINIRE")</f>
        <v/>
      </c>
      <c r="G25" s="16" t="n">
        <v>60</v>
      </c>
      <c r="H25" s="15" t="n">
        <v>2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2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20261024_2359</t>
        </is>
      </c>
      <c r="B27" s="13" t="n">
        <v>46319</v>
      </c>
      <c r="C27" s="14" t="n">
        <v>0.9993055555555556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20261024_2359</t>
        </is>
      </c>
      <c r="B28" s="9" t="n">
        <v>46319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20261025_2015</t>
        </is>
      </c>
      <c r="B29" s="13" t="n">
        <v>46320</v>
      </c>
      <c r="C29" s="14" t="n">
        <v>0.84375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20261025_2015</t>
        </is>
      </c>
      <c r="B30" s="9" t="n">
        <v>46320</v>
      </c>
      <c r="C30" s="10" t="n">
        <v>0.84375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20261025_2115</t>
        </is>
      </c>
      <c r="B31" s="13" t="n">
        <v>46320</v>
      </c>
      <c r="C31" s="14" t="n">
        <v>0.8854166666666666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20261025_2115</t>
        </is>
      </c>
      <c r="B32" s="9" t="n">
        <v>46320</v>
      </c>
      <c r="C32" s="10" t="n">
        <v>0.8854166666666666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20261025_2215</t>
        </is>
      </c>
      <c r="B33" s="13" t="n">
        <v>46320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20261025_2315</t>
        </is>
      </c>
      <c r="B34" s="9" t="n">
        <v>46320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20261025_2359</t>
        </is>
      </c>
      <c r="B35" s="13" t="n">
        <v>46320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20261029_2015</t>
        </is>
      </c>
      <c r="B36" s="9" t="n">
        <v>46324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20261029_2015</t>
        </is>
      </c>
      <c r="B37" s="13" t="n">
        <v>46324</v>
      </c>
      <c r="C37" s="14" t="n">
        <v>0.84375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4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20261029_2315</t>
        </is>
      </c>
      <c r="B41" s="13" t="n">
        <v>46324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2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20261029_2315</t>
        </is>
      </c>
      <c r="B42" s="9" t="n">
        <v>46324</v>
      </c>
      <c r="C42" s="10" t="n">
        <v>0.96875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20261029_2359</t>
        </is>
      </c>
      <c r="B43" s="13" t="n">
        <v>46324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20261030_2015</t>
        </is>
      </c>
      <c r="B44" s="9" t="n">
        <v>46325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20261030_2115</t>
        </is>
      </c>
      <c r="B45" s="13" t="n">
        <v>46325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20261030_2215</t>
        </is>
      </c>
      <c r="B46" s="9" t="n">
        <v>46325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20261030_2315</t>
        </is>
      </c>
      <c r="B47" s="13" t="n">
        <v>46325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20261030_2315</t>
        </is>
      </c>
      <c r="B48" s="9" t="n">
        <v>46325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20261030_2359</t>
        </is>
      </c>
      <c r="B49" s="13" t="n">
        <v>46325</v>
      </c>
      <c r="C49" s="14" t="n">
        <v>0.9993055555555556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20261031_2015</t>
        </is>
      </c>
      <c r="B50" s="9" t="n">
        <v>46326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20261031_2015</t>
        </is>
      </c>
      <c r="B51" s="13" t="n">
        <v>46326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20261031_2115</t>
        </is>
      </c>
      <c r="B52" s="9" t="n">
        <v>46326</v>
      </c>
      <c r="C52" s="10" t="n">
        <v>0.8854166666666666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20261031_2115</t>
        </is>
      </c>
      <c r="B53" s="13" t="n">
        <v>46326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20261031_2215</t>
        </is>
      </c>
      <c r="B54" s="9" t="n">
        <v>46326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2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20261031_2315</t>
        </is>
      </c>
      <c r="B55" s="13" t="n">
        <v>46326</v>
      </c>
      <c r="C55" s="14" t="n">
        <v>0.96875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2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20261031_2315</t>
        </is>
      </c>
      <c r="B56" s="9" t="n">
        <v>46326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20261031_2359</t>
        </is>
      </c>
      <c r="B57" s="13" t="n">
        <v>46326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20261101_2015</t>
        </is>
      </c>
      <c r="B58" s="9" t="n">
        <v>46327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11/2026</t>
        </is>
      </c>
      <c r="O58" s="11">
        <f>IFERROR(INDEX(Tariffe!$D$2:$D$200,MATCH(E58,Tariffe!$A$2:$A$200,0))*1,0)</f>
        <v/>
      </c>
      <c r="P58" s="11">
        <f>H58*O58</f>
        <v/>
      </c>
    </row>
  </sheetData>
  <autoFilter ref="A1:P5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</sheetData>
  <autoFilter ref="A1:G14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</sheetData>
  <autoFilter ref="A1:K10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</v>
      </c>
      <c r="H4" s="11" t="n">
        <v>6</v>
      </c>
      <c r="I4" s="12" t="n">
        <v>72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</v>
      </c>
      <c r="C8" s="11" t="n">
        <v>8</v>
      </c>
      <c r="D8" s="12" t="n">
        <v>96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</v>
      </c>
      <c r="M8" s="11" t="n">
        <v>8</v>
      </c>
      <c r="N8" s="12" t="n">
        <v>96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5</v>
      </c>
      <c r="H15" s="11" t="n">
        <v>17</v>
      </c>
      <c r="I15" s="12" t="n">
        <v>204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2</v>
      </c>
      <c r="H18" s="11" t="n">
        <v>7</v>
      </c>
      <c r="I18" s="12" t="n">
        <v>84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5</v>
      </c>
      <c r="H21" s="11" t="n">
        <v>17</v>
      </c>
      <c r="I21" s="12" t="n">
        <v>204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6</v>
      </c>
      <c r="H23" s="11" t="n">
        <v>22</v>
      </c>
      <c r="I23" s="12" t="n">
        <v>264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12</v>
      </c>
      <c r="H25" s="11" t="n">
        <v>38</v>
      </c>
      <c r="I25" s="12" t="n">
        <v>456</v>
      </c>
    </row>
    <row r="26">
      <c r="F26" s="38" t="inlineStr">
        <is>
          <t>22:00-23:00</t>
        </is>
      </c>
      <c r="G26" s="11" t="n">
        <v>22</v>
      </c>
      <c r="H26" s="11" t="n">
        <v>59</v>
      </c>
      <c r="I26" s="12" t="n">
        <v>708</v>
      </c>
    </row>
    <row r="27">
      <c r="F27" s="38" t="inlineStr">
        <is>
          <t>23:00-00:00</t>
        </is>
      </c>
      <c r="G27" s="11" t="n">
        <v>7</v>
      </c>
      <c r="H27" s="11" t="n">
        <v>21</v>
      </c>
      <c r="I27" s="12" t="n">
        <v>252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2026-10-09T06:21:30Z</dcterms:created>
  <dcterms:modified xsi:type="dcterms:W3CDTF">2026-10-09T06:21:30Z</dcterms:modified>
</cp:coreProperties>
</file>