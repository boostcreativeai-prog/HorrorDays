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'Storico'!$A$1:$G$315</definedName>
    <definedName name="_xlnm._FilterDatabase" localSheetId="8" hidden="1">'Registro vendite'!$A$1:$K$233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'Storico'!$H$2:$H$315</f>
            </numRef>
          </cat>
          <val>
            <numRef>
              <f>'Storico'!$C$2:$C$315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5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13</v>
      </c>
      <c r="I8" s="11" t="n">
        <v>0</v>
      </c>
      <c r="J8" s="12" t="n">
        <v>312</v>
      </c>
      <c r="K8" s="12" t="n">
        <v>0</v>
      </c>
      <c r="L8" s="12" t="n">
        <v>283.66</v>
      </c>
      <c r="M8" s="12" t="n">
        <v>28.34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20261025_2115</t>
        </is>
      </c>
      <c r="B39" s="13" t="n">
        <v>46320</v>
      </c>
      <c r="C39" s="14" t="n">
        <v>0.8854166666666666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20261025_2215</t>
        </is>
      </c>
      <c r="B41" s="13" t="n">
        <v>46320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20261025_2315</t>
        </is>
      </c>
      <c r="B43" s="13" t="n">
        <v>46320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2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20261025_2359</t>
        </is>
      </c>
      <c r="B45" s="13" t="n">
        <v>46320</v>
      </c>
      <c r="C45" s="14" t="n">
        <v>0.9993055555555556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20261029_2115</t>
        </is>
      </c>
      <c r="B50" s="9" t="n">
        <v>46324</v>
      </c>
      <c r="C50" s="10" t="n">
        <v>0.8854166666666666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3</v>
      </c>
      <c r="I52" s="11" t="n">
        <v>0</v>
      </c>
      <c r="J52" s="12" t="n">
        <v>144</v>
      </c>
      <c r="K52" s="12" t="n">
        <v>0</v>
      </c>
      <c r="L52" s="12" t="n">
        <v>130.92</v>
      </c>
      <c r="M52" s="12" t="n">
        <v>13.08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2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5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20261029_2315</t>
        </is>
      </c>
      <c r="B55" s="13" t="n">
        <v>46324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4</v>
      </c>
      <c r="I55" s="15" t="n">
        <v>0</v>
      </c>
      <c r="J55" s="16" t="n">
        <v>192</v>
      </c>
      <c r="K55" s="16" t="n">
        <v>0</v>
      </c>
      <c r="L55" s="16" t="n">
        <v>174.56</v>
      </c>
      <c r="M55" s="16" t="n">
        <v>17.44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20261029_2359</t>
        </is>
      </c>
      <c r="B57" s="13" t="n">
        <v>46324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20261030_2015</t>
        </is>
      </c>
      <c r="B58" s="9" t="n">
        <v>46325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20261030_2115</t>
        </is>
      </c>
      <c r="B60" s="9" t="n">
        <v>46325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20261030_2215</t>
        </is>
      </c>
      <c r="B62" s="9" t="n">
        <v>46325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3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3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20261030_2359</t>
        </is>
      </c>
      <c r="B67" s="13" t="n">
        <v>46325</v>
      </c>
      <c r="C67" s="14" t="n">
        <v>0.9993055555555556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20261031_2015</t>
        </is>
      </c>
      <c r="B69" s="13" t="n">
        <v>46326</v>
      </c>
      <c r="C69" s="14" t="n">
        <v>0.84375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20261031_2115</t>
        </is>
      </c>
      <c r="B71" s="13" t="n">
        <v>46326</v>
      </c>
      <c r="C71" s="14" t="n">
        <v>0.8854166666666666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3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I2</t>
        </is>
      </c>
      <c r="F74" s="22">
        <f>IFERROR(INDEX(Tariffe!$B$2:$B$200,MATCH(E74,Tariffe!$A$2:$A$200,0)),"DA DEFINIRE")</f>
        <v/>
      </c>
      <c r="G74" s="12" t="n">
        <v>36</v>
      </c>
      <c r="H74" s="11" t="n">
        <v>1</v>
      </c>
      <c r="I74" s="11" t="n">
        <v>0</v>
      </c>
      <c r="J74" s="12" t="n">
        <v>36</v>
      </c>
      <c r="K74" s="12" t="n">
        <v>0</v>
      </c>
      <c r="L74" s="12" t="n">
        <v>32.73</v>
      </c>
      <c r="M74" s="12" t="n">
        <v>3.27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20261031_2315</t>
        </is>
      </c>
      <c r="B76" s="9" t="n">
        <v>46326</v>
      </c>
      <c r="C76" s="10" t="n">
        <v>0.96875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6</v>
      </c>
      <c r="I76" s="11" t="n">
        <v>0</v>
      </c>
      <c r="J76" s="12" t="n">
        <v>288</v>
      </c>
      <c r="K76" s="12" t="n">
        <v>0</v>
      </c>
      <c r="L76" s="12" t="n">
        <v>261.84</v>
      </c>
      <c r="M76" s="12" t="n">
        <v>26.16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20261031_2359</t>
        </is>
      </c>
      <c r="B78" s="9" t="n">
        <v>46326</v>
      </c>
      <c r="C78" s="10" t="n">
        <v>0.9993055555555556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20261101_2015</t>
        </is>
      </c>
      <c r="B80" s="9" t="n">
        <v>46327</v>
      </c>
      <c r="C80" s="10" t="n">
        <v>0.84375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20261101_2115</t>
        </is>
      </c>
      <c r="B81" s="13" t="n">
        <v>46327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20261101_2215</t>
        </is>
      </c>
      <c r="B82" s="9" t="n">
        <v>46327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2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20261101_2359</t>
        </is>
      </c>
      <c r="B84" s="9" t="n">
        <v>46327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</sheetData>
  <autoFilter ref="A1:P8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</sheetData>
  <autoFilter ref="A1:G3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</sheetData>
  <autoFilter ref="A1:K23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41</v>
      </c>
      <c r="M6" s="11" t="n">
        <v>127</v>
      </c>
      <c r="N6" s="12" t="n">
        <v>1524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18</v>
      </c>
      <c r="C13" s="11" t="n">
        <v>59</v>
      </c>
      <c r="D13" s="12" t="n">
        <v>708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2026-10-14T18:32:22Z</dcterms:created>
  <dcterms:modified xsi:type="dcterms:W3CDTF">2026-10-14T18:32:23Z</dcterms:modified>
</cp:coreProperties>
</file>