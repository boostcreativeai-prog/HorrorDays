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'Vendite'!$A$1:$P$60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'Storico'!$A$1:$G$159</definedName>
    <definedName name="_xlnm._FilterDatabase" localSheetId="8" hidden="1">'Registro vendite'!$A$1:$K$117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'Storico'!$H$2:$H$159</f>
            </numRef>
          </cat>
          <val>
            <numRef>
              <f>'Storico'!$C$2:$C$159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vendite'!$A$4:$A$8</f>
            </numRef>
          </cat>
          <val>
            <numRef>
              <f>'Picchi vendite'!$B$4:$B$8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MAX(Storico!A2:A159)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4</v>
      </c>
      <c r="I6" s="11" t="n">
        <v>0</v>
      </c>
      <c r="J6" s="12" t="n">
        <v>96</v>
      </c>
      <c r="K6" s="12" t="n">
        <v>0</v>
      </c>
      <c r="L6" s="12" t="n">
        <v>87.28</v>
      </c>
      <c r="M6" s="12" t="n">
        <v>8.720000000000001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8</v>
      </c>
      <c r="I7" s="15" t="n">
        <v>0</v>
      </c>
      <c r="J7" s="16" t="n">
        <v>384</v>
      </c>
      <c r="K7" s="16" t="n">
        <v>0</v>
      </c>
      <c r="L7" s="16" t="n">
        <v>349.12</v>
      </c>
      <c r="M7" s="16" t="n">
        <v>34.88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5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8</v>
      </c>
      <c r="I14" s="11" t="n">
        <v>0</v>
      </c>
      <c r="J14" s="12" t="n">
        <v>192</v>
      </c>
      <c r="K14" s="12" t="n">
        <v>0</v>
      </c>
      <c r="L14" s="12" t="n">
        <v>174.56</v>
      </c>
      <c r="M14" s="12" t="n">
        <v>17.44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2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6</v>
      </c>
      <c r="I24" s="11" t="n">
        <v>0</v>
      </c>
      <c r="J24" s="12" t="n">
        <v>144</v>
      </c>
      <c r="K24" s="12" t="n">
        <v>0</v>
      </c>
      <c r="L24" s="12" t="n">
        <v>130.92</v>
      </c>
      <c r="M24" s="12" t="n">
        <v>13.08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I5</t>
        </is>
      </c>
      <c r="F26" s="22">
        <f>IFERROR(INDEX(Tariffe!$B$2:$B$200,MATCH(E26,Tariffe!$A$2:$A$200,0)),"DA DEFINIRE")</f>
        <v/>
      </c>
      <c r="G26" s="12" t="n">
        <v>60</v>
      </c>
      <c r="H26" s="11" t="n">
        <v>2</v>
      </c>
      <c r="I26" s="11" t="n">
        <v>0</v>
      </c>
      <c r="J26" s="12" t="n">
        <v>120</v>
      </c>
      <c r="K26" s="12" t="n">
        <v>0</v>
      </c>
      <c r="L26" s="12" t="n">
        <v>109.1</v>
      </c>
      <c r="M26" s="12" t="n">
        <v>10.9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3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20261024_2359</t>
        </is>
      </c>
      <c r="B28" s="9" t="n">
        <v>46319</v>
      </c>
      <c r="C28" s="10" t="n">
        <v>0.9993055555555556</v>
      </c>
      <c r="D28" s="22" t="inlineStr">
        <is>
          <t>UN Unico</t>
        </is>
      </c>
      <c r="E28" s="22" t="inlineStr">
        <is>
          <t>I1</t>
        </is>
      </c>
      <c r="F28" s="22">
        <f>IFERROR(INDEX(Tariffe!$B$2:$B$200,MATCH(E28,Tariffe!$A$2:$A$200,0)),"DA DEFINIRE")</f>
        <v/>
      </c>
      <c r="G28" s="12" t="n">
        <v>48</v>
      </c>
      <c r="H28" s="11" t="n">
        <v>1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20261025_2015</t>
        </is>
      </c>
      <c r="B30" s="9" t="n">
        <v>46320</v>
      </c>
      <c r="C30" s="10" t="n">
        <v>0.84375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1</v>
      </c>
      <c r="I30" s="11" t="n">
        <v>0</v>
      </c>
      <c r="J30" s="12" t="n">
        <v>48</v>
      </c>
      <c r="K30" s="12" t="n">
        <v>0</v>
      </c>
      <c r="L30" s="12" t="n">
        <v>43.64</v>
      </c>
      <c r="M30" s="12" t="n">
        <v>4.36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I8</t>
        </is>
      </c>
      <c r="F31" s="23">
        <f>IFERROR(INDEX(Tariffe!$B$2:$B$200,MATCH(E31,Tariffe!$A$2:$A$200,0)),"DA DEFINIRE")</f>
        <v/>
      </c>
      <c r="G31" s="16" t="n">
        <v>24</v>
      </c>
      <c r="H31" s="15" t="n">
        <v>1</v>
      </c>
      <c r="I31" s="15" t="n">
        <v>0</v>
      </c>
      <c r="J31" s="16" t="n">
        <v>24</v>
      </c>
      <c r="K31" s="16" t="n">
        <v>0</v>
      </c>
      <c r="L31" s="16" t="n">
        <v>21.82</v>
      </c>
      <c r="M31" s="16" t="n">
        <v>2.18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20261025_2115</t>
        </is>
      </c>
      <c r="B32" s="9" t="n">
        <v>46320</v>
      </c>
      <c r="C32" s="10" t="n">
        <v>0.8854166666666666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2</v>
      </c>
      <c r="I32" s="11" t="n">
        <v>0</v>
      </c>
      <c r="J32" s="12" t="n">
        <v>96</v>
      </c>
      <c r="K32" s="12" t="n">
        <v>0</v>
      </c>
      <c r="L32" s="12" t="n">
        <v>87.28</v>
      </c>
      <c r="M32" s="12" t="n">
        <v>8.720000000000001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20261025_2115</t>
        </is>
      </c>
      <c r="B33" s="13" t="n">
        <v>46320</v>
      </c>
      <c r="C33" s="14" t="n">
        <v>0.8854166666666666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20261025_2215</t>
        </is>
      </c>
      <c r="B34" s="9" t="n">
        <v>46320</v>
      </c>
      <c r="C34" s="10" t="n">
        <v>0.9270833333333334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2</v>
      </c>
      <c r="I34" s="11" t="n">
        <v>0</v>
      </c>
      <c r="J34" s="12" t="n">
        <v>48</v>
      </c>
      <c r="K34" s="12" t="n">
        <v>0</v>
      </c>
      <c r="L34" s="12" t="n">
        <v>43.64</v>
      </c>
      <c r="M34" s="12" t="n">
        <v>4.36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20261025_2315</t>
        </is>
      </c>
      <c r="B35" s="13" t="n">
        <v>46320</v>
      </c>
      <c r="C35" s="14" t="n">
        <v>0.96875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20261025_2359</t>
        </is>
      </c>
      <c r="B36" s="9" t="n">
        <v>46320</v>
      </c>
      <c r="C36" s="10" t="n">
        <v>0.9993055555555556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20261029_2015</t>
        </is>
      </c>
      <c r="B37" s="13" t="n">
        <v>46324</v>
      </c>
      <c r="C37" s="14" t="n">
        <v>0.84375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1</v>
      </c>
      <c r="I37" s="15" t="n">
        <v>0</v>
      </c>
      <c r="J37" s="16" t="n">
        <v>48</v>
      </c>
      <c r="K37" s="16" t="n">
        <v>0</v>
      </c>
      <c r="L37" s="16" t="n">
        <v>43.64</v>
      </c>
      <c r="M37" s="16" t="n">
        <v>4.36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20261029_2015</t>
        </is>
      </c>
      <c r="B38" s="9" t="n">
        <v>46324</v>
      </c>
      <c r="C38" s="10" t="n">
        <v>0.84375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20261029_2215</t>
        </is>
      </c>
      <c r="B39" s="13" t="n">
        <v>46324</v>
      </c>
      <c r="C39" s="14" t="n">
        <v>0.9270833333333334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3</v>
      </c>
      <c r="I39" s="15" t="n">
        <v>0</v>
      </c>
      <c r="J39" s="16" t="n">
        <v>144</v>
      </c>
      <c r="K39" s="16" t="n">
        <v>0</v>
      </c>
      <c r="L39" s="16" t="n">
        <v>130.92</v>
      </c>
      <c r="M39" s="16" t="n">
        <v>13.08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I2</t>
        </is>
      </c>
      <c r="F40" s="22">
        <f>IFERROR(INDEX(Tariffe!$B$2:$B$200,MATCH(E40,Tariffe!$A$2:$A$200,0)),"DA DEFINIRE")</f>
        <v/>
      </c>
      <c r="G40" s="12" t="n">
        <v>36</v>
      </c>
      <c r="H40" s="11" t="n">
        <v>1</v>
      </c>
      <c r="I40" s="11" t="n">
        <v>0</v>
      </c>
      <c r="J40" s="12" t="n">
        <v>36</v>
      </c>
      <c r="K40" s="12" t="n">
        <v>0</v>
      </c>
      <c r="L40" s="12" t="n">
        <v>32.73</v>
      </c>
      <c r="M40" s="12" t="n">
        <v>3.27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4</v>
      </c>
      <c r="I41" s="15" t="n">
        <v>0</v>
      </c>
      <c r="J41" s="16" t="n">
        <v>96</v>
      </c>
      <c r="K41" s="16" t="n">
        <v>0</v>
      </c>
      <c r="L41" s="16" t="n">
        <v>87.28</v>
      </c>
      <c r="M41" s="16" t="n">
        <v>8.720000000000001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20261029_2315</t>
        </is>
      </c>
      <c r="B42" s="9" t="n">
        <v>46324</v>
      </c>
      <c r="C42" s="10" t="n">
        <v>0.96875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2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20261029_2315</t>
        </is>
      </c>
      <c r="B43" s="13" t="n">
        <v>46324</v>
      </c>
      <c r="C43" s="14" t="n">
        <v>0.96875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1</v>
      </c>
      <c r="I43" s="15" t="n">
        <v>0</v>
      </c>
      <c r="J43" s="16" t="n">
        <v>60</v>
      </c>
      <c r="K43" s="16" t="n">
        <v>0</v>
      </c>
      <c r="L43" s="16" t="n">
        <v>54.55</v>
      </c>
      <c r="M43" s="16" t="n">
        <v>5.45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20261029_2359</t>
        </is>
      </c>
      <c r="B44" s="9" t="n">
        <v>46324</v>
      </c>
      <c r="C44" s="10" t="n">
        <v>0.9993055555555556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20261030_2015</t>
        </is>
      </c>
      <c r="B45" s="13" t="n">
        <v>46325</v>
      </c>
      <c r="C45" s="14" t="n">
        <v>0.84375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20261030_2115</t>
        </is>
      </c>
      <c r="B46" s="9" t="n">
        <v>46325</v>
      </c>
      <c r="C46" s="10" t="n">
        <v>0.8854166666666666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20261030_2215</t>
        </is>
      </c>
      <c r="B47" s="13" t="n">
        <v>46325</v>
      </c>
      <c r="C47" s="14" t="n">
        <v>0.9270833333333334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20261030_2315</t>
        </is>
      </c>
      <c r="B48" s="9" t="n">
        <v>46325</v>
      </c>
      <c r="C48" s="10" t="n">
        <v>0.96875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20261030_2315</t>
        </is>
      </c>
      <c r="B49" s="13" t="n">
        <v>46325</v>
      </c>
      <c r="C49" s="14" t="n">
        <v>0.96875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1</v>
      </c>
      <c r="I49" s="15" t="n">
        <v>0</v>
      </c>
      <c r="J49" s="16" t="n">
        <v>24</v>
      </c>
      <c r="K49" s="16" t="n">
        <v>0</v>
      </c>
      <c r="L49" s="16" t="n">
        <v>21.82</v>
      </c>
      <c r="M49" s="16" t="n">
        <v>2.18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20261030_2359</t>
        </is>
      </c>
      <c r="B50" s="9" t="n">
        <v>46325</v>
      </c>
      <c r="C50" s="10" t="n">
        <v>0.9993055555555556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4</v>
      </c>
      <c r="I50" s="11" t="n">
        <v>0</v>
      </c>
      <c r="J50" s="12" t="n">
        <v>96</v>
      </c>
      <c r="K50" s="12" t="n">
        <v>0</v>
      </c>
      <c r="L50" s="12" t="n">
        <v>87.28</v>
      </c>
      <c r="M50" s="12" t="n">
        <v>8.720000000000001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20261031_2015</t>
        </is>
      </c>
      <c r="B51" s="13" t="n">
        <v>46326</v>
      </c>
      <c r="C51" s="14" t="n">
        <v>0.84375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20261031_2015</t>
        </is>
      </c>
      <c r="B52" s="9" t="n">
        <v>46326</v>
      </c>
      <c r="C52" s="10" t="n">
        <v>0.84375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1</v>
      </c>
      <c r="I52" s="11" t="n">
        <v>0</v>
      </c>
      <c r="J52" s="12" t="n">
        <v>24</v>
      </c>
      <c r="K52" s="12" t="n">
        <v>0</v>
      </c>
      <c r="L52" s="12" t="n">
        <v>21.82</v>
      </c>
      <c r="M52" s="12" t="n">
        <v>2.18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20261031_2115</t>
        </is>
      </c>
      <c r="B53" s="13" t="n">
        <v>46326</v>
      </c>
      <c r="C53" s="14" t="n">
        <v>0.8854166666666666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20261031_2115</t>
        </is>
      </c>
      <c r="B54" s="9" t="n">
        <v>46326</v>
      </c>
      <c r="C54" s="10" t="n">
        <v>0.8854166666666666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20261031_2215</t>
        </is>
      </c>
      <c r="B55" s="13" t="n">
        <v>46326</v>
      </c>
      <c r="C55" s="14" t="n">
        <v>0.9270833333333334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2</v>
      </c>
      <c r="I55" s="15" t="n">
        <v>0</v>
      </c>
      <c r="J55" s="16" t="n">
        <v>96</v>
      </c>
      <c r="K55" s="16" t="n">
        <v>0</v>
      </c>
      <c r="L55" s="16" t="n">
        <v>87.28</v>
      </c>
      <c r="M55" s="16" t="n">
        <v>8.720000000000001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20261031_2215</t>
        </is>
      </c>
      <c r="B56" s="9" t="n">
        <v>46326</v>
      </c>
      <c r="C56" s="10" t="n">
        <v>0.9270833333333334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20261031_2315</t>
        </is>
      </c>
      <c r="B57" s="13" t="n">
        <v>46326</v>
      </c>
      <c r="C57" s="14" t="n">
        <v>0.96875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3</v>
      </c>
      <c r="I57" s="15" t="n">
        <v>0</v>
      </c>
      <c r="J57" s="16" t="n">
        <v>144</v>
      </c>
      <c r="K57" s="16" t="n">
        <v>0</v>
      </c>
      <c r="L57" s="16" t="n">
        <v>130.92</v>
      </c>
      <c r="M57" s="16" t="n">
        <v>13.08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20261031_2315</t>
        </is>
      </c>
      <c r="B58" s="9" t="n">
        <v>46326</v>
      </c>
      <c r="C58" s="10" t="n">
        <v>0.96875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20261031_2359</t>
        </is>
      </c>
      <c r="B59" s="13" t="n">
        <v>46326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20261101_2015</t>
        </is>
      </c>
      <c r="B60" s="9" t="n">
        <v>46327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11/2026</t>
        </is>
      </c>
      <c r="O60" s="11">
        <f>IFERROR(INDEX(Tariffe!$D$2:$D$200,MATCH(E60,Tariffe!$A$2:$A$200,0))*1,0)</f>
        <v/>
      </c>
      <c r="P60" s="11">
        <f>H60*O60</f>
        <v/>
      </c>
    </row>
  </sheetData>
  <autoFilter ref="A1:P6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</sheetData>
  <autoFilter ref="A1:G15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</sheetData>
  <autoFilter ref="A1:K11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</v>
      </c>
      <c r="H4" s="11" t="n">
        <v>6</v>
      </c>
      <c r="I4" s="12" t="n">
        <v>72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10</v>
      </c>
      <c r="C8" s="11" t="n">
        <v>28</v>
      </c>
      <c r="D8" s="12" t="n">
        <v>336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10</v>
      </c>
      <c r="M8" s="11" t="n">
        <v>28</v>
      </c>
      <c r="N8" s="12" t="n">
        <v>336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6</v>
      </c>
      <c r="H23" s="11" t="n">
        <v>22</v>
      </c>
      <c r="I23" s="12" t="n">
        <v>264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12</v>
      </c>
      <c r="H25" s="11" t="n">
        <v>38</v>
      </c>
      <c r="I25" s="12" t="n">
        <v>456</v>
      </c>
    </row>
    <row r="26">
      <c r="F26" s="38" t="inlineStr">
        <is>
          <t>22:00-23:00</t>
        </is>
      </c>
      <c r="G26" s="11" t="n">
        <v>22</v>
      </c>
      <c r="H26" s="11" t="n">
        <v>59</v>
      </c>
      <c r="I26" s="12" t="n">
        <v>708</v>
      </c>
    </row>
    <row r="27">
      <c r="F27" s="38" t="inlineStr">
        <is>
          <t>23:00-00:00</t>
        </is>
      </c>
      <c r="G27" s="11" t="n">
        <v>7</v>
      </c>
      <c r="H27" s="11" t="n">
        <v>21</v>
      </c>
      <c r="I27" s="12" t="n">
        <v>252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2026-10-09T17:05:48Z</dcterms:created>
  <dcterms:modified xsi:type="dcterms:W3CDTF">2026-10-09T17:05:48Z</dcterms:modified>
</cp:coreProperties>
</file>