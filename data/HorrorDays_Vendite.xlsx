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'Tariffe'!$A$1:$D$3</definedName>
    <definedName name="_xlnm._FilterDatabase" localSheetId="2" hidden="1">'Tipologie'!$A$1:$G$4</definedName>
    <definedName name="_xlnm._FilterDatabase" localSheetId="3" hidden="1">'Spettacoli'!$A$1:$Q$36</definedName>
    <definedName name="_xlnm._FilterDatabase" localSheetId="4" hidden="1">'Vendite'!$A$1:$P$11</definedName>
    <definedName name="_xlnm._FilterDatabase" localSheetId="5" hidden="1">'Per tariffa'!$A$1:$G$3</definedName>
    <definedName name="_xlnm._FilterDatabase" localSheetId="6" hidden="1">'Per serata'!$A$1:$R$8</definedName>
    <definedName name="_xlnm._FilterDatabase" localSheetId="7" hidden="1">'Storico'!$A$1:$G$14</definedName>
    <definedName name="_xlnm._FilterDatabase" localSheetId="8" hidden="1">'Registro vendite'!$A$1:$J$14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4B6A6"/>
            </a:solidFill>
            <a:ln>
              <a:prstDash val="solid"/>
            </a:ln>
          </spPr>
          <cat>
            <numRef>
              <f>'Per serata'!$S$2:$S$8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serata'!$S$2:$S$8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'Per serata'!$S$2:$S$8</f>
            </numRef>
          </cat>
          <val>
            <numRef>
              <f>'Per serata'!$R$2:$R$8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'Tipologie'!$A$2:$A$4</f>
            </numRef>
          </cat>
          <val>
            <numRef>
              <f>'Tipologie'!$D$2:$D$4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'Storico'!$H$2:$H$14</f>
            </numRef>
          </cat>
          <val>
            <numRef>
              <f>'Storico'!$C$2:$C$14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</f>
            </numRef>
          </cat>
          <val>
            <numRef>
              <f>'Picchi vendite'!$B$4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INDEX(Spettacoli!$B$2:$B$36,MATCH(LARGE(Spettacoli!$Q$2:$Q$36,1),Spettacoli!$Q$2:$Q$36,0))</f>
        <v/>
      </c>
      <c r="L6" s="10">
        <f>INDEX(Spettacoli!$D$2:$D$36,MATCH(LARGE(Spettacoli!$Q$2:$Q$36,1),Spettacoli!$Q$2:$Q$36,0))</f>
        <v/>
      </c>
      <c r="M6" s="11">
        <f>INDEX(Spettacoli!$F$2:$F$36,MATCH(LARGE(Spettacoli!$Q$2:$Q$36,1),Spettacoli!$Q$2:$Q$36,0))</f>
        <v/>
      </c>
      <c r="N6" s="11">
        <f>INDEX(Spettacoli!$G$2:$G$36,MATCH(LARGE(Spettacoli!$Q$2:$Q$36,1),Spettacoli!$Q$2:$Q$36,0))</f>
        <v/>
      </c>
      <c r="O6" s="12">
        <f>INDEX(Spettacoli!$L$2:$L$36,MATCH(LARGE(Spettacoli!$Q$2:$Q$36,1),Spettacoli!$Q$2:$Q$36,0))</f>
        <v/>
      </c>
    </row>
    <row r="7">
      <c r="K7" s="13">
        <f>INDEX(Spettacoli!$B$2:$B$36,MATCH(LARGE(Spettacoli!$Q$2:$Q$36,2),Spettacoli!$Q$2:$Q$36,0))</f>
        <v/>
      </c>
      <c r="L7" s="14">
        <f>INDEX(Spettacoli!$D$2:$D$36,MATCH(LARGE(Spettacoli!$Q$2:$Q$36,2),Spettacoli!$Q$2:$Q$36,0))</f>
        <v/>
      </c>
      <c r="M7" s="15">
        <f>INDEX(Spettacoli!$F$2:$F$36,MATCH(LARGE(Spettacoli!$Q$2:$Q$36,2),Spettacoli!$Q$2:$Q$36,0))</f>
        <v/>
      </c>
      <c r="N7" s="15">
        <f>INDEX(Spettacoli!$G$2:$G$36,MATCH(LARGE(Spettacoli!$Q$2:$Q$36,2),Spettacoli!$Q$2:$Q$36,0))</f>
        <v/>
      </c>
      <c r="O7" s="16">
        <f>INDEX(Spettacoli!$L$2:$L$36,MATCH(LARGE(Spettacoli!$Q$2:$Q$36,2),Spettacoli!$Q$2:$Q$36,0))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INDEX(Spettacoli!$B$2:$B$36,MATCH(LARGE(Spettacoli!$Q$2:$Q$36,3),Spettacoli!$Q$2:$Q$36,0))</f>
        <v/>
      </c>
      <c r="L8" s="10">
        <f>INDEX(Spettacoli!$D$2:$D$36,MATCH(LARGE(Spettacoli!$Q$2:$Q$36,3),Spettacoli!$Q$2:$Q$36,0))</f>
        <v/>
      </c>
      <c r="M8" s="11">
        <f>INDEX(Spettacoli!$F$2:$F$36,MATCH(LARGE(Spettacoli!$Q$2:$Q$36,3),Spettacoli!$Q$2:$Q$36,0))</f>
        <v/>
      </c>
      <c r="N8" s="11">
        <f>INDEX(Spettacoli!$G$2:$G$36,MATCH(LARGE(Spettacoli!$Q$2:$Q$36,3),Spettacoli!$Q$2:$Q$36,0))</f>
        <v/>
      </c>
      <c r="O8" s="12">
        <f>INDEX(Spettacoli!$L$2:$L$36,MATCH(LARGE(Spettacoli!$Q$2:$Q$36,3),Spettacoli!$Q$2:$Q$36,0))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COUNTIF(Spettacoli!P2:P36,"Venduto")&amp;" / "&amp;COUNTA(Spettacoli!A2:A36)</f>
        <v/>
      </c>
      <c r="I9" s="5" t="n"/>
      <c r="K9" s="13">
        <f>INDEX(Spettacoli!$B$2:$B$36,MATCH(LARGE(Spettacoli!$Q$2:$Q$36,4),Spettacoli!$Q$2:$Q$36,0))</f>
        <v/>
      </c>
      <c r="L9" s="14">
        <f>INDEX(Spettacoli!$D$2:$D$36,MATCH(LARGE(Spettacoli!$Q$2:$Q$36,4),Spettacoli!$Q$2:$Q$36,0))</f>
        <v/>
      </c>
      <c r="M9" s="15">
        <f>INDEX(Spettacoli!$F$2:$F$36,MATCH(LARGE(Spettacoli!$Q$2:$Q$36,4),Spettacoli!$Q$2:$Q$36,0))</f>
        <v/>
      </c>
      <c r="N9" s="15">
        <f>INDEX(Spettacoli!$G$2:$G$36,MATCH(LARGE(Spettacoli!$Q$2:$Q$36,4),Spettacoli!$Q$2:$Q$36,0))</f>
        <v/>
      </c>
      <c r="O9" s="16">
        <f>INDEX(Spettacoli!$L$2:$L$36,MATCH(LARGE(Spettacoli!$Q$2:$Q$36,4),Spettacoli!$Q$2:$Q$36,0))</f>
        <v/>
      </c>
    </row>
    <row r="10">
      <c r="K10" s="9">
        <f>INDEX(Spettacoli!$B$2:$B$36,MATCH(LARGE(Spettacoli!$Q$2:$Q$36,5),Spettacoli!$Q$2:$Q$36,0))</f>
        <v/>
      </c>
      <c r="L10" s="10">
        <f>INDEX(Spettacoli!$D$2:$D$36,MATCH(LARGE(Spettacoli!$Q$2:$Q$36,5),Spettacoli!$Q$2:$Q$36,0))</f>
        <v/>
      </c>
      <c r="M10" s="11">
        <f>INDEX(Spettacoli!$F$2:$F$36,MATCH(LARGE(Spettacoli!$Q$2:$Q$36,5),Spettacoli!$Q$2:$Q$36,0))</f>
        <v/>
      </c>
      <c r="N10" s="11">
        <f>INDEX(Spettacoli!$G$2:$G$36,MATCH(LARGE(Spettacoli!$Q$2:$Q$36,5),Spettacoli!$Q$2:$Q$36,0))</f>
        <v/>
      </c>
      <c r="O10" s="12">
        <f>INDEX(Spettacoli!$L$2:$L$36,MATCH(LARGE(Spettacoli!$Q$2:$Q$36,5),Spettacoli!$Q$2:$Q$36,0))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MAX(Storico!A2:A14)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</sheetData>
  <autoFilter ref="A1:D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IF(SUM($D$2:$D$4)&gt;0,D2/SUM($D$2:$D$4),0)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IF(SUM($D$2:$D$4)&gt;0,D3/SUM($D$2:$D$4),0)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IF(SUM($D$2:$D$4)&gt;0,D4/SUM($D$2:$D$4),0)</f>
        <v/>
      </c>
    </row>
    <row r="5">
      <c r="A5" s="26" t="inlineStr">
        <is>
          <t>Totale</t>
        </is>
      </c>
      <c r="B5" s="26" t="n"/>
      <c r="C5" s="26" t="n"/>
      <c r="D5" s="27">
        <f>SUM(D2:D4)</f>
        <v/>
      </c>
      <c r="E5" s="27">
        <f>SUM(E2:E4)</f>
        <v/>
      </c>
      <c r="F5" s="28">
        <f>SUM(F2:F4)</f>
        <v/>
      </c>
      <c r="G5" s="29">
        <f>SUM(G2:G4)</f>
        <v/>
      </c>
    </row>
  </sheetData>
  <autoFilter ref="A1:G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3" customWidth="1" min="12" max="12"/>
    <col width="14" customWidth="1" min="13" max="13"/>
    <col width="11" customWidth="1" min="14" max="14"/>
    <col width="13" customWidth="1" min="15" max="15"/>
    <col width="14" customWidth="1" min="16" max="16"/>
    <col hidden="1" width="10" customWidth="1" min="17" max="17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Annullati</t>
        </is>
      </c>
      <c r="L1" s="21" t="inlineStr">
        <is>
          <t>Incasso lordo</t>
        </is>
      </c>
      <c r="M1" s="21" t="inlineStr">
        <is>
          <t>Imponibile IVA</t>
        </is>
      </c>
      <c r="N1" s="21" t="inlineStr">
        <is>
          <t>IVA</t>
        </is>
      </c>
      <c r="O1" s="21" t="inlineStr">
        <is>
          <t>Occupazione % (auto)</t>
        </is>
      </c>
      <c r="P1" s="21" t="inlineStr">
        <is>
          <t>Stato</t>
        </is>
      </c>
      <c r="Q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100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SUMIF(Vendite!$A$2:$A$1000,A2,Vendite!$I$2:$I$1000)</f>
        <v/>
      </c>
      <c r="L2" s="12">
        <f>SUMIF(Vendite!$A$2:$A$1000,A2,Vendite!$J$2:$J$1000)</f>
        <v/>
      </c>
      <c r="M2" s="12">
        <f>SUMIF(Vendite!$A$2:$A$1000,A2,Vendite!$L$2:$L$1000)</f>
        <v/>
      </c>
      <c r="N2" s="12">
        <f>SUMIF(Vendite!$A$2:$A$1000,A2,Vendite!$M$2:$M$1000)</f>
        <v/>
      </c>
      <c r="O2" s="24">
        <f>IF(E2&gt;0,F2/E2,0)</f>
        <v/>
      </c>
      <c r="P2" s="22">
        <f>IF(F2&gt;0,"Venduto","Zero vendite")</f>
        <v/>
      </c>
      <c r="Q2" s="22">
        <f>F2+L2/100000+(1000-ROW())/100000000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100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SUMIF(Vendite!$A$2:$A$1000,A3,Vendite!$I$2:$I$1000)</f>
        <v/>
      </c>
      <c r="L3" s="16">
        <f>SUMIF(Vendite!$A$2:$A$1000,A3,Vendite!$J$2:$J$1000)</f>
        <v/>
      </c>
      <c r="M3" s="16">
        <f>SUMIF(Vendite!$A$2:$A$1000,A3,Vendite!$L$2:$L$1000)</f>
        <v/>
      </c>
      <c r="N3" s="16">
        <f>SUMIF(Vendite!$A$2:$A$1000,A3,Vendite!$M$2:$M$1000)</f>
        <v/>
      </c>
      <c r="O3" s="25">
        <f>IF(E3&gt;0,F3/E3,0)</f>
        <v/>
      </c>
      <c r="P3" s="23">
        <f>IF(F3&gt;0,"Venduto","Zero vendite")</f>
        <v/>
      </c>
      <c r="Q3" s="23">
        <f>F3+L3/100000+(1000-ROW())/100000000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100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SUMIF(Vendite!$A$2:$A$1000,A4,Vendite!$I$2:$I$1000)</f>
        <v/>
      </c>
      <c r="L4" s="12">
        <f>SUMIF(Vendite!$A$2:$A$1000,A4,Vendite!$J$2:$J$1000)</f>
        <v/>
      </c>
      <c r="M4" s="12">
        <f>SUMIF(Vendite!$A$2:$A$1000,A4,Vendite!$L$2:$L$1000)</f>
        <v/>
      </c>
      <c r="N4" s="12">
        <f>SUMIF(Vendite!$A$2:$A$1000,A4,Vendite!$M$2:$M$1000)</f>
        <v/>
      </c>
      <c r="O4" s="24">
        <f>IF(E4&gt;0,F4/E4,0)</f>
        <v/>
      </c>
      <c r="P4" s="22">
        <f>IF(F4&gt;0,"Venduto","Zero vendite")</f>
        <v/>
      </c>
      <c r="Q4" s="22">
        <f>F4+L4/100000+(1000-ROW())/100000000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100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SUMIF(Vendite!$A$2:$A$1000,A5,Vendite!$I$2:$I$1000)</f>
        <v/>
      </c>
      <c r="L5" s="16">
        <f>SUMIF(Vendite!$A$2:$A$1000,A5,Vendite!$J$2:$J$1000)</f>
        <v/>
      </c>
      <c r="M5" s="16">
        <f>SUMIF(Vendite!$A$2:$A$1000,A5,Vendite!$L$2:$L$1000)</f>
        <v/>
      </c>
      <c r="N5" s="16">
        <f>SUMIF(Vendite!$A$2:$A$1000,A5,Vendite!$M$2:$M$1000)</f>
        <v/>
      </c>
      <c r="O5" s="25">
        <f>IF(E5&gt;0,F5/E5,0)</f>
        <v/>
      </c>
      <c r="P5" s="23">
        <f>IF(F5&gt;0,"Venduto","Zero vendite")</f>
        <v/>
      </c>
      <c r="Q5" s="23">
        <f>F5+L5/100000+(1000-ROW())/100000000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100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SUMIF(Vendite!$A$2:$A$1000,A6,Vendite!$I$2:$I$1000)</f>
        <v/>
      </c>
      <c r="L6" s="12">
        <f>SUMIF(Vendite!$A$2:$A$1000,A6,Vendite!$J$2:$J$1000)</f>
        <v/>
      </c>
      <c r="M6" s="12">
        <f>SUMIF(Vendite!$A$2:$A$1000,A6,Vendite!$L$2:$L$1000)</f>
        <v/>
      </c>
      <c r="N6" s="12">
        <f>SUMIF(Vendite!$A$2:$A$1000,A6,Vendite!$M$2:$M$1000)</f>
        <v/>
      </c>
      <c r="O6" s="24">
        <f>IF(E6&gt;0,F6/E6,0)</f>
        <v/>
      </c>
      <c r="P6" s="22">
        <f>IF(F6&gt;0,"Venduto","Zero vendite")</f>
        <v/>
      </c>
      <c r="Q6" s="22">
        <f>F6+L6/100000+(1000-ROW())/100000000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100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SUMIF(Vendite!$A$2:$A$1000,A7,Vendite!$I$2:$I$1000)</f>
        <v/>
      </c>
      <c r="L7" s="16">
        <f>SUMIF(Vendite!$A$2:$A$1000,A7,Vendite!$J$2:$J$1000)</f>
        <v/>
      </c>
      <c r="M7" s="16">
        <f>SUMIF(Vendite!$A$2:$A$1000,A7,Vendite!$L$2:$L$1000)</f>
        <v/>
      </c>
      <c r="N7" s="16">
        <f>SUMIF(Vendite!$A$2:$A$1000,A7,Vendite!$M$2:$M$1000)</f>
        <v/>
      </c>
      <c r="O7" s="25">
        <f>IF(E7&gt;0,F7/E7,0)</f>
        <v/>
      </c>
      <c r="P7" s="23">
        <f>IF(F7&gt;0,"Venduto","Zero vendite")</f>
        <v/>
      </c>
      <c r="Q7" s="23">
        <f>F7+L7/100000+(1000-ROW())/100000000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100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SUMIF(Vendite!$A$2:$A$1000,A8,Vendite!$I$2:$I$1000)</f>
        <v/>
      </c>
      <c r="L8" s="12">
        <f>SUMIF(Vendite!$A$2:$A$1000,A8,Vendite!$J$2:$J$1000)</f>
        <v/>
      </c>
      <c r="M8" s="12">
        <f>SUMIF(Vendite!$A$2:$A$1000,A8,Vendite!$L$2:$L$1000)</f>
        <v/>
      </c>
      <c r="N8" s="12">
        <f>SUMIF(Vendite!$A$2:$A$1000,A8,Vendite!$M$2:$M$1000)</f>
        <v/>
      </c>
      <c r="O8" s="24">
        <f>IF(E8&gt;0,F8/E8,0)</f>
        <v/>
      </c>
      <c r="P8" s="22">
        <f>IF(F8&gt;0,"Venduto","Zero vendite")</f>
        <v/>
      </c>
      <c r="Q8" s="22">
        <f>F8+L8/100000+(1000-ROW())/100000000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100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SUMIF(Vendite!$A$2:$A$1000,A9,Vendite!$I$2:$I$1000)</f>
        <v/>
      </c>
      <c r="L9" s="16">
        <f>SUMIF(Vendite!$A$2:$A$1000,A9,Vendite!$J$2:$J$1000)</f>
        <v/>
      </c>
      <c r="M9" s="16">
        <f>SUMIF(Vendite!$A$2:$A$1000,A9,Vendite!$L$2:$L$1000)</f>
        <v/>
      </c>
      <c r="N9" s="16">
        <f>SUMIF(Vendite!$A$2:$A$1000,A9,Vendite!$M$2:$M$1000)</f>
        <v/>
      </c>
      <c r="O9" s="25">
        <f>IF(E9&gt;0,F9/E9,0)</f>
        <v/>
      </c>
      <c r="P9" s="23">
        <f>IF(F9&gt;0,"Venduto","Zero vendite")</f>
        <v/>
      </c>
      <c r="Q9" s="23">
        <f>F9+L9/100000+(1000-ROW())/100000000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100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SUMIF(Vendite!$A$2:$A$1000,A10,Vendite!$I$2:$I$1000)</f>
        <v/>
      </c>
      <c r="L10" s="12">
        <f>SUMIF(Vendite!$A$2:$A$1000,A10,Vendite!$J$2:$J$1000)</f>
        <v/>
      </c>
      <c r="M10" s="12">
        <f>SUMIF(Vendite!$A$2:$A$1000,A10,Vendite!$L$2:$L$1000)</f>
        <v/>
      </c>
      <c r="N10" s="12">
        <f>SUMIF(Vendite!$A$2:$A$1000,A10,Vendite!$M$2:$M$1000)</f>
        <v/>
      </c>
      <c r="O10" s="24">
        <f>IF(E10&gt;0,F10/E10,0)</f>
        <v/>
      </c>
      <c r="P10" s="22">
        <f>IF(F10&gt;0,"Venduto","Zero vendite")</f>
        <v/>
      </c>
      <c r="Q10" s="22">
        <f>F10+L10/100000+(1000-ROW())/100000000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100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SUMIF(Vendite!$A$2:$A$1000,A11,Vendite!$I$2:$I$1000)</f>
        <v/>
      </c>
      <c r="L11" s="16">
        <f>SUMIF(Vendite!$A$2:$A$1000,A11,Vendite!$J$2:$J$1000)</f>
        <v/>
      </c>
      <c r="M11" s="16">
        <f>SUMIF(Vendite!$A$2:$A$1000,A11,Vendite!$L$2:$L$1000)</f>
        <v/>
      </c>
      <c r="N11" s="16">
        <f>SUMIF(Vendite!$A$2:$A$1000,A11,Vendite!$M$2:$M$1000)</f>
        <v/>
      </c>
      <c r="O11" s="25">
        <f>IF(E11&gt;0,F11/E11,0)</f>
        <v/>
      </c>
      <c r="P11" s="23">
        <f>IF(F11&gt;0,"Venduto","Zero vendite")</f>
        <v/>
      </c>
      <c r="Q11" s="23">
        <f>F11+L11/100000+(1000-ROW())/100000000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100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SUMIF(Vendite!$A$2:$A$1000,A12,Vendite!$I$2:$I$1000)</f>
        <v/>
      </c>
      <c r="L12" s="12">
        <f>SUMIF(Vendite!$A$2:$A$1000,A12,Vendite!$J$2:$J$1000)</f>
        <v/>
      </c>
      <c r="M12" s="12">
        <f>SUMIF(Vendite!$A$2:$A$1000,A12,Vendite!$L$2:$L$1000)</f>
        <v/>
      </c>
      <c r="N12" s="12">
        <f>SUMIF(Vendite!$A$2:$A$1000,A12,Vendite!$M$2:$M$1000)</f>
        <v/>
      </c>
      <c r="O12" s="24">
        <f>IF(E12&gt;0,F12/E12,0)</f>
        <v/>
      </c>
      <c r="P12" s="22">
        <f>IF(F12&gt;0,"Venduto","Zero vendite")</f>
        <v/>
      </c>
      <c r="Q12" s="22">
        <f>F12+L12/100000+(1000-ROW())/100000000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100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SUMIF(Vendite!$A$2:$A$1000,A13,Vendite!$I$2:$I$1000)</f>
        <v/>
      </c>
      <c r="L13" s="16">
        <f>SUMIF(Vendite!$A$2:$A$1000,A13,Vendite!$J$2:$J$1000)</f>
        <v/>
      </c>
      <c r="M13" s="16">
        <f>SUMIF(Vendite!$A$2:$A$1000,A13,Vendite!$L$2:$L$1000)</f>
        <v/>
      </c>
      <c r="N13" s="16">
        <f>SUMIF(Vendite!$A$2:$A$1000,A13,Vendite!$M$2:$M$1000)</f>
        <v/>
      </c>
      <c r="O13" s="25">
        <f>IF(E13&gt;0,F13/E13,0)</f>
        <v/>
      </c>
      <c r="P13" s="23">
        <f>IF(F13&gt;0,"Venduto","Zero vendite")</f>
        <v/>
      </c>
      <c r="Q13" s="23">
        <f>F13+L13/100000+(1000-ROW())/100000000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100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SUMIF(Vendite!$A$2:$A$1000,A14,Vendite!$I$2:$I$1000)</f>
        <v/>
      </c>
      <c r="L14" s="12">
        <f>SUMIF(Vendite!$A$2:$A$1000,A14,Vendite!$J$2:$J$1000)</f>
        <v/>
      </c>
      <c r="M14" s="12">
        <f>SUMIF(Vendite!$A$2:$A$1000,A14,Vendite!$L$2:$L$1000)</f>
        <v/>
      </c>
      <c r="N14" s="12">
        <f>SUMIF(Vendite!$A$2:$A$1000,A14,Vendite!$M$2:$M$1000)</f>
        <v/>
      </c>
      <c r="O14" s="24">
        <f>IF(E14&gt;0,F14/E14,0)</f>
        <v/>
      </c>
      <c r="P14" s="22">
        <f>IF(F14&gt;0,"Venduto","Zero vendite")</f>
        <v/>
      </c>
      <c r="Q14" s="22">
        <f>F14+L14/100000+(1000-ROW())/100000000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100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SUMIF(Vendite!$A$2:$A$1000,A15,Vendite!$I$2:$I$1000)</f>
        <v/>
      </c>
      <c r="L15" s="16">
        <f>SUMIF(Vendite!$A$2:$A$1000,A15,Vendite!$J$2:$J$1000)</f>
        <v/>
      </c>
      <c r="M15" s="16">
        <f>SUMIF(Vendite!$A$2:$A$1000,A15,Vendite!$L$2:$L$1000)</f>
        <v/>
      </c>
      <c r="N15" s="16">
        <f>SUMIF(Vendite!$A$2:$A$1000,A15,Vendite!$M$2:$M$1000)</f>
        <v/>
      </c>
      <c r="O15" s="25">
        <f>IF(E15&gt;0,F15/E15,0)</f>
        <v/>
      </c>
      <c r="P15" s="23">
        <f>IF(F15&gt;0,"Venduto","Zero vendite")</f>
        <v/>
      </c>
      <c r="Q15" s="23">
        <f>F15+L15/100000+(1000-ROW())/100000000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100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SUMIF(Vendite!$A$2:$A$1000,A16,Vendite!$I$2:$I$1000)</f>
        <v/>
      </c>
      <c r="L16" s="12">
        <f>SUMIF(Vendite!$A$2:$A$1000,A16,Vendite!$J$2:$J$1000)</f>
        <v/>
      </c>
      <c r="M16" s="12">
        <f>SUMIF(Vendite!$A$2:$A$1000,A16,Vendite!$L$2:$L$1000)</f>
        <v/>
      </c>
      <c r="N16" s="12">
        <f>SUMIF(Vendite!$A$2:$A$1000,A16,Vendite!$M$2:$M$1000)</f>
        <v/>
      </c>
      <c r="O16" s="24">
        <f>IF(E16&gt;0,F16/E16,0)</f>
        <v/>
      </c>
      <c r="P16" s="22">
        <f>IF(F16&gt;0,"Venduto","Zero vendite")</f>
        <v/>
      </c>
      <c r="Q16" s="22">
        <f>F16+L16/100000+(1000-ROW())/100000000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100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SUMIF(Vendite!$A$2:$A$1000,A17,Vendite!$I$2:$I$1000)</f>
        <v/>
      </c>
      <c r="L17" s="16">
        <f>SUMIF(Vendite!$A$2:$A$1000,A17,Vendite!$J$2:$J$1000)</f>
        <v/>
      </c>
      <c r="M17" s="16">
        <f>SUMIF(Vendite!$A$2:$A$1000,A17,Vendite!$L$2:$L$1000)</f>
        <v/>
      </c>
      <c r="N17" s="16">
        <f>SUMIF(Vendite!$A$2:$A$1000,A17,Vendite!$M$2:$M$1000)</f>
        <v/>
      </c>
      <c r="O17" s="25">
        <f>IF(E17&gt;0,F17/E17,0)</f>
        <v/>
      </c>
      <c r="P17" s="23">
        <f>IF(F17&gt;0,"Venduto","Zero vendite")</f>
        <v/>
      </c>
      <c r="Q17" s="23">
        <f>F17+L17/100000+(1000-ROW())/100000000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100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SUMIF(Vendite!$A$2:$A$1000,A18,Vendite!$I$2:$I$1000)</f>
        <v/>
      </c>
      <c r="L18" s="12">
        <f>SUMIF(Vendite!$A$2:$A$1000,A18,Vendite!$J$2:$J$1000)</f>
        <v/>
      </c>
      <c r="M18" s="12">
        <f>SUMIF(Vendite!$A$2:$A$1000,A18,Vendite!$L$2:$L$1000)</f>
        <v/>
      </c>
      <c r="N18" s="12">
        <f>SUMIF(Vendite!$A$2:$A$1000,A18,Vendite!$M$2:$M$1000)</f>
        <v/>
      </c>
      <c r="O18" s="24">
        <f>IF(E18&gt;0,F18/E18,0)</f>
        <v/>
      </c>
      <c r="P18" s="22">
        <f>IF(F18&gt;0,"Venduto","Zero vendite")</f>
        <v/>
      </c>
      <c r="Q18" s="22">
        <f>F18+L18/100000+(1000-ROW())/100000000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100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SUMIF(Vendite!$A$2:$A$1000,A19,Vendite!$I$2:$I$1000)</f>
        <v/>
      </c>
      <c r="L19" s="16">
        <f>SUMIF(Vendite!$A$2:$A$1000,A19,Vendite!$J$2:$J$1000)</f>
        <v/>
      </c>
      <c r="M19" s="16">
        <f>SUMIF(Vendite!$A$2:$A$1000,A19,Vendite!$L$2:$L$1000)</f>
        <v/>
      </c>
      <c r="N19" s="16">
        <f>SUMIF(Vendite!$A$2:$A$1000,A19,Vendite!$M$2:$M$1000)</f>
        <v/>
      </c>
      <c r="O19" s="25">
        <f>IF(E19&gt;0,F19/E19,0)</f>
        <v/>
      </c>
      <c r="P19" s="23">
        <f>IF(F19&gt;0,"Venduto","Zero vendite")</f>
        <v/>
      </c>
      <c r="Q19" s="23">
        <f>F19+L19/100000+(1000-ROW())/100000000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100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SUMIF(Vendite!$A$2:$A$1000,A20,Vendite!$I$2:$I$1000)</f>
        <v/>
      </c>
      <c r="L20" s="12">
        <f>SUMIF(Vendite!$A$2:$A$1000,A20,Vendite!$J$2:$J$1000)</f>
        <v/>
      </c>
      <c r="M20" s="12">
        <f>SUMIF(Vendite!$A$2:$A$1000,A20,Vendite!$L$2:$L$1000)</f>
        <v/>
      </c>
      <c r="N20" s="12">
        <f>SUMIF(Vendite!$A$2:$A$1000,A20,Vendite!$M$2:$M$1000)</f>
        <v/>
      </c>
      <c r="O20" s="24">
        <f>IF(E20&gt;0,F20/E20,0)</f>
        <v/>
      </c>
      <c r="P20" s="22">
        <f>IF(F20&gt;0,"Venduto","Zero vendite")</f>
        <v/>
      </c>
      <c r="Q20" s="22">
        <f>F20+L20/100000+(1000-ROW())/100000000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100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SUMIF(Vendite!$A$2:$A$1000,A21,Vendite!$I$2:$I$1000)</f>
        <v/>
      </c>
      <c r="L21" s="16">
        <f>SUMIF(Vendite!$A$2:$A$1000,A21,Vendite!$J$2:$J$1000)</f>
        <v/>
      </c>
      <c r="M21" s="16">
        <f>SUMIF(Vendite!$A$2:$A$1000,A21,Vendite!$L$2:$L$1000)</f>
        <v/>
      </c>
      <c r="N21" s="16">
        <f>SUMIF(Vendite!$A$2:$A$1000,A21,Vendite!$M$2:$M$1000)</f>
        <v/>
      </c>
      <c r="O21" s="25">
        <f>IF(E21&gt;0,F21/E21,0)</f>
        <v/>
      </c>
      <c r="P21" s="23">
        <f>IF(F21&gt;0,"Venduto","Zero vendite")</f>
        <v/>
      </c>
      <c r="Q21" s="23">
        <f>F21+L21/100000+(1000-ROW())/100000000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100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SUMIF(Vendite!$A$2:$A$1000,A22,Vendite!$I$2:$I$1000)</f>
        <v/>
      </c>
      <c r="L22" s="12">
        <f>SUMIF(Vendite!$A$2:$A$1000,A22,Vendite!$J$2:$J$1000)</f>
        <v/>
      </c>
      <c r="M22" s="12">
        <f>SUMIF(Vendite!$A$2:$A$1000,A22,Vendite!$L$2:$L$1000)</f>
        <v/>
      </c>
      <c r="N22" s="12">
        <f>SUMIF(Vendite!$A$2:$A$1000,A22,Vendite!$M$2:$M$1000)</f>
        <v/>
      </c>
      <c r="O22" s="24">
        <f>IF(E22&gt;0,F22/E22,0)</f>
        <v/>
      </c>
      <c r="P22" s="22">
        <f>IF(F22&gt;0,"Venduto","Zero vendite")</f>
        <v/>
      </c>
      <c r="Q22" s="22">
        <f>F22+L22/100000+(1000-ROW())/100000000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100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SUMIF(Vendite!$A$2:$A$1000,A23,Vendite!$I$2:$I$1000)</f>
        <v/>
      </c>
      <c r="L23" s="16">
        <f>SUMIF(Vendite!$A$2:$A$1000,A23,Vendite!$J$2:$J$1000)</f>
        <v/>
      </c>
      <c r="M23" s="16">
        <f>SUMIF(Vendite!$A$2:$A$1000,A23,Vendite!$L$2:$L$1000)</f>
        <v/>
      </c>
      <c r="N23" s="16">
        <f>SUMIF(Vendite!$A$2:$A$1000,A23,Vendite!$M$2:$M$1000)</f>
        <v/>
      </c>
      <c r="O23" s="25">
        <f>IF(E23&gt;0,F23/E23,0)</f>
        <v/>
      </c>
      <c r="P23" s="23">
        <f>IF(F23&gt;0,"Venduto","Zero vendite")</f>
        <v/>
      </c>
      <c r="Q23" s="23">
        <f>F23+L23/100000+(1000-ROW())/100000000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100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SUMIF(Vendite!$A$2:$A$1000,A24,Vendite!$I$2:$I$1000)</f>
        <v/>
      </c>
      <c r="L24" s="12">
        <f>SUMIF(Vendite!$A$2:$A$1000,A24,Vendite!$J$2:$J$1000)</f>
        <v/>
      </c>
      <c r="M24" s="12">
        <f>SUMIF(Vendite!$A$2:$A$1000,A24,Vendite!$L$2:$L$1000)</f>
        <v/>
      </c>
      <c r="N24" s="12">
        <f>SUMIF(Vendite!$A$2:$A$1000,A24,Vendite!$M$2:$M$1000)</f>
        <v/>
      </c>
      <c r="O24" s="24">
        <f>IF(E24&gt;0,F24/E24,0)</f>
        <v/>
      </c>
      <c r="P24" s="22">
        <f>IF(F24&gt;0,"Venduto","Zero vendite")</f>
        <v/>
      </c>
      <c r="Q24" s="22">
        <f>F24+L24/100000+(1000-ROW())/100000000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100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SUMIF(Vendite!$A$2:$A$1000,A25,Vendite!$I$2:$I$1000)</f>
        <v/>
      </c>
      <c r="L25" s="16">
        <f>SUMIF(Vendite!$A$2:$A$1000,A25,Vendite!$J$2:$J$1000)</f>
        <v/>
      </c>
      <c r="M25" s="16">
        <f>SUMIF(Vendite!$A$2:$A$1000,A25,Vendite!$L$2:$L$1000)</f>
        <v/>
      </c>
      <c r="N25" s="16">
        <f>SUMIF(Vendite!$A$2:$A$1000,A25,Vendite!$M$2:$M$1000)</f>
        <v/>
      </c>
      <c r="O25" s="25">
        <f>IF(E25&gt;0,F25/E25,0)</f>
        <v/>
      </c>
      <c r="P25" s="23">
        <f>IF(F25&gt;0,"Venduto","Zero vendite")</f>
        <v/>
      </c>
      <c r="Q25" s="23">
        <f>F25+L25/100000+(1000-ROW())/100000000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100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SUMIF(Vendite!$A$2:$A$1000,A26,Vendite!$I$2:$I$1000)</f>
        <v/>
      </c>
      <c r="L26" s="12">
        <f>SUMIF(Vendite!$A$2:$A$1000,A26,Vendite!$J$2:$J$1000)</f>
        <v/>
      </c>
      <c r="M26" s="12">
        <f>SUMIF(Vendite!$A$2:$A$1000,A26,Vendite!$L$2:$L$1000)</f>
        <v/>
      </c>
      <c r="N26" s="12">
        <f>SUMIF(Vendite!$A$2:$A$1000,A26,Vendite!$M$2:$M$1000)</f>
        <v/>
      </c>
      <c r="O26" s="24">
        <f>IF(E26&gt;0,F26/E26,0)</f>
        <v/>
      </c>
      <c r="P26" s="22">
        <f>IF(F26&gt;0,"Venduto","Zero vendite")</f>
        <v/>
      </c>
      <c r="Q26" s="22">
        <f>F26+L26/100000+(1000-ROW())/100000000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100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SUMIF(Vendite!$A$2:$A$1000,A27,Vendite!$I$2:$I$1000)</f>
        <v/>
      </c>
      <c r="L27" s="16">
        <f>SUMIF(Vendite!$A$2:$A$1000,A27,Vendite!$J$2:$J$1000)</f>
        <v/>
      </c>
      <c r="M27" s="16">
        <f>SUMIF(Vendite!$A$2:$A$1000,A27,Vendite!$L$2:$L$1000)</f>
        <v/>
      </c>
      <c r="N27" s="16">
        <f>SUMIF(Vendite!$A$2:$A$1000,A27,Vendite!$M$2:$M$1000)</f>
        <v/>
      </c>
      <c r="O27" s="25">
        <f>IF(E27&gt;0,F27/E27,0)</f>
        <v/>
      </c>
      <c r="P27" s="23">
        <f>IF(F27&gt;0,"Venduto","Zero vendite")</f>
        <v/>
      </c>
      <c r="Q27" s="23">
        <f>F27+L27/100000+(1000-ROW())/100000000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100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SUMIF(Vendite!$A$2:$A$1000,A28,Vendite!$I$2:$I$1000)</f>
        <v/>
      </c>
      <c r="L28" s="12">
        <f>SUMIF(Vendite!$A$2:$A$1000,A28,Vendite!$J$2:$J$1000)</f>
        <v/>
      </c>
      <c r="M28" s="12">
        <f>SUMIF(Vendite!$A$2:$A$1000,A28,Vendite!$L$2:$L$1000)</f>
        <v/>
      </c>
      <c r="N28" s="12">
        <f>SUMIF(Vendite!$A$2:$A$1000,A28,Vendite!$M$2:$M$1000)</f>
        <v/>
      </c>
      <c r="O28" s="24">
        <f>IF(E28&gt;0,F28/E28,0)</f>
        <v/>
      </c>
      <c r="P28" s="22">
        <f>IF(F28&gt;0,"Venduto","Zero vendite")</f>
        <v/>
      </c>
      <c r="Q28" s="22">
        <f>F28+L28/100000+(1000-ROW())/100000000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100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SUMIF(Vendite!$A$2:$A$1000,A29,Vendite!$I$2:$I$1000)</f>
        <v/>
      </c>
      <c r="L29" s="16">
        <f>SUMIF(Vendite!$A$2:$A$1000,A29,Vendite!$J$2:$J$1000)</f>
        <v/>
      </c>
      <c r="M29" s="16">
        <f>SUMIF(Vendite!$A$2:$A$1000,A29,Vendite!$L$2:$L$1000)</f>
        <v/>
      </c>
      <c r="N29" s="16">
        <f>SUMIF(Vendite!$A$2:$A$1000,A29,Vendite!$M$2:$M$1000)</f>
        <v/>
      </c>
      <c r="O29" s="25">
        <f>IF(E29&gt;0,F29/E29,0)</f>
        <v/>
      </c>
      <c r="P29" s="23">
        <f>IF(F29&gt;0,"Venduto","Zero vendite")</f>
        <v/>
      </c>
      <c r="Q29" s="23">
        <f>F29+L29/100000+(1000-ROW())/100000000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100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SUMIF(Vendite!$A$2:$A$1000,A30,Vendite!$I$2:$I$1000)</f>
        <v/>
      </c>
      <c r="L30" s="12">
        <f>SUMIF(Vendite!$A$2:$A$1000,A30,Vendite!$J$2:$J$1000)</f>
        <v/>
      </c>
      <c r="M30" s="12">
        <f>SUMIF(Vendite!$A$2:$A$1000,A30,Vendite!$L$2:$L$1000)</f>
        <v/>
      </c>
      <c r="N30" s="12">
        <f>SUMIF(Vendite!$A$2:$A$1000,A30,Vendite!$M$2:$M$1000)</f>
        <v/>
      </c>
      <c r="O30" s="24">
        <f>IF(E30&gt;0,F30/E30,0)</f>
        <v/>
      </c>
      <c r="P30" s="22">
        <f>IF(F30&gt;0,"Venduto","Zero vendite")</f>
        <v/>
      </c>
      <c r="Q30" s="22">
        <f>F30+L30/100000+(1000-ROW())/100000000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100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SUMIF(Vendite!$A$2:$A$1000,A31,Vendite!$I$2:$I$1000)</f>
        <v/>
      </c>
      <c r="L31" s="16">
        <f>SUMIF(Vendite!$A$2:$A$1000,A31,Vendite!$J$2:$J$1000)</f>
        <v/>
      </c>
      <c r="M31" s="16">
        <f>SUMIF(Vendite!$A$2:$A$1000,A31,Vendite!$L$2:$L$1000)</f>
        <v/>
      </c>
      <c r="N31" s="16">
        <f>SUMIF(Vendite!$A$2:$A$1000,A31,Vendite!$M$2:$M$1000)</f>
        <v/>
      </c>
      <c r="O31" s="25">
        <f>IF(E31&gt;0,F31/E31,0)</f>
        <v/>
      </c>
      <c r="P31" s="23">
        <f>IF(F31&gt;0,"Venduto","Zero vendite")</f>
        <v/>
      </c>
      <c r="Q31" s="23">
        <f>F31+L31/100000+(1000-ROW())/100000000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100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SUMIF(Vendite!$A$2:$A$1000,A32,Vendite!$I$2:$I$1000)</f>
        <v/>
      </c>
      <c r="L32" s="12">
        <f>SUMIF(Vendite!$A$2:$A$1000,A32,Vendite!$J$2:$J$1000)</f>
        <v/>
      </c>
      <c r="M32" s="12">
        <f>SUMIF(Vendite!$A$2:$A$1000,A32,Vendite!$L$2:$L$1000)</f>
        <v/>
      </c>
      <c r="N32" s="12">
        <f>SUMIF(Vendite!$A$2:$A$1000,A32,Vendite!$M$2:$M$1000)</f>
        <v/>
      </c>
      <c r="O32" s="24">
        <f>IF(E32&gt;0,F32/E32,0)</f>
        <v/>
      </c>
      <c r="P32" s="22">
        <f>IF(F32&gt;0,"Venduto","Zero vendite")</f>
        <v/>
      </c>
      <c r="Q32" s="22">
        <f>F32+L32/100000+(1000-ROW())/100000000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100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SUMIF(Vendite!$A$2:$A$1000,A33,Vendite!$I$2:$I$1000)</f>
        <v/>
      </c>
      <c r="L33" s="16">
        <f>SUMIF(Vendite!$A$2:$A$1000,A33,Vendite!$J$2:$J$1000)</f>
        <v/>
      </c>
      <c r="M33" s="16">
        <f>SUMIF(Vendite!$A$2:$A$1000,A33,Vendite!$L$2:$L$1000)</f>
        <v/>
      </c>
      <c r="N33" s="16">
        <f>SUMIF(Vendite!$A$2:$A$1000,A33,Vendite!$M$2:$M$1000)</f>
        <v/>
      </c>
      <c r="O33" s="25">
        <f>IF(E33&gt;0,F33/E33,0)</f>
        <v/>
      </c>
      <c r="P33" s="23">
        <f>IF(F33&gt;0,"Venduto","Zero vendite")</f>
        <v/>
      </c>
      <c r="Q33" s="23">
        <f>F33+L33/100000+(1000-ROW())/100000000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100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SUMIF(Vendite!$A$2:$A$1000,A34,Vendite!$I$2:$I$1000)</f>
        <v/>
      </c>
      <c r="L34" s="12">
        <f>SUMIF(Vendite!$A$2:$A$1000,A34,Vendite!$J$2:$J$1000)</f>
        <v/>
      </c>
      <c r="M34" s="12">
        <f>SUMIF(Vendite!$A$2:$A$1000,A34,Vendite!$L$2:$L$1000)</f>
        <v/>
      </c>
      <c r="N34" s="12">
        <f>SUMIF(Vendite!$A$2:$A$1000,A34,Vendite!$M$2:$M$1000)</f>
        <v/>
      </c>
      <c r="O34" s="24">
        <f>IF(E34&gt;0,F34/E34,0)</f>
        <v/>
      </c>
      <c r="P34" s="22">
        <f>IF(F34&gt;0,"Venduto","Zero vendite")</f>
        <v/>
      </c>
      <c r="Q34" s="22">
        <f>F34+L34/100000+(1000-ROW())/100000000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100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SUMIF(Vendite!$A$2:$A$1000,A35,Vendite!$I$2:$I$1000)</f>
        <v/>
      </c>
      <c r="L35" s="16">
        <f>SUMIF(Vendite!$A$2:$A$1000,A35,Vendite!$J$2:$J$1000)</f>
        <v/>
      </c>
      <c r="M35" s="16">
        <f>SUMIF(Vendite!$A$2:$A$1000,A35,Vendite!$L$2:$L$1000)</f>
        <v/>
      </c>
      <c r="N35" s="16">
        <f>SUMIF(Vendite!$A$2:$A$1000,A35,Vendite!$M$2:$M$1000)</f>
        <v/>
      </c>
      <c r="O35" s="25">
        <f>IF(E35&gt;0,F35/E35,0)</f>
        <v/>
      </c>
      <c r="P35" s="23">
        <f>IF(F35&gt;0,"Venduto","Zero vendite")</f>
        <v/>
      </c>
      <c r="Q35" s="23">
        <f>F35+L35/100000+(1000-ROW())/100000000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100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SUMIF(Vendite!$A$2:$A$1000,A36,Vendite!$I$2:$I$1000)</f>
        <v/>
      </c>
      <c r="L36" s="12">
        <f>SUMIF(Vendite!$A$2:$A$1000,A36,Vendite!$J$2:$J$1000)</f>
        <v/>
      </c>
      <c r="M36" s="12">
        <f>SUMIF(Vendite!$A$2:$A$1000,A36,Vendite!$L$2:$L$1000)</f>
        <v/>
      </c>
      <c r="N36" s="12">
        <f>SUMIF(Vendite!$A$2:$A$1000,A36,Vendite!$M$2:$M$1000)</f>
        <v/>
      </c>
      <c r="O36" s="24">
        <f>IF(E36&gt;0,F36/E36,0)</f>
        <v/>
      </c>
      <c r="P36" s="22">
        <f>IF(F36&gt;0,"Venduto","Zero vendite")</f>
        <v/>
      </c>
      <c r="Q36" s="22">
        <f>F36+L36/100000+(1000-ROW())/100000000</f>
        <v/>
      </c>
    </row>
  </sheetData>
  <autoFilter ref="A1:Q36"/>
  <conditionalFormatting sqref="P2:P36">
    <cfRule type="expression" priority="1" dxfId="0">
      <formula>P2="Venduto"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1</v>
      </c>
      <c r="I2" s="11" t="n">
        <v>0</v>
      </c>
      <c r="J2" s="12" t="n">
        <v>24</v>
      </c>
      <c r="K2" s="12" t="n">
        <v>0</v>
      </c>
      <c r="L2" s="12" t="n">
        <v>21.82</v>
      </c>
      <c r="M2" s="12" t="n">
        <v>2.18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2</v>
      </c>
      <c r="I3" s="15" t="n">
        <v>0</v>
      </c>
      <c r="J3" s="16" t="n">
        <v>96</v>
      </c>
      <c r="K3" s="16" t="n">
        <v>0</v>
      </c>
      <c r="L3" s="16" t="n">
        <v>87.28</v>
      </c>
      <c r="M3" s="16" t="n">
        <v>8.720000000000001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20261023_2215</t>
        </is>
      </c>
      <c r="B4" s="9" t="n">
        <v>46318</v>
      </c>
      <c r="C4" s="10" t="n">
        <v>0.9270833333333334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1</v>
      </c>
      <c r="I4" s="11" t="n">
        <v>0</v>
      </c>
      <c r="J4" s="12" t="n">
        <v>24</v>
      </c>
      <c r="K4" s="12" t="n">
        <v>0</v>
      </c>
      <c r="L4" s="12" t="n">
        <v>21.82</v>
      </c>
      <c r="M4" s="12" t="n">
        <v>2.18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20261023_2315</t>
        </is>
      </c>
      <c r="B5" s="13" t="n">
        <v>46318</v>
      </c>
      <c r="C5" s="14" t="n">
        <v>0.96875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2</v>
      </c>
      <c r="I5" s="15" t="n">
        <v>0</v>
      </c>
      <c r="J5" s="16" t="n">
        <v>48</v>
      </c>
      <c r="K5" s="16" t="n">
        <v>0</v>
      </c>
      <c r="L5" s="16" t="n">
        <v>43.64</v>
      </c>
      <c r="M5" s="16" t="n">
        <v>4.36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20261024_2215</t>
        </is>
      </c>
      <c r="B6" s="9" t="n">
        <v>46319</v>
      </c>
      <c r="C6" s="10" t="n">
        <v>0.9270833333333334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1</v>
      </c>
      <c r="I6" s="11" t="n">
        <v>0</v>
      </c>
      <c r="J6" s="12" t="n">
        <v>24</v>
      </c>
      <c r="K6" s="12" t="n">
        <v>0</v>
      </c>
      <c r="L6" s="12" t="n">
        <v>21.82</v>
      </c>
      <c r="M6" s="12" t="n">
        <v>2.18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20261025_2115</t>
        </is>
      </c>
      <c r="B7" s="13" t="n">
        <v>46320</v>
      </c>
      <c r="C7" s="14" t="n">
        <v>0.8854166666666666</v>
      </c>
      <c r="D7" s="23" t="inlineStr">
        <is>
          <t>UN Unico</t>
        </is>
      </c>
      <c r="E7" s="23" t="inlineStr">
        <is>
          <t>I8</t>
        </is>
      </c>
      <c r="F7" s="23">
        <f>IFERROR(INDEX(Tariffe!$B$2:$B$200,MATCH(E7,Tariffe!$A$2:$A$200,0)),"DA DEFINIRE")</f>
        <v/>
      </c>
      <c r="G7" s="16" t="n">
        <v>24</v>
      </c>
      <c r="H7" s="15" t="n">
        <v>1</v>
      </c>
      <c r="I7" s="15" t="n">
        <v>0</v>
      </c>
      <c r="J7" s="16" t="n">
        <v>24</v>
      </c>
      <c r="K7" s="16" t="n">
        <v>0</v>
      </c>
      <c r="L7" s="16" t="n">
        <v>21.82</v>
      </c>
      <c r="M7" s="16" t="n">
        <v>2.18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20261025_2215</t>
        </is>
      </c>
      <c r="B8" s="9" t="n">
        <v>46320</v>
      </c>
      <c r="C8" s="10" t="n">
        <v>0.9270833333333334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1</v>
      </c>
      <c r="I8" s="11" t="n">
        <v>0</v>
      </c>
      <c r="J8" s="12" t="n">
        <v>24</v>
      </c>
      <c r="K8" s="12" t="n">
        <v>0</v>
      </c>
      <c r="L8" s="12" t="n">
        <v>21.82</v>
      </c>
      <c r="M8" s="12" t="n">
        <v>2.18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20261029_2215</t>
        </is>
      </c>
      <c r="B9" s="13" t="n">
        <v>46324</v>
      </c>
      <c r="C9" s="14" t="n">
        <v>0.9270833333333334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1</v>
      </c>
      <c r="I9" s="15" t="n">
        <v>0</v>
      </c>
      <c r="J9" s="16" t="n">
        <v>48</v>
      </c>
      <c r="K9" s="16" t="n">
        <v>0</v>
      </c>
      <c r="L9" s="16" t="n">
        <v>43.64</v>
      </c>
      <c r="M9" s="16" t="n">
        <v>4.36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20261029_2359</t>
        </is>
      </c>
      <c r="B10" s="9" t="n">
        <v>46324</v>
      </c>
      <c r="C10" s="10" t="n">
        <v>0.9993055555555556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1</v>
      </c>
      <c r="I10" s="11" t="n">
        <v>0</v>
      </c>
      <c r="J10" s="12" t="n">
        <v>24</v>
      </c>
      <c r="K10" s="12" t="n">
        <v>0</v>
      </c>
      <c r="L10" s="12" t="n">
        <v>21.82</v>
      </c>
      <c r="M10" s="12" t="n">
        <v>2.18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20261030_2315</t>
        </is>
      </c>
      <c r="B11" s="13" t="n">
        <v>46325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2</v>
      </c>
      <c r="I11" s="15" t="n">
        <v>0</v>
      </c>
      <c r="J11" s="16" t="n">
        <v>96</v>
      </c>
      <c r="K11" s="16" t="n">
        <v>0</v>
      </c>
      <c r="L11" s="16" t="n">
        <v>87.28</v>
      </c>
      <c r="M11" s="16" t="n">
        <v>8.720000000000001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</sheetData>
  <autoFilter ref="A1:P1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IF(SUM($F$2:$F$3)&gt;0,F2/SUM($F$2:$F$3),0)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IF(SUM($F$2:$F$3)&gt;0,F3/SUM($F$2:$F$3),0)</f>
        <v/>
      </c>
    </row>
    <row r="4">
      <c r="A4" s="26" t="inlineStr">
        <is>
          <t>Totale</t>
        </is>
      </c>
      <c r="B4" s="26" t="n"/>
      <c r="C4" s="26" t="n"/>
      <c r="D4" s="27">
        <f>SUM(D2:D3)</f>
        <v/>
      </c>
      <c r="E4" s="27">
        <f>SUM(E2:E3)</f>
        <v/>
      </c>
      <c r="F4" s="28">
        <f>SUM(F2:F3)</f>
        <v/>
      </c>
      <c r="G4" s="29">
        <f>SUM(G2:G3)</f>
        <v/>
      </c>
    </row>
  </sheetData>
  <autoFilter ref="A1:G3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>
        <f>TEXT(A8,"DD/MM")</f>
        <v/>
      </c>
    </row>
  </sheetData>
  <autoFilter ref="A1:R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</sheetData>
  <autoFilter ref="A1:G1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2" customWidth="1" min="10" max="10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Persone</t>
        </is>
      </c>
      <c r="J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2</v>
      </c>
      <c r="J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2</v>
      </c>
      <c r="J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2</v>
      </c>
      <c r="J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4</v>
      </c>
      <c r="J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2</v>
      </c>
      <c r="J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2</v>
      </c>
      <c r="J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2</v>
      </c>
      <c r="J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4</v>
      </c>
      <c r="J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2</v>
      </c>
      <c r="J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4</v>
      </c>
      <c r="J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4</v>
      </c>
      <c r="J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4</v>
      </c>
      <c r="J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2</v>
      </c>
      <c r="J14" s="12" t="n">
        <v>24</v>
      </c>
    </row>
  </sheetData>
  <autoFilter ref="A1:J1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9</v>
      </c>
      <c r="C4" s="11" t="n">
        <v>26</v>
      </c>
      <c r="D4" s="12" t="n">
        <v>312</v>
      </c>
      <c r="F4" s="38" t="inlineStr">
        <is>
          <t>00:00-01:00</t>
        </is>
      </c>
      <c r="G4" s="11" t="n">
        <v>0</v>
      </c>
      <c r="H4" s="11" t="n">
        <v>0</v>
      </c>
      <c r="I4" s="12" t="n">
        <v>0</v>
      </c>
      <c r="K4" s="38" t="inlineStr">
        <is>
          <t>Lunedì</t>
        </is>
      </c>
      <c r="L4" s="11" t="n">
        <v>9</v>
      </c>
      <c r="M4" s="11" t="n">
        <v>26</v>
      </c>
      <c r="N4" s="12" t="n">
        <v>312</v>
      </c>
    </row>
    <row r="5"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0</v>
      </c>
      <c r="M5" s="11" t="n">
        <v>0</v>
      </c>
      <c r="N5" s="12" t="n">
        <v>0</v>
      </c>
    </row>
    <row r="6"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0</v>
      </c>
      <c r="M6" s="11" t="n">
        <v>0</v>
      </c>
      <c r="N6" s="12" t="n">
        <v>0</v>
      </c>
    </row>
    <row r="7"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0</v>
      </c>
      <c r="M7" s="11" t="n">
        <v>0</v>
      </c>
      <c r="N7" s="12" t="n">
        <v>0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0</v>
      </c>
      <c r="H10" s="11" t="n">
        <v>0</v>
      </c>
      <c r="I10" s="12" t="n">
        <v>0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0</v>
      </c>
      <c r="H11" s="11" t="n">
        <v>0</v>
      </c>
      <c r="I11" s="12" t="n">
        <v>0</v>
      </c>
    </row>
    <row r="12">
      <c r="F12" s="38" t="inlineStr">
        <is>
          <t>08:00-09:00</t>
        </is>
      </c>
      <c r="G12" s="11" t="n">
        <v>0</v>
      </c>
      <c r="H12" s="11" t="n">
        <v>0</v>
      </c>
      <c r="I12" s="12" t="n">
        <v>0</v>
      </c>
    </row>
    <row r="13">
      <c r="F13" s="38" t="inlineStr">
        <is>
          <t>09:00-10:00</t>
        </is>
      </c>
      <c r="G13" s="11" t="n">
        <v>0</v>
      </c>
      <c r="H13" s="11" t="n">
        <v>0</v>
      </c>
      <c r="I13" s="12" t="n">
        <v>0</v>
      </c>
    </row>
    <row r="14">
      <c r="F14" s="38" t="inlineStr">
        <is>
          <t>10:00-11:00</t>
        </is>
      </c>
      <c r="G14" s="11" t="n">
        <v>0</v>
      </c>
      <c r="H14" s="11" t="n">
        <v>0</v>
      </c>
      <c r="I14" s="12" t="n">
        <v>0</v>
      </c>
    </row>
    <row r="15">
      <c r="F15" s="38" t="inlineStr">
        <is>
          <t>11:00-12:00</t>
        </is>
      </c>
      <c r="G15" s="11" t="n">
        <v>0</v>
      </c>
      <c r="H15" s="11" t="n">
        <v>0</v>
      </c>
      <c r="I15" s="12" t="n">
        <v>0</v>
      </c>
    </row>
    <row r="16">
      <c r="F16" s="38" t="inlineStr">
        <is>
          <t>12:00-13:00</t>
        </is>
      </c>
      <c r="G16" s="11" t="n">
        <v>0</v>
      </c>
      <c r="H16" s="11" t="n">
        <v>0</v>
      </c>
      <c r="I16" s="12" t="n">
        <v>0</v>
      </c>
    </row>
    <row r="17">
      <c r="F17" s="38" t="inlineStr">
        <is>
          <t>13:00-14:00</t>
        </is>
      </c>
      <c r="G17" s="11" t="n">
        <v>0</v>
      </c>
      <c r="H17" s="11" t="n">
        <v>0</v>
      </c>
      <c r="I17" s="12" t="n">
        <v>0</v>
      </c>
    </row>
    <row r="18">
      <c r="F18" s="38" t="inlineStr">
        <is>
          <t>14:00-15:00</t>
        </is>
      </c>
      <c r="G18" s="11" t="n">
        <v>0</v>
      </c>
      <c r="H18" s="11" t="n">
        <v>0</v>
      </c>
      <c r="I18" s="12" t="n">
        <v>0</v>
      </c>
    </row>
    <row r="19">
      <c r="F19" s="38" t="inlineStr">
        <is>
          <t>15:00-16:00</t>
        </is>
      </c>
      <c r="G19" s="11" t="n">
        <v>0</v>
      </c>
      <c r="H19" s="11" t="n">
        <v>0</v>
      </c>
      <c r="I19" s="12" t="n">
        <v>0</v>
      </c>
    </row>
    <row r="20">
      <c r="F20" s="38" t="inlineStr">
        <is>
          <t>16:00-17:00</t>
        </is>
      </c>
      <c r="G20" s="11" t="n">
        <v>6</v>
      </c>
      <c r="H20" s="11" t="n">
        <v>16</v>
      </c>
      <c r="I20" s="12" t="n">
        <v>192</v>
      </c>
    </row>
    <row r="21">
      <c r="F21" s="38" t="inlineStr">
        <is>
          <t>17:00-18:00</t>
        </is>
      </c>
      <c r="G21" s="11" t="n">
        <v>0</v>
      </c>
      <c r="H21" s="11" t="n">
        <v>0</v>
      </c>
      <c r="I21" s="12" t="n">
        <v>0</v>
      </c>
    </row>
    <row r="22">
      <c r="F22" s="38" t="inlineStr">
        <is>
          <t>18:00-19:00</t>
        </is>
      </c>
      <c r="G22" s="11" t="n">
        <v>1</v>
      </c>
      <c r="H22" s="11" t="n">
        <v>4</v>
      </c>
      <c r="I22" s="12" t="n">
        <v>48</v>
      </c>
    </row>
    <row r="23">
      <c r="F23" s="38" t="inlineStr">
        <is>
          <t>19:00-20:00</t>
        </is>
      </c>
      <c r="G23" s="11" t="n">
        <v>1</v>
      </c>
      <c r="H23" s="11" t="n">
        <v>4</v>
      </c>
      <c r="I23" s="12" t="n">
        <v>48</v>
      </c>
    </row>
    <row r="24">
      <c r="F24" s="38" t="inlineStr">
        <is>
          <t>20:00-21:00</t>
        </is>
      </c>
      <c r="G24" s="11" t="n">
        <v>1</v>
      </c>
      <c r="H24" s="11" t="n">
        <v>2</v>
      </c>
      <c r="I24" s="12" t="n">
        <v>24</v>
      </c>
    </row>
    <row r="25">
      <c r="F25" s="38" t="inlineStr">
        <is>
          <t>21:00-22:00</t>
        </is>
      </c>
      <c r="G25" s="11" t="n">
        <v>0</v>
      </c>
      <c r="H25" s="11" t="n">
        <v>0</v>
      </c>
      <c r="I25" s="12" t="n">
        <v>0</v>
      </c>
    </row>
    <row r="26">
      <c r="F26" s="38" t="inlineStr">
        <is>
          <t>22:00-23:00</t>
        </is>
      </c>
      <c r="G26" s="11" t="n">
        <v>0</v>
      </c>
      <c r="H26" s="11" t="n">
        <v>0</v>
      </c>
      <c r="I26" s="12" t="n">
        <v>0</v>
      </c>
    </row>
    <row r="27">
      <c r="F27" s="38" t="inlineStr">
        <is>
          <t>23:00-00:00</t>
        </is>
      </c>
      <c r="G27" s="11" t="n">
        <v>0</v>
      </c>
      <c r="H27" s="11" t="n">
        <v>0</v>
      </c>
      <c r="I27" s="12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2026-10-05T18:47:28Z</dcterms:created>
  <dcterms:modified xsi:type="dcterms:W3CDTF">2026-10-05T18:47:28Z</dcterms:modified>
</cp:coreProperties>
</file>