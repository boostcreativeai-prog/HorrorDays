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'Vendite'!$A$1:$P$93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'Storico'!$A$1:$G$413</definedName>
    <definedName name="_xlnm._FilterDatabase" localSheetId="8" hidden="1">'Registro vendite'!$A$1:$K$333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'Storico'!$H$2:$H$413</f>
            </numRef>
          </cat>
          <val>
            <numRef>
              <f>'Storico'!$C$2:$C$413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vendite'!$A$4:$A$16</f>
            </numRef>
          </cat>
          <val>
            <numRef>
              <f>'Picchi vendite'!$B$4:$B$16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MAX(Storico!A2:A413)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4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8</v>
      </c>
      <c r="I5" s="15" t="n">
        <v>0</v>
      </c>
      <c r="J5" s="16" t="n">
        <v>192</v>
      </c>
      <c r="K5" s="16" t="n">
        <v>0</v>
      </c>
      <c r="L5" s="16" t="n">
        <v>174.56</v>
      </c>
      <c r="M5" s="16" t="n">
        <v>17.44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9</v>
      </c>
      <c r="I6" s="11" t="n">
        <v>1</v>
      </c>
      <c r="J6" s="12" t="n">
        <v>432</v>
      </c>
      <c r="K6" s="12" t="n">
        <v>0</v>
      </c>
      <c r="L6" s="12" t="n">
        <v>392.76</v>
      </c>
      <c r="M6" s="12" t="n">
        <v>39.24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7</v>
      </c>
      <c r="I7" s="15" t="n">
        <v>0</v>
      </c>
      <c r="J7" s="16" t="n">
        <v>252</v>
      </c>
      <c r="K7" s="16" t="n">
        <v>0</v>
      </c>
      <c r="L7" s="16" t="n">
        <v>229.11</v>
      </c>
      <c r="M7" s="16" t="n">
        <v>22.89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3</v>
      </c>
      <c r="I8" s="11" t="n">
        <v>0</v>
      </c>
      <c r="J8" s="12" t="n">
        <v>180</v>
      </c>
      <c r="K8" s="12" t="n">
        <v>0</v>
      </c>
      <c r="L8" s="12" t="n">
        <v>163.65</v>
      </c>
      <c r="M8" s="12" t="n">
        <v>16.35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16</v>
      </c>
      <c r="I9" s="15" t="n">
        <v>0</v>
      </c>
      <c r="J9" s="16" t="n">
        <v>384</v>
      </c>
      <c r="K9" s="16" t="n">
        <v>0</v>
      </c>
      <c r="L9" s="16" t="n">
        <v>349.12</v>
      </c>
      <c r="M9" s="16" t="n">
        <v>34.88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12</v>
      </c>
      <c r="I10" s="11" t="n">
        <v>0</v>
      </c>
      <c r="J10" s="12" t="n">
        <v>576</v>
      </c>
      <c r="K10" s="12" t="n">
        <v>0</v>
      </c>
      <c r="L10" s="12" t="n">
        <v>523.6799999999999</v>
      </c>
      <c r="M10" s="12" t="n">
        <v>52.32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5</v>
      </c>
      <c r="I12" s="11" t="n">
        <v>0</v>
      </c>
      <c r="J12" s="12" t="n">
        <v>300</v>
      </c>
      <c r="K12" s="12" t="n">
        <v>0</v>
      </c>
      <c r="L12" s="12" t="n">
        <v>272.75</v>
      </c>
      <c r="M12" s="12" t="n">
        <v>27.25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11</v>
      </c>
      <c r="I13" s="15" t="n">
        <v>0</v>
      </c>
      <c r="J13" s="16" t="n">
        <v>264</v>
      </c>
      <c r="K13" s="16" t="n">
        <v>0</v>
      </c>
      <c r="L13" s="16" t="n">
        <v>240.02</v>
      </c>
      <c r="M13" s="16" t="n">
        <v>23.98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6</v>
      </c>
      <c r="I14" s="11" t="n">
        <v>1</v>
      </c>
      <c r="J14" s="12" t="n">
        <v>288</v>
      </c>
      <c r="K14" s="12" t="n">
        <v>0</v>
      </c>
      <c r="L14" s="12" t="n">
        <v>261.84</v>
      </c>
      <c r="M14" s="12" t="n">
        <v>26.16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4</v>
      </c>
      <c r="I15" s="15" t="n">
        <v>0</v>
      </c>
      <c r="J15" s="16" t="n">
        <v>144</v>
      </c>
      <c r="K15" s="16" t="n">
        <v>0</v>
      </c>
      <c r="L15" s="16" t="n">
        <v>130.92</v>
      </c>
      <c r="M15" s="16" t="n">
        <v>13.08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2</v>
      </c>
      <c r="I16" s="11" t="n">
        <v>0</v>
      </c>
      <c r="J16" s="12" t="n">
        <v>120</v>
      </c>
      <c r="K16" s="12" t="n">
        <v>0</v>
      </c>
      <c r="L16" s="12" t="n">
        <v>109.1</v>
      </c>
      <c r="M16" s="12" t="n">
        <v>10.9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14</v>
      </c>
      <c r="I17" s="15" t="n">
        <v>0</v>
      </c>
      <c r="J17" s="16" t="n">
        <v>336</v>
      </c>
      <c r="K17" s="16" t="n">
        <v>0</v>
      </c>
      <c r="L17" s="16" t="n">
        <v>305.48</v>
      </c>
      <c r="M17" s="16" t="n">
        <v>30.52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5</v>
      </c>
      <c r="I18" s="11" t="n">
        <v>0</v>
      </c>
      <c r="J18" s="12" t="n">
        <v>240</v>
      </c>
      <c r="K18" s="12" t="n">
        <v>0</v>
      </c>
      <c r="L18" s="12" t="n">
        <v>218.2</v>
      </c>
      <c r="M18" s="12" t="n">
        <v>21.8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1</v>
      </c>
      <c r="I19" s="15" t="n">
        <v>1</v>
      </c>
      <c r="J19" s="16" t="n">
        <v>36</v>
      </c>
      <c r="K19" s="16" t="n">
        <v>0</v>
      </c>
      <c r="L19" s="16" t="n">
        <v>32.73</v>
      </c>
      <c r="M19" s="16" t="n">
        <v>3.27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6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2</v>
      </c>
      <c r="I21" s="15" t="n">
        <v>0</v>
      </c>
      <c r="J21" s="16" t="n">
        <v>96</v>
      </c>
      <c r="K21" s="16" t="n">
        <v>0</v>
      </c>
      <c r="L21" s="16" t="n">
        <v>87.28</v>
      </c>
      <c r="M21" s="16" t="n">
        <v>8.720000000000001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3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I5</t>
        </is>
      </c>
      <c r="F26" s="22">
        <f>IFERROR(INDEX(Tariffe!$B$2:$B$200,MATCH(E26,Tariffe!$A$2:$A$200,0)),"DA DEFINIRE")</f>
        <v/>
      </c>
      <c r="G26" s="12" t="n">
        <v>60</v>
      </c>
      <c r="H26" s="11" t="n">
        <v>1</v>
      </c>
      <c r="I26" s="11" t="n">
        <v>0</v>
      </c>
      <c r="J26" s="12" t="n">
        <v>60</v>
      </c>
      <c r="K26" s="12" t="n">
        <v>0</v>
      </c>
      <c r="L26" s="12" t="n">
        <v>54.55</v>
      </c>
      <c r="M26" s="12" t="n">
        <v>5.45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8</v>
      </c>
      <c r="I27" s="15" t="n">
        <v>0</v>
      </c>
      <c r="J27" s="16" t="n">
        <v>192</v>
      </c>
      <c r="K27" s="16" t="n">
        <v>0</v>
      </c>
      <c r="L27" s="16" t="n">
        <v>174.56</v>
      </c>
      <c r="M27" s="16" t="n">
        <v>17.44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I1</t>
        </is>
      </c>
      <c r="F28" s="22">
        <f>IFERROR(INDEX(Tariffe!$B$2:$B$200,MATCH(E28,Tariffe!$A$2:$A$200,0)),"DA DEFINIRE")</f>
        <v/>
      </c>
      <c r="G28" s="12" t="n">
        <v>48</v>
      </c>
      <c r="H28" s="11" t="n">
        <v>4</v>
      </c>
      <c r="I28" s="11" t="n">
        <v>0</v>
      </c>
      <c r="J28" s="12" t="n">
        <v>192</v>
      </c>
      <c r="K28" s="12" t="n">
        <v>0</v>
      </c>
      <c r="L28" s="12" t="n">
        <v>174.56</v>
      </c>
      <c r="M28" s="12" t="n">
        <v>17.44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I2</t>
        </is>
      </c>
      <c r="F29" s="23">
        <f>IFERROR(INDEX(Tariffe!$B$2:$B$200,MATCH(E29,Tariffe!$A$2:$A$200,0)),"DA DEFINIRE")</f>
        <v/>
      </c>
      <c r="G29" s="16" t="n">
        <v>36</v>
      </c>
      <c r="H29" s="15" t="n">
        <v>2</v>
      </c>
      <c r="I29" s="15" t="n">
        <v>0</v>
      </c>
      <c r="J29" s="16" t="n">
        <v>72</v>
      </c>
      <c r="K29" s="16" t="n">
        <v>0</v>
      </c>
      <c r="L29" s="16" t="n">
        <v>65.45999999999999</v>
      </c>
      <c r="M29" s="16" t="n">
        <v>6.54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I5</t>
        </is>
      </c>
      <c r="F30" s="22">
        <f>IFERROR(INDEX(Tariffe!$B$2:$B$200,MATCH(E30,Tariffe!$A$2:$A$200,0)),"DA DEFINIRE")</f>
        <v/>
      </c>
      <c r="G30" s="12" t="n">
        <v>60</v>
      </c>
      <c r="H30" s="11" t="n">
        <v>2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12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3</v>
      </c>
      <c r="I32" s="11" t="n">
        <v>0</v>
      </c>
      <c r="J32" s="12" t="n">
        <v>144</v>
      </c>
      <c r="K32" s="12" t="n">
        <v>0</v>
      </c>
      <c r="L32" s="12" t="n">
        <v>130.92</v>
      </c>
      <c r="M32" s="12" t="n">
        <v>13.08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I2</t>
        </is>
      </c>
      <c r="F33" s="23">
        <f>IFERROR(INDEX(Tariffe!$B$2:$B$200,MATCH(E33,Tariffe!$A$2:$A$200,0)),"DA DEFINIRE")</f>
        <v/>
      </c>
      <c r="G33" s="16" t="n">
        <v>36</v>
      </c>
      <c r="H33" s="15" t="n">
        <v>2</v>
      </c>
      <c r="I33" s="15" t="n">
        <v>0</v>
      </c>
      <c r="J33" s="16" t="n">
        <v>72</v>
      </c>
      <c r="K33" s="16" t="n">
        <v>0</v>
      </c>
      <c r="L33" s="16" t="n">
        <v>65.45999999999999</v>
      </c>
      <c r="M33" s="16" t="n">
        <v>6.54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I5</t>
        </is>
      </c>
      <c r="F34" s="22">
        <f>IFERROR(INDEX(Tariffe!$B$2:$B$200,MATCH(E34,Tariffe!$A$2:$A$200,0)),"DA DEFINIRE")</f>
        <v/>
      </c>
      <c r="G34" s="12" t="n">
        <v>60</v>
      </c>
      <c r="H34" s="11" t="n">
        <v>5</v>
      </c>
      <c r="I34" s="11" t="n">
        <v>0</v>
      </c>
      <c r="J34" s="12" t="n">
        <v>300</v>
      </c>
      <c r="K34" s="12" t="n">
        <v>0</v>
      </c>
      <c r="L34" s="12" t="n">
        <v>272.75</v>
      </c>
      <c r="M34" s="12" t="n">
        <v>27.25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11</v>
      </c>
      <c r="I35" s="15" t="n">
        <v>0</v>
      </c>
      <c r="J35" s="16" t="n">
        <v>264</v>
      </c>
      <c r="K35" s="16" t="n">
        <v>0</v>
      </c>
      <c r="L35" s="16" t="n">
        <v>240.02</v>
      </c>
      <c r="M35" s="16" t="n">
        <v>23.98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20261024_2359</t>
        </is>
      </c>
      <c r="B36" s="9" t="n">
        <v>46319</v>
      </c>
      <c r="C36" s="10" t="n">
        <v>0.9993055555555556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4</v>
      </c>
      <c r="I36" s="11" t="n">
        <v>0</v>
      </c>
      <c r="J36" s="12" t="n">
        <v>192</v>
      </c>
      <c r="K36" s="12" t="n">
        <v>0</v>
      </c>
      <c r="L36" s="12" t="n">
        <v>174.56</v>
      </c>
      <c r="M36" s="12" t="n">
        <v>17.44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20261024_2359</t>
        </is>
      </c>
      <c r="B37" s="13" t="n">
        <v>46319</v>
      </c>
      <c r="C37" s="14" t="n">
        <v>0.9993055555555556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8</v>
      </c>
      <c r="I37" s="15" t="n">
        <v>0</v>
      </c>
      <c r="J37" s="16" t="n">
        <v>192</v>
      </c>
      <c r="K37" s="16" t="n">
        <v>0</v>
      </c>
      <c r="L37" s="16" t="n">
        <v>174.56</v>
      </c>
      <c r="M37" s="16" t="n">
        <v>17.44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</v>
      </c>
      <c r="I38" s="11" t="n">
        <v>0</v>
      </c>
      <c r="J38" s="12" t="n">
        <v>144</v>
      </c>
      <c r="K38" s="12" t="n">
        <v>0</v>
      </c>
      <c r="L38" s="12" t="n">
        <v>130.92</v>
      </c>
      <c r="M38" s="12" t="n">
        <v>13.08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1</v>
      </c>
      <c r="I39" s="15" t="n">
        <v>0</v>
      </c>
      <c r="J39" s="16" t="n">
        <v>36</v>
      </c>
      <c r="K39" s="16" t="n">
        <v>0</v>
      </c>
      <c r="L39" s="16" t="n">
        <v>32.73</v>
      </c>
      <c r="M39" s="16" t="n">
        <v>3.27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1</v>
      </c>
      <c r="I40" s="11" t="n">
        <v>0</v>
      </c>
      <c r="J40" s="12" t="n">
        <v>60</v>
      </c>
      <c r="K40" s="12" t="n">
        <v>0</v>
      </c>
      <c r="L40" s="12" t="n">
        <v>54.55</v>
      </c>
      <c r="M40" s="12" t="n">
        <v>5.45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3</v>
      </c>
      <c r="I42" s="11" t="n">
        <v>0</v>
      </c>
      <c r="J42" s="12" t="n">
        <v>144</v>
      </c>
      <c r="K42" s="12" t="n">
        <v>0</v>
      </c>
      <c r="L42" s="12" t="n">
        <v>130.92</v>
      </c>
      <c r="M42" s="12" t="n">
        <v>13.08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1</v>
      </c>
      <c r="I43" s="15" t="n">
        <v>0</v>
      </c>
      <c r="J43" s="16" t="n">
        <v>60</v>
      </c>
      <c r="K43" s="16" t="n">
        <v>0</v>
      </c>
      <c r="L43" s="16" t="n">
        <v>54.55</v>
      </c>
      <c r="M43" s="16" t="n">
        <v>5.45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7</v>
      </c>
      <c r="I44" s="11" t="n">
        <v>0</v>
      </c>
      <c r="J44" s="12" t="n">
        <v>168</v>
      </c>
      <c r="K44" s="12" t="n">
        <v>0</v>
      </c>
      <c r="L44" s="12" t="n">
        <v>152.74</v>
      </c>
      <c r="M44" s="12" t="n">
        <v>15.26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I2</t>
        </is>
      </c>
      <c r="F46" s="22">
        <f>IFERROR(INDEX(Tariffe!$B$2:$B$200,MATCH(E46,Tariffe!$A$2:$A$200,0)),"DA DEFINIRE")</f>
        <v/>
      </c>
      <c r="G46" s="12" t="n">
        <v>36</v>
      </c>
      <c r="H46" s="11" t="n">
        <v>1</v>
      </c>
      <c r="I46" s="11" t="n">
        <v>0</v>
      </c>
      <c r="J46" s="12" t="n">
        <v>36</v>
      </c>
      <c r="K46" s="12" t="n">
        <v>0</v>
      </c>
      <c r="L46" s="12" t="n">
        <v>32.73</v>
      </c>
      <c r="M46" s="12" t="n">
        <v>3.27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6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2</v>
      </c>
      <c r="I50" s="11" t="n">
        <v>0</v>
      </c>
      <c r="J50" s="12" t="n">
        <v>48</v>
      </c>
      <c r="K50" s="12" t="n">
        <v>0</v>
      </c>
      <c r="L50" s="12" t="n">
        <v>43.64</v>
      </c>
      <c r="M50" s="12" t="n">
        <v>4.36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20261025_2359</t>
        </is>
      </c>
      <c r="B51" s="13" t="n">
        <v>46320</v>
      </c>
      <c r="C51" s="14" t="n">
        <v>0.9993055555555556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20261025_2359</t>
        </is>
      </c>
      <c r="B52" s="9" t="n">
        <v>46320</v>
      </c>
      <c r="C52" s="10" t="n">
        <v>0.9993055555555556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3</v>
      </c>
      <c r="I52" s="11" t="n">
        <v>0</v>
      </c>
      <c r="J52" s="12" t="n">
        <v>72</v>
      </c>
      <c r="K52" s="12" t="n">
        <v>0</v>
      </c>
      <c r="L52" s="12" t="n">
        <v>65.45999999999999</v>
      </c>
      <c r="M52" s="12" t="n">
        <v>6.54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20261029_2015</t>
        </is>
      </c>
      <c r="B54" s="9" t="n">
        <v>46324</v>
      </c>
      <c r="C54" s="10" t="n">
        <v>0.84375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20261029_2015</t>
        </is>
      </c>
      <c r="B55" s="13" t="n">
        <v>46324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20261029_2115</t>
        </is>
      </c>
      <c r="B56" s="9" t="n">
        <v>46324</v>
      </c>
      <c r="C56" s="10" t="n">
        <v>0.8854166666666666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20261029_2115</t>
        </is>
      </c>
      <c r="B57" s="13" t="n">
        <v>46324</v>
      </c>
      <c r="C57" s="14" t="n">
        <v>0.8854166666666666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3</v>
      </c>
      <c r="I58" s="11" t="n">
        <v>0</v>
      </c>
      <c r="J58" s="12" t="n">
        <v>144</v>
      </c>
      <c r="K58" s="12" t="n">
        <v>0</v>
      </c>
      <c r="L58" s="12" t="n">
        <v>130.92</v>
      </c>
      <c r="M58" s="12" t="n">
        <v>13.08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20261029_2215</t>
        </is>
      </c>
      <c r="B59" s="13" t="n">
        <v>46324</v>
      </c>
      <c r="C59" s="14" t="n">
        <v>0.9270833333333334</v>
      </c>
      <c r="D59" s="23" t="inlineStr">
        <is>
          <t>UN Unico</t>
        </is>
      </c>
      <c r="E59" s="23" t="inlineStr">
        <is>
          <t>I2</t>
        </is>
      </c>
      <c r="F59" s="23">
        <f>IFERROR(INDEX(Tariffe!$B$2:$B$200,MATCH(E59,Tariffe!$A$2:$A$200,0)),"DA DEFINIRE")</f>
        <v/>
      </c>
      <c r="G59" s="16" t="n">
        <v>36</v>
      </c>
      <c r="H59" s="15" t="n">
        <v>2</v>
      </c>
      <c r="I59" s="15" t="n">
        <v>0</v>
      </c>
      <c r="J59" s="16" t="n">
        <v>72</v>
      </c>
      <c r="K59" s="16" t="n">
        <v>0</v>
      </c>
      <c r="L59" s="16" t="n">
        <v>65.45999999999999</v>
      </c>
      <c r="M59" s="16" t="n">
        <v>6.54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20261029_2215</t>
        </is>
      </c>
      <c r="B60" s="9" t="n">
        <v>46324</v>
      </c>
      <c r="C60" s="10" t="n">
        <v>0.9270833333333334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5</v>
      </c>
      <c r="I60" s="11" t="n">
        <v>0</v>
      </c>
      <c r="J60" s="12" t="n">
        <v>120</v>
      </c>
      <c r="K60" s="12" t="n">
        <v>0</v>
      </c>
      <c r="L60" s="12" t="n">
        <v>109.1</v>
      </c>
      <c r="M60" s="12" t="n">
        <v>10.9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6</v>
      </c>
      <c r="I61" s="15" t="n">
        <v>0</v>
      </c>
      <c r="J61" s="16" t="n">
        <v>288</v>
      </c>
      <c r="K61" s="16" t="n">
        <v>0</v>
      </c>
      <c r="L61" s="16" t="n">
        <v>261.84</v>
      </c>
      <c r="M61" s="16" t="n">
        <v>26.16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I2</t>
        </is>
      </c>
      <c r="F62" s="22">
        <f>IFERROR(INDEX(Tariffe!$B$2:$B$200,MATCH(E62,Tariffe!$A$2:$A$200,0)),"DA DEFINIRE")</f>
        <v/>
      </c>
      <c r="G62" s="12" t="n">
        <v>36</v>
      </c>
      <c r="H62" s="11" t="n">
        <v>1</v>
      </c>
      <c r="I62" s="11" t="n">
        <v>0</v>
      </c>
      <c r="J62" s="12" t="n">
        <v>36</v>
      </c>
      <c r="K62" s="12" t="n">
        <v>0</v>
      </c>
      <c r="L62" s="12" t="n">
        <v>32.73</v>
      </c>
      <c r="M62" s="12" t="n">
        <v>3.27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4</v>
      </c>
      <c r="I63" s="15" t="n">
        <v>0</v>
      </c>
      <c r="J63" s="16" t="n">
        <v>240</v>
      </c>
      <c r="K63" s="16" t="n">
        <v>0</v>
      </c>
      <c r="L63" s="16" t="n">
        <v>218.2</v>
      </c>
      <c r="M63" s="16" t="n">
        <v>21.8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20261029_2315</t>
        </is>
      </c>
      <c r="B64" s="9" t="n">
        <v>46324</v>
      </c>
      <c r="C64" s="10" t="n">
        <v>0.96875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20261029_2359</t>
        </is>
      </c>
      <c r="B65" s="13" t="n">
        <v>46324</v>
      </c>
      <c r="C65" s="14" t="n">
        <v>0.9993055555555556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2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20261030_2015</t>
        </is>
      </c>
      <c r="B66" s="9" t="n">
        <v>46325</v>
      </c>
      <c r="C66" s="10" t="n">
        <v>0.84375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20261030_2015</t>
        </is>
      </c>
      <c r="B67" s="13" t="n">
        <v>46325</v>
      </c>
      <c r="C67" s="14" t="n">
        <v>0.84375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1</v>
      </c>
      <c r="I67" s="15" t="n">
        <v>0</v>
      </c>
      <c r="J67" s="16" t="n">
        <v>24</v>
      </c>
      <c r="K67" s="16" t="n">
        <v>0</v>
      </c>
      <c r="L67" s="16" t="n">
        <v>21.82</v>
      </c>
      <c r="M67" s="16" t="n">
        <v>2.18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20261030_2115</t>
        </is>
      </c>
      <c r="B68" s="9" t="n">
        <v>46325</v>
      </c>
      <c r="C68" s="10" t="n">
        <v>0.8854166666666666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1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20261030_2115</t>
        </is>
      </c>
      <c r="B69" s="13" t="n">
        <v>46325</v>
      </c>
      <c r="C69" s="14" t="n">
        <v>0.8854166666666666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3</v>
      </c>
      <c r="I69" s="15" t="n">
        <v>0</v>
      </c>
      <c r="J69" s="16" t="n">
        <v>72</v>
      </c>
      <c r="K69" s="16" t="n">
        <v>0</v>
      </c>
      <c r="L69" s="16" t="n">
        <v>65.45999999999999</v>
      </c>
      <c r="M69" s="16" t="n">
        <v>6.54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20261030_2215</t>
        </is>
      </c>
      <c r="B70" s="9" t="n">
        <v>46325</v>
      </c>
      <c r="C70" s="10" t="n">
        <v>0.9270833333333334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7</v>
      </c>
      <c r="I70" s="11" t="n">
        <v>0</v>
      </c>
      <c r="J70" s="12" t="n">
        <v>336</v>
      </c>
      <c r="K70" s="12" t="n">
        <v>0</v>
      </c>
      <c r="L70" s="12" t="n">
        <v>305.48</v>
      </c>
      <c r="M70" s="12" t="n">
        <v>30.52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20261030_2215</t>
        </is>
      </c>
      <c r="B71" s="13" t="n">
        <v>46325</v>
      </c>
      <c r="C71" s="14" t="n">
        <v>0.9270833333333334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6</v>
      </c>
      <c r="I71" s="15" t="n">
        <v>3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4</v>
      </c>
      <c r="I72" s="11" t="n">
        <v>0</v>
      </c>
      <c r="J72" s="12" t="n">
        <v>192</v>
      </c>
      <c r="K72" s="12" t="n">
        <v>0</v>
      </c>
      <c r="L72" s="12" t="n">
        <v>174.56</v>
      </c>
      <c r="M72" s="12" t="n">
        <v>17.44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20261030_2315</t>
        </is>
      </c>
      <c r="B73" s="13" t="n">
        <v>46325</v>
      </c>
      <c r="C73" s="14" t="n">
        <v>0.96875</v>
      </c>
      <c r="D73" s="23" t="inlineStr">
        <is>
          <t>UN Unico</t>
        </is>
      </c>
      <c r="E73" s="23" t="inlineStr">
        <is>
          <t>I5</t>
        </is>
      </c>
      <c r="F73" s="23">
        <f>IFERROR(INDEX(Tariffe!$B$2:$B$200,MATCH(E73,Tariffe!$A$2:$A$200,0)),"DA DEFINIRE")</f>
        <v/>
      </c>
      <c r="G73" s="16" t="n">
        <v>60</v>
      </c>
      <c r="H73" s="15" t="n">
        <v>1</v>
      </c>
      <c r="I73" s="15" t="n">
        <v>0</v>
      </c>
      <c r="J73" s="16" t="n">
        <v>60</v>
      </c>
      <c r="K73" s="16" t="n">
        <v>0</v>
      </c>
      <c r="L73" s="16" t="n">
        <v>54.55</v>
      </c>
      <c r="M73" s="16" t="n">
        <v>5.45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20261030_2315</t>
        </is>
      </c>
      <c r="B74" s="9" t="n">
        <v>46325</v>
      </c>
      <c r="C74" s="10" t="n">
        <v>0.96875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4</v>
      </c>
      <c r="I74" s="11" t="n">
        <v>0</v>
      </c>
      <c r="J74" s="12" t="n">
        <v>96</v>
      </c>
      <c r="K74" s="12" t="n">
        <v>0</v>
      </c>
      <c r="L74" s="12" t="n">
        <v>87.28</v>
      </c>
      <c r="M74" s="12" t="n">
        <v>8.720000000000001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20261030_2359</t>
        </is>
      </c>
      <c r="B76" s="9" t="n">
        <v>46325</v>
      </c>
      <c r="C76" s="10" t="n">
        <v>0.9993055555555556</v>
      </c>
      <c r="D76" s="22" t="inlineStr">
        <is>
          <t>UN Unico</t>
        </is>
      </c>
      <c r="E76" s="22" t="inlineStr">
        <is>
          <t>I5</t>
        </is>
      </c>
      <c r="F76" s="22">
        <f>IFERROR(INDEX(Tariffe!$B$2:$B$200,MATCH(E76,Tariffe!$A$2:$A$200,0)),"DA DEFINIRE")</f>
        <v/>
      </c>
      <c r="G76" s="12" t="n">
        <v>60</v>
      </c>
      <c r="H76" s="11" t="n">
        <v>1</v>
      </c>
      <c r="I76" s="11" t="n">
        <v>0</v>
      </c>
      <c r="J76" s="12" t="n">
        <v>60</v>
      </c>
      <c r="K76" s="12" t="n">
        <v>0</v>
      </c>
      <c r="L76" s="12" t="n">
        <v>54.55</v>
      </c>
      <c r="M76" s="12" t="n">
        <v>5.45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20261030_2359</t>
        </is>
      </c>
      <c r="B77" s="13" t="n">
        <v>46325</v>
      </c>
      <c r="C77" s="14" t="n">
        <v>0.9993055555555556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6</v>
      </c>
      <c r="I77" s="15" t="n">
        <v>0</v>
      </c>
      <c r="J77" s="16" t="n">
        <v>144</v>
      </c>
      <c r="K77" s="16" t="n">
        <v>0</v>
      </c>
      <c r="L77" s="16" t="n">
        <v>130.92</v>
      </c>
      <c r="M77" s="16" t="n">
        <v>13.08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20261031_2015</t>
        </is>
      </c>
      <c r="B78" s="9" t="n">
        <v>46326</v>
      </c>
      <c r="C78" s="10" t="n">
        <v>0.84375</v>
      </c>
      <c r="D78" s="22" t="inlineStr">
        <is>
          <t>UN Unico</t>
        </is>
      </c>
      <c r="E78" s="22" t="inlineStr">
        <is>
          <t>I5</t>
        </is>
      </c>
      <c r="F78" s="22">
        <f>IFERROR(INDEX(Tariffe!$B$2:$B$200,MATCH(E78,Tariffe!$A$2:$A$200,0)),"DA DEFINIRE")</f>
        <v/>
      </c>
      <c r="G78" s="12" t="n">
        <v>60</v>
      </c>
      <c r="H78" s="11" t="n">
        <v>1</v>
      </c>
      <c r="I78" s="11" t="n">
        <v>0</v>
      </c>
      <c r="J78" s="12" t="n">
        <v>60</v>
      </c>
      <c r="K78" s="12" t="n">
        <v>0</v>
      </c>
      <c r="L78" s="12" t="n">
        <v>54.55</v>
      </c>
      <c r="M78" s="12" t="n">
        <v>5.45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20261031_2015</t>
        </is>
      </c>
      <c r="B79" s="13" t="n">
        <v>46326</v>
      </c>
      <c r="C79" s="14" t="n">
        <v>0.84375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1</v>
      </c>
      <c r="I79" s="15" t="n">
        <v>0</v>
      </c>
      <c r="J79" s="16" t="n">
        <v>24</v>
      </c>
      <c r="K79" s="16" t="n">
        <v>0</v>
      </c>
      <c r="L79" s="16" t="n">
        <v>21.82</v>
      </c>
      <c r="M79" s="16" t="n">
        <v>2.18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20261031_2115</t>
        </is>
      </c>
      <c r="B80" s="9" t="n">
        <v>46326</v>
      </c>
      <c r="C80" s="10" t="n">
        <v>0.8854166666666666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20261031_2115</t>
        </is>
      </c>
      <c r="B81" s="13" t="n">
        <v>46326</v>
      </c>
      <c r="C81" s="14" t="n">
        <v>0.8854166666666666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5</v>
      </c>
      <c r="I81" s="15" t="n">
        <v>0</v>
      </c>
      <c r="J81" s="16" t="n">
        <v>120</v>
      </c>
      <c r="K81" s="16" t="n">
        <v>0</v>
      </c>
      <c r="L81" s="16" t="n">
        <v>109.1</v>
      </c>
      <c r="M81" s="16" t="n">
        <v>10.9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20261031_2215</t>
        </is>
      </c>
      <c r="B82" s="9" t="n">
        <v>46326</v>
      </c>
      <c r="C82" s="10" t="n">
        <v>0.9270833333333334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8</v>
      </c>
      <c r="I82" s="11" t="n">
        <v>0</v>
      </c>
      <c r="J82" s="12" t="n">
        <v>384</v>
      </c>
      <c r="K82" s="12" t="n">
        <v>0</v>
      </c>
      <c r="L82" s="12" t="n">
        <v>349.12</v>
      </c>
      <c r="M82" s="12" t="n">
        <v>34.88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20261031_2215</t>
        </is>
      </c>
      <c r="B83" s="13" t="n">
        <v>46326</v>
      </c>
      <c r="C83" s="14" t="n">
        <v>0.9270833333333334</v>
      </c>
      <c r="D83" s="23" t="inlineStr">
        <is>
          <t>UN Unico</t>
        </is>
      </c>
      <c r="E83" s="23" t="inlineStr">
        <is>
          <t>I2</t>
        </is>
      </c>
      <c r="F83" s="23">
        <f>IFERROR(INDEX(Tariffe!$B$2:$B$200,MATCH(E83,Tariffe!$A$2:$A$200,0)),"DA DEFINIRE")</f>
        <v/>
      </c>
      <c r="G83" s="16" t="n">
        <v>36</v>
      </c>
      <c r="H83" s="15" t="n">
        <v>1</v>
      </c>
      <c r="I83" s="15" t="n">
        <v>0</v>
      </c>
      <c r="J83" s="16" t="n">
        <v>36</v>
      </c>
      <c r="K83" s="16" t="n">
        <v>0</v>
      </c>
      <c r="L83" s="16" t="n">
        <v>32.73</v>
      </c>
      <c r="M83" s="16" t="n">
        <v>3.27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20261031_2215</t>
        </is>
      </c>
      <c r="B84" s="9" t="n">
        <v>46326</v>
      </c>
      <c r="C84" s="10" t="n">
        <v>0.9270833333333334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11</v>
      </c>
      <c r="I84" s="11" t="n">
        <v>0</v>
      </c>
      <c r="J84" s="12" t="n">
        <v>264</v>
      </c>
      <c r="K84" s="12" t="n">
        <v>0</v>
      </c>
      <c r="L84" s="12" t="n">
        <v>240.02</v>
      </c>
      <c r="M84" s="12" t="n">
        <v>23.98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20261031_2315</t>
        </is>
      </c>
      <c r="B85" s="13" t="n">
        <v>46326</v>
      </c>
      <c r="C85" s="14" t="n">
        <v>0.96875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11</v>
      </c>
      <c r="I85" s="15" t="n">
        <v>0</v>
      </c>
      <c r="J85" s="16" t="n">
        <v>528</v>
      </c>
      <c r="K85" s="16" t="n">
        <v>0</v>
      </c>
      <c r="L85" s="16" t="n">
        <v>480.04</v>
      </c>
      <c r="M85" s="16" t="n">
        <v>47.96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20261031_2315</t>
        </is>
      </c>
      <c r="B86" s="9" t="n">
        <v>46326</v>
      </c>
      <c r="C86" s="10" t="n">
        <v>0.96875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12</v>
      </c>
      <c r="I86" s="11" t="n">
        <v>0</v>
      </c>
      <c r="J86" s="12" t="n">
        <v>288</v>
      </c>
      <c r="K86" s="12" t="n">
        <v>0</v>
      </c>
      <c r="L86" s="12" t="n">
        <v>261.84</v>
      </c>
      <c r="M86" s="12" t="n">
        <v>26.16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20261031_2359</t>
        </is>
      </c>
      <c r="B87" s="13" t="n">
        <v>46326</v>
      </c>
      <c r="C87" s="14" t="n">
        <v>0.9993055555555556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5</v>
      </c>
      <c r="I87" s="15" t="n">
        <v>0</v>
      </c>
      <c r="J87" s="16" t="n">
        <v>240</v>
      </c>
      <c r="K87" s="16" t="n">
        <v>0</v>
      </c>
      <c r="L87" s="16" t="n">
        <v>218.2</v>
      </c>
      <c r="M87" s="16" t="n">
        <v>21.8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20261031_2359</t>
        </is>
      </c>
      <c r="B88" s="9" t="n">
        <v>46326</v>
      </c>
      <c r="C88" s="10" t="n">
        <v>0.9993055555555556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5</v>
      </c>
      <c r="I88" s="11" t="n">
        <v>0</v>
      </c>
      <c r="J88" s="12" t="n">
        <v>120</v>
      </c>
      <c r="K88" s="12" t="n">
        <v>0</v>
      </c>
      <c r="L88" s="12" t="n">
        <v>109.1</v>
      </c>
      <c r="M88" s="12" t="n">
        <v>10.9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20261101_2015</t>
        </is>
      </c>
      <c r="B89" s="13" t="n">
        <v>46327</v>
      </c>
      <c r="C89" s="14" t="n">
        <v>0.84375</v>
      </c>
      <c r="D89" s="23" t="inlineStr">
        <is>
          <t>UN Unico</t>
        </is>
      </c>
      <c r="E89" s="23" t="inlineStr">
        <is>
          <t>I1</t>
        </is>
      </c>
      <c r="F89" s="23">
        <f>IFERROR(INDEX(Tariffe!$B$2:$B$200,MATCH(E89,Tariffe!$A$2:$A$200,0)),"DA DEFINIRE")</f>
        <v/>
      </c>
      <c r="G89" s="16" t="n">
        <v>48</v>
      </c>
      <c r="H89" s="15" t="n">
        <v>1</v>
      </c>
      <c r="I89" s="15" t="n">
        <v>0</v>
      </c>
      <c r="J89" s="16" t="n">
        <v>48</v>
      </c>
      <c r="K89" s="16" t="n">
        <v>0</v>
      </c>
      <c r="L89" s="16" t="n">
        <v>43.64</v>
      </c>
      <c r="M89" s="16" t="n">
        <v>4.36</v>
      </c>
      <c r="N89" s="23" t="inlineStr">
        <is>
          <t>11/2026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20261101_2115</t>
        </is>
      </c>
      <c r="B90" s="9" t="n">
        <v>46327</v>
      </c>
      <c r="C90" s="10" t="n">
        <v>0.8854166666666666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3</v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11/2026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20261101_2215</t>
        </is>
      </c>
      <c r="B91" s="13" t="n">
        <v>46327</v>
      </c>
      <c r="C91" s="14" t="n">
        <v>0.9270833333333334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1</v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20261101_2215</t>
        </is>
      </c>
      <c r="B92" s="9" t="n">
        <v>46327</v>
      </c>
      <c r="C92" s="10" t="n">
        <v>0.9270833333333334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3</v>
      </c>
      <c r="I92" s="11" t="n">
        <v>0</v>
      </c>
      <c r="J92" s="12" t="n">
        <v>72</v>
      </c>
      <c r="K92" s="12" t="n">
        <v>0</v>
      </c>
      <c r="L92" s="12" t="n">
        <v>65.45999999999999</v>
      </c>
      <c r="M92" s="12" t="n">
        <v>6.54</v>
      </c>
      <c r="N92" s="22" t="inlineStr">
        <is>
          <t>11/2026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20261101_2359</t>
        </is>
      </c>
      <c r="B93" s="13" t="n">
        <v>46327</v>
      </c>
      <c r="C93" s="14" t="n">
        <v>0.9993055555555556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1</v>
      </c>
      <c r="I93" s="15" t="n">
        <v>0</v>
      </c>
      <c r="J93" s="16" t="n">
        <v>60</v>
      </c>
      <c r="K93" s="16" t="n">
        <v>0</v>
      </c>
      <c r="L93" s="16" t="n">
        <v>54.55</v>
      </c>
      <c r="M93" s="16" t="n">
        <v>5.45</v>
      </c>
      <c r="N93" s="23" t="inlineStr">
        <is>
          <t>11/2026</t>
        </is>
      </c>
      <c r="O93" s="15">
        <f>IFERROR(INDEX(Tariffe!$D$2:$D$200,MATCH(E93,Tariffe!$A$2:$A$200,0))*1,0)</f>
        <v/>
      </c>
      <c r="P93" s="15">
        <f>H93*O93</f>
        <v/>
      </c>
    </row>
  </sheetData>
  <autoFilter ref="A1:P9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</sheetData>
  <autoFilter ref="A1:G41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</sheetData>
  <autoFilter ref="A1:K33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10</v>
      </c>
      <c r="H4" s="11" t="n">
        <v>37</v>
      </c>
      <c r="I4" s="12" t="n">
        <v>444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</v>
      </c>
      <c r="H5" s="11" t="n">
        <v>6</v>
      </c>
      <c r="I5" s="12" t="n">
        <v>72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54</v>
      </c>
      <c r="M9" s="11" t="n">
        <v>157</v>
      </c>
      <c r="N9" s="12" t="n">
        <v>1884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7</v>
      </c>
      <c r="H13" s="11" t="n">
        <v>26</v>
      </c>
      <c r="I13" s="12" t="n">
        <v>312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13</v>
      </c>
      <c r="H14" s="11" t="n">
        <v>45</v>
      </c>
      <c r="I14" s="12" t="n">
        <v>540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17</v>
      </c>
      <c r="H15" s="11" t="n">
        <v>51</v>
      </c>
      <c r="I15" s="12" t="n">
        <v>612</v>
      </c>
    </row>
    <row r="16">
      <c r="A16" s="9" t="n">
        <v>46312</v>
      </c>
      <c r="B16" s="11" t="n">
        <v>35</v>
      </c>
      <c r="C16" s="11" t="n">
        <v>110</v>
      </c>
      <c r="D16" s="12" t="n">
        <v>1320</v>
      </c>
      <c r="F16" s="38" t="inlineStr">
        <is>
          <t>12:00-13:00</t>
        </is>
      </c>
      <c r="G16" s="11" t="n">
        <v>22</v>
      </c>
      <c r="H16" s="11" t="n">
        <v>58</v>
      </c>
      <c r="I16" s="12" t="n">
        <v>696</v>
      </c>
    </row>
    <row r="17">
      <c r="F17" s="38" t="inlineStr">
        <is>
          <t>13:00-14:00</t>
        </is>
      </c>
      <c r="G17" s="11" t="n">
        <v>14</v>
      </c>
      <c r="H17" s="11" t="n">
        <v>35</v>
      </c>
      <c r="I17" s="12" t="n">
        <v>420</v>
      </c>
    </row>
    <row r="18">
      <c r="F18" s="38" t="inlineStr">
        <is>
          <t>14:00-15:00</t>
        </is>
      </c>
      <c r="G18" s="11" t="n">
        <v>20</v>
      </c>
      <c r="H18" s="11" t="n">
        <v>62</v>
      </c>
      <c r="I18" s="12" t="n">
        <v>744</v>
      </c>
    </row>
    <row r="19">
      <c r="F19" s="38" t="inlineStr">
        <is>
          <t>15:00-16:00</t>
        </is>
      </c>
      <c r="G19" s="11" t="n">
        <v>17</v>
      </c>
      <c r="H19" s="11" t="n">
        <v>49</v>
      </c>
      <c r="I19" s="12" t="n">
        <v>588</v>
      </c>
    </row>
    <row r="20">
      <c r="F20" s="38" t="inlineStr">
        <is>
          <t>16:00-17:00</t>
        </is>
      </c>
      <c r="G20" s="11" t="n">
        <v>19</v>
      </c>
      <c r="H20" s="11" t="n">
        <v>51</v>
      </c>
      <c r="I20" s="12" t="n">
        <v>612</v>
      </c>
    </row>
    <row r="21">
      <c r="F21" s="38" t="inlineStr">
        <is>
          <t>17:00-18:00</t>
        </is>
      </c>
      <c r="G21" s="11" t="n">
        <v>19</v>
      </c>
      <c r="H21" s="11" t="n">
        <v>56</v>
      </c>
      <c r="I21" s="12" t="n">
        <v>672</v>
      </c>
    </row>
    <row r="22">
      <c r="F22" s="38" t="inlineStr">
        <is>
          <t>18:00-19:00</t>
        </is>
      </c>
      <c r="G22" s="11" t="n">
        <v>22</v>
      </c>
      <c r="H22" s="11" t="n">
        <v>59</v>
      </c>
      <c r="I22" s="12" t="n">
        <v>708</v>
      </c>
    </row>
    <row r="23">
      <c r="F23" s="38" t="inlineStr">
        <is>
          <t>19:00-20:00</t>
        </is>
      </c>
      <c r="G23" s="11" t="n">
        <v>33</v>
      </c>
      <c r="H23" s="11" t="n">
        <v>115</v>
      </c>
      <c r="I23" s="12" t="n">
        <v>1380</v>
      </c>
    </row>
    <row r="24">
      <c r="F24" s="38" t="inlineStr">
        <is>
          <t>20:00-21:00</t>
        </is>
      </c>
      <c r="G24" s="11" t="n">
        <v>36</v>
      </c>
      <c r="H24" s="11" t="n">
        <v>111</v>
      </c>
      <c r="I24" s="12" t="n">
        <v>1332</v>
      </c>
    </row>
    <row r="25">
      <c r="F25" s="38" t="inlineStr">
        <is>
          <t>21:00-22:00</t>
        </is>
      </c>
      <c r="G25" s="11" t="n">
        <v>35</v>
      </c>
      <c r="H25" s="11" t="n">
        <v>101</v>
      </c>
      <c r="I25" s="12" t="n">
        <v>1212</v>
      </c>
    </row>
    <row r="26">
      <c r="F26" s="38" t="inlineStr">
        <is>
          <t>22:00-23:00</t>
        </is>
      </c>
      <c r="G26" s="11" t="n">
        <v>52</v>
      </c>
      <c r="H26" s="11" t="n">
        <v>144</v>
      </c>
      <c r="I26" s="12" t="n">
        <v>1728</v>
      </c>
    </row>
    <row r="27">
      <c r="F27" s="38" t="inlineStr">
        <is>
          <t>23:00-00:00</t>
        </is>
      </c>
      <c r="G27" s="11" t="n">
        <v>18</v>
      </c>
      <c r="H27" s="11" t="n">
        <v>61</v>
      </c>
      <c r="I27" s="12" t="n">
        <v>732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2026-10-17T19:20:18Z</dcterms:created>
  <dcterms:modified xsi:type="dcterms:W3CDTF">2026-10-17T19:20:19Z</dcterms:modified>
</cp:coreProperties>
</file>