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'Storico'!$A$1:$G$258</definedName>
    <definedName name="_xlnm._FilterDatabase" localSheetId="8" hidden="1">'Registro vendite'!$A$1:$K$182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'Storico'!$H$2:$H$258</f>
            </numRef>
          </cat>
          <val>
            <numRef>
              <f>'Storico'!$C$2:$C$258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vendite'!$A$4:$A$11</f>
            </numRef>
          </cat>
          <val>
            <numRef>
              <f>'Picchi vendite'!$B$4:$B$11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MAX(Storico!A2:A258)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5</v>
      </c>
      <c r="I2" s="11" t="n">
        <v>0</v>
      </c>
      <c r="J2" s="12" t="n">
        <v>120</v>
      </c>
      <c r="K2" s="12" t="n">
        <v>0</v>
      </c>
      <c r="L2" s="12" t="n">
        <v>109.1</v>
      </c>
      <c r="M2" s="12" t="n">
        <v>10.9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5</v>
      </c>
      <c r="I3" s="15" t="n">
        <v>1</v>
      </c>
      <c r="J3" s="16" t="n">
        <v>240</v>
      </c>
      <c r="K3" s="16" t="n">
        <v>0</v>
      </c>
      <c r="L3" s="16" t="n">
        <v>218.2</v>
      </c>
      <c r="M3" s="16" t="n">
        <v>21.8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9</v>
      </c>
      <c r="I6" s="11" t="n">
        <v>0</v>
      </c>
      <c r="J6" s="12" t="n">
        <v>216</v>
      </c>
      <c r="K6" s="12" t="n">
        <v>0</v>
      </c>
      <c r="L6" s="12" t="n">
        <v>196.38</v>
      </c>
      <c r="M6" s="12" t="n">
        <v>19.62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3</v>
      </c>
      <c r="I11" s="15" t="n">
        <v>1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2</v>
      </c>
      <c r="I20" s="11" t="n">
        <v>0</v>
      </c>
      <c r="J20" s="12" t="n">
        <v>96</v>
      </c>
      <c r="K20" s="12" t="n">
        <v>0</v>
      </c>
      <c r="L20" s="12" t="n">
        <v>87.28</v>
      </c>
      <c r="M20" s="12" t="n">
        <v>8.720000000000001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10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3</v>
      </c>
      <c r="I29" s="15" t="n">
        <v>0</v>
      </c>
      <c r="J29" s="16" t="n">
        <v>180</v>
      </c>
      <c r="K29" s="16" t="n">
        <v>0</v>
      </c>
      <c r="L29" s="16" t="n">
        <v>163.65</v>
      </c>
      <c r="M29" s="16" t="n">
        <v>16.35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5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2</v>
      </c>
      <c r="I51" s="15" t="n">
        <v>0</v>
      </c>
      <c r="J51" s="16" t="n">
        <v>96</v>
      </c>
      <c r="K51" s="16" t="n">
        <v>0</v>
      </c>
      <c r="L51" s="16" t="n">
        <v>87.28</v>
      </c>
      <c r="M51" s="16" t="n">
        <v>8.720000000000001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20261029_2359</t>
        </is>
      </c>
      <c r="B53" s="13" t="n">
        <v>46324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20261030_2115</t>
        </is>
      </c>
      <c r="B56" s="9" t="n">
        <v>46325</v>
      </c>
      <c r="C56" s="10" t="n">
        <v>0.8854166666666666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2</v>
      </c>
      <c r="I57" s="15" t="n">
        <v>0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20261030_2215</t>
        </is>
      </c>
      <c r="B58" s="9" t="n">
        <v>46325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3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3</v>
      </c>
      <c r="I59" s="15" t="n">
        <v>0</v>
      </c>
      <c r="J59" s="16" t="n">
        <v>144</v>
      </c>
      <c r="K59" s="16" t="n">
        <v>0</v>
      </c>
      <c r="L59" s="16" t="n">
        <v>130.92</v>
      </c>
      <c r="M59" s="16" t="n">
        <v>13.08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1</v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20261030_2359</t>
        </is>
      </c>
      <c r="B62" s="9" t="n">
        <v>46325</v>
      </c>
      <c r="C62" s="10" t="n">
        <v>0.9993055555555556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4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20261031_2015</t>
        </is>
      </c>
      <c r="B63" s="13" t="n">
        <v>46326</v>
      </c>
      <c r="C63" s="14" t="n">
        <v>0.84375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1</v>
      </c>
      <c r="I63" s="15" t="n">
        <v>0</v>
      </c>
      <c r="J63" s="16" t="n">
        <v>60</v>
      </c>
      <c r="K63" s="16" t="n">
        <v>0</v>
      </c>
      <c r="L63" s="16" t="n">
        <v>54.55</v>
      </c>
      <c r="M63" s="16" t="n">
        <v>5.45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20261031_2015</t>
        </is>
      </c>
      <c r="B64" s="9" t="n">
        <v>46326</v>
      </c>
      <c r="C64" s="10" t="n">
        <v>0.84375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20261031_2115</t>
        </is>
      </c>
      <c r="B65" s="13" t="n">
        <v>46326</v>
      </c>
      <c r="C65" s="14" t="n">
        <v>0.8854166666666666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20261031_2115</t>
        </is>
      </c>
      <c r="B66" s="9" t="n">
        <v>46326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20261031_2215</t>
        </is>
      </c>
      <c r="B67" s="13" t="n">
        <v>46326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2</v>
      </c>
      <c r="I67" s="15" t="n">
        <v>0</v>
      </c>
      <c r="J67" s="16" t="n">
        <v>96</v>
      </c>
      <c r="K67" s="16" t="n">
        <v>0</v>
      </c>
      <c r="L67" s="16" t="n">
        <v>87.28</v>
      </c>
      <c r="M67" s="16" t="n">
        <v>8.720000000000001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20261031_2215</t>
        </is>
      </c>
      <c r="B69" s="13" t="n">
        <v>46326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3</v>
      </c>
      <c r="I69" s="15" t="n">
        <v>0</v>
      </c>
      <c r="J69" s="16" t="n">
        <v>72</v>
      </c>
      <c r="K69" s="16" t="n">
        <v>0</v>
      </c>
      <c r="L69" s="16" t="n">
        <v>65.45999999999999</v>
      </c>
      <c r="M69" s="16" t="n">
        <v>6.54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20261031_2315</t>
        </is>
      </c>
      <c r="B70" s="9" t="n">
        <v>46326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20261031_2315</t>
        </is>
      </c>
      <c r="B71" s="13" t="n">
        <v>46326</v>
      </c>
      <c r="C71" s="14" t="n">
        <v>0.96875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4</v>
      </c>
      <c r="I71" s="15" t="n">
        <v>0</v>
      </c>
      <c r="J71" s="16" t="n">
        <v>96</v>
      </c>
      <c r="K71" s="16" t="n">
        <v>0</v>
      </c>
      <c r="L71" s="16" t="n">
        <v>87.28</v>
      </c>
      <c r="M71" s="16" t="n">
        <v>8.720000000000001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20261031_2359</t>
        </is>
      </c>
      <c r="B72" s="9" t="n">
        <v>46326</v>
      </c>
      <c r="C72" s="10" t="n">
        <v>0.9993055555555556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20261031_2359</t>
        </is>
      </c>
      <c r="B73" s="13" t="n">
        <v>46326</v>
      </c>
      <c r="C73" s="14" t="n">
        <v>0.9993055555555556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20261101_2015</t>
        </is>
      </c>
      <c r="B74" s="9" t="n">
        <v>46327</v>
      </c>
      <c r="C74" s="10" t="n">
        <v>0.84375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11/2026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20261101_2115</t>
        </is>
      </c>
      <c r="B75" s="13" t="n">
        <v>46327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1</v>
      </c>
      <c r="I75" s="15" t="n">
        <v>0</v>
      </c>
      <c r="J75" s="16" t="n">
        <v>24</v>
      </c>
      <c r="K75" s="16" t="n">
        <v>0</v>
      </c>
      <c r="L75" s="16" t="n">
        <v>21.82</v>
      </c>
      <c r="M75" s="16" t="n">
        <v>2.18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20261101_2215</t>
        </is>
      </c>
      <c r="B76" s="9" t="n">
        <v>46327</v>
      </c>
      <c r="C76" s="10" t="n">
        <v>0.9270833333333334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1</v>
      </c>
      <c r="I76" s="11" t="n">
        <v>0</v>
      </c>
      <c r="J76" s="12" t="n">
        <v>24</v>
      </c>
      <c r="K76" s="12" t="n">
        <v>0</v>
      </c>
      <c r="L76" s="12" t="n">
        <v>21.82</v>
      </c>
      <c r="M76" s="12" t="n">
        <v>2.18</v>
      </c>
      <c r="N76" s="22" t="inlineStr">
        <is>
          <t>11/2026</t>
        </is>
      </c>
      <c r="O76" s="11">
        <f>IFERROR(INDEX(Tariffe!$D$2:$D$200,MATCH(E76,Tariffe!$A$2:$A$200,0))*1,0)</f>
        <v/>
      </c>
      <c r="P76" s="11">
        <f>H76*O76</f>
        <v/>
      </c>
    </row>
  </sheetData>
  <autoFilter ref="A1:P7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</sheetData>
  <autoFilter ref="A1:G25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</sheetData>
  <autoFilter ref="A1:K18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37</v>
      </c>
      <c r="M4" s="11" t="n">
        <v>97</v>
      </c>
      <c r="N4" s="12" t="n">
        <v>1164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15</v>
      </c>
      <c r="C11" s="11" t="n">
        <v>38</v>
      </c>
      <c r="D11" s="12" t="n">
        <v>456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13</v>
      </c>
      <c r="H16" s="11" t="n">
        <v>33</v>
      </c>
      <c r="I16" s="12" t="n">
        <v>396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6</v>
      </c>
      <c r="H18" s="11" t="n">
        <v>18</v>
      </c>
      <c r="I18" s="12" t="n">
        <v>216</v>
      </c>
    </row>
    <row r="19">
      <c r="F19" s="38" t="inlineStr">
        <is>
          <t>15:00-16:00</t>
        </is>
      </c>
      <c r="G19" s="11" t="n">
        <v>7</v>
      </c>
      <c r="H19" s="11" t="n">
        <v>18</v>
      </c>
      <c r="I19" s="12" t="n">
        <v>216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8</v>
      </c>
      <c r="H22" s="11" t="n">
        <v>25</v>
      </c>
      <c r="I22" s="12" t="n">
        <v>300</v>
      </c>
    </row>
    <row r="23">
      <c r="F23" s="38" t="inlineStr">
        <is>
          <t>19:00-20:00</t>
        </is>
      </c>
      <c r="G23" s="11" t="n">
        <v>14</v>
      </c>
      <c r="H23" s="11" t="n">
        <v>47</v>
      </c>
      <c r="I23" s="12" t="n">
        <v>564</v>
      </c>
    </row>
    <row r="24">
      <c r="F24" s="38" t="inlineStr">
        <is>
          <t>20:00-21:00</t>
        </is>
      </c>
      <c r="G24" s="11" t="n">
        <v>17</v>
      </c>
      <c r="H24" s="11" t="n">
        <v>47</v>
      </c>
      <c r="I24" s="12" t="n">
        <v>564</v>
      </c>
    </row>
    <row r="25">
      <c r="F25" s="38" t="inlineStr">
        <is>
          <t>21:00-22:00</t>
        </is>
      </c>
      <c r="G25" s="11" t="n">
        <v>19</v>
      </c>
      <c r="H25" s="11" t="n">
        <v>58</v>
      </c>
      <c r="I25" s="12" t="n">
        <v>696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2026-10-12T18:17:58Z</dcterms:created>
  <dcterms:modified xsi:type="dcterms:W3CDTF">2026-10-12T18:17:58Z</dcterms:modified>
</cp:coreProperties>
</file>