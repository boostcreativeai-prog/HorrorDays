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'Tariffe'!$A$1:$D$5</definedName>
    <definedName name="_xlnm._FilterDatabase" localSheetId="2" hidden="1">'Tipologie'!$A$1:$G$5</definedName>
    <definedName name="_xlnm._FilterDatabase" localSheetId="3" hidden="1">'Spettacoli'!$A$1:$R$36</definedName>
    <definedName name="_xlnm._FilterDatabase" localSheetId="4" hidden="1">'Vendite'!$A$1:$P$58</definedName>
    <definedName name="_xlnm._FilterDatabase" localSheetId="5" hidden="1">'Per tariffa'!$A$1:$G$5</definedName>
    <definedName name="_xlnm._FilterDatabase" localSheetId="6" hidden="1">'Per serata'!$A$1:$S$8</definedName>
    <definedName name="_xlnm._FilterDatabase" localSheetId="7" hidden="1">'Storico'!$A$1:$G$143</definedName>
    <definedName name="_xlnm._FilterDatabase" localSheetId="8" hidden="1">'Registro vendite'!$A$1:$K$107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serata'!P1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serata'!$P$2:$P$8</f>
            </numRef>
          </val>
        </ser>
        <ser>
          <idx val="1"/>
          <order val="1"/>
          <tx>
            <strRef>
              <f>'Per serata'!Q1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serata'!$Q$2:$Q$8</f>
            </numRef>
          </val>
        </ser>
        <ser>
          <idx val="2"/>
          <order val="2"/>
          <tx>
            <strRef>
              <f>'Per serata'!R1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serata'!$R$2:$R$8</f>
            </numRef>
          </val>
        </ser>
        <ser>
          <idx val="3"/>
          <order val="3"/>
          <tx>
            <strRef>
              <f>'Per serata'!S1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serata'!$S$2:$S$8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'Tipologie'!$A$2:$A$5</f>
            </numRef>
          </cat>
          <val>
            <numRef>
              <f>'Tipologie'!$D$2:$D$5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'Storico'!$H$2:$H$143</f>
            </numRef>
          </cat>
          <val>
            <numRef>
              <f>'Storico'!$C$2:$C$143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vendite'!$A$4:$A$8</f>
            </numRef>
          </cat>
          <val>
            <numRef>
              <f>'Picchi vendite'!$B$4:$B$8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INDEX(Spettacoli!$B$2:$B$36,MATCH(LARGE(Spettacoli!$R$2:$R$36,1),Spettacoli!$R$2:$R$36,0))</f>
        <v/>
      </c>
      <c r="L6" s="10">
        <f>INDEX(Spettacoli!$D$2:$D$36,MATCH(LARGE(Spettacoli!$R$2:$R$36,1),Spettacoli!$R$2:$R$36,0))</f>
        <v/>
      </c>
      <c r="M6" s="11">
        <f>INDEX(Spettacoli!$F$2:$F$36,MATCH(LARGE(Spettacoli!$R$2:$R$36,1),Spettacoli!$R$2:$R$36,0))</f>
        <v/>
      </c>
      <c r="N6" s="11">
        <f>INDEX(Spettacoli!$G$2:$G$36,MATCH(LARGE(Spettacoli!$R$2:$R$36,1),Spettacoli!$R$2:$R$36,0))</f>
        <v/>
      </c>
      <c r="O6" s="12">
        <f>INDEX(Spettacoli!$M$2:$M$36,MATCH(LARGE(Spettacoli!$R$2:$R$36,1),Spettacoli!$R$2:$R$36,0))</f>
        <v/>
      </c>
    </row>
    <row r="7">
      <c r="K7" s="13">
        <f>INDEX(Spettacoli!$B$2:$B$36,MATCH(LARGE(Spettacoli!$R$2:$R$36,2),Spettacoli!$R$2:$R$36,0))</f>
        <v/>
      </c>
      <c r="L7" s="14">
        <f>INDEX(Spettacoli!$D$2:$D$36,MATCH(LARGE(Spettacoli!$R$2:$R$36,2),Spettacoli!$R$2:$R$36,0))</f>
        <v/>
      </c>
      <c r="M7" s="15">
        <f>INDEX(Spettacoli!$F$2:$F$36,MATCH(LARGE(Spettacoli!$R$2:$R$36,2),Spettacoli!$R$2:$R$36,0))</f>
        <v/>
      </c>
      <c r="N7" s="15">
        <f>INDEX(Spettacoli!$G$2:$G$36,MATCH(LARGE(Spettacoli!$R$2:$R$36,2),Spettacoli!$R$2:$R$36,0))</f>
        <v/>
      </c>
      <c r="O7" s="16">
        <f>INDEX(Spettacoli!$M$2:$M$36,MATCH(LARGE(Spettacoli!$R$2:$R$36,2),Spettacoli!$R$2:$R$36,0))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INDEX(Spettacoli!$B$2:$B$36,MATCH(LARGE(Spettacoli!$R$2:$R$36,3),Spettacoli!$R$2:$R$36,0))</f>
        <v/>
      </c>
      <c r="L8" s="10">
        <f>INDEX(Spettacoli!$D$2:$D$36,MATCH(LARGE(Spettacoli!$R$2:$R$36,3),Spettacoli!$R$2:$R$36,0))</f>
        <v/>
      </c>
      <c r="M8" s="11">
        <f>INDEX(Spettacoli!$F$2:$F$36,MATCH(LARGE(Spettacoli!$R$2:$R$36,3),Spettacoli!$R$2:$R$36,0))</f>
        <v/>
      </c>
      <c r="N8" s="11">
        <f>INDEX(Spettacoli!$G$2:$G$36,MATCH(LARGE(Spettacoli!$R$2:$R$36,3),Spettacoli!$R$2:$R$36,0))</f>
        <v/>
      </c>
      <c r="O8" s="12">
        <f>INDEX(Spettacoli!$M$2:$M$36,MATCH(LARGE(Spettacoli!$R$2:$R$36,3),Spettacoli!$R$2:$R$36,0))</f>
        <v/>
      </c>
    </row>
    <row r="9" ht="26" customHeight="1">
      <c r="B9" s="17">
        <f>IF(SUM(Vendite!$H$2:$H$1000)&gt;0,SUM(Vendite!$P$2:$P$1000)/SUM(Vendite!$H$2:$H$1000),0)</f>
        <v/>
      </c>
      <c r="C9" s="5" t="n"/>
      <c r="E9" s="18">
        <f>IF(SUM(Spettacoli!E2:E36)&gt;0,SUM(Spettacoli!F2:F36)/SUM(Spettacoli!E2:E36),0)</f>
        <v/>
      </c>
      <c r="F9" s="5" t="n"/>
      <c r="H9" s="19">
        <f>COUNTIF(Spettacoli!$Q$2:$Q$36,"Venduto")&amp;" / "&amp;COUNTA(Spettacoli!A2:A36)</f>
        <v/>
      </c>
      <c r="I9" s="5" t="n"/>
      <c r="K9" s="13">
        <f>INDEX(Spettacoli!$B$2:$B$36,MATCH(LARGE(Spettacoli!$R$2:$R$36,4),Spettacoli!$R$2:$R$36,0))</f>
        <v/>
      </c>
      <c r="L9" s="14">
        <f>INDEX(Spettacoli!$D$2:$D$36,MATCH(LARGE(Spettacoli!$R$2:$R$36,4),Spettacoli!$R$2:$R$36,0))</f>
        <v/>
      </c>
      <c r="M9" s="15">
        <f>INDEX(Spettacoli!$F$2:$F$36,MATCH(LARGE(Spettacoli!$R$2:$R$36,4),Spettacoli!$R$2:$R$36,0))</f>
        <v/>
      </c>
      <c r="N9" s="15">
        <f>INDEX(Spettacoli!$G$2:$G$36,MATCH(LARGE(Spettacoli!$R$2:$R$36,4),Spettacoli!$R$2:$R$36,0))</f>
        <v/>
      </c>
      <c r="O9" s="16">
        <f>INDEX(Spettacoli!$M$2:$M$36,MATCH(LARGE(Spettacoli!$R$2:$R$36,4),Spettacoli!$R$2:$R$36,0))</f>
        <v/>
      </c>
    </row>
    <row r="10">
      <c r="K10" s="9">
        <f>INDEX(Spettacoli!$B$2:$B$36,MATCH(LARGE(Spettacoli!$R$2:$R$36,5),Spettacoli!$R$2:$R$36,0))</f>
        <v/>
      </c>
      <c r="L10" s="10">
        <f>INDEX(Spettacoli!$D$2:$D$36,MATCH(LARGE(Spettacoli!$R$2:$R$36,5),Spettacoli!$R$2:$R$36,0))</f>
        <v/>
      </c>
      <c r="M10" s="11">
        <f>INDEX(Spettacoli!$F$2:$F$36,MATCH(LARGE(Spettacoli!$R$2:$R$36,5),Spettacoli!$R$2:$R$36,0))</f>
        <v/>
      </c>
      <c r="N10" s="11">
        <f>INDEX(Spettacoli!$G$2:$G$36,MATCH(LARGE(Spettacoli!$R$2:$R$36,5),Spettacoli!$R$2:$R$36,0))</f>
        <v/>
      </c>
      <c r="O10" s="12">
        <f>INDEX(Spettacoli!$M$2:$M$36,MATCH(LARGE(Spettacoli!$R$2:$R$36,5),Spettacoli!$R$2:$R$36,0))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IF(SUM(Vendite!$H$2:$H$1000)&gt;0,SUM(Vendite!$J$2:$J$1000)/SUM(Vendite!$H$2:$H$1000),0)</f>
        <v/>
      </c>
      <c r="F12" s="5" t="n"/>
      <c r="H12" s="20">
        <f>MAX(Storico!A2:A143)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30" customWidth="1" min="3" max="3"/>
    <col width="18" customWidth="1" min="4" max="4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auto</t>
        </is>
      </c>
    </row>
    <row r="2">
      <c r="A2" s="22" t="inlineStr">
        <is>
          <t>I1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</row>
    <row r="3">
      <c r="A3" s="23" t="inlineStr">
        <is>
          <t>I8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</row>
    <row r="4">
      <c r="A4" s="22" t="inlineStr">
        <is>
          <t>I2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</row>
    <row r="5">
      <c r="A5" s="23" t="inlineStr">
        <is>
          <t>I5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</row>
  </sheetData>
  <autoFilter ref="A1:D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IF(SUM($D$2:$D$5)&gt;0,D2/SUM($D$2:$D$5),0)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IF(SUM($D$2:$D$5)&gt;0,D3/SUM($D$2:$D$5),0)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IF(SUM($D$2:$D$5)&gt;0,D4/SUM($D$2:$D$5),0)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IF(SUM($D$2:$D$5)&gt;0,D5/SUM($D$2:$D$5),0)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20261031_2015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0.84375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20261031_2115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0.8854166666666666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20261031_2215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0.9270833333333334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20261031_2315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0.96875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20261031_2359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0.9993055555555556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20261101_2015</t>
        </is>
      </c>
      <c r="B32" s="9" t="n">
        <v>46327</v>
      </c>
      <c r="C32" s="22">
        <f>CHOOSE(WEEKDAY(B32,2),"Lunedì","Martedì","Mercoledì","Giovedì","Venerdì","Sabato","Domenica")</f>
        <v/>
      </c>
      <c r="D32" s="10" t="n">
        <v>0.84375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20261101_2115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0.8854166666666666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20261101_2215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0.9270833333333334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20261101_2315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0.96875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20261101_2359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0.9993055555555556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</sheetData>
  <autoFilter ref="A1:R36"/>
  <conditionalFormatting sqref="Q2:Q36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5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2" customWidth="1" min="5" max="5"/>
    <col width="22" customWidth="1" min="6" max="6"/>
    <col width="13" customWidth="1" min="7" max="7"/>
    <col width="12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Codice titolo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 (titoli emessi)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auto</t>
        </is>
      </c>
      <c r="P1" s="21" t="inlineStr">
        <is>
          <t>Persone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I8</t>
        </is>
      </c>
      <c r="F2" s="22">
        <f>IFERROR(INDEX(Tariffe!$B$2:$B$200,MATCH(E2,Tariffe!$A$2:$A$200,0)),"DA DEFINIRE")</f>
        <v/>
      </c>
      <c r="G2" s="12" t="n">
        <v>24</v>
      </c>
      <c r="H2" s="11" t="n">
        <v>3</v>
      </c>
      <c r="I2" s="11" t="n">
        <v>0</v>
      </c>
      <c r="J2" s="12" t="n">
        <v>72</v>
      </c>
      <c r="K2" s="12" t="n">
        <v>0</v>
      </c>
      <c r="L2" s="12" t="n">
        <v>65.45999999999999</v>
      </c>
      <c r="M2" s="12" t="n">
        <v>6.54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H2*O2</f>
        <v/>
      </c>
    </row>
    <row r="3">
      <c r="A3" s="23" t="inlineStr">
        <is>
          <t>20261023_2115</t>
        </is>
      </c>
      <c r="B3" s="13" t="n">
        <v>46318</v>
      </c>
      <c r="C3" s="14" t="n">
        <v>0.8854166666666666</v>
      </c>
      <c r="D3" s="23" t="inlineStr">
        <is>
          <t>UN Unico</t>
        </is>
      </c>
      <c r="E3" s="23" t="inlineStr">
        <is>
          <t>I1</t>
        </is>
      </c>
      <c r="F3" s="23">
        <f>IFERROR(INDEX(Tariffe!$B$2:$B$200,MATCH(E3,Tariffe!$A$2:$A$200,0)),"DA DEFINIRE")</f>
        <v/>
      </c>
      <c r="G3" s="16" t="n">
        <v>48</v>
      </c>
      <c r="H3" s="15" t="n">
        <v>4</v>
      </c>
      <c r="I3" s="15" t="n">
        <v>0</v>
      </c>
      <c r="J3" s="16" t="n">
        <v>192</v>
      </c>
      <c r="K3" s="16" t="n">
        <v>0</v>
      </c>
      <c r="L3" s="16" t="n">
        <v>174.56</v>
      </c>
      <c r="M3" s="16" t="n">
        <v>17.44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H3*O3</f>
        <v/>
      </c>
    </row>
    <row r="4">
      <c r="A4" s="22" t="inlineStr">
        <is>
          <t>20261023_2115</t>
        </is>
      </c>
      <c r="B4" s="9" t="n">
        <v>46318</v>
      </c>
      <c r="C4" s="10" t="n">
        <v>0.8854166666666666</v>
      </c>
      <c r="D4" s="22" t="inlineStr">
        <is>
          <t>UN Unico</t>
        </is>
      </c>
      <c r="E4" s="22" t="inlineStr">
        <is>
          <t>I5</t>
        </is>
      </c>
      <c r="F4" s="22">
        <f>IFERROR(INDEX(Tariffe!$B$2:$B$200,MATCH(E4,Tariffe!$A$2:$A$200,0)),"DA DEFINIRE")</f>
        <v/>
      </c>
      <c r="G4" s="12" t="n">
        <v>60</v>
      </c>
      <c r="H4" s="11" t="n">
        <v>1</v>
      </c>
      <c r="I4" s="11" t="n">
        <v>0</v>
      </c>
      <c r="J4" s="12" t="n">
        <v>60</v>
      </c>
      <c r="K4" s="12" t="n">
        <v>0</v>
      </c>
      <c r="L4" s="12" t="n">
        <v>54.55</v>
      </c>
      <c r="M4" s="12" t="n">
        <v>5.45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H4*O4</f>
        <v/>
      </c>
    </row>
    <row r="5">
      <c r="A5" s="23" t="inlineStr">
        <is>
          <t>20261023_2115</t>
        </is>
      </c>
      <c r="B5" s="13" t="n">
        <v>46318</v>
      </c>
      <c r="C5" s="14" t="n">
        <v>0.8854166666666666</v>
      </c>
      <c r="D5" s="23" t="inlineStr">
        <is>
          <t>UN Unico</t>
        </is>
      </c>
      <c r="E5" s="23" t="inlineStr">
        <is>
          <t>I8</t>
        </is>
      </c>
      <c r="F5" s="23">
        <f>IFERROR(INDEX(Tariffe!$B$2:$B$200,MATCH(E5,Tariffe!$A$2:$A$200,0)),"DA DEFINIRE")</f>
        <v/>
      </c>
      <c r="G5" s="16" t="n">
        <v>24</v>
      </c>
      <c r="H5" s="15" t="n">
        <v>4</v>
      </c>
      <c r="I5" s="15" t="n">
        <v>0</v>
      </c>
      <c r="J5" s="16" t="n">
        <v>96</v>
      </c>
      <c r="K5" s="16" t="n">
        <v>0</v>
      </c>
      <c r="L5" s="16" t="n">
        <v>87.28</v>
      </c>
      <c r="M5" s="16" t="n">
        <v>8.720000000000001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H5*O5</f>
        <v/>
      </c>
    </row>
    <row r="6">
      <c r="A6" s="22" t="inlineStr">
        <is>
          <t>20261023_2215</t>
        </is>
      </c>
      <c r="B6" s="9" t="n">
        <v>46318</v>
      </c>
      <c r="C6" s="10" t="n">
        <v>0.9270833333333334</v>
      </c>
      <c r="D6" s="22" t="inlineStr">
        <is>
          <t>UN Unico</t>
        </is>
      </c>
      <c r="E6" s="22" t="inlineStr">
        <is>
          <t>I1</t>
        </is>
      </c>
      <c r="F6" s="22">
        <f>IFERROR(INDEX(Tariffe!$B$2:$B$200,MATCH(E6,Tariffe!$A$2:$A$200,0)),"DA DEFINIRE")</f>
        <v/>
      </c>
      <c r="G6" s="12" t="n">
        <v>48</v>
      </c>
      <c r="H6" s="11" t="n">
        <v>7</v>
      </c>
      <c r="I6" s="11" t="n">
        <v>0</v>
      </c>
      <c r="J6" s="12" t="n">
        <v>336</v>
      </c>
      <c r="K6" s="12" t="n">
        <v>0</v>
      </c>
      <c r="L6" s="12" t="n">
        <v>305.48</v>
      </c>
      <c r="M6" s="12" t="n">
        <v>30.52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H6*O6</f>
        <v/>
      </c>
    </row>
    <row r="7">
      <c r="A7" s="23" t="inlineStr">
        <is>
          <t>20261023_2215</t>
        </is>
      </c>
      <c r="B7" s="13" t="n">
        <v>46318</v>
      </c>
      <c r="C7" s="14" t="n">
        <v>0.9270833333333334</v>
      </c>
      <c r="D7" s="23" t="inlineStr">
        <is>
          <t>UN Unico</t>
        </is>
      </c>
      <c r="E7" s="23" t="inlineStr">
        <is>
          <t>I2</t>
        </is>
      </c>
      <c r="F7" s="23">
        <f>IFERROR(INDEX(Tariffe!$B$2:$B$200,MATCH(E7,Tariffe!$A$2:$A$200,0)),"DA DEFINIRE")</f>
        <v/>
      </c>
      <c r="G7" s="16" t="n">
        <v>36</v>
      </c>
      <c r="H7" s="15" t="n">
        <v>1</v>
      </c>
      <c r="I7" s="15" t="n">
        <v>0</v>
      </c>
      <c r="J7" s="16" t="n">
        <v>36</v>
      </c>
      <c r="K7" s="16" t="n">
        <v>0</v>
      </c>
      <c r="L7" s="16" t="n">
        <v>32.73</v>
      </c>
      <c r="M7" s="16" t="n">
        <v>3.27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H7*O7</f>
        <v/>
      </c>
    </row>
    <row r="8">
      <c r="A8" s="22" t="inlineStr">
        <is>
          <t>20261023_2215</t>
        </is>
      </c>
      <c r="B8" s="9" t="n">
        <v>46318</v>
      </c>
      <c r="C8" s="10" t="n">
        <v>0.9270833333333334</v>
      </c>
      <c r="D8" s="22" t="inlineStr">
        <is>
          <t>UN Unico</t>
        </is>
      </c>
      <c r="E8" s="22" t="inlineStr">
        <is>
          <t>I5</t>
        </is>
      </c>
      <c r="F8" s="22">
        <f>IFERROR(INDEX(Tariffe!$B$2:$B$200,MATCH(E8,Tariffe!$A$2:$A$200,0)),"DA DEFINIRE")</f>
        <v/>
      </c>
      <c r="G8" s="12" t="n">
        <v>60</v>
      </c>
      <c r="H8" s="11" t="n">
        <v>1</v>
      </c>
      <c r="I8" s="11" t="n">
        <v>0</v>
      </c>
      <c r="J8" s="12" t="n">
        <v>60</v>
      </c>
      <c r="K8" s="12" t="n">
        <v>0</v>
      </c>
      <c r="L8" s="12" t="n">
        <v>54.55</v>
      </c>
      <c r="M8" s="12" t="n">
        <v>5.45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H8*O8</f>
        <v/>
      </c>
    </row>
    <row r="9">
      <c r="A9" s="23" t="inlineStr">
        <is>
          <t>20261023_2215</t>
        </is>
      </c>
      <c r="B9" s="13" t="n">
        <v>46318</v>
      </c>
      <c r="C9" s="14" t="n">
        <v>0.9270833333333334</v>
      </c>
      <c r="D9" s="23" t="inlineStr">
        <is>
          <t>UN Unico</t>
        </is>
      </c>
      <c r="E9" s="23" t="inlineStr">
        <is>
          <t>I8</t>
        </is>
      </c>
      <c r="F9" s="23">
        <f>IFERROR(INDEX(Tariffe!$B$2:$B$200,MATCH(E9,Tariffe!$A$2:$A$200,0)),"DA DEFINIRE")</f>
        <v/>
      </c>
      <c r="G9" s="16" t="n">
        <v>24</v>
      </c>
      <c r="H9" s="15" t="n">
        <v>5</v>
      </c>
      <c r="I9" s="15" t="n">
        <v>0</v>
      </c>
      <c r="J9" s="16" t="n">
        <v>120</v>
      </c>
      <c r="K9" s="16" t="n">
        <v>0</v>
      </c>
      <c r="L9" s="16" t="n">
        <v>109.1</v>
      </c>
      <c r="M9" s="16" t="n">
        <v>10.9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H9*O9</f>
        <v/>
      </c>
    </row>
    <row r="10">
      <c r="A10" s="22" t="inlineStr">
        <is>
          <t>20261023_2315</t>
        </is>
      </c>
      <c r="B10" s="9" t="n">
        <v>46318</v>
      </c>
      <c r="C10" s="10" t="n">
        <v>0.96875</v>
      </c>
      <c r="D10" s="22" t="inlineStr">
        <is>
          <t>UN Unico</t>
        </is>
      </c>
      <c r="E10" s="22" t="inlineStr">
        <is>
          <t>I1</t>
        </is>
      </c>
      <c r="F10" s="22">
        <f>IFERROR(INDEX(Tariffe!$B$2:$B$200,MATCH(E10,Tariffe!$A$2:$A$200,0)),"DA DEFINIRE")</f>
        <v/>
      </c>
      <c r="G10" s="12" t="n">
        <v>48</v>
      </c>
      <c r="H10" s="11" t="n">
        <v>1</v>
      </c>
      <c r="I10" s="11" t="n">
        <v>1</v>
      </c>
      <c r="J10" s="12" t="n">
        <v>48</v>
      </c>
      <c r="K10" s="12" t="n">
        <v>0</v>
      </c>
      <c r="L10" s="12" t="n">
        <v>43.64</v>
      </c>
      <c r="M10" s="12" t="n">
        <v>4.36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H10*O10</f>
        <v/>
      </c>
    </row>
    <row r="11">
      <c r="A11" s="23" t="inlineStr">
        <is>
          <t>20261023_2315</t>
        </is>
      </c>
      <c r="B11" s="13" t="n">
        <v>46318</v>
      </c>
      <c r="C11" s="14" t="n">
        <v>0.96875</v>
      </c>
      <c r="D11" s="23" t="inlineStr">
        <is>
          <t>UN Unico</t>
        </is>
      </c>
      <c r="E11" s="23" t="inlineStr">
        <is>
          <t>I2</t>
        </is>
      </c>
      <c r="F11" s="23">
        <f>IFERROR(INDEX(Tariffe!$B$2:$B$200,MATCH(E11,Tariffe!$A$2:$A$200,0)),"DA DEFINIRE")</f>
        <v/>
      </c>
      <c r="G11" s="16" t="n">
        <v>36</v>
      </c>
      <c r="H11" s="15" t="n">
        <v>3</v>
      </c>
      <c r="I11" s="15" t="n">
        <v>0</v>
      </c>
      <c r="J11" s="16" t="n">
        <v>108</v>
      </c>
      <c r="K11" s="16" t="n">
        <v>0</v>
      </c>
      <c r="L11" s="16" t="n">
        <v>98.19</v>
      </c>
      <c r="M11" s="16" t="n">
        <v>9.81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H11*O11</f>
        <v/>
      </c>
    </row>
    <row r="12">
      <c r="A12" s="22" t="inlineStr">
        <is>
          <t>20261023_2315</t>
        </is>
      </c>
      <c r="B12" s="9" t="n">
        <v>46318</v>
      </c>
      <c r="C12" s="10" t="n">
        <v>0.96875</v>
      </c>
      <c r="D12" s="22" t="inlineStr">
        <is>
          <t>UN Unico</t>
        </is>
      </c>
      <c r="E12" s="22" t="inlineStr">
        <is>
          <t>I5</t>
        </is>
      </c>
      <c r="F12" s="22">
        <f>IFERROR(INDEX(Tariffe!$B$2:$B$200,MATCH(E12,Tariffe!$A$2:$A$200,0)),"DA DEFINIRE")</f>
        <v/>
      </c>
      <c r="G12" s="12" t="n">
        <v>60</v>
      </c>
      <c r="H12" s="11" t="n">
        <v>1</v>
      </c>
      <c r="I12" s="11" t="n">
        <v>0</v>
      </c>
      <c r="J12" s="12" t="n">
        <v>60</v>
      </c>
      <c r="K12" s="12" t="n">
        <v>0</v>
      </c>
      <c r="L12" s="12" t="n">
        <v>54.55</v>
      </c>
      <c r="M12" s="12" t="n">
        <v>5.45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H12*O12</f>
        <v/>
      </c>
    </row>
    <row r="13">
      <c r="A13" s="23" t="inlineStr">
        <is>
          <t>20261023_2315</t>
        </is>
      </c>
      <c r="B13" s="13" t="n">
        <v>46318</v>
      </c>
      <c r="C13" s="14" t="n">
        <v>0.96875</v>
      </c>
      <c r="D13" s="23" t="inlineStr">
        <is>
          <t>UN Unico</t>
        </is>
      </c>
      <c r="E13" s="23" t="inlineStr">
        <is>
          <t>I8</t>
        </is>
      </c>
      <c r="F13" s="23">
        <f>IFERROR(INDEX(Tariffe!$B$2:$B$200,MATCH(E13,Tariffe!$A$2:$A$200,0)),"DA DEFINIRE")</f>
        <v/>
      </c>
      <c r="G13" s="16" t="n">
        <v>24</v>
      </c>
      <c r="H13" s="15" t="n">
        <v>7</v>
      </c>
      <c r="I13" s="15" t="n">
        <v>0</v>
      </c>
      <c r="J13" s="16" t="n">
        <v>168</v>
      </c>
      <c r="K13" s="16" t="n">
        <v>0</v>
      </c>
      <c r="L13" s="16" t="n">
        <v>152.74</v>
      </c>
      <c r="M13" s="16" t="n">
        <v>15.26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H13*O13</f>
        <v/>
      </c>
    </row>
    <row r="14">
      <c r="A14" s="22" t="inlineStr">
        <is>
          <t>20261023_2358</t>
        </is>
      </c>
      <c r="B14" s="9" t="n">
        <v>46318</v>
      </c>
      <c r="C14" s="10" t="n">
        <v>0.9986111111111111</v>
      </c>
      <c r="D14" s="22" t="inlineStr">
        <is>
          <t>UN Unico</t>
        </is>
      </c>
      <c r="E14" s="22" t="inlineStr">
        <is>
          <t>I1</t>
        </is>
      </c>
      <c r="F14" s="22">
        <f>IFERROR(INDEX(Tariffe!$B$2:$B$200,MATCH(E14,Tariffe!$A$2:$A$200,0)),"DA DEFINIRE")</f>
        <v/>
      </c>
      <c r="G14" s="12" t="n">
        <v>48</v>
      </c>
      <c r="H14" s="11" t="n">
        <v>1</v>
      </c>
      <c r="I14" s="11" t="n">
        <v>0</v>
      </c>
      <c r="J14" s="12" t="n">
        <v>48</v>
      </c>
      <c r="K14" s="12" t="n">
        <v>0</v>
      </c>
      <c r="L14" s="12" t="n">
        <v>43.64</v>
      </c>
      <c r="M14" s="12" t="n">
        <v>4.36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H14*O14</f>
        <v/>
      </c>
    </row>
    <row r="15">
      <c r="A15" s="23" t="inlineStr">
        <is>
          <t>20261023_2358</t>
        </is>
      </c>
      <c r="B15" s="13" t="n">
        <v>46318</v>
      </c>
      <c r="C15" s="14" t="n">
        <v>0.9986111111111111</v>
      </c>
      <c r="D15" s="23" t="inlineStr">
        <is>
          <t>UN Unico</t>
        </is>
      </c>
      <c r="E15" s="23" t="inlineStr">
        <is>
          <t>I2</t>
        </is>
      </c>
      <c r="F15" s="23">
        <f>IFERROR(INDEX(Tariffe!$B$2:$B$200,MATCH(E15,Tariffe!$A$2:$A$200,0)),"DA DEFINIRE")</f>
        <v/>
      </c>
      <c r="G15" s="16" t="n">
        <v>36</v>
      </c>
      <c r="H15" s="15" t="n">
        <v>2</v>
      </c>
      <c r="I15" s="15" t="n">
        <v>0</v>
      </c>
      <c r="J15" s="16" t="n">
        <v>72</v>
      </c>
      <c r="K15" s="16" t="n">
        <v>0</v>
      </c>
      <c r="L15" s="16" t="n">
        <v>65.45999999999999</v>
      </c>
      <c r="M15" s="16" t="n">
        <v>6.54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H15*O15</f>
        <v/>
      </c>
    </row>
    <row r="16">
      <c r="A16" s="22" t="inlineStr">
        <is>
          <t>20261023_2358</t>
        </is>
      </c>
      <c r="B16" s="9" t="n">
        <v>46318</v>
      </c>
      <c r="C16" s="10" t="n">
        <v>0.9986111111111111</v>
      </c>
      <c r="D16" s="22" t="inlineStr">
        <is>
          <t>UN Unico</t>
        </is>
      </c>
      <c r="E16" s="22" t="inlineStr">
        <is>
          <t>I8</t>
        </is>
      </c>
      <c r="F16" s="22">
        <f>IFERROR(INDEX(Tariffe!$B$2:$B$200,MATCH(E16,Tariffe!$A$2:$A$200,0)),"DA DEFINIRE")</f>
        <v/>
      </c>
      <c r="G16" s="12" t="n">
        <v>24</v>
      </c>
      <c r="H16" s="11" t="n">
        <v>3</v>
      </c>
      <c r="I16" s="11" t="n">
        <v>0</v>
      </c>
      <c r="J16" s="12" t="n">
        <v>72</v>
      </c>
      <c r="K16" s="12" t="n">
        <v>0</v>
      </c>
      <c r="L16" s="12" t="n">
        <v>65.45999999999999</v>
      </c>
      <c r="M16" s="12" t="n">
        <v>6.54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H16*O16</f>
        <v/>
      </c>
    </row>
    <row r="17">
      <c r="A17" s="23" t="inlineStr">
        <is>
          <t>20261024_2015</t>
        </is>
      </c>
      <c r="B17" s="13" t="n">
        <v>46319</v>
      </c>
      <c r="C17" s="14" t="n">
        <v>0.84375</v>
      </c>
      <c r="D17" s="23" t="inlineStr">
        <is>
          <t>UN Unico</t>
        </is>
      </c>
      <c r="E17" s="23" t="inlineStr">
        <is>
          <t>I1</t>
        </is>
      </c>
      <c r="F17" s="23">
        <f>IFERROR(INDEX(Tariffe!$B$2:$B$200,MATCH(E17,Tariffe!$A$2:$A$200,0)),"DA DEFINIRE")</f>
        <v/>
      </c>
      <c r="G17" s="16" t="n">
        <v>48</v>
      </c>
      <c r="H17" s="15" t="n">
        <v>1</v>
      </c>
      <c r="I17" s="15" t="n">
        <v>0</v>
      </c>
      <c r="J17" s="16" t="n">
        <v>48</v>
      </c>
      <c r="K17" s="16" t="n">
        <v>0</v>
      </c>
      <c r="L17" s="16" t="n">
        <v>43.64</v>
      </c>
      <c r="M17" s="16" t="n">
        <v>4.36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H17*O17</f>
        <v/>
      </c>
    </row>
    <row r="18">
      <c r="A18" s="22" t="inlineStr">
        <is>
          <t>20261024_2015</t>
        </is>
      </c>
      <c r="B18" s="9" t="n">
        <v>46319</v>
      </c>
      <c r="C18" s="10" t="n">
        <v>0.84375</v>
      </c>
      <c r="D18" s="22" t="inlineStr">
        <is>
          <t>UN Unico</t>
        </is>
      </c>
      <c r="E18" s="22" t="inlineStr">
        <is>
          <t>I8</t>
        </is>
      </c>
      <c r="F18" s="22">
        <f>IFERROR(INDEX(Tariffe!$B$2:$B$200,MATCH(E18,Tariffe!$A$2:$A$200,0)),"DA DEFINIRE")</f>
        <v/>
      </c>
      <c r="G18" s="12" t="n">
        <v>24</v>
      </c>
      <c r="H18" s="11" t="n">
        <v>1</v>
      </c>
      <c r="I18" s="11" t="n">
        <v>0</v>
      </c>
      <c r="J18" s="12" t="n">
        <v>24</v>
      </c>
      <c r="K18" s="12" t="n">
        <v>0</v>
      </c>
      <c r="L18" s="12" t="n">
        <v>21.82</v>
      </c>
      <c r="M18" s="12" t="n">
        <v>2.18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H18*O18</f>
        <v/>
      </c>
    </row>
    <row r="19">
      <c r="A19" s="23" t="inlineStr">
        <is>
          <t>20261024_2115</t>
        </is>
      </c>
      <c r="B19" s="13" t="n">
        <v>46319</v>
      </c>
      <c r="C19" s="14" t="n">
        <v>0.8854166666666666</v>
      </c>
      <c r="D19" s="23" t="inlineStr">
        <is>
          <t>UN Unico</t>
        </is>
      </c>
      <c r="E19" s="23" t="inlineStr">
        <is>
          <t>I5</t>
        </is>
      </c>
      <c r="F19" s="23">
        <f>IFERROR(INDEX(Tariffe!$B$2:$B$200,MATCH(E19,Tariffe!$A$2:$A$200,0)),"DA DEFINIRE")</f>
        <v/>
      </c>
      <c r="G19" s="16" t="n">
        <v>60</v>
      </c>
      <c r="H19" s="15" t="n">
        <v>1</v>
      </c>
      <c r="I19" s="15" t="n">
        <v>0</v>
      </c>
      <c r="J19" s="16" t="n">
        <v>60</v>
      </c>
      <c r="K19" s="16" t="n">
        <v>0</v>
      </c>
      <c r="L19" s="16" t="n">
        <v>54.55</v>
      </c>
      <c r="M19" s="16" t="n">
        <v>5.45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H19*O19</f>
        <v/>
      </c>
    </row>
    <row r="20">
      <c r="A20" s="22" t="inlineStr">
        <is>
          <t>20261024_2115</t>
        </is>
      </c>
      <c r="B20" s="9" t="n">
        <v>46319</v>
      </c>
      <c r="C20" s="10" t="n">
        <v>0.8854166666666666</v>
      </c>
      <c r="D20" s="22" t="inlineStr">
        <is>
          <t>UN Unico</t>
        </is>
      </c>
      <c r="E20" s="22" t="inlineStr">
        <is>
          <t>I8</t>
        </is>
      </c>
      <c r="F20" s="22">
        <f>IFERROR(INDEX(Tariffe!$B$2:$B$200,MATCH(E20,Tariffe!$A$2:$A$200,0)),"DA DEFINIRE")</f>
        <v/>
      </c>
      <c r="G20" s="12" t="n">
        <v>24</v>
      </c>
      <c r="H20" s="11" t="n">
        <v>3</v>
      </c>
      <c r="I20" s="11" t="n">
        <v>0</v>
      </c>
      <c r="J20" s="12" t="n">
        <v>72</v>
      </c>
      <c r="K20" s="12" t="n">
        <v>0</v>
      </c>
      <c r="L20" s="12" t="n">
        <v>65.45999999999999</v>
      </c>
      <c r="M20" s="12" t="n">
        <v>6.54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H20*O20</f>
        <v/>
      </c>
    </row>
    <row r="21">
      <c r="A21" s="23" t="inlineStr">
        <is>
          <t>20261024_2215</t>
        </is>
      </c>
      <c r="B21" s="13" t="n">
        <v>46319</v>
      </c>
      <c r="C21" s="14" t="n">
        <v>0.9270833333333334</v>
      </c>
      <c r="D21" s="23" t="inlineStr">
        <is>
          <t>UN Unico</t>
        </is>
      </c>
      <c r="E21" s="23" t="inlineStr">
        <is>
          <t>I1</t>
        </is>
      </c>
      <c r="F21" s="23">
        <f>IFERROR(INDEX(Tariffe!$B$2:$B$200,MATCH(E21,Tariffe!$A$2:$A$200,0)),"DA DEFINIRE")</f>
        <v/>
      </c>
      <c r="G21" s="16" t="n">
        <v>48</v>
      </c>
      <c r="H21" s="15" t="n">
        <v>3</v>
      </c>
      <c r="I21" s="15" t="n">
        <v>0</v>
      </c>
      <c r="J21" s="16" t="n">
        <v>144</v>
      </c>
      <c r="K21" s="16" t="n">
        <v>0</v>
      </c>
      <c r="L21" s="16" t="n">
        <v>130.92</v>
      </c>
      <c r="M21" s="16" t="n">
        <v>13.08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H21*O21</f>
        <v/>
      </c>
    </row>
    <row r="22">
      <c r="A22" s="22" t="inlineStr">
        <is>
          <t>20261024_2215</t>
        </is>
      </c>
      <c r="B22" s="9" t="n">
        <v>46319</v>
      </c>
      <c r="C22" s="10" t="n">
        <v>0.9270833333333334</v>
      </c>
      <c r="D22" s="22" t="inlineStr">
        <is>
          <t>UN Unico</t>
        </is>
      </c>
      <c r="E22" s="22" t="inlineStr">
        <is>
          <t>I2</t>
        </is>
      </c>
      <c r="F22" s="22">
        <f>IFERROR(INDEX(Tariffe!$B$2:$B$200,MATCH(E22,Tariffe!$A$2:$A$200,0)),"DA DEFINIRE")</f>
        <v/>
      </c>
      <c r="G22" s="12" t="n">
        <v>36</v>
      </c>
      <c r="H22" s="11" t="n">
        <v>1</v>
      </c>
      <c r="I22" s="11" t="n">
        <v>0</v>
      </c>
      <c r="J22" s="12" t="n">
        <v>36</v>
      </c>
      <c r="K22" s="12" t="n">
        <v>0</v>
      </c>
      <c r="L22" s="12" t="n">
        <v>32.73</v>
      </c>
      <c r="M22" s="12" t="n">
        <v>3.27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H22*O22</f>
        <v/>
      </c>
    </row>
    <row r="23">
      <c r="A23" s="23" t="inlineStr">
        <is>
          <t>20261024_2215</t>
        </is>
      </c>
      <c r="B23" s="13" t="n">
        <v>46319</v>
      </c>
      <c r="C23" s="14" t="n">
        <v>0.9270833333333334</v>
      </c>
      <c r="D23" s="23" t="inlineStr">
        <is>
          <t>UN Unico</t>
        </is>
      </c>
      <c r="E23" s="23" t="inlineStr">
        <is>
          <t>I8</t>
        </is>
      </c>
      <c r="F23" s="23">
        <f>IFERROR(INDEX(Tariffe!$B$2:$B$200,MATCH(E23,Tariffe!$A$2:$A$200,0)),"DA DEFINIRE")</f>
        <v/>
      </c>
      <c r="G23" s="16" t="n">
        <v>24</v>
      </c>
      <c r="H23" s="15" t="n">
        <v>6</v>
      </c>
      <c r="I23" s="15" t="n">
        <v>0</v>
      </c>
      <c r="J23" s="16" t="n">
        <v>144</v>
      </c>
      <c r="K23" s="16" t="n">
        <v>0</v>
      </c>
      <c r="L23" s="16" t="n">
        <v>130.92</v>
      </c>
      <c r="M23" s="16" t="n">
        <v>13.08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H23*O23</f>
        <v/>
      </c>
    </row>
    <row r="24">
      <c r="A24" s="22" t="inlineStr">
        <is>
          <t>20261024_2315</t>
        </is>
      </c>
      <c r="B24" s="9" t="n">
        <v>46319</v>
      </c>
      <c r="C24" s="10" t="n">
        <v>0.96875</v>
      </c>
      <c r="D24" s="22" t="inlineStr">
        <is>
          <t>UN Unico</t>
        </is>
      </c>
      <c r="E24" s="22" t="inlineStr">
        <is>
          <t>I2</t>
        </is>
      </c>
      <c r="F24" s="22">
        <f>IFERROR(INDEX(Tariffe!$B$2:$B$200,MATCH(E24,Tariffe!$A$2:$A$200,0)),"DA DEFINIRE")</f>
        <v/>
      </c>
      <c r="G24" s="12" t="n">
        <v>36</v>
      </c>
      <c r="H24" s="11" t="n">
        <v>1</v>
      </c>
      <c r="I24" s="11" t="n">
        <v>0</v>
      </c>
      <c r="J24" s="12" t="n">
        <v>36</v>
      </c>
      <c r="K24" s="12" t="n">
        <v>0</v>
      </c>
      <c r="L24" s="12" t="n">
        <v>32.73</v>
      </c>
      <c r="M24" s="12" t="n">
        <v>3.27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H24*O24</f>
        <v/>
      </c>
    </row>
    <row r="25">
      <c r="A25" s="23" t="inlineStr">
        <is>
          <t>20261024_2315</t>
        </is>
      </c>
      <c r="B25" s="13" t="n">
        <v>46319</v>
      </c>
      <c r="C25" s="14" t="n">
        <v>0.96875</v>
      </c>
      <c r="D25" s="23" t="inlineStr">
        <is>
          <t>UN Unico</t>
        </is>
      </c>
      <c r="E25" s="23" t="inlineStr">
        <is>
          <t>I5</t>
        </is>
      </c>
      <c r="F25" s="23">
        <f>IFERROR(INDEX(Tariffe!$B$2:$B$200,MATCH(E25,Tariffe!$A$2:$A$200,0)),"DA DEFINIRE")</f>
        <v/>
      </c>
      <c r="G25" s="16" t="n">
        <v>60</v>
      </c>
      <c r="H25" s="15" t="n">
        <v>2</v>
      </c>
      <c r="I25" s="15" t="n">
        <v>0</v>
      </c>
      <c r="J25" s="16" t="n">
        <v>120</v>
      </c>
      <c r="K25" s="16" t="n">
        <v>0</v>
      </c>
      <c r="L25" s="16" t="n">
        <v>109.1</v>
      </c>
      <c r="M25" s="16" t="n">
        <v>10.9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H25*O25</f>
        <v/>
      </c>
    </row>
    <row r="26">
      <c r="A26" s="22" t="inlineStr">
        <is>
          <t>20261024_2315</t>
        </is>
      </c>
      <c r="B26" s="9" t="n">
        <v>46319</v>
      </c>
      <c r="C26" s="10" t="n">
        <v>0.96875</v>
      </c>
      <c r="D26" s="22" t="inlineStr">
        <is>
          <t>UN Unico</t>
        </is>
      </c>
      <c r="E26" s="22" t="inlineStr">
        <is>
          <t>I8</t>
        </is>
      </c>
      <c r="F26" s="22">
        <f>IFERROR(INDEX(Tariffe!$B$2:$B$200,MATCH(E26,Tariffe!$A$2:$A$200,0)),"DA DEFINIRE")</f>
        <v/>
      </c>
      <c r="G26" s="12" t="n">
        <v>24</v>
      </c>
      <c r="H26" s="11" t="n">
        <v>2</v>
      </c>
      <c r="I26" s="11" t="n">
        <v>0</v>
      </c>
      <c r="J26" s="12" t="n">
        <v>48</v>
      </c>
      <c r="K26" s="12" t="n">
        <v>0</v>
      </c>
      <c r="L26" s="12" t="n">
        <v>43.64</v>
      </c>
      <c r="M26" s="12" t="n">
        <v>4.36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H26*O26</f>
        <v/>
      </c>
    </row>
    <row r="27">
      <c r="A27" s="23" t="inlineStr">
        <is>
          <t>20261024_2359</t>
        </is>
      </c>
      <c r="B27" s="13" t="n">
        <v>46319</v>
      </c>
      <c r="C27" s="14" t="n">
        <v>0.9993055555555556</v>
      </c>
      <c r="D27" s="23" t="inlineStr">
        <is>
          <t>UN Unico</t>
        </is>
      </c>
      <c r="E27" s="23" t="inlineStr">
        <is>
          <t>I1</t>
        </is>
      </c>
      <c r="F27" s="23">
        <f>IFERROR(INDEX(Tariffe!$B$2:$B$200,MATCH(E27,Tariffe!$A$2:$A$200,0)),"DA DEFINIRE")</f>
        <v/>
      </c>
      <c r="G27" s="16" t="n">
        <v>48</v>
      </c>
      <c r="H27" s="15" t="n">
        <v>1</v>
      </c>
      <c r="I27" s="15" t="n">
        <v>0</v>
      </c>
      <c r="J27" s="16" t="n">
        <v>48</v>
      </c>
      <c r="K27" s="16" t="n">
        <v>0</v>
      </c>
      <c r="L27" s="16" t="n">
        <v>43.64</v>
      </c>
      <c r="M27" s="16" t="n">
        <v>4.36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H27*O27</f>
        <v/>
      </c>
    </row>
    <row r="28">
      <c r="A28" s="22" t="inlineStr">
        <is>
          <t>20261024_2359</t>
        </is>
      </c>
      <c r="B28" s="9" t="n">
        <v>46319</v>
      </c>
      <c r="C28" s="10" t="n">
        <v>0.9993055555555556</v>
      </c>
      <c r="D28" s="22" t="inlineStr">
        <is>
          <t>UN Unico</t>
        </is>
      </c>
      <c r="E28" s="22" t="inlineStr">
        <is>
          <t>I8</t>
        </is>
      </c>
      <c r="F28" s="22">
        <f>IFERROR(INDEX(Tariffe!$B$2:$B$200,MATCH(E28,Tariffe!$A$2:$A$200,0)),"DA DEFINIRE")</f>
        <v/>
      </c>
      <c r="G28" s="12" t="n">
        <v>24</v>
      </c>
      <c r="H28" s="11" t="n">
        <v>2</v>
      </c>
      <c r="I28" s="11" t="n">
        <v>0</v>
      </c>
      <c r="J28" s="12" t="n">
        <v>48</v>
      </c>
      <c r="K28" s="12" t="n">
        <v>0</v>
      </c>
      <c r="L28" s="12" t="n">
        <v>43.64</v>
      </c>
      <c r="M28" s="12" t="n">
        <v>4.36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H28*O28</f>
        <v/>
      </c>
    </row>
    <row r="29">
      <c r="A29" s="23" t="inlineStr">
        <is>
          <t>20261025_2015</t>
        </is>
      </c>
      <c r="B29" s="13" t="n">
        <v>46320</v>
      </c>
      <c r="C29" s="14" t="n">
        <v>0.84375</v>
      </c>
      <c r="D29" s="23" t="inlineStr">
        <is>
          <t>UN Unico</t>
        </is>
      </c>
      <c r="E29" s="23" t="inlineStr">
        <is>
          <t>I1</t>
        </is>
      </c>
      <c r="F29" s="23">
        <f>IFERROR(INDEX(Tariffe!$B$2:$B$200,MATCH(E29,Tariffe!$A$2:$A$200,0)),"DA DEFINIRE")</f>
        <v/>
      </c>
      <c r="G29" s="16" t="n">
        <v>48</v>
      </c>
      <c r="H29" s="15" t="n">
        <v>1</v>
      </c>
      <c r="I29" s="15" t="n">
        <v>0</v>
      </c>
      <c r="J29" s="16" t="n">
        <v>48</v>
      </c>
      <c r="K29" s="16" t="n">
        <v>0</v>
      </c>
      <c r="L29" s="16" t="n">
        <v>43.64</v>
      </c>
      <c r="M29" s="16" t="n">
        <v>4.36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H29*O29</f>
        <v/>
      </c>
    </row>
    <row r="30">
      <c r="A30" s="22" t="inlineStr">
        <is>
          <t>20261025_2015</t>
        </is>
      </c>
      <c r="B30" s="9" t="n">
        <v>46320</v>
      </c>
      <c r="C30" s="10" t="n">
        <v>0.84375</v>
      </c>
      <c r="D30" s="22" t="inlineStr">
        <is>
          <t>UN Unico</t>
        </is>
      </c>
      <c r="E30" s="22" t="inlineStr">
        <is>
          <t>I8</t>
        </is>
      </c>
      <c r="F30" s="22">
        <f>IFERROR(INDEX(Tariffe!$B$2:$B$200,MATCH(E30,Tariffe!$A$2:$A$200,0)),"DA DEFINIRE")</f>
        <v/>
      </c>
      <c r="G30" s="12" t="n">
        <v>24</v>
      </c>
      <c r="H30" s="11" t="n">
        <v>1</v>
      </c>
      <c r="I30" s="11" t="n">
        <v>0</v>
      </c>
      <c r="J30" s="12" t="n">
        <v>24</v>
      </c>
      <c r="K30" s="12" t="n">
        <v>0</v>
      </c>
      <c r="L30" s="12" t="n">
        <v>21.82</v>
      </c>
      <c r="M30" s="12" t="n">
        <v>2.18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H30*O30</f>
        <v/>
      </c>
    </row>
    <row r="31">
      <c r="A31" s="23" t="inlineStr">
        <is>
          <t>20261025_2115</t>
        </is>
      </c>
      <c r="B31" s="13" t="n">
        <v>46320</v>
      </c>
      <c r="C31" s="14" t="n">
        <v>0.8854166666666666</v>
      </c>
      <c r="D31" s="23" t="inlineStr">
        <is>
          <t>UN Unico</t>
        </is>
      </c>
      <c r="E31" s="23" t="inlineStr">
        <is>
          <t>I1</t>
        </is>
      </c>
      <c r="F31" s="23">
        <f>IFERROR(INDEX(Tariffe!$B$2:$B$200,MATCH(E31,Tariffe!$A$2:$A$200,0)),"DA DEFINIRE")</f>
        <v/>
      </c>
      <c r="G31" s="16" t="n">
        <v>48</v>
      </c>
      <c r="H31" s="15" t="n">
        <v>2</v>
      </c>
      <c r="I31" s="15" t="n">
        <v>0</v>
      </c>
      <c r="J31" s="16" t="n">
        <v>96</v>
      </c>
      <c r="K31" s="16" t="n">
        <v>0</v>
      </c>
      <c r="L31" s="16" t="n">
        <v>87.28</v>
      </c>
      <c r="M31" s="16" t="n">
        <v>8.720000000000001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H31*O31</f>
        <v/>
      </c>
    </row>
    <row r="32">
      <c r="A32" s="22" t="inlineStr">
        <is>
          <t>20261025_2115</t>
        </is>
      </c>
      <c r="B32" s="9" t="n">
        <v>46320</v>
      </c>
      <c r="C32" s="10" t="n">
        <v>0.8854166666666666</v>
      </c>
      <c r="D32" s="22" t="inlineStr">
        <is>
          <t>UN Unico</t>
        </is>
      </c>
      <c r="E32" s="22" t="inlineStr">
        <is>
          <t>I8</t>
        </is>
      </c>
      <c r="F32" s="22">
        <f>IFERROR(INDEX(Tariffe!$B$2:$B$200,MATCH(E32,Tariffe!$A$2:$A$200,0)),"DA DEFINIRE")</f>
        <v/>
      </c>
      <c r="G32" s="12" t="n">
        <v>24</v>
      </c>
      <c r="H32" s="11" t="n">
        <v>1</v>
      </c>
      <c r="I32" s="11" t="n">
        <v>0</v>
      </c>
      <c r="J32" s="12" t="n">
        <v>24</v>
      </c>
      <c r="K32" s="12" t="n">
        <v>0</v>
      </c>
      <c r="L32" s="12" t="n">
        <v>21.82</v>
      </c>
      <c r="M32" s="12" t="n">
        <v>2.18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H32*O32</f>
        <v/>
      </c>
    </row>
    <row r="33">
      <c r="A33" s="23" t="inlineStr">
        <is>
          <t>20261025_2215</t>
        </is>
      </c>
      <c r="B33" s="13" t="n">
        <v>46320</v>
      </c>
      <c r="C33" s="14" t="n">
        <v>0.9270833333333334</v>
      </c>
      <c r="D33" s="23" t="inlineStr">
        <is>
          <t>UN Unico</t>
        </is>
      </c>
      <c r="E33" s="23" t="inlineStr">
        <is>
          <t>I8</t>
        </is>
      </c>
      <c r="F33" s="23">
        <f>IFERROR(INDEX(Tariffe!$B$2:$B$200,MATCH(E33,Tariffe!$A$2:$A$200,0)),"DA DEFINIRE")</f>
        <v/>
      </c>
      <c r="G33" s="16" t="n">
        <v>24</v>
      </c>
      <c r="H33" s="15" t="n">
        <v>2</v>
      </c>
      <c r="I33" s="15" t="n">
        <v>0</v>
      </c>
      <c r="J33" s="16" t="n">
        <v>48</v>
      </c>
      <c r="K33" s="16" t="n">
        <v>0</v>
      </c>
      <c r="L33" s="16" t="n">
        <v>43.64</v>
      </c>
      <c r="M33" s="16" t="n">
        <v>4.36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H33*O33</f>
        <v/>
      </c>
    </row>
    <row r="34">
      <c r="A34" s="22" t="inlineStr">
        <is>
          <t>20261025_2315</t>
        </is>
      </c>
      <c r="B34" s="9" t="n">
        <v>46320</v>
      </c>
      <c r="C34" s="10" t="n">
        <v>0.96875</v>
      </c>
      <c r="D34" s="22" t="inlineStr">
        <is>
          <t>UN Unico</t>
        </is>
      </c>
      <c r="E34" s="22" t="inlineStr">
        <is>
          <t>I8</t>
        </is>
      </c>
      <c r="F34" s="22">
        <f>IFERROR(INDEX(Tariffe!$B$2:$B$200,MATCH(E34,Tariffe!$A$2:$A$200,0)),"DA DEFINIRE")</f>
        <v/>
      </c>
      <c r="G34" s="12" t="n">
        <v>24</v>
      </c>
      <c r="H34" s="11" t="n">
        <v>1</v>
      </c>
      <c r="I34" s="11" t="n">
        <v>0</v>
      </c>
      <c r="J34" s="12" t="n">
        <v>24</v>
      </c>
      <c r="K34" s="12" t="n">
        <v>0</v>
      </c>
      <c r="L34" s="12" t="n">
        <v>21.82</v>
      </c>
      <c r="M34" s="12" t="n">
        <v>2.18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H34*O34</f>
        <v/>
      </c>
    </row>
    <row r="35">
      <c r="A35" s="23" t="inlineStr">
        <is>
          <t>20261025_2359</t>
        </is>
      </c>
      <c r="B35" s="13" t="n">
        <v>46320</v>
      </c>
      <c r="C35" s="14" t="n">
        <v>0.9993055555555556</v>
      </c>
      <c r="D35" s="23" t="inlineStr">
        <is>
          <t>UN Unico</t>
        </is>
      </c>
      <c r="E35" s="23" t="inlineStr">
        <is>
          <t>I8</t>
        </is>
      </c>
      <c r="F35" s="23">
        <f>IFERROR(INDEX(Tariffe!$B$2:$B$200,MATCH(E35,Tariffe!$A$2:$A$200,0)),"DA DEFINIRE")</f>
        <v/>
      </c>
      <c r="G35" s="16" t="n">
        <v>24</v>
      </c>
      <c r="H35" s="15" t="n">
        <v>1</v>
      </c>
      <c r="I35" s="15" t="n">
        <v>0</v>
      </c>
      <c r="J35" s="16" t="n">
        <v>24</v>
      </c>
      <c r="K35" s="16" t="n">
        <v>0</v>
      </c>
      <c r="L35" s="16" t="n">
        <v>21.82</v>
      </c>
      <c r="M35" s="16" t="n">
        <v>2.18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H35*O35</f>
        <v/>
      </c>
    </row>
    <row r="36">
      <c r="A36" s="22" t="inlineStr">
        <is>
          <t>20261029_2015</t>
        </is>
      </c>
      <c r="B36" s="9" t="n">
        <v>46324</v>
      </c>
      <c r="C36" s="10" t="n">
        <v>0.84375</v>
      </c>
      <c r="D36" s="22" t="inlineStr">
        <is>
          <t>UN Unico</t>
        </is>
      </c>
      <c r="E36" s="22" t="inlineStr">
        <is>
          <t>I1</t>
        </is>
      </c>
      <c r="F36" s="22">
        <f>IFERROR(INDEX(Tariffe!$B$2:$B$200,MATCH(E36,Tariffe!$A$2:$A$200,0)),"DA DEFINIRE")</f>
        <v/>
      </c>
      <c r="G36" s="12" t="n">
        <v>48</v>
      </c>
      <c r="H36" s="11" t="n">
        <v>1</v>
      </c>
      <c r="I36" s="11" t="n">
        <v>0</v>
      </c>
      <c r="J36" s="12" t="n">
        <v>48</v>
      </c>
      <c r="K36" s="12" t="n">
        <v>0</v>
      </c>
      <c r="L36" s="12" t="n">
        <v>43.64</v>
      </c>
      <c r="M36" s="12" t="n">
        <v>4.36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H36*O36</f>
        <v/>
      </c>
    </row>
    <row r="37">
      <c r="A37" s="23" t="inlineStr">
        <is>
          <t>20261029_2015</t>
        </is>
      </c>
      <c r="B37" s="13" t="n">
        <v>46324</v>
      </c>
      <c r="C37" s="14" t="n">
        <v>0.84375</v>
      </c>
      <c r="D37" s="23" t="inlineStr">
        <is>
          <t>UN Unico</t>
        </is>
      </c>
      <c r="E37" s="23" t="inlineStr">
        <is>
          <t>I8</t>
        </is>
      </c>
      <c r="F37" s="23">
        <f>IFERROR(INDEX(Tariffe!$B$2:$B$200,MATCH(E37,Tariffe!$A$2:$A$200,0)),"DA DEFINIRE")</f>
        <v/>
      </c>
      <c r="G37" s="16" t="n">
        <v>24</v>
      </c>
      <c r="H37" s="15" t="n">
        <v>1</v>
      </c>
      <c r="I37" s="15" t="n">
        <v>0</v>
      </c>
      <c r="J37" s="16" t="n">
        <v>24</v>
      </c>
      <c r="K37" s="16" t="n">
        <v>0</v>
      </c>
      <c r="L37" s="16" t="n">
        <v>21.82</v>
      </c>
      <c r="M37" s="16" t="n">
        <v>2.18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H37*O37</f>
        <v/>
      </c>
    </row>
    <row r="38">
      <c r="A38" s="22" t="inlineStr">
        <is>
          <t>20261029_2215</t>
        </is>
      </c>
      <c r="B38" s="9" t="n">
        <v>46324</v>
      </c>
      <c r="C38" s="10" t="n">
        <v>0.9270833333333334</v>
      </c>
      <c r="D38" s="22" t="inlineStr">
        <is>
          <t>UN Unico</t>
        </is>
      </c>
      <c r="E38" s="22" t="inlineStr">
        <is>
          <t>I1</t>
        </is>
      </c>
      <c r="F38" s="22">
        <f>IFERROR(INDEX(Tariffe!$B$2:$B$200,MATCH(E38,Tariffe!$A$2:$A$200,0)),"DA DEFINIRE")</f>
        <v/>
      </c>
      <c r="G38" s="12" t="n">
        <v>48</v>
      </c>
      <c r="H38" s="11" t="n">
        <v>3</v>
      </c>
      <c r="I38" s="11" t="n">
        <v>0</v>
      </c>
      <c r="J38" s="12" t="n">
        <v>144</v>
      </c>
      <c r="K38" s="12" t="n">
        <v>0</v>
      </c>
      <c r="L38" s="12" t="n">
        <v>130.92</v>
      </c>
      <c r="M38" s="12" t="n">
        <v>13.08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H38*O38</f>
        <v/>
      </c>
    </row>
    <row r="39">
      <c r="A39" s="23" t="inlineStr">
        <is>
          <t>20261029_2215</t>
        </is>
      </c>
      <c r="B39" s="13" t="n">
        <v>46324</v>
      </c>
      <c r="C39" s="14" t="n">
        <v>0.9270833333333334</v>
      </c>
      <c r="D39" s="23" t="inlineStr">
        <is>
          <t>UN Unico</t>
        </is>
      </c>
      <c r="E39" s="23" t="inlineStr">
        <is>
          <t>I2</t>
        </is>
      </c>
      <c r="F39" s="23">
        <f>IFERROR(INDEX(Tariffe!$B$2:$B$200,MATCH(E39,Tariffe!$A$2:$A$200,0)),"DA DEFINIRE")</f>
        <v/>
      </c>
      <c r="G39" s="16" t="n">
        <v>36</v>
      </c>
      <c r="H39" s="15" t="n">
        <v>1</v>
      </c>
      <c r="I39" s="15" t="n">
        <v>0</v>
      </c>
      <c r="J39" s="16" t="n">
        <v>36</v>
      </c>
      <c r="K39" s="16" t="n">
        <v>0</v>
      </c>
      <c r="L39" s="16" t="n">
        <v>32.73</v>
      </c>
      <c r="M39" s="16" t="n">
        <v>3.27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H39*O39</f>
        <v/>
      </c>
    </row>
    <row r="40">
      <c r="A40" s="22" t="inlineStr">
        <is>
          <t>20261029_2215</t>
        </is>
      </c>
      <c r="B40" s="9" t="n">
        <v>46324</v>
      </c>
      <c r="C40" s="10" t="n">
        <v>0.9270833333333334</v>
      </c>
      <c r="D40" s="22" t="inlineStr">
        <is>
          <t>UN Unico</t>
        </is>
      </c>
      <c r="E40" s="22" t="inlineStr">
        <is>
          <t>I8</t>
        </is>
      </c>
      <c r="F40" s="22">
        <f>IFERROR(INDEX(Tariffe!$B$2:$B$200,MATCH(E40,Tariffe!$A$2:$A$200,0)),"DA DEFINIRE")</f>
        <v/>
      </c>
      <c r="G40" s="12" t="n">
        <v>24</v>
      </c>
      <c r="H40" s="11" t="n">
        <v>4</v>
      </c>
      <c r="I40" s="11" t="n">
        <v>0</v>
      </c>
      <c r="J40" s="12" t="n">
        <v>96</v>
      </c>
      <c r="K40" s="12" t="n">
        <v>0</v>
      </c>
      <c r="L40" s="12" t="n">
        <v>87.28</v>
      </c>
      <c r="M40" s="12" t="n">
        <v>8.720000000000001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H40*O40</f>
        <v/>
      </c>
    </row>
    <row r="41">
      <c r="A41" s="23" t="inlineStr">
        <is>
          <t>20261029_2315</t>
        </is>
      </c>
      <c r="B41" s="13" t="n">
        <v>46324</v>
      </c>
      <c r="C41" s="14" t="n">
        <v>0.96875</v>
      </c>
      <c r="D41" s="23" t="inlineStr">
        <is>
          <t>UN Unico</t>
        </is>
      </c>
      <c r="E41" s="23" t="inlineStr">
        <is>
          <t>I1</t>
        </is>
      </c>
      <c r="F41" s="23">
        <f>IFERROR(INDEX(Tariffe!$B$2:$B$200,MATCH(E41,Tariffe!$A$2:$A$200,0)),"DA DEFINIRE")</f>
        <v/>
      </c>
      <c r="G41" s="16" t="n">
        <v>48</v>
      </c>
      <c r="H41" s="15" t="n">
        <v>2</v>
      </c>
      <c r="I41" s="15" t="n">
        <v>0</v>
      </c>
      <c r="J41" s="16" t="n">
        <v>96</v>
      </c>
      <c r="K41" s="16" t="n">
        <v>0</v>
      </c>
      <c r="L41" s="16" t="n">
        <v>87.28</v>
      </c>
      <c r="M41" s="16" t="n">
        <v>8.720000000000001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H41*O41</f>
        <v/>
      </c>
    </row>
    <row r="42">
      <c r="A42" s="22" t="inlineStr">
        <is>
          <t>20261029_2315</t>
        </is>
      </c>
      <c r="B42" s="9" t="n">
        <v>46324</v>
      </c>
      <c r="C42" s="10" t="n">
        <v>0.96875</v>
      </c>
      <c r="D42" s="22" t="inlineStr">
        <is>
          <t>UN Unico</t>
        </is>
      </c>
      <c r="E42" s="22" t="inlineStr">
        <is>
          <t>I5</t>
        </is>
      </c>
      <c r="F42" s="22">
        <f>IFERROR(INDEX(Tariffe!$B$2:$B$200,MATCH(E42,Tariffe!$A$2:$A$200,0)),"DA DEFINIRE")</f>
        <v/>
      </c>
      <c r="G42" s="12" t="n">
        <v>60</v>
      </c>
      <c r="H42" s="11" t="n">
        <v>1</v>
      </c>
      <c r="I42" s="11" t="n">
        <v>0</v>
      </c>
      <c r="J42" s="12" t="n">
        <v>60</v>
      </c>
      <c r="K42" s="12" t="n">
        <v>0</v>
      </c>
      <c r="L42" s="12" t="n">
        <v>54.55</v>
      </c>
      <c r="M42" s="12" t="n">
        <v>5.45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H42*O42</f>
        <v/>
      </c>
    </row>
    <row r="43">
      <c r="A43" s="23" t="inlineStr">
        <is>
          <t>20261029_2359</t>
        </is>
      </c>
      <c r="B43" s="13" t="n">
        <v>46324</v>
      </c>
      <c r="C43" s="14" t="n">
        <v>0.9993055555555556</v>
      </c>
      <c r="D43" s="23" t="inlineStr">
        <is>
          <t>UN Unico</t>
        </is>
      </c>
      <c r="E43" s="23" t="inlineStr">
        <is>
          <t>I8</t>
        </is>
      </c>
      <c r="F43" s="23">
        <f>IFERROR(INDEX(Tariffe!$B$2:$B$200,MATCH(E43,Tariffe!$A$2:$A$200,0)),"DA DEFINIRE")</f>
        <v/>
      </c>
      <c r="G43" s="16" t="n">
        <v>24</v>
      </c>
      <c r="H43" s="15" t="n">
        <v>1</v>
      </c>
      <c r="I43" s="15" t="n">
        <v>0</v>
      </c>
      <c r="J43" s="16" t="n">
        <v>24</v>
      </c>
      <c r="K43" s="16" t="n">
        <v>0</v>
      </c>
      <c r="L43" s="16" t="n">
        <v>21.82</v>
      </c>
      <c r="M43" s="16" t="n">
        <v>2.18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H43*O43</f>
        <v/>
      </c>
    </row>
    <row r="44">
      <c r="A44" s="22" t="inlineStr">
        <is>
          <t>20261030_2015</t>
        </is>
      </c>
      <c r="B44" s="9" t="n">
        <v>46325</v>
      </c>
      <c r="C44" s="10" t="n">
        <v>0.84375</v>
      </c>
      <c r="D44" s="22" t="inlineStr">
        <is>
          <t>UN Unico</t>
        </is>
      </c>
      <c r="E44" s="22" t="inlineStr">
        <is>
          <t>I1</t>
        </is>
      </c>
      <c r="F44" s="22">
        <f>IFERROR(INDEX(Tariffe!$B$2:$B$200,MATCH(E44,Tariffe!$A$2:$A$200,0)),"DA DEFINIRE")</f>
        <v/>
      </c>
      <c r="G44" s="12" t="n">
        <v>48</v>
      </c>
      <c r="H44" s="11" t="n">
        <v>1</v>
      </c>
      <c r="I44" s="11" t="n">
        <v>0</v>
      </c>
      <c r="J44" s="12" t="n">
        <v>48</v>
      </c>
      <c r="K44" s="12" t="n">
        <v>0</v>
      </c>
      <c r="L44" s="12" t="n">
        <v>43.64</v>
      </c>
      <c r="M44" s="12" t="n">
        <v>4.36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H44*O44</f>
        <v/>
      </c>
    </row>
    <row r="45">
      <c r="A45" s="23" t="inlineStr">
        <is>
          <t>20261030_2115</t>
        </is>
      </c>
      <c r="B45" s="13" t="n">
        <v>46325</v>
      </c>
      <c r="C45" s="14" t="n">
        <v>0.8854166666666666</v>
      </c>
      <c r="D45" s="23" t="inlineStr">
        <is>
          <t>UN Unico</t>
        </is>
      </c>
      <c r="E45" s="23" t="inlineStr">
        <is>
          <t>I8</t>
        </is>
      </c>
      <c r="F45" s="23">
        <f>IFERROR(INDEX(Tariffe!$B$2:$B$200,MATCH(E45,Tariffe!$A$2:$A$200,0)),"DA DEFINIRE")</f>
        <v/>
      </c>
      <c r="G45" s="16" t="n">
        <v>24</v>
      </c>
      <c r="H45" s="15" t="n">
        <v>1</v>
      </c>
      <c r="I45" s="15" t="n">
        <v>0</v>
      </c>
      <c r="J45" s="16" t="n">
        <v>24</v>
      </c>
      <c r="K45" s="16" t="n">
        <v>0</v>
      </c>
      <c r="L45" s="16" t="n">
        <v>21.82</v>
      </c>
      <c r="M45" s="16" t="n">
        <v>2.18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H45*O45</f>
        <v/>
      </c>
    </row>
    <row r="46">
      <c r="A46" s="22" t="inlineStr">
        <is>
          <t>20261030_2215</t>
        </is>
      </c>
      <c r="B46" s="9" t="n">
        <v>46325</v>
      </c>
      <c r="C46" s="10" t="n">
        <v>0.9270833333333334</v>
      </c>
      <c r="D46" s="22" t="inlineStr">
        <is>
          <t>UN Unico</t>
        </is>
      </c>
      <c r="E46" s="22" t="inlineStr">
        <is>
          <t>I8</t>
        </is>
      </c>
      <c r="F46" s="22">
        <f>IFERROR(INDEX(Tariffe!$B$2:$B$200,MATCH(E46,Tariffe!$A$2:$A$200,0)),"DA DEFINIRE")</f>
        <v/>
      </c>
      <c r="G46" s="12" t="n">
        <v>24</v>
      </c>
      <c r="H46" s="11" t="n">
        <v>1</v>
      </c>
      <c r="I46" s="11" t="n">
        <v>0</v>
      </c>
      <c r="J46" s="12" t="n">
        <v>24</v>
      </c>
      <c r="K46" s="12" t="n">
        <v>0</v>
      </c>
      <c r="L46" s="12" t="n">
        <v>21.82</v>
      </c>
      <c r="M46" s="12" t="n">
        <v>2.18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H46*O46</f>
        <v/>
      </c>
    </row>
    <row r="47">
      <c r="A47" s="23" t="inlineStr">
        <is>
          <t>20261030_2315</t>
        </is>
      </c>
      <c r="B47" s="13" t="n">
        <v>46325</v>
      </c>
      <c r="C47" s="14" t="n">
        <v>0.96875</v>
      </c>
      <c r="D47" s="23" t="inlineStr">
        <is>
          <t>UN Unico</t>
        </is>
      </c>
      <c r="E47" s="23" t="inlineStr">
        <is>
          <t>I1</t>
        </is>
      </c>
      <c r="F47" s="23">
        <f>IFERROR(INDEX(Tariffe!$B$2:$B$200,MATCH(E47,Tariffe!$A$2:$A$200,0)),"DA DEFINIRE")</f>
        <v/>
      </c>
      <c r="G47" s="16" t="n">
        <v>48</v>
      </c>
      <c r="H47" s="15" t="n">
        <v>3</v>
      </c>
      <c r="I47" s="15" t="n">
        <v>0</v>
      </c>
      <c r="J47" s="16" t="n">
        <v>144</v>
      </c>
      <c r="K47" s="16" t="n">
        <v>0</v>
      </c>
      <c r="L47" s="16" t="n">
        <v>130.92</v>
      </c>
      <c r="M47" s="16" t="n">
        <v>13.08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H47*O47</f>
        <v/>
      </c>
    </row>
    <row r="48">
      <c r="A48" s="22" t="inlineStr">
        <is>
          <t>20261030_2315</t>
        </is>
      </c>
      <c r="B48" s="9" t="n">
        <v>46325</v>
      </c>
      <c r="C48" s="10" t="n">
        <v>0.96875</v>
      </c>
      <c r="D48" s="22" t="inlineStr">
        <is>
          <t>UN Unico</t>
        </is>
      </c>
      <c r="E48" s="22" t="inlineStr">
        <is>
          <t>I8</t>
        </is>
      </c>
      <c r="F48" s="22">
        <f>IFERROR(INDEX(Tariffe!$B$2:$B$200,MATCH(E48,Tariffe!$A$2:$A$200,0)),"DA DEFINIRE")</f>
        <v/>
      </c>
      <c r="G48" s="12" t="n">
        <v>24</v>
      </c>
      <c r="H48" s="11" t="n">
        <v>1</v>
      </c>
      <c r="I48" s="11" t="n">
        <v>0</v>
      </c>
      <c r="J48" s="12" t="n">
        <v>24</v>
      </c>
      <c r="K48" s="12" t="n">
        <v>0</v>
      </c>
      <c r="L48" s="12" t="n">
        <v>21.82</v>
      </c>
      <c r="M48" s="12" t="n">
        <v>2.18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H48*O48</f>
        <v/>
      </c>
    </row>
    <row r="49">
      <c r="A49" s="23" t="inlineStr">
        <is>
          <t>20261030_2359</t>
        </is>
      </c>
      <c r="B49" s="13" t="n">
        <v>46325</v>
      </c>
      <c r="C49" s="14" t="n">
        <v>0.9993055555555556</v>
      </c>
      <c r="D49" s="23" t="inlineStr">
        <is>
          <t>UN Unico</t>
        </is>
      </c>
      <c r="E49" s="23" t="inlineStr">
        <is>
          <t>I8</t>
        </is>
      </c>
      <c r="F49" s="23">
        <f>IFERROR(INDEX(Tariffe!$B$2:$B$200,MATCH(E49,Tariffe!$A$2:$A$200,0)),"DA DEFINIRE")</f>
        <v/>
      </c>
      <c r="G49" s="16" t="n">
        <v>24</v>
      </c>
      <c r="H49" s="15" t="n">
        <v>2</v>
      </c>
      <c r="I49" s="15" t="n">
        <v>0</v>
      </c>
      <c r="J49" s="16" t="n">
        <v>48</v>
      </c>
      <c r="K49" s="16" t="n">
        <v>0</v>
      </c>
      <c r="L49" s="16" t="n">
        <v>43.64</v>
      </c>
      <c r="M49" s="16" t="n">
        <v>4.36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H49*O49</f>
        <v/>
      </c>
    </row>
    <row r="50">
      <c r="A50" s="22" t="inlineStr">
        <is>
          <t>20261031_2015</t>
        </is>
      </c>
      <c r="B50" s="9" t="n">
        <v>46326</v>
      </c>
      <c r="C50" s="10" t="n">
        <v>0.84375</v>
      </c>
      <c r="D50" s="22" t="inlineStr">
        <is>
          <t>UN Unico</t>
        </is>
      </c>
      <c r="E50" s="22" t="inlineStr">
        <is>
          <t>I5</t>
        </is>
      </c>
      <c r="F50" s="22">
        <f>IFERROR(INDEX(Tariffe!$B$2:$B$200,MATCH(E50,Tariffe!$A$2:$A$200,0)),"DA DEFINIRE")</f>
        <v/>
      </c>
      <c r="G50" s="12" t="n">
        <v>60</v>
      </c>
      <c r="H50" s="11" t="n">
        <v>1</v>
      </c>
      <c r="I50" s="11" t="n">
        <v>0</v>
      </c>
      <c r="J50" s="12" t="n">
        <v>60</v>
      </c>
      <c r="K50" s="12" t="n">
        <v>0</v>
      </c>
      <c r="L50" s="12" t="n">
        <v>54.55</v>
      </c>
      <c r="M50" s="12" t="n">
        <v>5.45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H50*O50</f>
        <v/>
      </c>
    </row>
    <row r="51">
      <c r="A51" s="23" t="inlineStr">
        <is>
          <t>20261031_2015</t>
        </is>
      </c>
      <c r="B51" s="13" t="n">
        <v>46326</v>
      </c>
      <c r="C51" s="14" t="n">
        <v>0.84375</v>
      </c>
      <c r="D51" s="23" t="inlineStr">
        <is>
          <t>UN Unico</t>
        </is>
      </c>
      <c r="E51" s="23" t="inlineStr">
        <is>
          <t>I8</t>
        </is>
      </c>
      <c r="F51" s="23">
        <f>IFERROR(INDEX(Tariffe!$B$2:$B$200,MATCH(E51,Tariffe!$A$2:$A$200,0)),"DA DEFINIRE")</f>
        <v/>
      </c>
      <c r="G51" s="16" t="n">
        <v>24</v>
      </c>
      <c r="H51" s="15" t="n">
        <v>1</v>
      </c>
      <c r="I51" s="15" t="n">
        <v>0</v>
      </c>
      <c r="J51" s="16" t="n">
        <v>24</v>
      </c>
      <c r="K51" s="16" t="n">
        <v>0</v>
      </c>
      <c r="L51" s="16" t="n">
        <v>21.82</v>
      </c>
      <c r="M51" s="16" t="n">
        <v>2.18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H51*O51</f>
        <v/>
      </c>
    </row>
    <row r="52">
      <c r="A52" s="22" t="inlineStr">
        <is>
          <t>20261031_2115</t>
        </is>
      </c>
      <c r="B52" s="9" t="n">
        <v>46326</v>
      </c>
      <c r="C52" s="10" t="n">
        <v>0.8854166666666666</v>
      </c>
      <c r="D52" s="22" t="inlineStr">
        <is>
          <t>UN Unico</t>
        </is>
      </c>
      <c r="E52" s="22" t="inlineStr">
        <is>
          <t>I1</t>
        </is>
      </c>
      <c r="F52" s="22">
        <f>IFERROR(INDEX(Tariffe!$B$2:$B$200,MATCH(E52,Tariffe!$A$2:$A$200,0)),"DA DEFINIRE")</f>
        <v/>
      </c>
      <c r="G52" s="12" t="n">
        <v>48</v>
      </c>
      <c r="H52" s="11" t="n">
        <v>1</v>
      </c>
      <c r="I52" s="11" t="n">
        <v>0</v>
      </c>
      <c r="J52" s="12" t="n">
        <v>48</v>
      </c>
      <c r="K52" s="12" t="n">
        <v>0</v>
      </c>
      <c r="L52" s="12" t="n">
        <v>43.64</v>
      </c>
      <c r="M52" s="12" t="n">
        <v>4.36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H52*O52</f>
        <v/>
      </c>
    </row>
    <row r="53">
      <c r="A53" s="23" t="inlineStr">
        <is>
          <t>20261031_2115</t>
        </is>
      </c>
      <c r="B53" s="13" t="n">
        <v>46326</v>
      </c>
      <c r="C53" s="14" t="n">
        <v>0.8854166666666666</v>
      </c>
      <c r="D53" s="23" t="inlineStr">
        <is>
          <t>UN Unico</t>
        </is>
      </c>
      <c r="E53" s="23" t="inlineStr">
        <is>
          <t>I8</t>
        </is>
      </c>
      <c r="F53" s="23">
        <f>IFERROR(INDEX(Tariffe!$B$2:$B$200,MATCH(E53,Tariffe!$A$2:$A$200,0)),"DA DEFINIRE")</f>
        <v/>
      </c>
      <c r="G53" s="16" t="n">
        <v>24</v>
      </c>
      <c r="H53" s="15" t="n">
        <v>1</v>
      </c>
      <c r="I53" s="15" t="n">
        <v>0</v>
      </c>
      <c r="J53" s="16" t="n">
        <v>24</v>
      </c>
      <c r="K53" s="16" t="n">
        <v>0</v>
      </c>
      <c r="L53" s="16" t="n">
        <v>21.82</v>
      </c>
      <c r="M53" s="16" t="n">
        <v>2.18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H53*O53</f>
        <v/>
      </c>
    </row>
    <row r="54">
      <c r="A54" s="22" t="inlineStr">
        <is>
          <t>20261031_2215</t>
        </is>
      </c>
      <c r="B54" s="9" t="n">
        <v>46326</v>
      </c>
      <c r="C54" s="10" t="n">
        <v>0.9270833333333334</v>
      </c>
      <c r="D54" s="22" t="inlineStr">
        <is>
          <t>UN Unico</t>
        </is>
      </c>
      <c r="E54" s="22" t="inlineStr">
        <is>
          <t>I1</t>
        </is>
      </c>
      <c r="F54" s="22">
        <f>IFERROR(INDEX(Tariffe!$B$2:$B$200,MATCH(E54,Tariffe!$A$2:$A$200,0)),"DA DEFINIRE")</f>
        <v/>
      </c>
      <c r="G54" s="12" t="n">
        <v>48</v>
      </c>
      <c r="H54" s="11" t="n">
        <v>2</v>
      </c>
      <c r="I54" s="11" t="n">
        <v>0</v>
      </c>
      <c r="J54" s="12" t="n">
        <v>96</v>
      </c>
      <c r="K54" s="12" t="n">
        <v>0</v>
      </c>
      <c r="L54" s="12" t="n">
        <v>87.28</v>
      </c>
      <c r="M54" s="12" t="n">
        <v>8.720000000000001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H54*O54</f>
        <v/>
      </c>
    </row>
    <row r="55">
      <c r="A55" s="23" t="inlineStr">
        <is>
          <t>20261031_2315</t>
        </is>
      </c>
      <c r="B55" s="13" t="n">
        <v>46326</v>
      </c>
      <c r="C55" s="14" t="n">
        <v>0.96875</v>
      </c>
      <c r="D55" s="23" t="inlineStr">
        <is>
          <t>UN Unico</t>
        </is>
      </c>
      <c r="E55" s="23" t="inlineStr">
        <is>
          <t>I1</t>
        </is>
      </c>
      <c r="F55" s="23">
        <f>IFERROR(INDEX(Tariffe!$B$2:$B$200,MATCH(E55,Tariffe!$A$2:$A$200,0)),"DA DEFINIRE")</f>
        <v/>
      </c>
      <c r="G55" s="16" t="n">
        <v>48</v>
      </c>
      <c r="H55" s="15" t="n">
        <v>2</v>
      </c>
      <c r="I55" s="15" t="n">
        <v>0</v>
      </c>
      <c r="J55" s="16" t="n">
        <v>96</v>
      </c>
      <c r="K55" s="16" t="n">
        <v>0</v>
      </c>
      <c r="L55" s="16" t="n">
        <v>87.28</v>
      </c>
      <c r="M55" s="16" t="n">
        <v>8.720000000000001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H55*O55</f>
        <v/>
      </c>
    </row>
    <row r="56">
      <c r="A56" s="22" t="inlineStr">
        <is>
          <t>20261031_2315</t>
        </is>
      </c>
      <c r="B56" s="9" t="n">
        <v>46326</v>
      </c>
      <c r="C56" s="10" t="n">
        <v>0.96875</v>
      </c>
      <c r="D56" s="22" t="inlineStr">
        <is>
          <t>UN Unico</t>
        </is>
      </c>
      <c r="E56" s="22" t="inlineStr">
        <is>
          <t>I8</t>
        </is>
      </c>
      <c r="F56" s="22">
        <f>IFERROR(INDEX(Tariffe!$B$2:$B$200,MATCH(E56,Tariffe!$A$2:$A$200,0)),"DA DEFINIRE")</f>
        <v/>
      </c>
      <c r="G56" s="12" t="n">
        <v>24</v>
      </c>
      <c r="H56" s="11" t="n">
        <v>1</v>
      </c>
      <c r="I56" s="11" t="n">
        <v>0</v>
      </c>
      <c r="J56" s="12" t="n">
        <v>24</v>
      </c>
      <c r="K56" s="12" t="n">
        <v>0</v>
      </c>
      <c r="L56" s="12" t="n">
        <v>21.82</v>
      </c>
      <c r="M56" s="12" t="n">
        <v>2.18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H56*O56</f>
        <v/>
      </c>
    </row>
    <row r="57">
      <c r="A57" s="23" t="inlineStr">
        <is>
          <t>20261031_2359</t>
        </is>
      </c>
      <c r="B57" s="13" t="n">
        <v>46326</v>
      </c>
      <c r="C57" s="14" t="n">
        <v>0.9993055555555556</v>
      </c>
      <c r="D57" s="23" t="inlineStr">
        <is>
          <t>UN Unico</t>
        </is>
      </c>
      <c r="E57" s="23" t="inlineStr">
        <is>
          <t>I8</t>
        </is>
      </c>
      <c r="F57" s="23">
        <f>IFERROR(INDEX(Tariffe!$B$2:$B$200,MATCH(E57,Tariffe!$A$2:$A$200,0)),"DA DEFINIRE")</f>
        <v/>
      </c>
      <c r="G57" s="16" t="n">
        <v>24</v>
      </c>
      <c r="H57" s="15" t="n">
        <v>1</v>
      </c>
      <c r="I57" s="15" t="n">
        <v>0</v>
      </c>
      <c r="J57" s="16" t="n">
        <v>24</v>
      </c>
      <c r="K57" s="16" t="n">
        <v>0</v>
      </c>
      <c r="L57" s="16" t="n">
        <v>21.82</v>
      </c>
      <c r="M57" s="16" t="n">
        <v>2.18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H57*O57</f>
        <v/>
      </c>
    </row>
    <row r="58">
      <c r="A58" s="22" t="inlineStr">
        <is>
          <t>20261101_2015</t>
        </is>
      </c>
      <c r="B58" s="9" t="n">
        <v>46327</v>
      </c>
      <c r="C58" s="10" t="n">
        <v>0.84375</v>
      </c>
      <c r="D58" s="22" t="inlineStr">
        <is>
          <t>UN Unico</t>
        </is>
      </c>
      <c r="E58" s="22" t="inlineStr">
        <is>
          <t>I1</t>
        </is>
      </c>
      <c r="F58" s="22">
        <f>IFERROR(INDEX(Tariffe!$B$2:$B$200,MATCH(E58,Tariffe!$A$2:$A$200,0)),"DA DEFINIRE")</f>
        <v/>
      </c>
      <c r="G58" s="12" t="n">
        <v>48</v>
      </c>
      <c r="H58" s="11" t="n">
        <v>1</v>
      </c>
      <c r="I58" s="11" t="n">
        <v>0</v>
      </c>
      <c r="J58" s="12" t="n">
        <v>48</v>
      </c>
      <c r="K58" s="12" t="n">
        <v>0</v>
      </c>
      <c r="L58" s="12" t="n">
        <v>43.64</v>
      </c>
      <c r="M58" s="12" t="n">
        <v>4.36</v>
      </c>
      <c r="N58" s="22" t="inlineStr">
        <is>
          <t>11/2026</t>
        </is>
      </c>
      <c r="O58" s="11">
        <f>IFERROR(INDEX(Tariffe!$D$2:$D$200,MATCH(E58,Tariffe!$A$2:$A$200,0))*1,0)</f>
        <v/>
      </c>
      <c r="P58" s="11">
        <f>H58*O58</f>
        <v/>
      </c>
    </row>
  </sheetData>
  <autoFilter ref="A1:P58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IF(SUM($F$2:$F$5)&gt;0,F2/SUM($F$2:$F$5),0)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IF(SUM($F$2:$F$5)&gt;0,F3/SUM($F$2:$F$5),0)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IF(SUM($F$2:$F$5)&gt;0,F4/SUM($F$2:$F$5),0)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IF(SUM($F$2:$F$5)&gt;0,F5/SUM($F$2:$F$5),0)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0" customWidth="1" min="16" max="16"/>
    <col width="10" customWidth="1" min="17" max="17"/>
    <col width="10" customWidth="1" min="18" max="18"/>
    <col width="10" customWidth="1" min="19" max="19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20:15</t>
        </is>
      </c>
      <c r="G1" s="21" t="inlineStr">
        <is>
          <t>Auto 21:15</t>
        </is>
      </c>
      <c r="H1" s="21" t="inlineStr">
        <is>
          <t>Auto 22:15</t>
        </is>
      </c>
      <c r="I1" s="21" t="inlineStr">
        <is>
          <t>Auto 23:15</t>
        </is>
      </c>
      <c r="J1" s="21" t="inlineStr">
        <is>
          <t>Auto 23:59</t>
        </is>
      </c>
      <c r="K1" s="21" t="inlineStr">
        <is>
          <t>Persone 20:15</t>
        </is>
      </c>
      <c r="L1" s="21" t="inlineStr">
        <is>
          <t>Persone 21:15</t>
        </is>
      </c>
      <c r="M1" s="21" t="inlineStr">
        <is>
          <t>Persone 22:15</t>
        </is>
      </c>
      <c r="N1" s="21" t="inlineStr">
        <is>
          <t>Persone 23:15</t>
        </is>
      </c>
      <c r="O1" s="21" t="inlineStr">
        <is>
          <t>Persone 23:59</t>
        </is>
      </c>
      <c r="P1" s="21" t="inlineStr">
        <is>
          <t>Auto da 2</t>
        </is>
      </c>
      <c r="Q1" s="21" t="inlineStr">
        <is>
          <t>Auto da 3</t>
        </is>
      </c>
      <c r="R1" s="21" t="inlineStr">
        <is>
          <t>Auto da 4</t>
        </is>
      </c>
      <c r="S1" s="21" t="inlineStr">
        <is>
          <t>Auto da 5</t>
        </is>
      </c>
      <c r="T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SUM(F2:J2)</f>
        <v/>
      </c>
      <c r="D2" s="11">
        <f>SUM(K2:O2)</f>
        <v/>
      </c>
      <c r="E2" s="12">
        <f>SUMIF(Vendite!$B$2:$B$1000,A2,Vendite!$J$2:$J$1000)</f>
        <v/>
      </c>
      <c r="F2" s="11">
        <f>SUMIFS(Vendite!$H$2:$H$1000,Vendite!$B$2:$B$1000,A2,Vendite!$C$2:$C$1000,"&gt;="&amp;TIMEVALUE("20:00"),Vendite!$C$2:$C$1000,"&lt;"&amp;TIMEVALUE("21:00"))</f>
        <v/>
      </c>
      <c r="G2" s="11">
        <f>SUMIFS(Vendite!$H$2:$H$1000,Vendite!$B$2:$B$1000,A2,Vendite!$C$2:$C$1000,"&gt;="&amp;TIMEVALUE("21:00"),Vendite!$C$2:$C$1000,"&lt;"&amp;TIMEVALUE("22:00"))</f>
        <v/>
      </c>
      <c r="H2" s="11">
        <f>SUMIFS(Vendite!$H$2:$H$1000,Vendite!$B$2:$B$1000,A2,Vendite!$C$2:$C$1000,"&gt;="&amp;TIMEVALUE("22:00"),Vendite!$C$2:$C$1000,"&lt;"&amp;TIMEVALUE("23:00"))</f>
        <v/>
      </c>
      <c r="I2" s="11">
        <f>SUMIFS(Vendite!$H$2:$H$1000,Vendite!$B$2:$B$1000,A2,Vendite!$C$2:$C$1000,"&gt;="&amp;TIMEVALUE("23:00"),Vendite!$C$2:$C$1000,"&lt;"&amp;TIMEVALUE("23:30"))</f>
        <v/>
      </c>
      <c r="J2" s="11">
        <f>SUMIFS(Vendite!$H$2:$H$1000,Vendite!$B$2:$B$1000,A2,Vendite!$C$2:$C$1000,"&gt;="&amp;TIMEVALUE("23:30"))</f>
        <v/>
      </c>
      <c r="K2" s="11">
        <f>SUMIFS(Vendite!$P$2:$P$1000,Vendite!$B$2:$B$1000,A2,Vendite!$C$2:$C$1000,"&gt;="&amp;TIMEVALUE("20:00"),Vendite!$C$2:$C$1000,"&lt;"&amp;TIMEVALUE("21:00"))</f>
        <v/>
      </c>
      <c r="L2" s="11">
        <f>SUMIFS(Vendite!$P$2:$P$1000,Vendite!$B$2:$B$1000,A2,Vendite!$C$2:$C$1000,"&gt;="&amp;TIMEVALUE("21:00"),Vendite!$C$2:$C$1000,"&lt;"&amp;TIMEVALUE("22:00"))</f>
        <v/>
      </c>
      <c r="M2" s="11">
        <f>SUMIFS(Vendite!$P$2:$P$1000,Vendite!$B$2:$B$1000,A2,Vendite!$C$2:$C$1000,"&gt;="&amp;TIMEVALUE("22:00"),Vendite!$C$2:$C$1000,"&lt;"&amp;TIMEVALUE("23:00"))</f>
        <v/>
      </c>
      <c r="N2" s="11">
        <f>SUMIFS(Vendite!$P$2:$P$1000,Vendite!$B$2:$B$1000,A2,Vendite!$C$2:$C$1000,"&gt;="&amp;TIMEVALUE("23:00"),Vendite!$C$2:$C$1000,"&lt;"&amp;TIMEVALUE("23:30"))</f>
        <v/>
      </c>
      <c r="O2" s="11">
        <f>SUMIFS(Vendite!$P$2:$P$1000,Vendite!$B$2:$B$1000,A2,Vendite!$C$2:$C$1000,"&gt;="&amp;TIMEVALUE("23:30"))</f>
        <v/>
      </c>
      <c r="P2" s="11">
        <f>SUMIFS(Vendite!$H$2:$H$1000,Vendite!$B$2:$B$1000,A2,Vendite!$O$2:$O$1000,2)</f>
        <v/>
      </c>
      <c r="Q2" s="11">
        <f>SUMIFS(Vendite!$H$2:$H$1000,Vendite!$B$2:$B$1000,A2,Vendite!$O$2:$O$1000,3)</f>
        <v/>
      </c>
      <c r="R2" s="11">
        <f>SUMIFS(Vendite!$H$2:$H$1000,Vendite!$B$2:$B$1000,A2,Vendite!$O$2:$O$1000,4)</f>
        <v/>
      </c>
      <c r="S2" s="11">
        <f>SUMIFS(Vendite!$H$2:$H$1000,Vendite!$B$2:$B$1000,A2,Vendite!$O$2:$O$1000,5)</f>
        <v/>
      </c>
      <c r="T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SUM(F3:J3)</f>
        <v/>
      </c>
      <c r="D3" s="15">
        <f>SUM(K3:O3)</f>
        <v/>
      </c>
      <c r="E3" s="16">
        <f>SUMIF(Vendite!$B$2:$B$1000,A3,Vendite!$J$2:$J$1000)</f>
        <v/>
      </c>
      <c r="F3" s="15">
        <f>SUMIFS(Vendite!$H$2:$H$1000,Vendite!$B$2:$B$1000,A3,Vendite!$C$2:$C$1000,"&gt;="&amp;TIMEVALUE("20:00"),Vendite!$C$2:$C$1000,"&lt;"&amp;TIMEVALUE("21:00"))</f>
        <v/>
      </c>
      <c r="G3" s="15">
        <f>SUMIFS(Vendite!$H$2:$H$1000,Vendite!$B$2:$B$1000,A3,Vendite!$C$2:$C$1000,"&gt;="&amp;TIMEVALUE("21:00"),Vendite!$C$2:$C$1000,"&lt;"&amp;TIMEVALUE("22:00"))</f>
        <v/>
      </c>
      <c r="H3" s="15">
        <f>SUMIFS(Vendite!$H$2:$H$1000,Vendite!$B$2:$B$1000,A3,Vendite!$C$2:$C$1000,"&gt;="&amp;TIMEVALUE("22:00"),Vendite!$C$2:$C$1000,"&lt;"&amp;TIMEVALUE("23:00"))</f>
        <v/>
      </c>
      <c r="I3" s="15">
        <f>SUMIFS(Vendite!$H$2:$H$1000,Vendite!$B$2:$B$1000,A3,Vendite!$C$2:$C$1000,"&gt;="&amp;TIMEVALUE("23:00"),Vendite!$C$2:$C$1000,"&lt;"&amp;TIMEVALUE("23:30"))</f>
        <v/>
      </c>
      <c r="J3" s="15">
        <f>SUMIFS(Vendite!$H$2:$H$1000,Vendite!$B$2:$B$1000,A3,Vendite!$C$2:$C$1000,"&gt;="&amp;TIMEVALUE("23:30"))</f>
        <v/>
      </c>
      <c r="K3" s="15">
        <f>SUMIFS(Vendite!$P$2:$P$1000,Vendite!$B$2:$B$1000,A3,Vendite!$C$2:$C$1000,"&gt;="&amp;TIMEVALUE("20:00"),Vendite!$C$2:$C$1000,"&lt;"&amp;TIMEVALUE("21:00"))</f>
        <v/>
      </c>
      <c r="L3" s="15">
        <f>SUMIFS(Vendite!$P$2:$P$1000,Vendite!$B$2:$B$1000,A3,Vendite!$C$2:$C$1000,"&gt;="&amp;TIMEVALUE("21:00"),Vendite!$C$2:$C$1000,"&lt;"&amp;TIMEVALUE("22:00"))</f>
        <v/>
      </c>
      <c r="M3" s="15">
        <f>SUMIFS(Vendite!$P$2:$P$1000,Vendite!$B$2:$B$1000,A3,Vendite!$C$2:$C$1000,"&gt;="&amp;TIMEVALUE("22:00"),Vendite!$C$2:$C$1000,"&lt;"&amp;TIMEVALUE("23:00"))</f>
        <v/>
      </c>
      <c r="N3" s="15">
        <f>SUMIFS(Vendite!$P$2:$P$1000,Vendite!$B$2:$B$1000,A3,Vendite!$C$2:$C$1000,"&gt;="&amp;TIMEVALUE("23:00"),Vendite!$C$2:$C$1000,"&lt;"&amp;TIMEVALUE("23:30"))</f>
        <v/>
      </c>
      <c r="O3" s="15">
        <f>SUMIFS(Vendite!$P$2:$P$1000,Vendite!$B$2:$B$1000,A3,Vendite!$C$2:$C$1000,"&gt;="&amp;TIMEVALUE("23:30"))</f>
        <v/>
      </c>
      <c r="P3" s="15">
        <f>SUMIFS(Vendite!$H$2:$H$1000,Vendite!$B$2:$B$1000,A3,Vendite!$O$2:$O$1000,2)</f>
        <v/>
      </c>
      <c r="Q3" s="15">
        <f>SUMIFS(Vendite!$H$2:$H$1000,Vendite!$B$2:$B$1000,A3,Vendite!$O$2:$O$1000,3)</f>
        <v/>
      </c>
      <c r="R3" s="15">
        <f>SUMIFS(Vendite!$H$2:$H$1000,Vendite!$B$2:$B$1000,A3,Vendite!$O$2:$O$1000,4)</f>
        <v/>
      </c>
      <c r="S3" s="15">
        <f>SUMIFS(Vendite!$H$2:$H$1000,Vendite!$B$2:$B$1000,A3,Vendite!$O$2:$O$1000,5)</f>
        <v/>
      </c>
      <c r="T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SUM(F4:J4)</f>
        <v/>
      </c>
      <c r="D4" s="11">
        <f>SUM(K4:O4)</f>
        <v/>
      </c>
      <c r="E4" s="12">
        <f>SUMIF(Vendite!$B$2:$B$1000,A4,Vendite!$J$2:$J$1000)</f>
        <v/>
      </c>
      <c r="F4" s="11">
        <f>SUMIFS(Vendite!$H$2:$H$1000,Vendite!$B$2:$B$1000,A4,Vendite!$C$2:$C$1000,"&gt;="&amp;TIMEVALUE("20:00"),Vendite!$C$2:$C$1000,"&lt;"&amp;TIMEVALUE("21:00"))</f>
        <v/>
      </c>
      <c r="G4" s="11">
        <f>SUMIFS(Vendite!$H$2:$H$1000,Vendite!$B$2:$B$1000,A4,Vendite!$C$2:$C$1000,"&gt;="&amp;TIMEVALUE("21:00"),Vendite!$C$2:$C$1000,"&lt;"&amp;TIMEVALUE("22:00"))</f>
        <v/>
      </c>
      <c r="H4" s="11">
        <f>SUMIFS(Vendite!$H$2:$H$1000,Vendite!$B$2:$B$1000,A4,Vendite!$C$2:$C$1000,"&gt;="&amp;TIMEVALUE("22:00"),Vendite!$C$2:$C$1000,"&lt;"&amp;TIMEVALUE("23:00"))</f>
        <v/>
      </c>
      <c r="I4" s="11">
        <f>SUMIFS(Vendite!$H$2:$H$1000,Vendite!$B$2:$B$1000,A4,Vendite!$C$2:$C$1000,"&gt;="&amp;TIMEVALUE("23:00"),Vendite!$C$2:$C$1000,"&lt;"&amp;TIMEVALUE("23:30"))</f>
        <v/>
      </c>
      <c r="J4" s="11">
        <f>SUMIFS(Vendite!$H$2:$H$1000,Vendite!$B$2:$B$1000,A4,Vendite!$C$2:$C$1000,"&gt;="&amp;TIMEVALUE("23:30"))</f>
        <v/>
      </c>
      <c r="K4" s="11">
        <f>SUMIFS(Vendite!$P$2:$P$1000,Vendite!$B$2:$B$1000,A4,Vendite!$C$2:$C$1000,"&gt;="&amp;TIMEVALUE("20:00"),Vendite!$C$2:$C$1000,"&lt;"&amp;TIMEVALUE("21:00"))</f>
        <v/>
      </c>
      <c r="L4" s="11">
        <f>SUMIFS(Vendite!$P$2:$P$1000,Vendite!$B$2:$B$1000,A4,Vendite!$C$2:$C$1000,"&gt;="&amp;TIMEVALUE("21:00"),Vendite!$C$2:$C$1000,"&lt;"&amp;TIMEVALUE("22:00"))</f>
        <v/>
      </c>
      <c r="M4" s="11">
        <f>SUMIFS(Vendite!$P$2:$P$1000,Vendite!$B$2:$B$1000,A4,Vendite!$C$2:$C$1000,"&gt;="&amp;TIMEVALUE("22:00"),Vendite!$C$2:$C$1000,"&lt;"&amp;TIMEVALUE("23:00"))</f>
        <v/>
      </c>
      <c r="N4" s="11">
        <f>SUMIFS(Vendite!$P$2:$P$1000,Vendite!$B$2:$B$1000,A4,Vendite!$C$2:$C$1000,"&gt;="&amp;TIMEVALUE("23:00"),Vendite!$C$2:$C$1000,"&lt;"&amp;TIMEVALUE("23:30"))</f>
        <v/>
      </c>
      <c r="O4" s="11">
        <f>SUMIFS(Vendite!$P$2:$P$1000,Vendite!$B$2:$B$1000,A4,Vendite!$C$2:$C$1000,"&gt;="&amp;TIMEVALUE("23:30"))</f>
        <v/>
      </c>
      <c r="P4" s="11">
        <f>SUMIFS(Vendite!$H$2:$H$1000,Vendite!$B$2:$B$1000,A4,Vendite!$O$2:$O$1000,2)</f>
        <v/>
      </c>
      <c r="Q4" s="11">
        <f>SUMIFS(Vendite!$H$2:$H$1000,Vendite!$B$2:$B$1000,A4,Vendite!$O$2:$O$1000,3)</f>
        <v/>
      </c>
      <c r="R4" s="11">
        <f>SUMIFS(Vendite!$H$2:$H$1000,Vendite!$B$2:$B$1000,A4,Vendite!$O$2:$O$1000,4)</f>
        <v/>
      </c>
      <c r="S4" s="11">
        <f>SUMIFS(Vendite!$H$2:$H$1000,Vendite!$B$2:$B$1000,A4,Vendite!$O$2:$O$1000,5)</f>
        <v/>
      </c>
      <c r="T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SUM(F5:J5)</f>
        <v/>
      </c>
      <c r="D5" s="15">
        <f>SUM(K5:O5)</f>
        <v/>
      </c>
      <c r="E5" s="16">
        <f>SUMIF(Vendite!$B$2:$B$1000,A5,Vendite!$J$2:$J$1000)</f>
        <v/>
      </c>
      <c r="F5" s="15">
        <f>SUMIFS(Vendite!$H$2:$H$1000,Vendite!$B$2:$B$1000,A5,Vendite!$C$2:$C$1000,"&gt;="&amp;TIMEVALUE("20:00"),Vendite!$C$2:$C$1000,"&lt;"&amp;TIMEVALUE("21:00"))</f>
        <v/>
      </c>
      <c r="G5" s="15">
        <f>SUMIFS(Vendite!$H$2:$H$1000,Vendite!$B$2:$B$1000,A5,Vendite!$C$2:$C$1000,"&gt;="&amp;TIMEVALUE("21:00"),Vendite!$C$2:$C$1000,"&lt;"&amp;TIMEVALUE("22:00"))</f>
        <v/>
      </c>
      <c r="H5" s="15">
        <f>SUMIFS(Vendite!$H$2:$H$1000,Vendite!$B$2:$B$1000,A5,Vendite!$C$2:$C$1000,"&gt;="&amp;TIMEVALUE("22:00"),Vendite!$C$2:$C$1000,"&lt;"&amp;TIMEVALUE("23:00"))</f>
        <v/>
      </c>
      <c r="I5" s="15">
        <f>SUMIFS(Vendite!$H$2:$H$1000,Vendite!$B$2:$B$1000,A5,Vendite!$C$2:$C$1000,"&gt;="&amp;TIMEVALUE("23:00"),Vendite!$C$2:$C$1000,"&lt;"&amp;TIMEVALUE("23:30"))</f>
        <v/>
      </c>
      <c r="J5" s="15">
        <f>SUMIFS(Vendite!$H$2:$H$1000,Vendite!$B$2:$B$1000,A5,Vendite!$C$2:$C$1000,"&gt;="&amp;TIMEVALUE("23:30"))</f>
        <v/>
      </c>
      <c r="K5" s="15">
        <f>SUMIFS(Vendite!$P$2:$P$1000,Vendite!$B$2:$B$1000,A5,Vendite!$C$2:$C$1000,"&gt;="&amp;TIMEVALUE("20:00"),Vendite!$C$2:$C$1000,"&lt;"&amp;TIMEVALUE("21:00"))</f>
        <v/>
      </c>
      <c r="L5" s="15">
        <f>SUMIFS(Vendite!$P$2:$P$1000,Vendite!$B$2:$B$1000,A5,Vendite!$C$2:$C$1000,"&gt;="&amp;TIMEVALUE("21:00"),Vendite!$C$2:$C$1000,"&lt;"&amp;TIMEVALUE("22:00"))</f>
        <v/>
      </c>
      <c r="M5" s="15">
        <f>SUMIFS(Vendite!$P$2:$P$1000,Vendite!$B$2:$B$1000,A5,Vendite!$C$2:$C$1000,"&gt;="&amp;TIMEVALUE("22:00"),Vendite!$C$2:$C$1000,"&lt;"&amp;TIMEVALUE("23:00"))</f>
        <v/>
      </c>
      <c r="N5" s="15">
        <f>SUMIFS(Vendite!$P$2:$P$1000,Vendite!$B$2:$B$1000,A5,Vendite!$C$2:$C$1000,"&gt;="&amp;TIMEVALUE("23:00"),Vendite!$C$2:$C$1000,"&lt;"&amp;TIMEVALUE("23:30"))</f>
        <v/>
      </c>
      <c r="O5" s="15">
        <f>SUMIFS(Vendite!$P$2:$P$1000,Vendite!$B$2:$B$1000,A5,Vendite!$C$2:$C$1000,"&gt;="&amp;TIMEVALUE("23:30"))</f>
        <v/>
      </c>
      <c r="P5" s="15">
        <f>SUMIFS(Vendite!$H$2:$H$1000,Vendite!$B$2:$B$1000,A5,Vendite!$O$2:$O$1000,2)</f>
        <v/>
      </c>
      <c r="Q5" s="15">
        <f>SUMIFS(Vendite!$H$2:$H$1000,Vendite!$B$2:$B$1000,A5,Vendite!$O$2:$O$1000,3)</f>
        <v/>
      </c>
      <c r="R5" s="15">
        <f>SUMIFS(Vendite!$H$2:$H$1000,Vendite!$B$2:$B$1000,A5,Vendite!$O$2:$O$1000,4)</f>
        <v/>
      </c>
      <c r="S5" s="15">
        <f>SUMIFS(Vendite!$H$2:$H$1000,Vendite!$B$2:$B$1000,A5,Vendite!$O$2:$O$1000,5)</f>
        <v/>
      </c>
      <c r="T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SUM(F6:J6)</f>
        <v/>
      </c>
      <c r="D6" s="11">
        <f>SUM(K6:O6)</f>
        <v/>
      </c>
      <c r="E6" s="12">
        <f>SUMIF(Vendite!$B$2:$B$1000,A6,Vendite!$J$2:$J$1000)</f>
        <v/>
      </c>
      <c r="F6" s="11">
        <f>SUMIFS(Vendite!$H$2:$H$1000,Vendite!$B$2:$B$1000,A6,Vendite!$C$2:$C$1000,"&gt;="&amp;TIMEVALUE("20:00"),Vendite!$C$2:$C$1000,"&lt;"&amp;TIMEVALUE("21:00"))</f>
        <v/>
      </c>
      <c r="G6" s="11">
        <f>SUMIFS(Vendite!$H$2:$H$1000,Vendite!$B$2:$B$1000,A6,Vendite!$C$2:$C$1000,"&gt;="&amp;TIMEVALUE("21:00"),Vendite!$C$2:$C$1000,"&lt;"&amp;TIMEVALUE("22:00"))</f>
        <v/>
      </c>
      <c r="H6" s="11">
        <f>SUMIFS(Vendite!$H$2:$H$1000,Vendite!$B$2:$B$1000,A6,Vendite!$C$2:$C$1000,"&gt;="&amp;TIMEVALUE("22:00"),Vendite!$C$2:$C$1000,"&lt;"&amp;TIMEVALUE("23:00"))</f>
        <v/>
      </c>
      <c r="I6" s="11">
        <f>SUMIFS(Vendite!$H$2:$H$1000,Vendite!$B$2:$B$1000,A6,Vendite!$C$2:$C$1000,"&gt;="&amp;TIMEVALUE("23:00"),Vendite!$C$2:$C$1000,"&lt;"&amp;TIMEVALUE("23:30"))</f>
        <v/>
      </c>
      <c r="J6" s="11">
        <f>SUMIFS(Vendite!$H$2:$H$1000,Vendite!$B$2:$B$1000,A6,Vendite!$C$2:$C$1000,"&gt;="&amp;TIMEVALUE("23:30"))</f>
        <v/>
      </c>
      <c r="K6" s="11">
        <f>SUMIFS(Vendite!$P$2:$P$1000,Vendite!$B$2:$B$1000,A6,Vendite!$C$2:$C$1000,"&gt;="&amp;TIMEVALUE("20:00"),Vendite!$C$2:$C$1000,"&lt;"&amp;TIMEVALUE("21:00"))</f>
        <v/>
      </c>
      <c r="L6" s="11">
        <f>SUMIFS(Vendite!$P$2:$P$1000,Vendite!$B$2:$B$1000,A6,Vendite!$C$2:$C$1000,"&gt;="&amp;TIMEVALUE("21:00"),Vendite!$C$2:$C$1000,"&lt;"&amp;TIMEVALUE("22:00"))</f>
        <v/>
      </c>
      <c r="M6" s="11">
        <f>SUMIFS(Vendite!$P$2:$P$1000,Vendite!$B$2:$B$1000,A6,Vendite!$C$2:$C$1000,"&gt;="&amp;TIMEVALUE("22:00"),Vendite!$C$2:$C$1000,"&lt;"&amp;TIMEVALUE("23:00"))</f>
        <v/>
      </c>
      <c r="N6" s="11">
        <f>SUMIFS(Vendite!$P$2:$P$1000,Vendite!$B$2:$B$1000,A6,Vendite!$C$2:$C$1000,"&gt;="&amp;TIMEVALUE("23:00"),Vendite!$C$2:$C$1000,"&lt;"&amp;TIMEVALUE("23:30"))</f>
        <v/>
      </c>
      <c r="O6" s="11">
        <f>SUMIFS(Vendite!$P$2:$P$1000,Vendite!$B$2:$B$1000,A6,Vendite!$C$2:$C$1000,"&gt;="&amp;TIMEVALUE("23:30"))</f>
        <v/>
      </c>
      <c r="P6" s="11">
        <f>SUMIFS(Vendite!$H$2:$H$1000,Vendite!$B$2:$B$1000,A6,Vendite!$O$2:$O$1000,2)</f>
        <v/>
      </c>
      <c r="Q6" s="11">
        <f>SUMIFS(Vendite!$H$2:$H$1000,Vendite!$B$2:$B$1000,A6,Vendite!$O$2:$O$1000,3)</f>
        <v/>
      </c>
      <c r="R6" s="11">
        <f>SUMIFS(Vendite!$H$2:$H$1000,Vendite!$B$2:$B$1000,A6,Vendite!$O$2:$O$1000,4)</f>
        <v/>
      </c>
      <c r="S6" s="11">
        <f>SUMIFS(Vendite!$H$2:$H$1000,Vendite!$B$2:$B$1000,A6,Vendite!$O$2:$O$1000,5)</f>
        <v/>
      </c>
      <c r="T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SUM(F7:J7)</f>
        <v/>
      </c>
      <c r="D7" s="15">
        <f>SUM(K7:O7)</f>
        <v/>
      </c>
      <c r="E7" s="16">
        <f>SUMIF(Vendite!$B$2:$B$1000,A7,Vendite!$J$2:$J$1000)</f>
        <v/>
      </c>
      <c r="F7" s="15">
        <f>SUMIFS(Vendite!$H$2:$H$1000,Vendite!$B$2:$B$1000,A7,Vendite!$C$2:$C$1000,"&gt;="&amp;TIMEVALUE("20:00"),Vendite!$C$2:$C$1000,"&lt;"&amp;TIMEVALUE("21:00"))</f>
        <v/>
      </c>
      <c r="G7" s="15">
        <f>SUMIFS(Vendite!$H$2:$H$1000,Vendite!$B$2:$B$1000,A7,Vendite!$C$2:$C$1000,"&gt;="&amp;TIMEVALUE("21:00"),Vendite!$C$2:$C$1000,"&lt;"&amp;TIMEVALUE("22:00"))</f>
        <v/>
      </c>
      <c r="H7" s="15">
        <f>SUMIFS(Vendite!$H$2:$H$1000,Vendite!$B$2:$B$1000,A7,Vendite!$C$2:$C$1000,"&gt;="&amp;TIMEVALUE("22:00"),Vendite!$C$2:$C$1000,"&lt;"&amp;TIMEVALUE("23:00"))</f>
        <v/>
      </c>
      <c r="I7" s="15">
        <f>SUMIFS(Vendite!$H$2:$H$1000,Vendite!$B$2:$B$1000,A7,Vendite!$C$2:$C$1000,"&gt;="&amp;TIMEVALUE("23:00"),Vendite!$C$2:$C$1000,"&lt;"&amp;TIMEVALUE("23:30"))</f>
        <v/>
      </c>
      <c r="J7" s="15">
        <f>SUMIFS(Vendite!$H$2:$H$1000,Vendite!$B$2:$B$1000,A7,Vendite!$C$2:$C$1000,"&gt;="&amp;TIMEVALUE("23:30"))</f>
        <v/>
      </c>
      <c r="K7" s="15">
        <f>SUMIFS(Vendite!$P$2:$P$1000,Vendite!$B$2:$B$1000,A7,Vendite!$C$2:$C$1000,"&gt;="&amp;TIMEVALUE("20:00"),Vendite!$C$2:$C$1000,"&lt;"&amp;TIMEVALUE("21:00"))</f>
        <v/>
      </c>
      <c r="L7" s="15">
        <f>SUMIFS(Vendite!$P$2:$P$1000,Vendite!$B$2:$B$1000,A7,Vendite!$C$2:$C$1000,"&gt;="&amp;TIMEVALUE("21:00"),Vendite!$C$2:$C$1000,"&lt;"&amp;TIMEVALUE("22:00"))</f>
        <v/>
      </c>
      <c r="M7" s="15">
        <f>SUMIFS(Vendite!$P$2:$P$1000,Vendite!$B$2:$B$1000,A7,Vendite!$C$2:$C$1000,"&gt;="&amp;TIMEVALUE("22:00"),Vendite!$C$2:$C$1000,"&lt;"&amp;TIMEVALUE("23:00"))</f>
        <v/>
      </c>
      <c r="N7" s="15">
        <f>SUMIFS(Vendite!$P$2:$P$1000,Vendite!$B$2:$B$1000,A7,Vendite!$C$2:$C$1000,"&gt;="&amp;TIMEVALUE("23:00"),Vendite!$C$2:$C$1000,"&lt;"&amp;TIMEVALUE("23:30"))</f>
        <v/>
      </c>
      <c r="O7" s="15">
        <f>SUMIFS(Vendite!$P$2:$P$1000,Vendite!$B$2:$B$1000,A7,Vendite!$C$2:$C$1000,"&gt;="&amp;TIMEVALUE("23:30"))</f>
        <v/>
      </c>
      <c r="P7" s="15">
        <f>SUMIFS(Vendite!$H$2:$H$1000,Vendite!$B$2:$B$1000,A7,Vendite!$O$2:$O$1000,2)</f>
        <v/>
      </c>
      <c r="Q7" s="15">
        <f>SUMIFS(Vendite!$H$2:$H$1000,Vendite!$B$2:$B$1000,A7,Vendite!$O$2:$O$1000,3)</f>
        <v/>
      </c>
      <c r="R7" s="15">
        <f>SUMIFS(Vendite!$H$2:$H$1000,Vendite!$B$2:$B$1000,A7,Vendite!$O$2:$O$1000,4)</f>
        <v/>
      </c>
      <c r="S7" s="15">
        <f>SUMIFS(Vendite!$H$2:$H$1000,Vendite!$B$2:$B$1000,A7,Vendite!$O$2:$O$1000,5)</f>
        <v/>
      </c>
      <c r="T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SUM(F8:J8)</f>
        <v/>
      </c>
      <c r="D8" s="11">
        <f>SUM(K8:O8)</f>
        <v/>
      </c>
      <c r="E8" s="12">
        <f>SUMIF(Vendite!$B$2:$B$1000,A8,Vendite!$J$2:$J$1000)</f>
        <v/>
      </c>
      <c r="F8" s="11">
        <f>SUMIFS(Vendite!$H$2:$H$1000,Vendite!$B$2:$B$1000,A8,Vendite!$C$2:$C$1000,"&gt;="&amp;TIMEVALUE("20:00"),Vendite!$C$2:$C$1000,"&lt;"&amp;TIMEVALUE("21:00"))</f>
        <v/>
      </c>
      <c r="G8" s="11">
        <f>SUMIFS(Vendite!$H$2:$H$1000,Vendite!$B$2:$B$1000,A8,Vendite!$C$2:$C$1000,"&gt;="&amp;TIMEVALUE("21:00"),Vendite!$C$2:$C$1000,"&lt;"&amp;TIMEVALUE("22:00"))</f>
        <v/>
      </c>
      <c r="H8" s="11">
        <f>SUMIFS(Vendite!$H$2:$H$1000,Vendite!$B$2:$B$1000,A8,Vendite!$C$2:$C$1000,"&gt;="&amp;TIMEVALUE("22:00"),Vendite!$C$2:$C$1000,"&lt;"&amp;TIMEVALUE("23:00"))</f>
        <v/>
      </c>
      <c r="I8" s="11">
        <f>SUMIFS(Vendite!$H$2:$H$1000,Vendite!$B$2:$B$1000,A8,Vendite!$C$2:$C$1000,"&gt;="&amp;TIMEVALUE("23:00"),Vendite!$C$2:$C$1000,"&lt;"&amp;TIMEVALUE("23:30"))</f>
        <v/>
      </c>
      <c r="J8" s="11">
        <f>SUMIFS(Vendite!$H$2:$H$1000,Vendite!$B$2:$B$1000,A8,Vendite!$C$2:$C$1000,"&gt;="&amp;TIMEVALUE("23:30"))</f>
        <v/>
      </c>
      <c r="K8" s="11">
        <f>SUMIFS(Vendite!$P$2:$P$1000,Vendite!$B$2:$B$1000,A8,Vendite!$C$2:$C$1000,"&gt;="&amp;TIMEVALUE("20:00"),Vendite!$C$2:$C$1000,"&lt;"&amp;TIMEVALUE("21:00"))</f>
        <v/>
      </c>
      <c r="L8" s="11">
        <f>SUMIFS(Vendite!$P$2:$P$1000,Vendite!$B$2:$B$1000,A8,Vendite!$C$2:$C$1000,"&gt;="&amp;TIMEVALUE("21:00"),Vendite!$C$2:$C$1000,"&lt;"&amp;TIMEVALUE("22:00"))</f>
        <v/>
      </c>
      <c r="M8" s="11">
        <f>SUMIFS(Vendite!$P$2:$P$1000,Vendite!$B$2:$B$1000,A8,Vendite!$C$2:$C$1000,"&gt;="&amp;TIMEVALUE("22:00"),Vendite!$C$2:$C$1000,"&lt;"&amp;TIMEVALUE("23:00"))</f>
        <v/>
      </c>
      <c r="N8" s="11">
        <f>SUMIFS(Vendite!$P$2:$P$1000,Vendite!$B$2:$B$1000,A8,Vendite!$C$2:$C$1000,"&gt;="&amp;TIMEVALUE("23:00"),Vendite!$C$2:$C$1000,"&lt;"&amp;TIMEVALUE("23:30"))</f>
        <v/>
      </c>
      <c r="O8" s="11">
        <f>SUMIFS(Vendite!$P$2:$P$1000,Vendite!$B$2:$B$1000,A8,Vendite!$C$2:$C$1000,"&gt;="&amp;TIMEVALUE("23:30"))</f>
        <v/>
      </c>
      <c r="P8" s="11">
        <f>SUMIFS(Vendite!$H$2:$H$1000,Vendite!$B$2:$B$1000,A8,Vendite!$O$2:$O$1000,2)</f>
        <v/>
      </c>
      <c r="Q8" s="11">
        <f>SUMIFS(Vendite!$H$2:$H$1000,Vendite!$B$2:$B$1000,A8,Vendite!$O$2:$O$1000,3)</f>
        <v/>
      </c>
      <c r="R8" s="11">
        <f>SUMIFS(Vendite!$H$2:$H$1000,Vendite!$B$2:$B$1000,A8,Vendite!$O$2:$O$1000,4)</f>
        <v/>
      </c>
      <c r="S8" s="11">
        <f>SUMIFS(Vendite!$H$2:$H$1000,Vendite!$B$2:$B$1000,A8,Vendite!$O$2:$O$1000,5)</f>
        <v/>
      </c>
      <c r="T8">
        <f>TEXT(A8,"DD/MM")</f>
        <v/>
      </c>
    </row>
  </sheetData>
  <autoFilter ref="A1:S8"/>
  <conditionalFormatting sqref="F2:J8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K2:O8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14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  <row r="140">
      <c r="A140" s="30" t="n">
        <v>46304.17708333334</v>
      </c>
      <c r="B140" s="11" t="n">
        <v>111</v>
      </c>
      <c r="C140" s="11" t="n">
        <v>329</v>
      </c>
      <c r="D140" s="12" t="n">
        <v>3948</v>
      </c>
      <c r="E140" s="31">
        <f>B140-B139</f>
        <v/>
      </c>
      <c r="F140" s="31">
        <f>C140-C139</f>
        <v/>
      </c>
      <c r="G140" s="32">
        <f>D140-D139</f>
        <v/>
      </c>
      <c r="H140">
        <f>TEXT(A140,"DD/MM HH:MM")</f>
        <v/>
      </c>
    </row>
    <row r="141">
      <c r="A141" s="33" t="n">
        <v>46304.21944444445</v>
      </c>
      <c r="B141" s="15" t="n">
        <v>111</v>
      </c>
      <c r="C141" s="15" t="n">
        <v>329</v>
      </c>
      <c r="D141" s="16" t="n">
        <v>3948</v>
      </c>
      <c r="E141" s="34">
        <f>B141-B140</f>
        <v/>
      </c>
      <c r="F141" s="34">
        <f>C141-C140</f>
        <v/>
      </c>
      <c r="G141" s="35">
        <f>D141-D140</f>
        <v/>
      </c>
      <c r="H141">
        <f>TEXT(A141,"DD/MM HH:MM")</f>
        <v/>
      </c>
    </row>
    <row r="142">
      <c r="A142" s="30" t="n">
        <v>46304.2625</v>
      </c>
      <c r="B142" s="11" t="n">
        <v>111</v>
      </c>
      <c r="C142" s="11" t="n">
        <v>329</v>
      </c>
      <c r="D142" s="12" t="n">
        <v>3948</v>
      </c>
      <c r="E142" s="31">
        <f>B142-B141</f>
        <v/>
      </c>
      <c r="F142" s="31">
        <f>C142-C141</f>
        <v/>
      </c>
      <c r="G142" s="32">
        <f>D142-D141</f>
        <v/>
      </c>
      <c r="H142">
        <f>TEXT(A142,"DD/MM HH:MM")</f>
        <v/>
      </c>
    </row>
    <row r="143">
      <c r="A143" s="33" t="n">
        <v>46304.30208333334</v>
      </c>
      <c r="B143" s="15" t="n">
        <v>111</v>
      </c>
      <c r="C143" s="15" t="n">
        <v>329</v>
      </c>
      <c r="D143" s="16" t="n">
        <v>3948</v>
      </c>
      <c r="E143" s="34">
        <f>B143-B142</f>
        <v/>
      </c>
      <c r="F143" s="34">
        <f>C143-C142</f>
        <v/>
      </c>
      <c r="G143" s="35">
        <f>D143-D142</f>
        <v/>
      </c>
      <c r="H143">
        <f>TEXT(A143,"DD/MM HH:MM")</f>
        <v/>
      </c>
    </row>
  </sheetData>
  <autoFilter ref="A1:G143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0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0.9986111111111111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</sheetData>
  <autoFilter ref="A1:K107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2</v>
      </c>
      <c r="H4" s="11" t="n">
        <v>6</v>
      </c>
      <c r="I4" s="12" t="n">
        <v>72</v>
      </c>
      <c r="K4" s="38" t="inlineStr">
        <is>
          <t>Lunedì</t>
        </is>
      </c>
      <c r="L4" s="11" t="n">
        <v>22</v>
      </c>
      <c r="M4" s="11" t="n">
        <v>59</v>
      </c>
      <c r="N4" s="12" t="n">
        <v>708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0</v>
      </c>
      <c r="H5" s="11" t="n">
        <v>0</v>
      </c>
      <c r="I5" s="12" t="n">
        <v>0</v>
      </c>
      <c r="K5" s="38" t="inlineStr">
        <is>
          <t>Martedì</t>
        </is>
      </c>
      <c r="L5" s="11" t="n">
        <v>26</v>
      </c>
      <c r="M5" s="11" t="n">
        <v>75</v>
      </c>
      <c r="N5" s="12" t="n">
        <v>900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0</v>
      </c>
      <c r="H6" s="11" t="n">
        <v>0</v>
      </c>
      <c r="I6" s="12" t="n">
        <v>0</v>
      </c>
      <c r="K6" s="38" t="inlineStr">
        <is>
          <t>Mercoledì</t>
        </is>
      </c>
      <c r="L6" s="11" t="n">
        <v>23</v>
      </c>
      <c r="M6" s="11" t="n">
        <v>68</v>
      </c>
      <c r="N6" s="12" t="n">
        <v>816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0</v>
      </c>
      <c r="H7" s="11" t="n">
        <v>0</v>
      </c>
      <c r="I7" s="12" t="n">
        <v>0</v>
      </c>
      <c r="K7" s="38" t="inlineStr">
        <is>
          <t>Giovedì</t>
        </is>
      </c>
      <c r="L7" s="11" t="n">
        <v>35</v>
      </c>
      <c r="M7" s="11" t="n">
        <v>113</v>
      </c>
      <c r="N7" s="12" t="n">
        <v>1356</v>
      </c>
    </row>
    <row r="8">
      <c r="A8" s="9" t="n">
        <v>46304</v>
      </c>
      <c r="B8" s="11" t="n">
        <v>1</v>
      </c>
      <c r="C8" s="11" t="n">
        <v>4</v>
      </c>
      <c r="D8" s="12" t="n">
        <v>48</v>
      </c>
      <c r="F8" s="38" t="inlineStr">
        <is>
          <t>04:00-05:00</t>
        </is>
      </c>
      <c r="G8" s="11" t="n">
        <v>0</v>
      </c>
      <c r="H8" s="11" t="n">
        <v>0</v>
      </c>
      <c r="I8" s="12" t="n">
        <v>0</v>
      </c>
      <c r="K8" s="38" t="inlineStr">
        <is>
          <t>Venerdì</t>
        </is>
      </c>
      <c r="L8" s="11" t="n">
        <v>1</v>
      </c>
      <c r="M8" s="11" t="n">
        <v>4</v>
      </c>
      <c r="N8" s="12" t="n">
        <v>48</v>
      </c>
    </row>
    <row r="9">
      <c r="F9" s="38" t="inlineStr">
        <is>
          <t>05:00-06:00</t>
        </is>
      </c>
      <c r="G9" s="11" t="n">
        <v>0</v>
      </c>
      <c r="H9" s="11" t="n">
        <v>0</v>
      </c>
      <c r="I9" s="12" t="n">
        <v>0</v>
      </c>
      <c r="K9" s="38" t="inlineStr">
        <is>
          <t>Sabato</t>
        </is>
      </c>
      <c r="L9" s="11" t="n">
        <v>0</v>
      </c>
      <c r="M9" s="11" t="n">
        <v>0</v>
      </c>
      <c r="N9" s="12" t="n">
        <v>0</v>
      </c>
    </row>
    <row r="10">
      <c r="F10" s="38" t="inlineStr">
        <is>
          <t>06:00-07:00</t>
        </is>
      </c>
      <c r="G10" s="11" t="n">
        <v>1</v>
      </c>
      <c r="H10" s="11" t="n">
        <v>2</v>
      </c>
      <c r="I10" s="12" t="n">
        <v>24</v>
      </c>
      <c r="K10" s="38" t="inlineStr">
        <is>
          <t>Domenica</t>
        </is>
      </c>
      <c r="L10" s="11" t="n">
        <v>0</v>
      </c>
      <c r="M10" s="11" t="n">
        <v>0</v>
      </c>
      <c r="N10" s="12" t="n">
        <v>0</v>
      </c>
    </row>
    <row r="11">
      <c r="F11" s="38" t="inlineStr">
        <is>
          <t>07:00-08:00</t>
        </is>
      </c>
      <c r="G11" s="11" t="n">
        <v>1</v>
      </c>
      <c r="H11" s="11" t="n">
        <v>2</v>
      </c>
      <c r="I11" s="12" t="n">
        <v>24</v>
      </c>
    </row>
    <row r="12">
      <c r="F12" s="38" t="inlineStr">
        <is>
          <t>08:00-09:00</t>
        </is>
      </c>
      <c r="G12" s="11" t="n">
        <v>2</v>
      </c>
      <c r="H12" s="11" t="n">
        <v>7</v>
      </c>
      <c r="I12" s="12" t="n">
        <v>84</v>
      </c>
    </row>
    <row r="13">
      <c r="F13" s="38" t="inlineStr">
        <is>
          <t>09:00-10:00</t>
        </is>
      </c>
      <c r="G13" s="11" t="n">
        <v>5</v>
      </c>
      <c r="H13" s="11" t="n">
        <v>16</v>
      </c>
      <c r="I13" s="12" t="n">
        <v>192</v>
      </c>
    </row>
    <row r="14">
      <c r="F14" s="38" t="inlineStr">
        <is>
          <t>10:00-11:00</t>
        </is>
      </c>
      <c r="G14" s="11" t="n">
        <v>3</v>
      </c>
      <c r="H14" s="11" t="n">
        <v>13</v>
      </c>
      <c r="I14" s="12" t="n">
        <v>156</v>
      </c>
    </row>
    <row r="15">
      <c r="F15" s="38" t="inlineStr">
        <is>
          <t>11:00-12:00</t>
        </is>
      </c>
      <c r="G15" s="11" t="n">
        <v>5</v>
      </c>
      <c r="H15" s="11" t="n">
        <v>17</v>
      </c>
      <c r="I15" s="12" t="n">
        <v>204</v>
      </c>
    </row>
    <row r="16">
      <c r="F16" s="38" t="inlineStr">
        <is>
          <t>12:00-13:00</t>
        </is>
      </c>
      <c r="G16" s="11" t="n">
        <v>7</v>
      </c>
      <c r="H16" s="11" t="n">
        <v>19</v>
      </c>
      <c r="I16" s="12" t="n">
        <v>228</v>
      </c>
    </row>
    <row r="17">
      <c r="F17" s="38" t="inlineStr">
        <is>
          <t>13:00-14:00</t>
        </is>
      </c>
      <c r="G17" s="11" t="n">
        <v>4</v>
      </c>
      <c r="H17" s="11" t="n">
        <v>9</v>
      </c>
      <c r="I17" s="12" t="n">
        <v>108</v>
      </c>
    </row>
    <row r="18">
      <c r="F18" s="38" t="inlineStr">
        <is>
          <t>14:00-15:00</t>
        </is>
      </c>
      <c r="G18" s="11" t="n">
        <v>2</v>
      </c>
      <c r="H18" s="11" t="n">
        <v>7</v>
      </c>
      <c r="I18" s="12" t="n">
        <v>84</v>
      </c>
    </row>
    <row r="19">
      <c r="F19" s="38" t="inlineStr">
        <is>
          <t>15:00-16:00</t>
        </is>
      </c>
      <c r="G19" s="11" t="n">
        <v>1</v>
      </c>
      <c r="H19" s="11" t="n">
        <v>2</v>
      </c>
      <c r="I19" s="12" t="n">
        <v>24</v>
      </c>
    </row>
    <row r="20">
      <c r="F20" s="38" t="inlineStr">
        <is>
          <t>16:00-17:00</t>
        </is>
      </c>
      <c r="G20" s="11" t="n">
        <v>7</v>
      </c>
      <c r="H20" s="11" t="n">
        <v>20</v>
      </c>
      <c r="I20" s="12" t="n">
        <v>240</v>
      </c>
    </row>
    <row r="21">
      <c r="F21" s="38" t="inlineStr">
        <is>
          <t>17:00-18:00</t>
        </is>
      </c>
      <c r="G21" s="11" t="n">
        <v>5</v>
      </c>
      <c r="H21" s="11" t="n">
        <v>17</v>
      </c>
      <c r="I21" s="12" t="n">
        <v>204</v>
      </c>
    </row>
    <row r="22">
      <c r="F22" s="38" t="inlineStr">
        <is>
          <t>18:00-19:00</t>
        </is>
      </c>
      <c r="G22" s="11" t="n">
        <v>4</v>
      </c>
      <c r="H22" s="11" t="n">
        <v>12</v>
      </c>
      <c r="I22" s="12" t="n">
        <v>144</v>
      </c>
    </row>
    <row r="23">
      <c r="F23" s="38" t="inlineStr">
        <is>
          <t>19:00-20:00</t>
        </is>
      </c>
      <c r="G23" s="11" t="n">
        <v>6</v>
      </c>
      <c r="H23" s="11" t="n">
        <v>22</v>
      </c>
      <c r="I23" s="12" t="n">
        <v>264</v>
      </c>
    </row>
    <row r="24">
      <c r="F24" s="38" t="inlineStr">
        <is>
          <t>20:00-21:00</t>
        </is>
      </c>
      <c r="G24" s="11" t="n">
        <v>11</v>
      </c>
      <c r="H24" s="11" t="n">
        <v>30</v>
      </c>
      <c r="I24" s="12" t="n">
        <v>360</v>
      </c>
    </row>
    <row r="25">
      <c r="F25" s="38" t="inlineStr">
        <is>
          <t>21:00-22:00</t>
        </is>
      </c>
      <c r="G25" s="11" t="n">
        <v>12</v>
      </c>
      <c r="H25" s="11" t="n">
        <v>38</v>
      </c>
      <c r="I25" s="12" t="n">
        <v>456</v>
      </c>
    </row>
    <row r="26">
      <c r="F26" s="38" t="inlineStr">
        <is>
          <t>22:00-23:00</t>
        </is>
      </c>
      <c r="G26" s="11" t="n">
        <v>22</v>
      </c>
      <c r="H26" s="11" t="n">
        <v>59</v>
      </c>
      <c r="I26" s="12" t="n">
        <v>708</v>
      </c>
    </row>
    <row r="27">
      <c r="F27" s="38" t="inlineStr">
        <is>
          <t>23:00-00:00</t>
        </is>
      </c>
      <c r="G27" s="11" t="n">
        <v>7</v>
      </c>
      <c r="H27" s="11" t="n">
        <v>21</v>
      </c>
      <c r="I27" s="12" t="n">
        <v>252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2026-10-09T05:15:56Z</dcterms:created>
  <dcterms:modified xsi:type="dcterms:W3CDTF">2026-10-09T05:15:56Z</dcterms:modified>
</cp:coreProperties>
</file>