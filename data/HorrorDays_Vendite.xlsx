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'Vendite'!$A$1:$R$136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'Storico'!$A$1:$G$763</definedName>
    <definedName name="_xlnm._FilterDatabase" localSheetId="8" hidden="1">'Registro vendite'!$A$1:$K$1201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'Storico'!$H$2:$H$763</f>
            </numRef>
          </cat>
          <val>
            <numRef>
              <f>'Storico'!$C$2:$C$763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648</v>
      </c>
      <c r="K72" s="12" t="n">
        <v>0</v>
      </c>
      <c r="L72" s="12" t="n">
        <v>589.14</v>
      </c>
      <c r="M72" s="12" t="n">
        <v>58.86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312</v>
      </c>
      <c r="K85" s="16" t="n">
        <v>0</v>
      </c>
      <c r="L85" s="16" t="n">
        <v>283.66</v>
      </c>
      <c r="M85" s="16" t="n">
        <v>28.34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1200</v>
      </c>
      <c r="K86" s="12" t="n">
        <v>0</v>
      </c>
      <c r="L86" s="12" t="n">
        <v>1091</v>
      </c>
      <c r="M86" s="12" t="n">
        <v>109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25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648</v>
      </c>
      <c r="K89" s="16" t="n">
        <v>0</v>
      </c>
      <c r="L89" s="16" t="n">
        <v>589.14</v>
      </c>
      <c r="M89" s="16" t="n">
        <v>58.86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27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312</v>
      </c>
      <c r="K93" s="16" t="n">
        <v>0</v>
      </c>
      <c r="L93" s="16" t="n">
        <v>283.66</v>
      </c>
      <c r="M93" s="16" t="n">
        <v>28.34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96</v>
      </c>
      <c r="K94" s="12" t="n">
        <v>0</v>
      </c>
      <c r="L94" s="12" t="n">
        <v>87.28</v>
      </c>
      <c r="M94" s="12" t="n">
        <v>8.720000000000001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10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528</v>
      </c>
      <c r="K104" s="12" t="n">
        <v>0</v>
      </c>
      <c r="L104" s="12" t="n">
        <v>480.04</v>
      </c>
      <c r="M104" s="12" t="n">
        <v>47.96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624</v>
      </c>
      <c r="K116" s="12" t="n">
        <v>0</v>
      </c>
      <c r="L116" s="12" t="n">
        <v>567.3200000000001</v>
      </c>
      <c r="M116" s="12" t="n">
        <v>56.68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72</v>
      </c>
      <c r="K129" s="16" t="n">
        <v>0</v>
      </c>
      <c r="L129" s="16" t="n">
        <v>65.45999999999999</v>
      </c>
      <c r="M129" s="16" t="n">
        <v>6.54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I8 24€</t>
        </is>
      </c>
      <c r="F130" s="22">
        <f>IFERROR(INDEX(Tariffe!$B$2:$B$200,MATCH(E130,Tariffe!$A$2:$A$200,0)),"DA DEFINIRE")</f>
        <v/>
      </c>
      <c r="G130" s="12" t="n">
        <v>24</v>
      </c>
      <c r="H130" s="11">
        <f>Q130*R130</f>
        <v/>
      </c>
      <c r="I130" s="11" t="n">
        <v>0</v>
      </c>
      <c r="J130" s="12" t="n">
        <v>48</v>
      </c>
      <c r="K130" s="12" t="n">
        <v>0</v>
      </c>
      <c r="L130" s="12" t="n">
        <v>43.64</v>
      </c>
      <c r="M130" s="12" t="n">
        <v>4.36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20261101_2359</t>
        </is>
      </c>
      <c r="B132" s="9" t="n">
        <v>46327</v>
      </c>
      <c r="C132" s="10" t="n">
        <v>0.9993055555555556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24</v>
      </c>
      <c r="K132" s="12" t="n">
        <v>0</v>
      </c>
      <c r="L132" s="12" t="n">
        <v>21.82</v>
      </c>
      <c r="M132" s="12" t="n">
        <v>2.18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20261102_2015</t>
        </is>
      </c>
      <c r="B133" s="13" t="n">
        <v>46328</v>
      </c>
      <c r="C133" s="14" t="n">
        <v>0.84375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30</v>
      </c>
      <c r="K133" s="16" t="n">
        <v>0</v>
      </c>
      <c r="L133" s="16" t="n">
        <v>27.28</v>
      </c>
      <c r="M133" s="16" t="n">
        <v>2.72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</v>
      </c>
      <c r="R133" s="15">
        <f>IFERROR(INDEX(Tariffe!$E$2:$E$200,MATCH(E133,Tariffe!$A$2:$A$200,0))*1,1)</f>
        <v/>
      </c>
    </row>
    <row r="134">
      <c r="A134" s="22" t="inlineStr">
        <is>
          <t>20261102_2215</t>
        </is>
      </c>
      <c r="B134" s="9" t="n">
        <v>46328</v>
      </c>
      <c r="C134" s="10" t="n">
        <v>0.9270833333333334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90</v>
      </c>
      <c r="K134" s="12" t="n">
        <v>0</v>
      </c>
      <c r="L134" s="12" t="n">
        <v>81.84</v>
      </c>
      <c r="M134" s="12" t="n">
        <v>8.16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6</v>
      </c>
      <c r="R134" s="11">
        <f>IFERROR(INDEX(Tariffe!$E$2:$E$200,MATCH(E134,Tariffe!$A$2:$A$200,0))*1,1)</f>
        <v/>
      </c>
    </row>
    <row r="135">
      <c r="A135" s="23" t="inlineStr">
        <is>
          <t>20261102_2315</t>
        </is>
      </c>
      <c r="B135" s="13" t="n">
        <v>46328</v>
      </c>
      <c r="C135" s="14" t="n">
        <v>0.96875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45</v>
      </c>
      <c r="K135" s="16" t="n">
        <v>0</v>
      </c>
      <c r="L135" s="16" t="n">
        <v>40.92</v>
      </c>
      <c r="M135" s="16" t="n">
        <v>4.08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20261102_2359</t>
        </is>
      </c>
      <c r="B136" s="9" t="n">
        <v>46328</v>
      </c>
      <c r="C136" s="10" t="n">
        <v>0.9993055555555556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15</v>
      </c>
      <c r="K136" s="12" t="n">
        <v>0</v>
      </c>
      <c r="L136" s="12" t="n">
        <v>13.64</v>
      </c>
      <c r="M136" s="12" t="n">
        <v>1.36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</v>
      </c>
      <c r="R136" s="11">
        <f>IFERROR(INDEX(Tariffe!$E$2:$E$200,MATCH(E136,Tariffe!$A$2:$A$200,0))*1,1)</f>
        <v/>
      </c>
    </row>
  </sheetData>
  <autoFilter ref="A1:R13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</sheetData>
  <autoFilter ref="A1:G7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</sheetData>
  <autoFilter ref="A1:K12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130</v>
      </c>
      <c r="M5" s="11" t="n">
        <v>394</v>
      </c>
      <c r="N5" s="12" t="n">
        <v>4728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66</v>
      </c>
      <c r="H15" s="11" t="n">
        <v>202</v>
      </c>
      <c r="I15" s="12" t="n">
        <v>2424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32</v>
      </c>
      <c r="C26" s="11" t="n">
        <v>105</v>
      </c>
      <c r="D26" s="12" t="n">
        <v>1260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2026-10-27T10:29:32Z</dcterms:created>
  <dcterms:modified xsi:type="dcterms:W3CDTF">2026-10-27T10:29:33Z</dcterms:modified>
</cp:coreProperties>
</file>