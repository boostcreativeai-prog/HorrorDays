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'Vendite'!$A$1:$P$127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'Storico'!$A$1:$G$638</definedName>
    <definedName name="_xlnm._FilterDatabase" localSheetId="8" hidden="1">'Registro vendite'!$A$1:$K$794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'Storico'!$H$2:$H$638</f>
            </numRef>
          </cat>
          <val>
            <numRef>
              <f>'Storico'!$C$2:$C$638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MAX(Storico!A2:A638)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14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18</v>
      </c>
      <c r="I49" s="15" t="n">
        <v>0</v>
      </c>
      <c r="J49" s="16" t="n">
        <v>432</v>
      </c>
      <c r="K49" s="16" t="n">
        <v>0</v>
      </c>
      <c r="L49" s="16" t="n">
        <v>392.76</v>
      </c>
      <c r="M49" s="16" t="n">
        <v>39.24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9</v>
      </c>
      <c r="I50" s="11" t="n">
        <v>0</v>
      </c>
      <c r="J50" s="12" t="n">
        <v>432</v>
      </c>
      <c r="K50" s="12" t="n">
        <v>0</v>
      </c>
      <c r="L50" s="12" t="n">
        <v>392.76</v>
      </c>
      <c r="M50" s="12" t="n">
        <v>39.24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6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8</v>
      </c>
      <c r="I67" s="15" t="n">
        <v>0</v>
      </c>
      <c r="J67" s="16" t="n">
        <v>384</v>
      </c>
      <c r="K67" s="16" t="n">
        <v>0</v>
      </c>
      <c r="L67" s="16" t="n">
        <v>349.12</v>
      </c>
      <c r="M67" s="16" t="n">
        <v>34.88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8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0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7</v>
      </c>
      <c r="I98" s="11" t="n">
        <v>0</v>
      </c>
      <c r="J98" s="12" t="n">
        <v>168</v>
      </c>
      <c r="K98" s="12" t="n">
        <v>0</v>
      </c>
      <c r="L98" s="12" t="n">
        <v>152.74</v>
      </c>
      <c r="M98" s="12" t="n">
        <v>15.26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10</v>
      </c>
      <c r="I99" s="15" t="n">
        <v>3</v>
      </c>
      <c r="J99" s="16" t="n">
        <v>480</v>
      </c>
      <c r="K99" s="16" t="n">
        <v>0</v>
      </c>
      <c r="L99" s="16" t="n">
        <v>436.4</v>
      </c>
      <c r="M99" s="16" t="n">
        <v>43.6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25</v>
      </c>
      <c r="I102" s="11" t="n">
        <v>0</v>
      </c>
      <c r="J102" s="12" t="n">
        <v>600</v>
      </c>
      <c r="K102" s="12" t="n">
        <v>0</v>
      </c>
      <c r="L102" s="12" t="n">
        <v>545.5</v>
      </c>
      <c r="M102" s="12" t="n">
        <v>54.5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19</v>
      </c>
      <c r="I103" s="15" t="n">
        <v>0</v>
      </c>
      <c r="J103" s="16" t="n">
        <v>912</v>
      </c>
      <c r="K103" s="16" t="n">
        <v>0</v>
      </c>
      <c r="L103" s="16" t="n">
        <v>829.16</v>
      </c>
      <c r="M103" s="16" t="n">
        <v>82.84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18</v>
      </c>
      <c r="I106" s="11" t="n">
        <v>0</v>
      </c>
      <c r="J106" s="12" t="n">
        <v>432</v>
      </c>
      <c r="K106" s="12" t="n">
        <v>0</v>
      </c>
      <c r="L106" s="12" t="n">
        <v>392.76</v>
      </c>
      <c r="M106" s="12" t="n">
        <v>39.24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15</v>
      </c>
      <c r="I107" s="15" t="n">
        <v>0</v>
      </c>
      <c r="J107" s="16" t="n">
        <v>720</v>
      </c>
      <c r="K107" s="16" t="n">
        <v>0</v>
      </c>
      <c r="L107" s="16" t="n">
        <v>654.6</v>
      </c>
      <c r="M107" s="16" t="n">
        <v>65.40000000000001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11</v>
      </c>
      <c r="I110" s="11" t="n">
        <v>0</v>
      </c>
      <c r="J110" s="12" t="n">
        <v>264</v>
      </c>
      <c r="K110" s="12" t="n">
        <v>0</v>
      </c>
      <c r="L110" s="12" t="n">
        <v>240.02</v>
      </c>
      <c r="M110" s="12" t="n">
        <v>23.98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I1</t>
        </is>
      </c>
      <c r="F117" s="23">
        <f>IFERROR(INDEX(Tariffe!$B$2:$B$200,MATCH(E117,Tariffe!$A$2:$A$200,0)),"DA DEFINIRE")</f>
        <v/>
      </c>
      <c r="G117" s="16" t="n">
        <v>48</v>
      </c>
      <c r="H117" s="15" t="n">
        <v>1</v>
      </c>
      <c r="I117" s="15" t="n">
        <v>0</v>
      </c>
      <c r="J117" s="16" t="n">
        <v>48</v>
      </c>
      <c r="K117" s="16" t="n">
        <v>0</v>
      </c>
      <c r="L117" s="16" t="n">
        <v>43.64</v>
      </c>
      <c r="M117" s="16" t="n">
        <v>4.36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I2</t>
        </is>
      </c>
      <c r="F118" s="22">
        <f>IFERROR(INDEX(Tariffe!$B$2:$B$200,MATCH(E118,Tariffe!$A$2:$A$200,0)),"DA DEFINIRE")</f>
        <v/>
      </c>
      <c r="G118" s="12" t="n">
        <v>36</v>
      </c>
      <c r="H118" s="11" t="n">
        <v>2</v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I5</t>
        </is>
      </c>
      <c r="F119" s="23">
        <f>IFERROR(INDEX(Tariffe!$B$2:$B$200,MATCH(E119,Tariffe!$A$2:$A$200,0)),"DA DEFINIRE")</f>
        <v/>
      </c>
      <c r="G119" s="16" t="n">
        <v>60</v>
      </c>
      <c r="H119" s="15" t="n">
        <v>1</v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4</v>
      </c>
      <c r="I120" s="11" t="n">
        <v>0</v>
      </c>
      <c r="J120" s="12" t="n">
        <v>96</v>
      </c>
      <c r="K120" s="12" t="n">
        <v>0</v>
      </c>
      <c r="L120" s="12" t="n">
        <v>87.28</v>
      </c>
      <c r="M120" s="12" t="n">
        <v>8.720000000000001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I2</t>
        </is>
      </c>
      <c r="F121" s="23">
        <f>IFERROR(INDEX(Tariffe!$B$2:$B$200,MATCH(E121,Tariffe!$A$2:$A$200,0)),"DA DEFINIRE")</f>
        <v/>
      </c>
      <c r="G121" s="16" t="n">
        <v>36</v>
      </c>
      <c r="H121" s="15" t="n">
        <v>1</v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2</v>
      </c>
      <c r="I122" s="11" t="n">
        <v>0</v>
      </c>
      <c r="J122" s="12" t="n">
        <v>48</v>
      </c>
      <c r="K122" s="12" t="n">
        <v>0</v>
      </c>
      <c r="L122" s="12" t="n">
        <v>43.64</v>
      </c>
      <c r="M122" s="12" t="n">
        <v>4.36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I5</t>
        </is>
      </c>
      <c r="F123" s="23">
        <f>IFERROR(INDEX(Tariffe!$B$2:$B$200,MATCH(E123,Tariffe!$A$2:$A$200,0)),"DA DEFINIRE")</f>
        <v/>
      </c>
      <c r="G123" s="16" t="n">
        <v>60</v>
      </c>
      <c r="H123" s="15" t="n">
        <v>1</v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1</v>
      </c>
      <c r="I124" s="11" t="n">
        <v>0</v>
      </c>
      <c r="J124" s="12" t="n">
        <v>24</v>
      </c>
      <c r="K124" s="12" t="n">
        <v>0</v>
      </c>
      <c r="L124" s="12" t="n">
        <v>21.82</v>
      </c>
      <c r="M124" s="12" t="n">
        <v>2.18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20261102_2015</t>
        </is>
      </c>
      <c r="B125" s="13" t="n">
        <v>46328</v>
      </c>
      <c r="C125" s="14" t="n">
        <v>0.84375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20261102_2215</t>
        </is>
      </c>
      <c r="B126" s="9" t="n">
        <v>46328</v>
      </c>
      <c r="C126" s="10" t="n">
        <v>0.9270833333333334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3</v>
      </c>
      <c r="I126" s="11" t="n">
        <v>0</v>
      </c>
      <c r="J126" s="12" t="n">
        <v>45</v>
      </c>
      <c r="K126" s="12" t="n">
        <v>0</v>
      </c>
      <c r="L126" s="12" t="n">
        <v>40.92</v>
      </c>
      <c r="M126" s="12" t="n">
        <v>4.08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20261102_2315</t>
        </is>
      </c>
      <c r="B127" s="13" t="n">
        <v>46328</v>
      </c>
      <c r="C127" s="14" t="n">
        <v>0.96875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</sheetData>
  <autoFilter ref="A1:P12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</sheetData>
  <autoFilter ref="A1:G63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</sheetData>
  <autoFilter ref="A1:K79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311</v>
      </c>
      <c r="M9" s="11" t="n">
        <v>949</v>
      </c>
      <c r="N9" s="12" t="n">
        <v>11289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254</v>
      </c>
      <c r="C23" s="11" t="n">
        <v>782</v>
      </c>
      <c r="D23" s="12" t="n">
        <v>9285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2026-10-24T21:22:55Z</dcterms:created>
  <dcterms:modified xsi:type="dcterms:W3CDTF">2026-10-24T21:22:56Z</dcterms:modified>
</cp:coreProperties>
</file>